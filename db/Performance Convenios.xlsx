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gsegovia_intercorp_com_pe/Documents/Documentos/BASES_PERFORMANCE_reproceso/"/>
    </mc:Choice>
  </mc:AlternateContent>
  <xr:revisionPtr revIDLastSave="19" documentId="11_3DE0A8424388191B168EEAA4065A52CCD531F319" xr6:coauthVersionLast="47" xr6:coauthVersionMax="47" xr10:uidLastSave="{F73253C6-D3F6-4233-9FE6-119AD594572E}"/>
  <bookViews>
    <workbookView xWindow="-120" yWindow="-120" windowWidth="20730" windowHeight="11160" tabRatio="849" firstSheet="2" activeTab="5" xr2:uid="{A83978E9-C8B6-41F5-B1B4-A5FA74D30F2A}"/>
  </bookViews>
  <sheets>
    <sheet name="Parametros" sheetId="2" state="hidden" r:id="rId1"/>
    <sheet name="Total_Producto_CHECK" sheetId="14" r:id="rId2"/>
    <sheet name="Desempeño_Financiero" sheetId="12" r:id="rId3"/>
    <sheet name="Indicadores" sheetId="13" r:id="rId4"/>
    <sheet name="Evolutivos--&gt;" sheetId="11" r:id="rId5"/>
    <sheet name="Total_Producto" sheetId="10" r:id="rId6"/>
    <sheet name="Renta_Alta" sheetId="1" r:id="rId7"/>
    <sheet name="Masivo" sheetId="8" r:id="rId8"/>
    <sheet name="Consumo_Inicial" sheetId="9" r:id="rId9"/>
    <sheet name="TDinamica_R" sheetId="3" r:id="rId10"/>
    <sheet name="TDinamica_P" sheetId="16" r:id="rId11"/>
  </sheets>
  <externalReferences>
    <externalReference r:id="rId12"/>
  </externalReferences>
  <calcPr calcId="191029"/>
  <pivotCaches>
    <pivotCache cacheId="5" r:id="rId13"/>
    <pivotCache cacheId="9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8" i="14" l="1"/>
  <c r="AO42" i="14"/>
  <c r="AO18" i="14"/>
  <c r="AO12" i="14"/>
  <c r="BO6" i="14"/>
  <c r="BK4" i="14"/>
  <c r="BJ4" i="14"/>
  <c r="BI4" i="14"/>
  <c r="BH4" i="14"/>
  <c r="BG4" i="14"/>
  <c r="BF4" i="14"/>
  <c r="BE4" i="14"/>
  <c r="BD4" i="14"/>
  <c r="BC4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BO2" i="14"/>
  <c r="B3" i="13"/>
  <c r="W6" i="12"/>
  <c r="D6" i="12"/>
  <c r="C3" i="13" s="1"/>
  <c r="P3" i="13" s="1"/>
  <c r="BO6" i="10"/>
  <c r="BO2" i="10" s="1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BO6" i="9"/>
  <c r="BO2" i="9" s="1"/>
  <c r="BK4" i="9"/>
  <c r="BJ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BO6" i="8"/>
  <c r="BO2" i="8" s="1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BO6" i="1"/>
  <c r="BW6" i="1" s="1"/>
  <c r="C7" i="2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6" i="2"/>
  <c r="AZ4" i="1"/>
  <c r="BA4" i="1"/>
  <c r="BB4" i="1"/>
  <c r="BC4" i="1"/>
  <c r="BD4" i="1"/>
  <c r="BE4" i="1"/>
  <c r="BF4" i="1"/>
  <c r="BG4" i="1"/>
  <c r="BH4" i="1"/>
  <c r="BI4" i="1"/>
  <c r="BJ4" i="1"/>
  <c r="BK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BQ6" i="14" l="1"/>
  <c r="BQ2" i="14" s="1"/>
  <c r="BR6" i="14"/>
  <c r="BR2" i="14" s="1"/>
  <c r="BS6" i="14"/>
  <c r="BT6" i="14"/>
  <c r="BY6" i="14"/>
  <c r="BW6" i="14"/>
  <c r="BP6" i="14"/>
  <c r="BR3" i="14"/>
  <c r="BR4" i="14"/>
  <c r="BQ3" i="14"/>
  <c r="BQ4" i="14"/>
  <c r="BO4" i="14"/>
  <c r="BO3" i="14"/>
  <c r="AB6" i="12"/>
  <c r="AH6" i="12" s="1"/>
  <c r="AN6" i="12" s="1"/>
  <c r="AA6" i="12"/>
  <c r="AG6" i="12" s="1"/>
  <c r="AM6" i="12" s="1"/>
  <c r="Z6" i="12"/>
  <c r="AF6" i="12" s="1"/>
  <c r="AL6" i="12" s="1"/>
  <c r="Y6" i="12"/>
  <c r="AE6" i="12" s="1"/>
  <c r="AK6" i="12" s="1"/>
  <c r="E6" i="12"/>
  <c r="H6" i="12"/>
  <c r="N6" i="12" s="1"/>
  <c r="T6" i="12" s="1"/>
  <c r="G6" i="12"/>
  <c r="F3" i="13" s="1"/>
  <c r="X6" i="12"/>
  <c r="AD6" i="12" s="1"/>
  <c r="AJ6" i="12" s="1"/>
  <c r="E4" i="12"/>
  <c r="D4" i="12"/>
  <c r="I6" i="12"/>
  <c r="F6" i="12"/>
  <c r="BW6" i="10"/>
  <c r="BS6" i="10"/>
  <c r="BT6" i="10"/>
  <c r="BP6" i="10"/>
  <c r="BR6" i="10"/>
  <c r="BQ6" i="10"/>
  <c r="BO3" i="10"/>
  <c r="BO4" i="10"/>
  <c r="BR6" i="9"/>
  <c r="BP6" i="9"/>
  <c r="BW6" i="9"/>
  <c r="BS6" i="9"/>
  <c r="BQ6" i="9"/>
  <c r="BT6" i="9"/>
  <c r="BO4" i="9"/>
  <c r="BO3" i="9"/>
  <c r="BQ6" i="8"/>
  <c r="BT6" i="8"/>
  <c r="BW6" i="8"/>
  <c r="BS6" i="8"/>
  <c r="BP6" i="8"/>
  <c r="BR6" i="8"/>
  <c r="BO4" i="8"/>
  <c r="BO3" i="8"/>
  <c r="BO2" i="1"/>
  <c r="BT6" i="1"/>
  <c r="CB6" i="1" s="1"/>
  <c r="BS6" i="1"/>
  <c r="CA6" i="1" s="1"/>
  <c r="BR6" i="1"/>
  <c r="BZ6" i="1" s="1"/>
  <c r="BQ6" i="1"/>
  <c r="BY6" i="1" s="1"/>
  <c r="BP6" i="1"/>
  <c r="BX6" i="1" s="1"/>
  <c r="BZ6" i="14" l="1"/>
  <c r="BS2" i="14"/>
  <c r="CA6" i="14"/>
  <c r="BT2" i="14"/>
  <c r="CB6" i="14"/>
  <c r="BX6" i="14"/>
  <c r="BP2" i="14"/>
  <c r="L3" i="13"/>
  <c r="S3" i="13"/>
  <c r="Y3" i="13" s="1"/>
  <c r="K6" i="12"/>
  <c r="Q6" i="12" s="1"/>
  <c r="D3" i="13"/>
  <c r="H4" i="12"/>
  <c r="G3" i="13"/>
  <c r="O6" i="12"/>
  <c r="U6" i="12" s="1"/>
  <c r="H3" i="13"/>
  <c r="L6" i="12"/>
  <c r="R6" i="12" s="1"/>
  <c r="E3" i="13"/>
  <c r="M6" i="12"/>
  <c r="S6" i="12" s="1"/>
  <c r="G4" i="12"/>
  <c r="I4" i="12"/>
  <c r="F4" i="12"/>
  <c r="CA6" i="10"/>
  <c r="BS2" i="10"/>
  <c r="CB6" i="10"/>
  <c r="BT2" i="10"/>
  <c r="BP2" i="10"/>
  <c r="BX6" i="10"/>
  <c r="BZ6" i="10"/>
  <c r="BR2" i="10"/>
  <c r="BY6" i="10"/>
  <c r="BQ2" i="10"/>
  <c r="BZ6" i="9"/>
  <c r="BR2" i="9"/>
  <c r="BP2" i="9"/>
  <c r="BX6" i="9"/>
  <c r="CA6" i="9"/>
  <c r="BS2" i="9"/>
  <c r="BY6" i="9"/>
  <c r="BQ2" i="9"/>
  <c r="CB6" i="9"/>
  <c r="BT2" i="9"/>
  <c r="BY6" i="8"/>
  <c r="BQ2" i="8"/>
  <c r="CB6" i="8"/>
  <c r="BT2" i="8"/>
  <c r="CA6" i="8"/>
  <c r="BS2" i="8"/>
  <c r="BX6" i="8"/>
  <c r="BP2" i="8"/>
  <c r="BR2" i="8"/>
  <c r="BZ6" i="8"/>
  <c r="BO3" i="1"/>
  <c r="BO4" i="1"/>
  <c r="BT2" i="1"/>
  <c r="BS2" i="1"/>
  <c r="BR2" i="1"/>
  <c r="BQ2" i="1"/>
  <c r="BP2" i="1"/>
  <c r="BD14" i="1"/>
  <c r="BB87" i="9"/>
  <c r="BK9" i="8"/>
  <c r="BJ95" i="8"/>
  <c r="BB45" i="9"/>
  <c r="BJ70" i="8"/>
  <c r="BC71" i="1"/>
  <c r="BG86" i="9"/>
  <c r="BG67" i="1"/>
  <c r="BK77" i="8"/>
  <c r="BI92" i="9"/>
  <c r="BE40" i="8"/>
  <c r="BC73" i="8"/>
  <c r="BB68" i="1"/>
  <c r="BA76" i="9"/>
  <c r="BK69" i="8"/>
  <c r="BI65" i="8"/>
  <c r="BK74" i="8"/>
  <c r="BB15" i="9"/>
  <c r="BI71" i="8"/>
  <c r="BE38" i="8"/>
  <c r="BI16" i="9"/>
  <c r="BJ74" i="9"/>
  <c r="BH69" i="8"/>
  <c r="BH16" i="9"/>
  <c r="BA46" i="8"/>
  <c r="BK69" i="9"/>
  <c r="BJ82" i="9"/>
  <c r="BF69" i="8"/>
  <c r="BI63" i="9"/>
  <c r="BD44" i="1"/>
  <c r="BI95" i="1"/>
  <c r="BK86" i="8"/>
  <c r="BC14" i="9"/>
  <c r="BI66" i="8"/>
  <c r="BD9" i="9"/>
  <c r="BD14" i="9"/>
  <c r="BK14" i="9"/>
  <c r="BG66" i="8"/>
  <c r="BJ67" i="1"/>
  <c r="BD79" i="8"/>
  <c r="BC45" i="1"/>
  <c r="BI76" i="8"/>
  <c r="BI82" i="9"/>
  <c r="BC69" i="8"/>
  <c r="BC10" i="1"/>
  <c r="BD78" i="1"/>
  <c r="BK91" i="9"/>
  <c r="BH87" i="9"/>
  <c r="BE70" i="8"/>
  <c r="BB81" i="9"/>
  <c r="BF72" i="1"/>
  <c r="BC81" i="1"/>
  <c r="BH63" i="9"/>
  <c r="BA15" i="9"/>
  <c r="BA46" i="1"/>
  <c r="BJ8" i="9"/>
  <c r="BB64" i="1"/>
  <c r="BB46" i="9"/>
  <c r="BK71" i="8"/>
  <c r="BG91" i="9"/>
  <c r="BB76" i="9"/>
  <c r="BB76" i="8"/>
  <c r="BB63" i="9"/>
  <c r="BJ46" i="8"/>
  <c r="BE56" i="8"/>
  <c r="BI66" i="1"/>
  <c r="BE82" i="9"/>
  <c r="BB92" i="1"/>
  <c r="AZ91" i="8"/>
  <c r="BC92" i="8"/>
  <c r="BE8" i="9"/>
  <c r="BH78" i="9"/>
  <c r="AZ14" i="1"/>
  <c r="BJ14" i="9"/>
  <c r="BD63" i="1"/>
  <c r="BG75" i="8"/>
  <c r="BK14" i="8"/>
  <c r="BI71" i="1"/>
  <c r="BF14" i="8"/>
  <c r="BH81" i="9"/>
  <c r="BB81" i="1"/>
  <c r="BJ72" i="1"/>
  <c r="BH39" i="9"/>
  <c r="BF57" i="1"/>
  <c r="BH56" i="8"/>
  <c r="BD75" i="9"/>
  <c r="BE67" i="8"/>
  <c r="AZ75" i="1"/>
  <c r="BJ91" i="8"/>
  <c r="BH8" i="8"/>
  <c r="BD44" i="8"/>
  <c r="BB72" i="1"/>
  <c r="BI64" i="8"/>
  <c r="BC82" i="9"/>
  <c r="BK73" i="8"/>
  <c r="AZ69" i="9"/>
  <c r="BD81" i="1"/>
  <c r="AZ88" i="1"/>
  <c r="BB79" i="1"/>
  <c r="BH57" i="1"/>
  <c r="BD79" i="1"/>
  <c r="BI77" i="8"/>
  <c r="BC82" i="8"/>
  <c r="BD71" i="8"/>
  <c r="BH16" i="8"/>
  <c r="BJ79" i="1"/>
  <c r="AZ10" i="8"/>
  <c r="BI77" i="1"/>
  <c r="BA77" i="8"/>
  <c r="BA81" i="1"/>
  <c r="BF82" i="1"/>
  <c r="BH87" i="8"/>
  <c r="BE81" i="1"/>
  <c r="BE74" i="8"/>
  <c r="BH92" i="9"/>
  <c r="BH74" i="1"/>
  <c r="BE75" i="1"/>
  <c r="BE44" i="8"/>
  <c r="BJ68" i="9"/>
  <c r="BA56" i="9"/>
  <c r="AZ66" i="9"/>
  <c r="BJ10" i="8"/>
  <c r="BE77" i="9"/>
  <c r="BA39" i="8"/>
  <c r="BA88" i="1"/>
  <c r="BE68" i="8"/>
  <c r="BC80" i="9"/>
  <c r="AZ67" i="8"/>
  <c r="BJ87" i="9"/>
  <c r="BE71" i="9"/>
  <c r="BA79" i="8"/>
  <c r="BF71" i="9"/>
  <c r="BA77" i="1"/>
  <c r="BG44" i="8"/>
  <c r="BG82" i="8"/>
  <c r="BI15" i="1"/>
  <c r="BI68" i="1"/>
  <c r="BA81" i="9"/>
  <c r="BI73" i="9"/>
  <c r="BB44" i="9"/>
  <c r="BC80" i="1"/>
  <c r="BA69" i="9"/>
  <c r="BC87" i="8"/>
  <c r="BH56" i="9"/>
  <c r="BC56" i="1"/>
  <c r="BG68" i="1"/>
  <c r="BA91" i="1"/>
  <c r="BB77" i="8"/>
  <c r="AZ57" i="9"/>
  <c r="BG92" i="1"/>
  <c r="AZ56" i="9"/>
  <c r="BH78" i="1"/>
  <c r="BF78" i="1"/>
  <c r="BC9" i="8"/>
  <c r="BF88" i="9"/>
  <c r="BD45" i="1"/>
  <c r="BK66" i="9"/>
  <c r="BE77" i="1"/>
  <c r="BH46" i="8"/>
  <c r="BI46" i="1"/>
  <c r="BI79" i="9"/>
  <c r="BA70" i="9"/>
  <c r="BJ82" i="8"/>
  <c r="BE10" i="9"/>
  <c r="BJ14" i="8"/>
  <c r="BE46" i="9"/>
  <c r="BH56" i="1"/>
  <c r="BE45" i="1"/>
  <c r="AZ44" i="8"/>
  <c r="BI88" i="8"/>
  <c r="BG77" i="9"/>
  <c r="BJ78" i="8"/>
  <c r="BB68" i="9"/>
  <c r="BD10" i="1"/>
  <c r="BI65" i="9"/>
  <c r="BI78" i="8"/>
  <c r="BH40" i="1"/>
  <c r="BK39" i="9"/>
  <c r="BD70" i="8"/>
  <c r="BE86" i="8"/>
  <c r="BA8" i="8"/>
  <c r="BK82" i="1"/>
  <c r="BK39" i="1"/>
  <c r="BF77" i="8"/>
  <c r="BA73" i="1"/>
  <c r="BK40" i="8"/>
  <c r="BF76" i="1"/>
  <c r="BJ73" i="9"/>
  <c r="BC39" i="8"/>
  <c r="BI70" i="9"/>
  <c r="BI38" i="1"/>
  <c r="BG80" i="9"/>
  <c r="BK95" i="1"/>
  <c r="BG87" i="1"/>
  <c r="BA86" i="1"/>
  <c r="BH74" i="8"/>
  <c r="BC14" i="1"/>
  <c r="BH77" i="1"/>
  <c r="BI39" i="8"/>
  <c r="BE69" i="8"/>
  <c r="BI45" i="8"/>
  <c r="BJ69" i="1"/>
  <c r="BH76" i="1"/>
  <c r="BA64" i="1"/>
  <c r="BJ15" i="1"/>
  <c r="BF9" i="1"/>
  <c r="BG57" i="1"/>
  <c r="BI73" i="1"/>
  <c r="BA86" i="9"/>
  <c r="BG71" i="1"/>
  <c r="BK82" i="8"/>
  <c r="BC81" i="8"/>
  <c r="BH71" i="8"/>
  <c r="AZ86" i="9"/>
  <c r="BI15" i="8"/>
  <c r="BJ82" i="1"/>
  <c r="BJ8" i="1"/>
  <c r="BB81" i="8"/>
  <c r="BB38" i="1"/>
  <c r="BJ15" i="9"/>
  <c r="BF56" i="9"/>
  <c r="BF79" i="8"/>
  <c r="BA77" i="9"/>
  <c r="BI69" i="8"/>
  <c r="BB39" i="9"/>
  <c r="BK46" i="8"/>
  <c r="BJ65" i="9"/>
  <c r="BC70" i="1"/>
  <c r="BJ10" i="1"/>
  <c r="BE69" i="9"/>
  <c r="AZ9" i="8"/>
  <c r="BA8" i="1"/>
  <c r="BE75" i="8"/>
  <c r="AZ87" i="1"/>
  <c r="BG69" i="1"/>
  <c r="BE65" i="9"/>
  <c r="BJ78" i="9"/>
  <c r="BD57" i="1"/>
  <c r="BA14" i="8"/>
  <c r="BD91" i="8"/>
  <c r="BJ73" i="1"/>
  <c r="BJ16" i="1"/>
  <c r="BC65" i="9"/>
  <c r="BI73" i="8"/>
  <c r="BF67" i="9"/>
  <c r="BK46" i="9"/>
  <c r="BG57" i="8"/>
  <c r="BD68" i="8"/>
  <c r="BD86" i="9"/>
  <c r="BG74" i="1"/>
  <c r="BF16" i="1"/>
  <c r="BB78" i="1"/>
  <c r="BJ67" i="8"/>
  <c r="BB40" i="9"/>
  <c r="BG63" i="1"/>
  <c r="BA65" i="9"/>
  <c r="AZ73" i="1"/>
  <c r="AZ95" i="1"/>
  <c r="BF76" i="9"/>
  <c r="BI77" i="9"/>
  <c r="BF66" i="1"/>
  <c r="AZ95" i="8"/>
  <c r="BC9" i="1"/>
  <c r="BB39" i="8"/>
  <c r="BC39" i="1"/>
  <c r="BE74" i="1"/>
  <c r="BF38" i="8"/>
  <c r="AZ73" i="9"/>
  <c r="BD91" i="9"/>
  <c r="BI91" i="1"/>
  <c r="BJ64" i="8"/>
  <c r="BB8" i="8"/>
  <c r="BG88" i="1"/>
  <c r="BA71" i="8"/>
  <c r="BF69" i="1"/>
  <c r="BA64" i="9"/>
  <c r="BB56" i="1"/>
  <c r="BD8" i="8"/>
  <c r="BF68" i="1"/>
  <c r="BH67" i="8"/>
  <c r="BC63" i="9"/>
  <c r="BB75" i="9"/>
  <c r="BE15" i="1"/>
  <c r="AZ39" i="9"/>
  <c r="BB95" i="1"/>
  <c r="BI40" i="9"/>
  <c r="BB67" i="1"/>
  <c r="BE64" i="1"/>
  <c r="BA87" i="9"/>
  <c r="BK15" i="8"/>
  <c r="BD15" i="9"/>
  <c r="BB45" i="8"/>
  <c r="BD56" i="9"/>
  <c r="BI45" i="1"/>
  <c r="BG65" i="9"/>
  <c r="BJ80" i="1"/>
  <c r="BC91" i="1"/>
  <c r="BC63" i="8"/>
  <c r="BC68" i="1"/>
  <c r="AZ75" i="8"/>
  <c r="AZ86" i="1"/>
  <c r="BD14" i="8"/>
  <c r="BD8" i="1"/>
  <c r="BA39" i="9"/>
  <c r="BC79" i="9"/>
  <c r="BG65" i="1"/>
  <c r="BG74" i="9"/>
  <c r="BE65" i="1"/>
  <c r="BD38" i="8"/>
  <c r="BD75" i="8"/>
  <c r="BG92" i="8"/>
  <c r="BD46" i="9"/>
  <c r="BC73" i="1"/>
  <c r="AZ70" i="8"/>
  <c r="AZ9" i="1"/>
  <c r="BB65" i="8"/>
  <c r="BI75" i="9"/>
  <c r="BF15" i="1"/>
  <c r="AZ67" i="1"/>
  <c r="BB64" i="9"/>
  <c r="BF95" i="1"/>
  <c r="BH57" i="9"/>
  <c r="BF95" i="8"/>
  <c r="BI81" i="8"/>
  <c r="BK70" i="1"/>
  <c r="BB92" i="9"/>
  <c r="BG39" i="9"/>
  <c r="BE71" i="1"/>
  <c r="BH46" i="9"/>
  <c r="BF73" i="9"/>
  <c r="BG88" i="9"/>
  <c r="BE15" i="8"/>
  <c r="BE14" i="1"/>
  <c r="BB66" i="8"/>
  <c r="BA95" i="8"/>
  <c r="BD63" i="9"/>
  <c r="BC8" i="9"/>
  <c r="BI10" i="8"/>
  <c r="BG76" i="8"/>
  <c r="BD39" i="8"/>
  <c r="BJ87" i="1"/>
  <c r="BB44" i="1"/>
  <c r="BF46" i="9"/>
  <c r="BE88" i="1"/>
  <c r="BJ38" i="9"/>
  <c r="BE92" i="1"/>
  <c r="BC16" i="9"/>
  <c r="BB65" i="9"/>
  <c r="BA66" i="1"/>
  <c r="BA16" i="8"/>
  <c r="BI67" i="8"/>
  <c r="BJ64" i="1"/>
  <c r="BK67" i="8"/>
  <c r="BC80" i="8"/>
  <c r="AZ82" i="8"/>
  <c r="BK8" i="9"/>
  <c r="BG56" i="1"/>
  <c r="BI8" i="8"/>
  <c r="BA78" i="8"/>
  <c r="BD95" i="1"/>
  <c r="BD92" i="1"/>
  <c r="BD65" i="1"/>
  <c r="BG64" i="1"/>
  <c r="BF44" i="8"/>
  <c r="BD56" i="8"/>
  <c r="AZ80" i="9"/>
  <c r="BG38" i="9"/>
  <c r="BK46" i="1"/>
  <c r="BC46" i="1"/>
  <c r="BD81" i="9"/>
  <c r="BH95" i="8"/>
  <c r="BB15" i="1"/>
  <c r="BG16" i="8"/>
  <c r="BF10" i="8"/>
  <c r="BI57" i="1"/>
  <c r="BC70" i="9"/>
  <c r="BB8" i="1"/>
  <c r="BG82" i="1"/>
  <c r="BB86" i="8"/>
  <c r="BF63" i="1"/>
  <c r="BC74" i="1"/>
  <c r="BA45" i="1"/>
  <c r="BI68" i="8"/>
  <c r="BA78" i="1"/>
  <c r="BJ44" i="9"/>
  <c r="BH46" i="1"/>
  <c r="AZ74" i="1"/>
  <c r="BC46" i="8"/>
  <c r="BK10" i="9"/>
  <c r="BK76" i="9"/>
  <c r="BD67" i="9"/>
  <c r="BC66" i="9"/>
  <c r="BB40" i="8"/>
  <c r="BE63" i="9"/>
  <c r="BA63" i="9"/>
  <c r="BA70" i="8"/>
  <c r="BK65" i="1"/>
  <c r="AZ88" i="9"/>
  <c r="BG76" i="9"/>
  <c r="BB95" i="9"/>
  <c r="BG95" i="1"/>
  <c r="BA67" i="9"/>
  <c r="BG10" i="9"/>
  <c r="BJ70" i="1"/>
  <c r="BE87" i="8"/>
  <c r="BD70" i="1"/>
  <c r="BK81" i="9"/>
  <c r="BG68" i="9"/>
  <c r="BI72" i="8"/>
  <c r="AZ82" i="9"/>
  <c r="BD69" i="9"/>
  <c r="BE88" i="9"/>
  <c r="BA79" i="1"/>
  <c r="BC74" i="8"/>
  <c r="BI82" i="1"/>
  <c r="BK77" i="9"/>
  <c r="BD81" i="8"/>
  <c r="AZ72" i="9"/>
  <c r="BI14" i="8"/>
  <c r="BK66" i="8"/>
  <c r="AZ44" i="9"/>
  <c r="BA15" i="1"/>
  <c r="BK75" i="8"/>
  <c r="BJ72" i="8"/>
  <c r="BI74" i="9"/>
  <c r="BK74" i="9"/>
  <c r="BJ44" i="8"/>
  <c r="BC91" i="8"/>
  <c r="BD86" i="1"/>
  <c r="BG79" i="1"/>
  <c r="BD57" i="9"/>
  <c r="BI64" i="9"/>
  <c r="BA10" i="8"/>
  <c r="BB10" i="9"/>
  <c r="BG73" i="8"/>
  <c r="BE44" i="1"/>
  <c r="BA44" i="1"/>
  <c r="BJ76" i="9"/>
  <c r="BA80" i="8"/>
  <c r="BB74" i="9"/>
  <c r="BJ87" i="8"/>
  <c r="BA56" i="8"/>
  <c r="BK87" i="1"/>
  <c r="BA73" i="8"/>
  <c r="BK91" i="8"/>
  <c r="BA69" i="1"/>
  <c r="BD91" i="1"/>
  <c r="BG8" i="1"/>
  <c r="BB10" i="8"/>
  <c r="BB80" i="9"/>
  <c r="BB39" i="1"/>
  <c r="AZ57" i="8"/>
  <c r="BK40" i="9"/>
  <c r="AZ68" i="8"/>
  <c r="BK88" i="8"/>
  <c r="BD16" i="8"/>
  <c r="BI40" i="8"/>
  <c r="BA68" i="1"/>
  <c r="BH71" i="1"/>
  <c r="BD66" i="8"/>
  <c r="AZ38" i="8"/>
  <c r="BG78" i="8"/>
  <c r="BE73" i="9"/>
  <c r="BE63" i="1"/>
  <c r="BC39" i="9"/>
  <c r="BD8" i="9"/>
  <c r="BI8" i="1"/>
  <c r="BB56" i="8"/>
  <c r="BI80" i="9"/>
  <c r="BK45" i="8"/>
  <c r="BG75" i="9"/>
  <c r="BB66" i="9"/>
  <c r="BF72" i="9"/>
  <c r="BH14" i="1"/>
  <c r="BI87" i="8"/>
  <c r="BB73" i="9"/>
  <c r="BC86" i="9"/>
  <c r="AZ91" i="9"/>
  <c r="BD68" i="9"/>
  <c r="BK38" i="1"/>
  <c r="BE87" i="1"/>
  <c r="BA86" i="8"/>
  <c r="BD79" i="9"/>
  <c r="BA45" i="9"/>
  <c r="BE86" i="1"/>
  <c r="BD72" i="9"/>
  <c r="BK78" i="1"/>
  <c r="BJ74" i="8"/>
  <c r="BH91" i="9"/>
  <c r="AZ16" i="8"/>
  <c r="AZ45" i="9"/>
  <c r="BA87" i="1"/>
  <c r="BK44" i="9"/>
  <c r="BF70" i="9"/>
  <c r="BH16" i="1"/>
  <c r="BF68" i="9"/>
  <c r="BH10" i="9"/>
  <c r="BA65" i="1"/>
  <c r="BJ86" i="8"/>
  <c r="BB82" i="8"/>
  <c r="BH86" i="8"/>
  <c r="BF70" i="1"/>
  <c r="BH9" i="8"/>
  <c r="BK76" i="1"/>
  <c r="BE72" i="8"/>
  <c r="AZ71" i="9"/>
  <c r="BC56" i="8"/>
  <c r="BK66" i="1"/>
  <c r="BA72" i="1"/>
  <c r="BE45" i="9"/>
  <c r="BH86" i="9"/>
  <c r="BG56" i="9"/>
  <c r="BC63" i="1"/>
  <c r="BJ56" i="1"/>
  <c r="BD80" i="9"/>
  <c r="BJ57" i="8"/>
  <c r="BF70" i="8"/>
  <c r="BH70" i="9"/>
  <c r="BF14" i="9"/>
  <c r="BI80" i="8"/>
  <c r="BC69" i="1"/>
  <c r="BI69" i="1"/>
  <c r="BC45" i="8"/>
  <c r="BF63" i="8"/>
  <c r="BF40" i="9"/>
  <c r="BK45" i="1"/>
  <c r="BI9" i="1"/>
  <c r="BH44" i="1"/>
  <c r="BC65" i="8"/>
  <c r="BK91" i="1"/>
  <c r="BH81" i="1"/>
  <c r="BB71" i="9"/>
  <c r="BE78" i="1"/>
  <c r="BF9" i="8"/>
  <c r="BC95" i="1"/>
  <c r="BK92" i="1"/>
  <c r="BA91" i="9"/>
  <c r="BB16" i="9"/>
  <c r="BI9" i="9"/>
  <c r="BH72" i="1"/>
  <c r="BG39" i="8"/>
  <c r="BD78" i="9"/>
  <c r="BE66" i="8"/>
  <c r="BE91" i="1"/>
  <c r="BH38" i="1"/>
  <c r="BD71" i="9"/>
  <c r="BG9" i="9"/>
  <c r="BA88" i="9"/>
  <c r="BE44" i="9"/>
  <c r="AZ57" i="1"/>
  <c r="BE40" i="9"/>
  <c r="BJ14" i="1"/>
  <c r="BA91" i="8"/>
  <c r="BC71" i="8"/>
  <c r="BK92" i="8"/>
  <c r="BK80" i="9"/>
  <c r="BE70" i="9"/>
  <c r="AZ44" i="1"/>
  <c r="BB9" i="1"/>
  <c r="BF9" i="9"/>
  <c r="BC64" i="9"/>
  <c r="BB63" i="1"/>
  <c r="BF65" i="1"/>
  <c r="BJ71" i="8"/>
  <c r="BJ16" i="8"/>
  <c r="BE92" i="9"/>
  <c r="AZ70" i="9"/>
  <c r="BK71" i="1"/>
  <c r="BJ63" i="9"/>
  <c r="BG8" i="9"/>
  <c r="BC72" i="8"/>
  <c r="BF79" i="1"/>
  <c r="BI74" i="1"/>
  <c r="BJ65" i="1"/>
  <c r="BB67" i="9"/>
  <c r="BH81" i="8"/>
  <c r="BE80" i="9"/>
  <c r="BE64" i="8"/>
  <c r="BD72" i="1"/>
  <c r="BJ39" i="8"/>
  <c r="BG78" i="1"/>
  <c r="BG71" i="8"/>
  <c r="BD69" i="1"/>
  <c r="BH88" i="1"/>
  <c r="BI74" i="8"/>
  <c r="BK9" i="9"/>
  <c r="AZ64" i="9"/>
  <c r="BF74" i="1"/>
  <c r="BI70" i="1"/>
  <c r="BH71" i="9"/>
  <c r="BI86" i="8"/>
  <c r="BA39" i="1"/>
  <c r="BE95" i="1"/>
  <c r="BA76" i="8"/>
  <c r="BK44" i="8"/>
  <c r="BB88" i="1"/>
  <c r="AZ56" i="8"/>
  <c r="BJ88" i="9"/>
  <c r="BA9" i="9"/>
  <c r="BG92" i="9"/>
  <c r="BG91" i="8"/>
  <c r="BH9" i="9"/>
  <c r="BA95" i="1"/>
  <c r="BG81" i="1"/>
  <c r="BB79" i="9"/>
  <c r="BI79" i="1"/>
  <c r="BI91" i="9"/>
  <c r="AZ72" i="1"/>
  <c r="BI56" i="9"/>
  <c r="BB69" i="8"/>
  <c r="BE76" i="8"/>
  <c r="BF91" i="9"/>
  <c r="BK16" i="1"/>
  <c r="BA82" i="9"/>
  <c r="BJ95" i="9"/>
  <c r="BC40" i="8"/>
  <c r="BK15" i="9"/>
  <c r="BB9" i="8"/>
  <c r="BK56" i="1"/>
  <c r="BB80" i="8"/>
  <c r="BB46" i="8"/>
  <c r="BF56" i="8"/>
  <c r="BD76" i="8"/>
  <c r="BF78" i="9"/>
  <c r="BK68" i="9"/>
  <c r="BK63" i="8"/>
  <c r="BF68" i="8"/>
  <c r="BG10" i="1"/>
  <c r="BC75" i="9"/>
  <c r="BC15" i="9"/>
  <c r="BD73" i="8"/>
  <c r="BK71" i="9"/>
  <c r="BH68" i="1"/>
  <c r="BE91" i="8"/>
  <c r="BA44" i="8"/>
  <c r="BK72" i="1"/>
  <c r="BA63" i="1"/>
  <c r="BB46" i="1"/>
  <c r="BG9" i="1"/>
  <c r="BB77" i="9"/>
  <c r="BA71" i="9"/>
  <c r="BC8" i="8"/>
  <c r="BE67" i="1"/>
  <c r="BH79" i="1"/>
  <c r="BE76" i="9"/>
  <c r="BK86" i="9"/>
  <c r="BC68" i="9"/>
  <c r="AZ10" i="9"/>
  <c r="BH10" i="8"/>
  <c r="BF86" i="8"/>
  <c r="BG91" i="1"/>
  <c r="BK39" i="8"/>
  <c r="BE57" i="1"/>
  <c r="BI92" i="8"/>
  <c r="BG14" i="9"/>
  <c r="BI76" i="1"/>
  <c r="BG79" i="9"/>
  <c r="BC92" i="9"/>
  <c r="BK63" i="1"/>
  <c r="BJ95" i="1"/>
  <c r="BI81" i="9"/>
  <c r="BJ92" i="8"/>
  <c r="AZ92" i="1"/>
  <c r="BB69" i="1"/>
  <c r="BK45" i="9"/>
  <c r="BB71" i="8"/>
  <c r="AZ15" i="8"/>
  <c r="BA40" i="8"/>
  <c r="BH95" i="9"/>
  <c r="BH14" i="8"/>
  <c r="BF72" i="8"/>
  <c r="BJ86" i="9"/>
  <c r="BJ68" i="1"/>
  <c r="BH66" i="9"/>
  <c r="BF10" i="9"/>
  <c r="BI67" i="1"/>
  <c r="BC73" i="9"/>
  <c r="BJ75" i="8"/>
  <c r="BB77" i="1"/>
  <c r="BH78" i="8"/>
  <c r="BJ88" i="1"/>
  <c r="BA75" i="1"/>
  <c r="BK16" i="8"/>
  <c r="BG16" i="9"/>
  <c r="BJ67" i="9"/>
  <c r="BC79" i="1"/>
  <c r="BB88" i="8"/>
  <c r="BH15" i="9"/>
  <c r="BI44" i="9"/>
  <c r="BH9" i="1"/>
  <c r="BB74" i="1"/>
  <c r="BH76" i="8"/>
  <c r="BE82" i="8"/>
  <c r="BK81" i="8"/>
  <c r="BC77" i="9"/>
  <c r="BH79" i="8"/>
  <c r="BH39" i="1"/>
  <c r="BB73" i="1"/>
  <c r="BJ88" i="8"/>
  <c r="BF46" i="8"/>
  <c r="BD80" i="1"/>
  <c r="BA88" i="8"/>
  <c r="BD38" i="9"/>
  <c r="BB86" i="1"/>
  <c r="BG68" i="8"/>
  <c r="BH45" i="8"/>
  <c r="BI57" i="8"/>
  <c r="BD87" i="8"/>
  <c r="BD77" i="1"/>
  <c r="BK70" i="8"/>
  <c r="BI80" i="1"/>
  <c r="BD9" i="1"/>
  <c r="BG63" i="8"/>
  <c r="BK9" i="1"/>
  <c r="BB57" i="9"/>
  <c r="BA74" i="1"/>
  <c r="BD73" i="9"/>
  <c r="BA81" i="8"/>
  <c r="BD46" i="8"/>
  <c r="BD65" i="8"/>
  <c r="BI92" i="1"/>
  <c r="BJ75" i="1"/>
  <c r="BJ73" i="8"/>
  <c r="BE8" i="8"/>
  <c r="BH14" i="9"/>
  <c r="BE15" i="9"/>
  <c r="BK88" i="1"/>
  <c r="AZ74" i="8"/>
  <c r="BI69" i="9"/>
  <c r="BC16" i="1"/>
  <c r="BD45" i="8"/>
  <c r="BH64" i="8"/>
  <c r="BC72" i="1"/>
  <c r="BK77" i="1"/>
  <c r="BJ80" i="8"/>
  <c r="AZ78" i="9"/>
  <c r="BI81" i="1"/>
  <c r="BB74" i="8"/>
  <c r="BI87" i="1"/>
  <c r="BF71" i="8"/>
  <c r="BJ46" i="1"/>
  <c r="BB40" i="1"/>
  <c r="BF45" i="1"/>
  <c r="BH76" i="9"/>
  <c r="BG67" i="8"/>
  <c r="BH88" i="8"/>
  <c r="BC95" i="8"/>
  <c r="BK87" i="8"/>
  <c r="BK10" i="1"/>
  <c r="BK64" i="1"/>
  <c r="AZ14" i="9"/>
  <c r="BD74" i="1"/>
  <c r="BK75" i="1"/>
  <c r="BH40" i="8"/>
  <c r="BI95" i="8"/>
  <c r="BB15" i="8"/>
  <c r="BK69" i="1"/>
  <c r="BH77" i="8"/>
  <c r="BI56" i="8"/>
  <c r="BK92" i="9"/>
  <c r="BG87" i="9"/>
  <c r="BG72" i="1"/>
  <c r="AZ76" i="1"/>
  <c r="BJ56" i="9"/>
  <c r="BI63" i="1"/>
  <c r="BF67" i="1"/>
  <c r="BF92" i="9"/>
  <c r="BF65" i="8"/>
  <c r="BF39" i="9"/>
  <c r="BF78" i="8"/>
  <c r="AZ92" i="9"/>
  <c r="BH67" i="9"/>
  <c r="BD66" i="1"/>
  <c r="BI38" i="8"/>
  <c r="BK78" i="9"/>
  <c r="BG95" i="8"/>
  <c r="BH69" i="1"/>
  <c r="BF38" i="1"/>
  <c r="AZ76" i="9"/>
  <c r="BF87" i="9"/>
  <c r="BI71" i="9"/>
  <c r="BC76" i="9"/>
  <c r="BE72" i="9"/>
  <c r="BH44" i="8"/>
  <c r="BB78" i="9"/>
  <c r="BG81" i="9"/>
  <c r="AZ45" i="8"/>
  <c r="AZ92" i="8"/>
  <c r="BA95" i="9"/>
  <c r="BE39" i="9"/>
  <c r="BJ45" i="8"/>
  <c r="BC69" i="9"/>
  <c r="BH80" i="8"/>
  <c r="BE69" i="1"/>
  <c r="BF75" i="1"/>
  <c r="BK56" i="9"/>
  <c r="BA38" i="9"/>
  <c r="BB75" i="1"/>
  <c r="BJ76" i="1"/>
  <c r="BG80" i="8"/>
  <c r="BC86" i="8"/>
  <c r="BD10" i="9"/>
  <c r="AZ82" i="1"/>
  <c r="BC46" i="9"/>
  <c r="BC16" i="8"/>
  <c r="BG72" i="9"/>
  <c r="BD75" i="1"/>
  <c r="AZ87" i="8"/>
  <c r="BK79" i="9"/>
  <c r="BD92" i="9"/>
  <c r="BD78" i="8"/>
  <c r="BD88" i="9"/>
  <c r="BD66" i="9"/>
  <c r="BJ80" i="9"/>
  <c r="AZ88" i="8"/>
  <c r="AZ78" i="1"/>
  <c r="BD15" i="1"/>
  <c r="BH10" i="1"/>
  <c r="BD82" i="1"/>
  <c r="BK63" i="9"/>
  <c r="BE9" i="8"/>
  <c r="BJ38" i="1"/>
  <c r="BK88" i="9"/>
  <c r="BI8" i="9"/>
  <c r="BE68" i="9"/>
  <c r="BH77" i="9"/>
  <c r="BJ40" i="8"/>
  <c r="BC38" i="8"/>
  <c r="BE72" i="1"/>
  <c r="BD64" i="1"/>
  <c r="BG45" i="9"/>
  <c r="BA45" i="8"/>
  <c r="BE10" i="1"/>
  <c r="BB64" i="8"/>
  <c r="BF77" i="1"/>
  <c r="BJ71" i="1"/>
  <c r="BH88" i="9"/>
  <c r="BA64" i="8"/>
  <c r="BG75" i="1"/>
  <c r="BF46" i="1"/>
  <c r="BI44" i="8"/>
  <c r="BG14" i="1"/>
  <c r="BK95" i="9"/>
  <c r="BF44" i="1"/>
  <c r="AZ45" i="1"/>
  <c r="BH73" i="1"/>
  <c r="BD82" i="8"/>
  <c r="AZ14" i="8"/>
  <c r="BD82" i="9"/>
  <c r="BC91" i="9"/>
  <c r="AZ8" i="1"/>
  <c r="BI16" i="1"/>
  <c r="BK79" i="8"/>
  <c r="BF8" i="1"/>
  <c r="BF71" i="1"/>
  <c r="AZ79" i="1"/>
  <c r="BI14" i="1"/>
  <c r="BG56" i="8"/>
  <c r="BJ69" i="9"/>
  <c r="BH92" i="1"/>
  <c r="BI64" i="1"/>
  <c r="AZ63" i="1"/>
  <c r="BE73" i="1"/>
  <c r="BH68" i="8"/>
  <c r="BA40" i="9"/>
  <c r="BJ91" i="1"/>
  <c r="BH15" i="8"/>
  <c r="BH75" i="9"/>
  <c r="BC15" i="8"/>
  <c r="AZ46" i="1"/>
  <c r="BG74" i="8"/>
  <c r="BH44" i="9"/>
  <c r="BH70" i="1"/>
  <c r="BE88" i="8"/>
  <c r="AZ81" i="9"/>
  <c r="BC71" i="9"/>
  <c r="BA82" i="8"/>
  <c r="BE46" i="1"/>
  <c r="AZ68" i="1"/>
  <c r="BK65" i="8"/>
  <c r="BH38" i="9"/>
  <c r="BE57" i="9"/>
  <c r="BC9" i="9"/>
  <c r="BH72" i="9"/>
  <c r="BC57" i="8"/>
  <c r="BB38" i="8"/>
  <c r="BG57" i="9"/>
  <c r="BE56" i="9"/>
  <c r="BC67" i="8"/>
  <c r="BG44" i="1"/>
  <c r="BF81" i="9"/>
  <c r="BF88" i="1"/>
  <c r="BE74" i="9"/>
  <c r="AZ64" i="1"/>
  <c r="AZ71" i="8"/>
  <c r="BK82" i="9"/>
  <c r="BD68" i="1"/>
  <c r="BI16" i="8"/>
  <c r="BH87" i="1"/>
  <c r="BI82" i="8"/>
  <c r="BG70" i="1"/>
  <c r="AZ71" i="1"/>
  <c r="BB91" i="9"/>
  <c r="BH38" i="8"/>
  <c r="BH8" i="1"/>
  <c r="BJ57" i="1"/>
  <c r="BJ79" i="9"/>
  <c r="BH45" i="9"/>
  <c r="BI10" i="9"/>
  <c r="AZ72" i="8"/>
  <c r="BC87" i="9"/>
  <c r="BH79" i="9"/>
  <c r="BC64" i="8"/>
  <c r="BK8" i="1"/>
  <c r="AZ77" i="8"/>
  <c r="BG70" i="8"/>
  <c r="BE56" i="1"/>
  <c r="BK64" i="9"/>
  <c r="BE38" i="1"/>
  <c r="BE79" i="8"/>
  <c r="BH69" i="9"/>
  <c r="BD71" i="1"/>
  <c r="BF63" i="9"/>
  <c r="BE10" i="8"/>
  <c r="AZ46" i="8"/>
  <c r="BH64" i="9"/>
  <c r="BJ63" i="1"/>
  <c r="BC86" i="1"/>
  <c r="BC79" i="8"/>
  <c r="BB65" i="1"/>
  <c r="BK67" i="9"/>
  <c r="AZ81" i="8"/>
  <c r="BB73" i="8"/>
  <c r="BF92" i="8"/>
  <c r="BD64" i="8"/>
  <c r="BH57" i="8"/>
  <c r="BJ81" i="9"/>
  <c r="BI63" i="8"/>
  <c r="BC76" i="8"/>
  <c r="BD77" i="9"/>
  <c r="BK72" i="9"/>
  <c r="AZ79" i="8"/>
  <c r="BB87" i="1"/>
  <c r="BJ16" i="9"/>
  <c r="BI78" i="1"/>
  <c r="BE92" i="8"/>
  <c r="BC10" i="9"/>
  <c r="BF80" i="8"/>
  <c r="BJ92" i="1"/>
  <c r="BC44" i="1"/>
  <c r="BK78" i="8"/>
  <c r="BB79" i="8"/>
  <c r="BI39" i="9"/>
  <c r="BE78" i="8"/>
  <c r="BJ77" i="9"/>
  <c r="BB70" i="1"/>
  <c r="AZ40" i="1"/>
  <c r="BK44" i="1"/>
  <c r="BA16" i="1"/>
  <c r="BK73" i="1"/>
  <c r="BK86" i="1"/>
  <c r="BE79" i="9"/>
  <c r="BF88" i="8"/>
  <c r="BE16" i="8"/>
  <c r="BA69" i="8"/>
  <c r="BC78" i="8"/>
  <c r="BD10" i="8"/>
  <c r="BD65" i="9"/>
  <c r="AZ63" i="8"/>
  <c r="BK40" i="1"/>
  <c r="BK95" i="8"/>
  <c r="AZ74" i="9"/>
  <c r="BC87" i="1"/>
  <c r="BH82" i="1"/>
  <c r="BB72" i="9"/>
  <c r="BG15" i="9"/>
  <c r="BB14" i="1"/>
  <c r="BC75" i="8"/>
  <c r="BB9" i="9"/>
  <c r="BC64" i="1"/>
  <c r="BC10" i="8"/>
  <c r="BJ46" i="9"/>
  <c r="AZ65" i="9"/>
  <c r="AZ66" i="8"/>
  <c r="AZ16" i="9"/>
  <c r="BC70" i="8"/>
  <c r="BA57" i="1"/>
  <c r="BK79" i="1"/>
  <c r="BI46" i="9"/>
  <c r="AZ79" i="9"/>
  <c r="BF39" i="8"/>
  <c r="BA56" i="1"/>
  <c r="BK72" i="8"/>
  <c r="BH80" i="9"/>
  <c r="BD16" i="9"/>
  <c r="BE65" i="8"/>
  <c r="BC77" i="8"/>
  <c r="BI75" i="8"/>
  <c r="BB14" i="8"/>
  <c r="BH68" i="9"/>
  <c r="BG66" i="1"/>
  <c r="BI57" i="9"/>
  <c r="BI72" i="1"/>
  <c r="BJ65" i="8"/>
  <c r="BC88" i="8"/>
  <c r="BC78" i="9"/>
  <c r="BH91" i="8"/>
  <c r="BE82" i="1"/>
  <c r="BF10" i="1"/>
  <c r="BK14" i="1"/>
  <c r="BD67" i="8"/>
  <c r="BC81" i="9"/>
  <c r="BG63" i="9"/>
  <c r="BD70" i="9"/>
  <c r="BE75" i="9"/>
  <c r="BB71" i="1"/>
  <c r="BK73" i="9"/>
  <c r="BC76" i="1"/>
  <c r="BI68" i="9"/>
  <c r="BA9" i="8"/>
  <c r="BG40" i="8"/>
  <c r="BA67" i="8"/>
  <c r="BI75" i="1"/>
  <c r="BA16" i="9"/>
  <c r="BH63" i="1"/>
  <c r="AZ38" i="9"/>
  <c r="BA71" i="1"/>
  <c r="BJ45" i="1"/>
  <c r="BH73" i="8"/>
  <c r="BK87" i="9"/>
  <c r="BJ66" i="8"/>
  <c r="BF45" i="8"/>
  <c r="BE40" i="1"/>
  <c r="AZ80" i="1"/>
  <c r="BA92" i="1"/>
  <c r="AZ40" i="9"/>
  <c r="BD76" i="1"/>
  <c r="BA46" i="9"/>
  <c r="BD39" i="1"/>
  <c r="BA87" i="8"/>
  <c r="BK64" i="8"/>
  <c r="BD74" i="8"/>
  <c r="BI76" i="9"/>
  <c r="BJ66" i="1"/>
  <c r="BA44" i="9"/>
  <c r="BE8" i="1"/>
  <c r="AZ66" i="1"/>
  <c r="BB70" i="8"/>
  <c r="BD40" i="9"/>
  <c r="AZ8" i="8"/>
  <c r="BF39" i="1"/>
  <c r="BG79" i="8"/>
  <c r="BB38" i="9"/>
  <c r="BJ9" i="1"/>
  <c r="BI88" i="9"/>
  <c r="BC66" i="1"/>
  <c r="BA76" i="1"/>
  <c r="BI10" i="1"/>
  <c r="BK67" i="1"/>
  <c r="AZ81" i="1"/>
  <c r="BA15" i="8"/>
  <c r="AZ16" i="1"/>
  <c r="BB63" i="8"/>
  <c r="BB16" i="8"/>
  <c r="AZ39" i="1"/>
  <c r="BF81" i="1"/>
  <c r="BB8" i="9"/>
  <c r="BJ15" i="8"/>
  <c r="BD40" i="1"/>
  <c r="BG40" i="9"/>
  <c r="BG38" i="1"/>
  <c r="BK10" i="8"/>
  <c r="BC14" i="8"/>
  <c r="BI95" i="9"/>
  <c r="BG95" i="9"/>
  <c r="BB87" i="8"/>
  <c r="BE16" i="1"/>
  <c r="BH82" i="9"/>
  <c r="BC44" i="8"/>
  <c r="BE77" i="8"/>
  <c r="BG73" i="9"/>
  <c r="BJ38" i="8"/>
  <c r="BE71" i="8"/>
  <c r="BF14" i="1"/>
  <c r="BH92" i="8"/>
  <c r="BA9" i="1"/>
  <c r="BF76" i="8"/>
  <c r="BB78" i="8"/>
  <c r="AZ9" i="9"/>
  <c r="AZ69" i="8"/>
  <c r="BD88" i="8"/>
  <c r="AZ15" i="9"/>
  <c r="BH67" i="1"/>
  <c r="BE86" i="9"/>
  <c r="BK70" i="9"/>
  <c r="BG77" i="8"/>
  <c r="BB44" i="8"/>
  <c r="BK76" i="8"/>
  <c r="BE95" i="8"/>
  <c r="BF40" i="1"/>
  <c r="BF86" i="1"/>
  <c r="BD40" i="8"/>
  <c r="BA10" i="1"/>
  <c r="BC67" i="1"/>
  <c r="BI88" i="1"/>
  <c r="BF15" i="8"/>
  <c r="BJ77" i="8"/>
  <c r="BG44" i="9"/>
  <c r="BD67" i="1"/>
  <c r="BG86" i="1"/>
  <c r="BH8" i="9"/>
  <c r="BD45" i="9"/>
  <c r="BH86" i="1"/>
  <c r="BK57" i="9"/>
  <c r="BG10" i="8"/>
  <c r="BE91" i="9"/>
  <c r="BE80" i="1"/>
  <c r="BF86" i="9"/>
  <c r="BA82" i="1"/>
  <c r="AZ87" i="9"/>
  <c r="BF69" i="9"/>
  <c r="BJ71" i="9"/>
  <c r="BG45" i="1"/>
  <c r="BD69" i="8"/>
  <c r="BB91" i="1"/>
  <c r="AZ15" i="1"/>
  <c r="BF8" i="8"/>
  <c r="BH95" i="1"/>
  <c r="BE66" i="1"/>
  <c r="BH40" i="9"/>
  <c r="BK74" i="1"/>
  <c r="BF8" i="9"/>
  <c r="BB45" i="1"/>
  <c r="BA72" i="8"/>
  <c r="BG67" i="9"/>
  <c r="BJ79" i="8"/>
  <c r="BK75" i="9"/>
  <c r="BE68" i="1"/>
  <c r="BG87" i="8"/>
  <c r="BE66" i="9"/>
  <c r="BE39" i="1"/>
  <c r="BC45" i="9"/>
  <c r="BB82" i="9"/>
  <c r="BF40" i="8"/>
  <c r="BA70" i="1"/>
  <c r="BD74" i="9"/>
  <c r="BC72" i="9"/>
  <c r="BF87" i="1"/>
  <c r="BF81" i="8"/>
  <c r="BA92" i="8"/>
  <c r="BF73" i="1"/>
  <c r="BJ72" i="9"/>
  <c r="AZ63" i="9"/>
  <c r="BA63" i="8"/>
  <c r="BB92" i="8"/>
  <c r="AZ76" i="8"/>
  <c r="BJ45" i="9"/>
  <c r="BK68" i="8"/>
  <c r="AZ69" i="1"/>
  <c r="BB88" i="9"/>
  <c r="BH72" i="8"/>
  <c r="BH80" i="1"/>
  <c r="BB75" i="8"/>
  <c r="BA65" i="8"/>
  <c r="AZ86" i="8"/>
  <c r="BJ76" i="8"/>
  <c r="BD72" i="8"/>
  <c r="BC78" i="1"/>
  <c r="BG66" i="9"/>
  <c r="BE73" i="8"/>
  <c r="BC65" i="1"/>
  <c r="BC82" i="1"/>
  <c r="BG14" i="8"/>
  <c r="BJ70" i="9"/>
  <c r="BJ8" i="8"/>
  <c r="BA74" i="8"/>
  <c r="BH74" i="9"/>
  <c r="BB66" i="1"/>
  <c r="BB86" i="9"/>
  <c r="BG88" i="8"/>
  <c r="BG38" i="8"/>
  <c r="BG9" i="8"/>
  <c r="BE16" i="9"/>
  <c r="BG73" i="1"/>
  <c r="BE70" i="1"/>
  <c r="BB57" i="8"/>
  <c r="BH91" i="1"/>
  <c r="BF66" i="8"/>
  <c r="AZ65" i="8"/>
  <c r="BH45" i="1"/>
  <c r="BF75" i="9"/>
  <c r="BK80" i="1"/>
  <c r="AZ78" i="8"/>
  <c r="BI86" i="1"/>
  <c r="AZ65" i="1"/>
  <c r="BG81" i="8"/>
  <c r="BC68" i="8"/>
  <c r="BB95" i="8"/>
  <c r="BA68" i="9"/>
  <c r="BD76" i="9"/>
  <c r="BI38" i="9"/>
  <c r="BC38" i="9"/>
  <c r="AZ68" i="9"/>
  <c r="AZ73" i="8"/>
  <c r="BE81" i="9"/>
  <c r="BJ9" i="9"/>
  <c r="BJ56" i="8"/>
  <c r="BB82" i="1"/>
  <c r="BG77" i="1"/>
  <c r="BE64" i="9"/>
  <c r="BE45" i="8"/>
  <c r="BB57" i="1"/>
  <c r="AZ39" i="8"/>
  <c r="BJ10" i="9"/>
  <c r="BG65" i="8"/>
  <c r="BC38" i="1"/>
  <c r="BF79" i="9"/>
  <c r="BA38" i="8"/>
  <c r="AZ95" i="9"/>
  <c r="BH75" i="1"/>
  <c r="BK65" i="9"/>
  <c r="AZ77" i="1"/>
  <c r="BE81" i="8"/>
  <c r="BB80" i="1"/>
  <c r="BK16" i="9"/>
  <c r="BH39" i="8"/>
  <c r="AZ38" i="1"/>
  <c r="BJ39" i="9"/>
  <c r="AZ91" i="1"/>
  <c r="BF16" i="9"/>
  <c r="BK81" i="1"/>
  <c r="BF82" i="8"/>
  <c r="BF38" i="9"/>
  <c r="AZ56" i="1"/>
  <c r="BA68" i="8"/>
  <c r="BB91" i="8"/>
  <c r="BB68" i="8"/>
  <c r="BA66" i="8"/>
  <c r="BJ91" i="9"/>
  <c r="BF92" i="1"/>
  <c r="BA79" i="9"/>
  <c r="AZ67" i="9"/>
  <c r="BD86" i="8"/>
  <c r="BF64" i="8"/>
  <c r="BG64" i="8"/>
  <c r="BH82" i="8"/>
  <c r="BJ77" i="1"/>
  <c r="BE14" i="9"/>
  <c r="BG45" i="8"/>
  <c r="BB76" i="1"/>
  <c r="BE9" i="1"/>
  <c r="BG46" i="1"/>
  <c r="BA78" i="9"/>
  <c r="BC57" i="9"/>
  <c r="BF65" i="9"/>
  <c r="BE57" i="8"/>
  <c r="BE38" i="9"/>
  <c r="BC57" i="1"/>
  <c r="BD64" i="9"/>
  <c r="BK57" i="8"/>
  <c r="BJ9" i="8"/>
  <c r="BG86" i="8"/>
  <c r="BK38" i="9"/>
  <c r="BA66" i="9"/>
  <c r="BF77" i="9"/>
  <c r="BA92" i="9"/>
  <c r="BD80" i="8"/>
  <c r="BI46" i="8"/>
  <c r="BC66" i="8"/>
  <c r="AZ8" i="9"/>
  <c r="BI70" i="8"/>
  <c r="BE63" i="8"/>
  <c r="BF91" i="8"/>
  <c r="BG46" i="8"/>
  <c r="AZ75" i="9"/>
  <c r="BA38" i="1"/>
  <c r="BB72" i="8"/>
  <c r="BA10" i="9"/>
  <c r="BC67" i="9"/>
  <c r="BJ39" i="1"/>
  <c r="BF82" i="9"/>
  <c r="BA72" i="9"/>
  <c r="BD88" i="1"/>
  <c r="BA80" i="1"/>
  <c r="BI66" i="9"/>
  <c r="BK38" i="8"/>
  <c r="BF15" i="9"/>
  <c r="BE78" i="9"/>
  <c r="BG69" i="9"/>
  <c r="AZ46" i="9"/>
  <c r="BI39" i="1"/>
  <c r="BC74" i="9"/>
  <c r="BB69" i="9"/>
  <c r="BC40" i="9"/>
  <c r="BF75" i="8"/>
  <c r="BC44" i="9"/>
  <c r="BG78" i="9"/>
  <c r="BI79" i="8"/>
  <c r="BE80" i="8"/>
  <c r="BB70" i="9"/>
  <c r="BJ78" i="1"/>
  <c r="BG80" i="1"/>
  <c r="BH75" i="8"/>
  <c r="BJ86" i="1"/>
  <c r="BE46" i="8"/>
  <c r="BH73" i="9"/>
  <c r="BA74" i="9"/>
  <c r="BF66" i="9"/>
  <c r="BH65" i="1"/>
  <c r="BH66" i="8"/>
  <c r="BG15" i="1"/>
  <c r="BB16" i="1"/>
  <c r="BD95" i="9"/>
  <c r="BF44" i="9"/>
  <c r="BI40" i="1"/>
  <c r="BA40" i="1"/>
  <c r="BC15" i="1"/>
  <c r="BD87" i="1"/>
  <c r="BJ81" i="1"/>
  <c r="BC8" i="1"/>
  <c r="BF80" i="1"/>
  <c r="BD77" i="8"/>
  <c r="BI56" i="1"/>
  <c r="BF16" i="8"/>
  <c r="BJ40" i="1"/>
  <c r="BK15" i="1"/>
  <c r="BA75" i="9"/>
  <c r="BD56" i="1"/>
  <c r="BE76" i="1"/>
  <c r="BE95" i="9"/>
  <c r="BJ66" i="9"/>
  <c r="BH64" i="1"/>
  <c r="BF64" i="1"/>
  <c r="BF74" i="9"/>
  <c r="BI45" i="9"/>
  <c r="AZ40" i="8"/>
  <c r="BC40" i="1"/>
  <c r="BD87" i="9"/>
  <c r="BJ63" i="8"/>
  <c r="BD39" i="9"/>
  <c r="BF57" i="8"/>
  <c r="BA75" i="8"/>
  <c r="BA8" i="9"/>
  <c r="BG8" i="8"/>
  <c r="BG46" i="9"/>
  <c r="AZ80" i="8"/>
  <c r="BI87" i="9"/>
  <c r="BF87" i="8"/>
  <c r="BC88" i="1"/>
  <c r="BJ92" i="9"/>
  <c r="BJ40" i="9"/>
  <c r="BD57" i="8"/>
  <c r="BH65" i="8"/>
  <c r="BE67" i="9"/>
  <c r="BG70" i="9"/>
  <c r="BJ44" i="1"/>
  <c r="BI91" i="8"/>
  <c r="BD9" i="8"/>
  <c r="BF67" i="8"/>
  <c r="BI78" i="9"/>
  <c r="AZ10" i="1"/>
  <c r="BE39" i="8"/>
  <c r="BA14" i="9"/>
  <c r="BC56" i="9"/>
  <c r="BI14" i="9"/>
  <c r="BD15" i="8"/>
  <c r="AZ77" i="9"/>
  <c r="BB10" i="1"/>
  <c r="BI9" i="8"/>
  <c r="BG71" i="9"/>
  <c r="BI72" i="9"/>
  <c r="BI44" i="1"/>
  <c r="BC92" i="1"/>
  <c r="BB67" i="8"/>
  <c r="BC88" i="9"/>
  <c r="BF56" i="1"/>
  <c r="BK8" i="8"/>
  <c r="BA14" i="1"/>
  <c r="AZ64" i="8"/>
  <c r="BF73" i="8"/>
  <c r="BF57" i="9"/>
  <c r="BK68" i="1"/>
  <c r="BF80" i="9"/>
  <c r="BJ57" i="9"/>
  <c r="BE87" i="9"/>
  <c r="BG16" i="1"/>
  <c r="BC75" i="1"/>
  <c r="BG72" i="8"/>
  <c r="BH63" i="8"/>
  <c r="BD73" i="1"/>
  <c r="BF95" i="9"/>
  <c r="BE14" i="8"/>
  <c r="BG64" i="9"/>
  <c r="BG40" i="1"/>
  <c r="BJ81" i="8"/>
  <c r="BD44" i="9"/>
  <c r="BH66" i="1"/>
  <c r="BG15" i="8"/>
  <c r="BB14" i="9"/>
  <c r="BK56" i="8"/>
  <c r="BB56" i="9"/>
  <c r="BA67" i="1"/>
  <c r="BG69" i="8"/>
  <c r="BD63" i="8"/>
  <c r="BF64" i="9"/>
  <c r="BF91" i="1"/>
  <c r="BH70" i="8"/>
  <c r="BC95" i="9"/>
  <c r="BJ74" i="1"/>
  <c r="BD95" i="8"/>
  <c r="BG39" i="1"/>
  <c r="BH15" i="1"/>
  <c r="BG82" i="9"/>
  <c r="BA57" i="9"/>
  <c r="BF74" i="8"/>
  <c r="BA73" i="9"/>
  <c r="BI67" i="9"/>
  <c r="BJ64" i="9"/>
  <c r="BJ75" i="9"/>
  <c r="BE9" i="9"/>
  <c r="BD38" i="1"/>
  <c r="BC77" i="1"/>
  <c r="BH65" i="9"/>
  <c r="BA57" i="8"/>
  <c r="BI86" i="9"/>
  <c r="BD46" i="1"/>
  <c r="BG76" i="1"/>
  <c r="BJ68" i="8"/>
  <c r="AZ70" i="1"/>
  <c r="BJ69" i="8"/>
  <c r="BE79" i="1"/>
  <c r="BF45" i="9"/>
  <c r="BK80" i="8"/>
  <c r="BI15" i="9"/>
  <c r="BD16" i="1"/>
  <c r="BI65" i="1"/>
  <c r="BD92" i="8"/>
  <c r="BA80" i="9"/>
  <c r="BK57" i="1"/>
  <c r="BI83" i="8" l="1"/>
  <c r="BD28" i="8"/>
  <c r="BG89" i="8"/>
  <c r="BK57" i="14"/>
  <c r="BK57" i="10"/>
  <c r="BE83" i="8"/>
  <c r="BE70" i="14"/>
  <c r="BE70" i="10"/>
  <c r="BK77" i="10"/>
  <c r="BK77" i="14"/>
  <c r="BF96" i="9"/>
  <c r="BC72" i="10"/>
  <c r="BC72" i="14"/>
  <c r="BJ83" i="8"/>
  <c r="BJ78" i="14"/>
  <c r="BJ78" i="10"/>
  <c r="BC66" i="10"/>
  <c r="BC66" i="14"/>
  <c r="BJ9" i="10"/>
  <c r="BJ9" i="14"/>
  <c r="BB65" i="14"/>
  <c r="BP65" i="14" s="1"/>
  <c r="BB65" i="10"/>
  <c r="BA74" i="10"/>
  <c r="BA74" i="14"/>
  <c r="BP74" i="14" s="1"/>
  <c r="BB58" i="9"/>
  <c r="BG73" i="10"/>
  <c r="BG73" i="14"/>
  <c r="BD27" i="8"/>
  <c r="BD73" i="10"/>
  <c r="BD73" i="14"/>
  <c r="BB20" i="9"/>
  <c r="BB41" i="9"/>
  <c r="BB53" i="9" s="1"/>
  <c r="BB60" i="9" s="1"/>
  <c r="BB98" i="9" s="1"/>
  <c r="BB50" i="9"/>
  <c r="BC89" i="1"/>
  <c r="BC86" i="10"/>
  <c r="BC86" i="14"/>
  <c r="BC16" i="10"/>
  <c r="BC16" i="14"/>
  <c r="BK9" i="14"/>
  <c r="BK9" i="10"/>
  <c r="BJ63" i="14"/>
  <c r="BJ83" i="1"/>
  <c r="BJ63" i="10"/>
  <c r="BG83" i="8"/>
  <c r="BE21" i="8"/>
  <c r="BE51" i="8"/>
  <c r="BG76" i="14"/>
  <c r="BG76" i="10"/>
  <c r="BG83" i="10" s="1"/>
  <c r="BH83" i="8"/>
  <c r="BG50" i="8"/>
  <c r="BG20" i="8"/>
  <c r="BG41" i="8"/>
  <c r="BD9" i="10"/>
  <c r="BD9" i="14"/>
  <c r="BP9" i="14" s="1"/>
  <c r="BP11" i="14" s="1"/>
  <c r="BP9" i="1"/>
  <c r="BC22" i="1"/>
  <c r="BC40" i="10"/>
  <c r="BC52" i="1"/>
  <c r="BC40" i="14"/>
  <c r="AZ28" i="8"/>
  <c r="BK88" i="14"/>
  <c r="BK88" i="10"/>
  <c r="BI80" i="14"/>
  <c r="BI80" i="10"/>
  <c r="BA50" i="1"/>
  <c r="BA38" i="10"/>
  <c r="BA41" i="1"/>
  <c r="BA20" i="1"/>
  <c r="BA38" i="14"/>
  <c r="BA50" i="14" s="1"/>
  <c r="BB89" i="9"/>
  <c r="BF21" i="1"/>
  <c r="BF33" i="1" s="1"/>
  <c r="BF39" i="14"/>
  <c r="BF39" i="10"/>
  <c r="BF51" i="1"/>
  <c r="BE17" i="8"/>
  <c r="BB66" i="14"/>
  <c r="BB66" i="10"/>
  <c r="AZ11" i="8"/>
  <c r="BF83" i="9"/>
  <c r="BH17" i="9"/>
  <c r="BD77" i="14"/>
  <c r="BD77" i="10"/>
  <c r="AZ22" i="8"/>
  <c r="AZ52" i="8"/>
  <c r="BC57" i="10"/>
  <c r="BC57" i="14"/>
  <c r="BD22" i="9"/>
  <c r="BD52" i="9"/>
  <c r="BD71" i="10"/>
  <c r="BD71" i="14"/>
  <c r="BE11" i="8"/>
  <c r="BC88" i="10"/>
  <c r="BC88" i="14"/>
  <c r="BC89" i="14" s="1"/>
  <c r="BD46" i="10"/>
  <c r="BD28" i="10" s="1"/>
  <c r="BD28" i="1"/>
  <c r="BD46" i="14"/>
  <c r="BD47" i="14" s="1"/>
  <c r="BD29" i="14" s="1"/>
  <c r="BC75" i="10"/>
  <c r="BC75" i="14"/>
  <c r="BI28" i="8"/>
  <c r="BI27" i="9"/>
  <c r="BJ11" i="8"/>
  <c r="AZ66" i="14"/>
  <c r="AZ66" i="10"/>
  <c r="BP66" i="10" s="1"/>
  <c r="BJ75" i="14"/>
  <c r="BJ75" i="10"/>
  <c r="BH27" i="8"/>
  <c r="BE50" i="9"/>
  <c r="BE41" i="9"/>
  <c r="BE20" i="9"/>
  <c r="BE32" i="9" s="1"/>
  <c r="BI81" i="14"/>
  <c r="BI81" i="10"/>
  <c r="BE11" i="1"/>
  <c r="BE8" i="10"/>
  <c r="BE8" i="14"/>
  <c r="BE41" i="1"/>
  <c r="BE20" i="1"/>
  <c r="BE38" i="10"/>
  <c r="BE41" i="10" s="1"/>
  <c r="BE38" i="14"/>
  <c r="BE50" i="1"/>
  <c r="BI92" i="14"/>
  <c r="BI92" i="10"/>
  <c r="BF26" i="9"/>
  <c r="BF47" i="9"/>
  <c r="BB93" i="8"/>
  <c r="BG17" i="8"/>
  <c r="BG23" i="8" s="1"/>
  <c r="BA26" i="9"/>
  <c r="BA47" i="9"/>
  <c r="BB86" i="10"/>
  <c r="BB89" i="10" s="1"/>
  <c r="BB86" i="14"/>
  <c r="BB89" i="1"/>
  <c r="BI89" i="9"/>
  <c r="BG16" i="14"/>
  <c r="BG16" i="10"/>
  <c r="BC82" i="10"/>
  <c r="BC82" i="14"/>
  <c r="BP82" i="14" s="1"/>
  <c r="BJ66" i="14"/>
  <c r="BJ66" i="10"/>
  <c r="BE58" i="1"/>
  <c r="BE56" i="14"/>
  <c r="BE56" i="10"/>
  <c r="BJ52" i="8"/>
  <c r="BJ22" i="8"/>
  <c r="BD20" i="9"/>
  <c r="BD41" i="9"/>
  <c r="BD23" i="9" s="1"/>
  <c r="BD50" i="9"/>
  <c r="BC65" i="14"/>
  <c r="BC65" i="10"/>
  <c r="BC26" i="9"/>
  <c r="BC47" i="9"/>
  <c r="BD80" i="14"/>
  <c r="BD80" i="10"/>
  <c r="BK8" i="14"/>
  <c r="BK11" i="14" s="1"/>
  <c r="BK11" i="1"/>
  <c r="BK8" i="10"/>
  <c r="BI11" i="9"/>
  <c r="BF28" i="8"/>
  <c r="AZ58" i="1"/>
  <c r="AZ56" i="14"/>
  <c r="AZ56" i="10"/>
  <c r="BP56" i="10" s="1"/>
  <c r="BC78" i="14"/>
  <c r="BC78" i="10"/>
  <c r="BP9" i="8"/>
  <c r="BF64" i="14"/>
  <c r="BF64" i="10"/>
  <c r="BC47" i="8"/>
  <c r="BC26" i="8"/>
  <c r="BD39" i="14"/>
  <c r="BD51" i="14" s="1"/>
  <c r="BD51" i="1"/>
  <c r="BD21" i="1"/>
  <c r="BD39" i="10"/>
  <c r="BJ20" i="1"/>
  <c r="BJ38" i="14"/>
  <c r="BJ50" i="1"/>
  <c r="BJ38" i="10"/>
  <c r="BJ41" i="10" s="1"/>
  <c r="BJ23" i="10" s="1"/>
  <c r="BJ41" i="1"/>
  <c r="BJ53" i="1" s="1"/>
  <c r="BJ60" i="1" s="1"/>
  <c r="BJ98" i="1" s="1"/>
  <c r="BB73" i="10"/>
  <c r="BB73" i="14"/>
  <c r="BF50" i="9"/>
  <c r="BF41" i="9"/>
  <c r="BF20" i="9"/>
  <c r="BF32" i="9" s="1"/>
  <c r="BA28" i="9"/>
  <c r="BH21" i="1"/>
  <c r="BH51" i="1"/>
  <c r="BH39" i="14"/>
  <c r="BH51" i="14" s="1"/>
  <c r="BH39" i="10"/>
  <c r="BK58" i="8"/>
  <c r="AZ89" i="8"/>
  <c r="BD76" i="10"/>
  <c r="BD76" i="14"/>
  <c r="BK83" i="9"/>
  <c r="AZ22" i="9"/>
  <c r="AZ52" i="9"/>
  <c r="BD82" i="10"/>
  <c r="BD82" i="14"/>
  <c r="BG28" i="9"/>
  <c r="BH64" i="10"/>
  <c r="BH64" i="14"/>
  <c r="BE16" i="14"/>
  <c r="BE17" i="14" s="1"/>
  <c r="BE16" i="10"/>
  <c r="BA92" i="10"/>
  <c r="BP92" i="10" s="1"/>
  <c r="BA92" i="14"/>
  <c r="BH27" i="9"/>
  <c r="BH10" i="10"/>
  <c r="BH10" i="14"/>
  <c r="BC52" i="9"/>
  <c r="BC22" i="9"/>
  <c r="BK81" i="14"/>
  <c r="BK81" i="10"/>
  <c r="BH80" i="14"/>
  <c r="BH80" i="10"/>
  <c r="AZ80" i="14"/>
  <c r="AZ80" i="10"/>
  <c r="BD15" i="10"/>
  <c r="BD21" i="10" s="1"/>
  <c r="BD15" i="14"/>
  <c r="BD83" i="8"/>
  <c r="AZ10" i="10"/>
  <c r="AZ11" i="10" s="1"/>
  <c r="AZ102" i="10" s="1"/>
  <c r="AZ10" i="14"/>
  <c r="BE40" i="14"/>
  <c r="BE40" i="10"/>
  <c r="BE22" i="1"/>
  <c r="BE52" i="1"/>
  <c r="BJ57" i="14"/>
  <c r="BJ57" i="10"/>
  <c r="BJ58" i="10" s="1"/>
  <c r="AZ78" i="14"/>
  <c r="BP78" i="14" s="1"/>
  <c r="AZ78" i="10"/>
  <c r="BC77" i="10"/>
  <c r="BC77" i="14"/>
  <c r="BF27" i="8"/>
  <c r="BH11" i="1"/>
  <c r="BI102" i="1" s="1"/>
  <c r="BH8" i="14"/>
  <c r="BH8" i="10"/>
  <c r="BB74" i="14"/>
  <c r="BB74" i="10"/>
  <c r="AZ69" i="10"/>
  <c r="AZ69" i="14"/>
  <c r="BH41" i="8"/>
  <c r="BH50" i="8"/>
  <c r="BH20" i="8"/>
  <c r="BH9" i="10"/>
  <c r="BH9" i="14"/>
  <c r="BG96" i="9"/>
  <c r="BB93" i="9"/>
  <c r="BI26" i="9"/>
  <c r="BI47" i="9"/>
  <c r="BI17" i="9"/>
  <c r="BI29" i="9" s="1"/>
  <c r="BH65" i="14"/>
  <c r="BH65" i="10"/>
  <c r="AZ93" i="1"/>
  <c r="AZ91" i="14"/>
  <c r="AZ91" i="10"/>
  <c r="BJ27" i="9"/>
  <c r="AZ71" i="10"/>
  <c r="AZ71" i="14"/>
  <c r="BD20" i="1"/>
  <c r="BD41" i="1"/>
  <c r="BD53" i="1" s="1"/>
  <c r="BD60" i="1" s="1"/>
  <c r="BD98" i="1" s="1"/>
  <c r="BD38" i="14"/>
  <c r="BD41" i="14" s="1"/>
  <c r="BD23" i="14" s="1"/>
  <c r="BD50" i="1"/>
  <c r="BD38" i="10"/>
  <c r="BK68" i="10"/>
  <c r="BK68" i="14"/>
  <c r="BI21" i="9"/>
  <c r="BI33" i="9" s="1"/>
  <c r="BI51" i="9"/>
  <c r="BJ45" i="14"/>
  <c r="BJ27" i="14" s="1"/>
  <c r="BJ45" i="10"/>
  <c r="BJ27" i="1"/>
  <c r="BG70" i="14"/>
  <c r="BG70" i="10"/>
  <c r="BE28" i="8"/>
  <c r="BE96" i="9"/>
  <c r="BA71" i="14"/>
  <c r="BA71" i="10"/>
  <c r="BA83" i="10" s="1"/>
  <c r="BC79" i="10"/>
  <c r="BP79" i="10" s="1"/>
  <c r="BC79" i="14"/>
  <c r="BG46" i="10"/>
  <c r="BG46" i="14"/>
  <c r="BG28" i="1"/>
  <c r="BJ51" i="9"/>
  <c r="BJ21" i="9"/>
  <c r="BJ33" i="9" s="1"/>
  <c r="BA83" i="8"/>
  <c r="AZ50" i="9"/>
  <c r="AZ41" i="9"/>
  <c r="AZ20" i="9"/>
  <c r="BH87" i="14"/>
  <c r="BH87" i="10"/>
  <c r="BI96" i="9"/>
  <c r="AZ83" i="9"/>
  <c r="BH83" i="1"/>
  <c r="BH63" i="14"/>
  <c r="BH83" i="14" s="1"/>
  <c r="BH63" i="10"/>
  <c r="BD68" i="10"/>
  <c r="BD68" i="14"/>
  <c r="BD75" i="10"/>
  <c r="BD75" i="14"/>
  <c r="BI93" i="8"/>
  <c r="BE76" i="10"/>
  <c r="BE76" i="14"/>
  <c r="BC17" i="8"/>
  <c r="BF73" i="10"/>
  <c r="BF73" i="14"/>
  <c r="BI75" i="10"/>
  <c r="BI75" i="14"/>
  <c r="BA75" i="10"/>
  <c r="BA75" i="14"/>
  <c r="BI39" i="14"/>
  <c r="BI39" i="10"/>
  <c r="BI21" i="1"/>
  <c r="BI51" i="1"/>
  <c r="BE9" i="10"/>
  <c r="BE9" i="14"/>
  <c r="AZ38" i="10"/>
  <c r="AZ20" i="10" s="1"/>
  <c r="AZ50" i="1"/>
  <c r="AZ38" i="14"/>
  <c r="AZ41" i="14" s="1"/>
  <c r="AZ41" i="1"/>
  <c r="AZ20" i="1"/>
  <c r="BJ88" i="10"/>
  <c r="BJ88" i="14"/>
  <c r="BD96" i="9"/>
  <c r="AZ11" i="9"/>
  <c r="AZ102" i="9" s="1"/>
  <c r="BC26" i="1"/>
  <c r="BC44" i="14"/>
  <c r="BP44" i="14" s="1"/>
  <c r="BC47" i="1"/>
  <c r="BC44" i="10"/>
  <c r="BG22" i="8"/>
  <c r="BG52" i="8"/>
  <c r="AZ64" i="10"/>
  <c r="AZ64" i="14"/>
  <c r="BC28" i="9"/>
  <c r="BF87" i="10"/>
  <c r="BF87" i="14"/>
  <c r="AZ82" i="10"/>
  <c r="AZ82" i="14"/>
  <c r="BB77" i="10"/>
  <c r="BB77" i="14"/>
  <c r="BG11" i="8"/>
  <c r="BH102" i="8" s="1"/>
  <c r="BD58" i="1"/>
  <c r="BD56" i="10"/>
  <c r="BD58" i="10" s="1"/>
  <c r="BD56" i="14"/>
  <c r="BH21" i="8"/>
  <c r="BH51" i="8"/>
  <c r="BF88" i="10"/>
  <c r="BF88" i="14"/>
  <c r="BP10" i="9"/>
  <c r="AZ28" i="9"/>
  <c r="BB76" i="14"/>
  <c r="BP76" i="14" s="1"/>
  <c r="BB76" i="10"/>
  <c r="BJ92" i="10"/>
  <c r="BJ92" i="14"/>
  <c r="BC76" i="10"/>
  <c r="BC76" i="14"/>
  <c r="BC89" i="8"/>
  <c r="BB17" i="9"/>
  <c r="BG50" i="1"/>
  <c r="BG38" i="10"/>
  <c r="BG41" i="1"/>
  <c r="BG38" i="14"/>
  <c r="BG20" i="1"/>
  <c r="BA70" i="10"/>
  <c r="BA70" i="14"/>
  <c r="BP70" i="14" s="1"/>
  <c r="BG44" i="10"/>
  <c r="BG26" i="10" s="1"/>
  <c r="BG47" i="1"/>
  <c r="BG29" i="1" s="1"/>
  <c r="BG44" i="14"/>
  <c r="BG26" i="1"/>
  <c r="BI67" i="10"/>
  <c r="BI67" i="14"/>
  <c r="BF22" i="8"/>
  <c r="BF34" i="8" s="1"/>
  <c r="BF52" i="8"/>
  <c r="BB71" i="14"/>
  <c r="BP71" i="14" s="1"/>
  <c r="BB71" i="10"/>
  <c r="BP71" i="10" s="1"/>
  <c r="BJ76" i="10"/>
  <c r="BJ76" i="14"/>
  <c r="BE58" i="9"/>
  <c r="BB75" i="10"/>
  <c r="BB75" i="14"/>
  <c r="BG27" i="8"/>
  <c r="BG52" i="9"/>
  <c r="BG22" i="9"/>
  <c r="BG34" i="9" s="1"/>
  <c r="BC27" i="9"/>
  <c r="BA41" i="9"/>
  <c r="BA20" i="9"/>
  <c r="BA50" i="9"/>
  <c r="BJ68" i="14"/>
  <c r="BJ68" i="10"/>
  <c r="BB80" i="14"/>
  <c r="BP80" i="14" s="1"/>
  <c r="BB80" i="10"/>
  <c r="BP80" i="10" s="1"/>
  <c r="BE39" i="14"/>
  <c r="BE21" i="1"/>
  <c r="BE51" i="1"/>
  <c r="BE39" i="10"/>
  <c r="BG83" i="9"/>
  <c r="BB20" i="8"/>
  <c r="BB41" i="8"/>
  <c r="BB53" i="8" s="1"/>
  <c r="BB60" i="8" s="1"/>
  <c r="BB98" i="8" s="1"/>
  <c r="BB50" i="8"/>
  <c r="BK58" i="9"/>
  <c r="BJ89" i="9"/>
  <c r="BA17" i="1"/>
  <c r="BA14" i="14"/>
  <c r="BA14" i="10"/>
  <c r="BA20" i="10" s="1"/>
  <c r="BF75" i="14"/>
  <c r="BF75" i="10"/>
  <c r="BJ86" i="14"/>
  <c r="BJ89" i="1"/>
  <c r="BJ86" i="10"/>
  <c r="BK15" i="14"/>
  <c r="BK15" i="10"/>
  <c r="BD22" i="1"/>
  <c r="BD40" i="14"/>
  <c r="BD52" i="14" s="1"/>
  <c r="BD40" i="10"/>
  <c r="BD41" i="10" s="1"/>
  <c r="BD52" i="1"/>
  <c r="BE69" i="14"/>
  <c r="BE69" i="10"/>
  <c r="BH17" i="8"/>
  <c r="BE17" i="9"/>
  <c r="BE68" i="14"/>
  <c r="BE68" i="10"/>
  <c r="BK14" i="10"/>
  <c r="BK17" i="1"/>
  <c r="BK14" i="14"/>
  <c r="BH96" i="9"/>
  <c r="BF10" i="10"/>
  <c r="BF10" i="14"/>
  <c r="BA22" i="8"/>
  <c r="BA52" i="8"/>
  <c r="BK11" i="8"/>
  <c r="BK102" i="8" s="1"/>
  <c r="BE82" i="10"/>
  <c r="BE82" i="14"/>
  <c r="BH50" i="9"/>
  <c r="BH41" i="9"/>
  <c r="BH20" i="9"/>
  <c r="BJ27" i="8"/>
  <c r="BJ26" i="1"/>
  <c r="BJ47" i="1"/>
  <c r="BJ44" i="10"/>
  <c r="BJ26" i="10" s="1"/>
  <c r="BJ44" i="14"/>
  <c r="BJ22" i="1"/>
  <c r="BJ40" i="10"/>
  <c r="BJ52" i="1"/>
  <c r="BJ40" i="14"/>
  <c r="AZ77" i="10"/>
  <c r="AZ77" i="14"/>
  <c r="BP77" i="14" s="1"/>
  <c r="BH93" i="8"/>
  <c r="BE21" i="9"/>
  <c r="BE51" i="9"/>
  <c r="BJ77" i="14"/>
  <c r="BJ77" i="10"/>
  <c r="BA96" i="8"/>
  <c r="BB11" i="9"/>
  <c r="BA88" i="14"/>
  <c r="BA88" i="10"/>
  <c r="AZ68" i="14"/>
  <c r="AZ68" i="10"/>
  <c r="BA96" i="9"/>
  <c r="BK27" i="9"/>
  <c r="BC58" i="9"/>
  <c r="BA21" i="8"/>
  <c r="BA33" i="8" s="1"/>
  <c r="BA51" i="8"/>
  <c r="BI78" i="10"/>
  <c r="BI78" i="14"/>
  <c r="BB27" i="1"/>
  <c r="BB45" i="14"/>
  <c r="BB45" i="10"/>
  <c r="BE46" i="10"/>
  <c r="BE46" i="14"/>
  <c r="BE52" i="14" s="1"/>
  <c r="BE28" i="1"/>
  <c r="BE34" i="1" s="1"/>
  <c r="BE17" i="1"/>
  <c r="BE23" i="1" s="1"/>
  <c r="BE14" i="14"/>
  <c r="BE14" i="10"/>
  <c r="BB69" i="14"/>
  <c r="BB69" i="10"/>
  <c r="BF58" i="1"/>
  <c r="BF56" i="14"/>
  <c r="BF58" i="14" s="1"/>
  <c r="BF56" i="10"/>
  <c r="BF58" i="10" s="1"/>
  <c r="BF11" i="9"/>
  <c r="BG102" i="9" s="1"/>
  <c r="AZ27" i="8"/>
  <c r="AZ92" i="14"/>
  <c r="AZ92" i="10"/>
  <c r="BA11" i="9"/>
  <c r="BF81" i="14"/>
  <c r="BF81" i="10"/>
  <c r="BK74" i="10"/>
  <c r="BK74" i="14"/>
  <c r="BI72" i="10"/>
  <c r="BI72" i="14"/>
  <c r="BK50" i="8"/>
  <c r="BK20" i="8"/>
  <c r="BK41" i="8"/>
  <c r="BK23" i="8" s="1"/>
  <c r="BA58" i="9"/>
  <c r="BH52" i="9"/>
  <c r="BH22" i="9"/>
  <c r="BH28" i="9"/>
  <c r="BG28" i="8"/>
  <c r="BH75" i="10"/>
  <c r="BH75" i="14"/>
  <c r="BE71" i="10"/>
  <c r="BE71" i="14"/>
  <c r="BE66" i="10"/>
  <c r="BE66" i="14"/>
  <c r="BE47" i="8"/>
  <c r="BE26" i="8"/>
  <c r="BG66" i="14"/>
  <c r="BG66" i="10"/>
  <c r="BH47" i="8"/>
  <c r="BH29" i="8" s="1"/>
  <c r="BH26" i="8"/>
  <c r="BH32" i="8" s="1"/>
  <c r="BJ95" i="14"/>
  <c r="BJ96" i="14" s="1"/>
  <c r="BJ95" i="10"/>
  <c r="BJ96" i="10" s="1"/>
  <c r="BJ96" i="1"/>
  <c r="BG51" i="9"/>
  <c r="BG21" i="9"/>
  <c r="BE75" i="10"/>
  <c r="BE75" i="14"/>
  <c r="AZ39" i="14"/>
  <c r="AZ21" i="14" s="1"/>
  <c r="AZ33" i="14" s="1"/>
  <c r="AZ39" i="10"/>
  <c r="BP39" i="10" s="1"/>
  <c r="AZ51" i="1"/>
  <c r="AZ21" i="1"/>
  <c r="BH96" i="1"/>
  <c r="BH95" i="14"/>
  <c r="BH96" i="14" s="1"/>
  <c r="BH95" i="10"/>
  <c r="BH96" i="10" s="1"/>
  <c r="BK52" i="9"/>
  <c r="BK22" i="9"/>
  <c r="BH70" i="14"/>
  <c r="BH70" i="10"/>
  <c r="BH74" i="14"/>
  <c r="BH74" i="10"/>
  <c r="BK63" i="14"/>
  <c r="BK63" i="10"/>
  <c r="BK83" i="1"/>
  <c r="BI58" i="1"/>
  <c r="BI56" i="10"/>
  <c r="BI56" i="14"/>
  <c r="BI58" i="14" s="1"/>
  <c r="BK70" i="14"/>
  <c r="BK70" i="10"/>
  <c r="BF11" i="8"/>
  <c r="BB17" i="8"/>
  <c r="BH47" i="9"/>
  <c r="BH26" i="9"/>
  <c r="BB51" i="1"/>
  <c r="BB39" i="14"/>
  <c r="BB21" i="14" s="1"/>
  <c r="BB21" i="1"/>
  <c r="BB39" i="10"/>
  <c r="BB87" i="10"/>
  <c r="BB87" i="14"/>
  <c r="AZ15" i="10"/>
  <c r="AZ27" i="10" s="1"/>
  <c r="AZ15" i="14"/>
  <c r="BP15" i="14" s="1"/>
  <c r="BF96" i="8"/>
  <c r="BE81" i="10"/>
  <c r="BE81" i="14"/>
  <c r="BB16" i="14"/>
  <c r="BB16" i="10"/>
  <c r="BF27" i="9"/>
  <c r="AZ96" i="9"/>
  <c r="BB91" i="10"/>
  <c r="BB93" i="10" s="1"/>
  <c r="BB91" i="14"/>
  <c r="BB93" i="14" s="1"/>
  <c r="BB93" i="1"/>
  <c r="AZ28" i="1"/>
  <c r="AZ46" i="14"/>
  <c r="AZ46" i="10"/>
  <c r="BG11" i="1"/>
  <c r="BG8" i="10"/>
  <c r="BG8" i="14"/>
  <c r="BG11" i="14" s="1"/>
  <c r="BG102" i="14" s="1"/>
  <c r="BF95" i="10"/>
  <c r="BF96" i="10" s="1"/>
  <c r="BF95" i="14"/>
  <c r="BF96" i="14" s="1"/>
  <c r="BF96" i="1"/>
  <c r="BF82" i="14"/>
  <c r="BF82" i="10"/>
  <c r="BI76" i="14"/>
  <c r="BI76" i="10"/>
  <c r="BB83" i="8"/>
  <c r="BD93" i="1"/>
  <c r="BD91" i="14"/>
  <c r="BD91" i="10"/>
  <c r="BA81" i="10"/>
  <c r="BA81" i="14"/>
  <c r="BG17" i="9"/>
  <c r="BA69" i="14"/>
  <c r="BA69" i="10"/>
  <c r="AZ67" i="10"/>
  <c r="BP67" i="10" s="1"/>
  <c r="AZ67" i="14"/>
  <c r="BP67" i="14" s="1"/>
  <c r="BA41" i="8"/>
  <c r="BA50" i="8"/>
  <c r="BA20" i="8"/>
  <c r="BG45" i="10"/>
  <c r="BG45" i="14"/>
  <c r="BG27" i="14" s="1"/>
  <c r="BG27" i="1"/>
  <c r="BK93" i="8"/>
  <c r="BF15" i="10"/>
  <c r="BF21" i="10" s="1"/>
  <c r="BF15" i="14"/>
  <c r="BI77" i="10"/>
  <c r="BI77" i="14"/>
  <c r="BF50" i="1"/>
  <c r="BF38" i="14"/>
  <c r="BF20" i="14" s="1"/>
  <c r="BF20" i="1"/>
  <c r="BF41" i="1"/>
  <c r="BF23" i="1" s="1"/>
  <c r="BF35" i="1" s="1"/>
  <c r="BF38" i="10"/>
  <c r="BF20" i="10" s="1"/>
  <c r="BF32" i="10" s="1"/>
  <c r="BA80" i="14"/>
  <c r="BA80" i="10"/>
  <c r="AZ16" i="10"/>
  <c r="AZ16" i="14"/>
  <c r="BH69" i="14"/>
  <c r="BH69" i="10"/>
  <c r="BK87" i="10"/>
  <c r="BK87" i="14"/>
  <c r="BE57" i="14"/>
  <c r="BE57" i="10"/>
  <c r="BJ79" i="10"/>
  <c r="BJ79" i="14"/>
  <c r="BJ22" i="9"/>
  <c r="BJ52" i="9"/>
  <c r="BA58" i="8"/>
  <c r="AZ9" i="14"/>
  <c r="AZ11" i="14" s="1"/>
  <c r="AZ102" i="14" s="1"/>
  <c r="AZ9" i="10"/>
  <c r="BJ91" i="14"/>
  <c r="BJ93" i="1"/>
  <c r="BJ91" i="10"/>
  <c r="BJ93" i="10" s="1"/>
  <c r="BG96" i="8"/>
  <c r="BK51" i="8"/>
  <c r="BK21" i="8"/>
  <c r="BH15" i="14"/>
  <c r="BH15" i="10"/>
  <c r="BC92" i="14"/>
  <c r="BC92" i="10"/>
  <c r="BA56" i="14"/>
  <c r="BA58" i="1"/>
  <c r="BA56" i="10"/>
  <c r="BA22" i="9"/>
  <c r="BA34" i="9" s="1"/>
  <c r="BA52" i="9"/>
  <c r="BC73" i="10"/>
  <c r="BC73" i="14"/>
  <c r="BG91" i="14"/>
  <c r="BG93" i="1"/>
  <c r="BG91" i="10"/>
  <c r="BF80" i="14"/>
  <c r="BF80" i="10"/>
  <c r="BH45" i="10"/>
  <c r="BH47" i="10" s="1"/>
  <c r="BH45" i="14"/>
  <c r="BH27" i="1"/>
  <c r="BD28" i="9"/>
  <c r="BA82" i="14"/>
  <c r="BA82" i="10"/>
  <c r="BF51" i="8"/>
  <c r="BF21" i="8"/>
  <c r="BF33" i="8" s="1"/>
  <c r="BI41" i="8"/>
  <c r="BI20" i="8"/>
  <c r="BI50" i="8"/>
  <c r="BF89" i="8"/>
  <c r="BD88" i="10"/>
  <c r="BD88" i="14"/>
  <c r="BD79" i="10"/>
  <c r="BD79" i="14"/>
  <c r="BD89" i="8"/>
  <c r="BC41" i="1"/>
  <c r="BC50" i="1"/>
  <c r="BC20" i="1"/>
  <c r="BC38" i="14"/>
  <c r="BC38" i="10"/>
  <c r="BC20" i="10" s="1"/>
  <c r="BF89" i="9"/>
  <c r="BA26" i="1"/>
  <c r="BA32" i="1" s="1"/>
  <c r="BA44" i="10"/>
  <c r="BP44" i="10" s="1"/>
  <c r="BA47" i="1"/>
  <c r="BA29" i="1" s="1"/>
  <c r="BA44" i="14"/>
  <c r="BE73" i="10"/>
  <c r="BE73" i="14"/>
  <c r="BH57" i="10"/>
  <c r="BH57" i="14"/>
  <c r="BD66" i="14"/>
  <c r="BD66" i="10"/>
  <c r="BI65" i="10"/>
  <c r="BI65" i="14"/>
  <c r="BH66" i="10"/>
  <c r="BH66" i="14"/>
  <c r="BE44" i="14"/>
  <c r="BE47" i="14" s="1"/>
  <c r="BE26" i="1"/>
  <c r="BE32" i="1" s="1"/>
  <c r="BE44" i="10"/>
  <c r="BE47" i="10" s="1"/>
  <c r="BE47" i="1"/>
  <c r="BE29" i="1" s="1"/>
  <c r="BD20" i="8"/>
  <c r="BD41" i="8"/>
  <c r="BD50" i="8"/>
  <c r="BB79" i="14"/>
  <c r="BB79" i="10"/>
  <c r="BE80" i="14"/>
  <c r="BE80" i="10"/>
  <c r="BI28" i="9"/>
  <c r="BI34" i="9" s="1"/>
  <c r="AZ83" i="1"/>
  <c r="AZ63" i="10"/>
  <c r="AZ63" i="14"/>
  <c r="BE65" i="14"/>
  <c r="BE65" i="10"/>
  <c r="AZ88" i="10"/>
  <c r="AZ88" i="14"/>
  <c r="AZ89" i="14" s="1"/>
  <c r="BG21" i="1"/>
  <c r="BG33" i="1" s="1"/>
  <c r="BG51" i="1"/>
  <c r="BG39" i="14"/>
  <c r="BG39" i="10"/>
  <c r="BI44" i="10"/>
  <c r="BI44" i="14"/>
  <c r="BI47" i="14" s="1"/>
  <c r="BI47" i="1"/>
  <c r="BI26" i="1"/>
  <c r="AZ81" i="10"/>
  <c r="BP81" i="10" s="1"/>
  <c r="AZ81" i="14"/>
  <c r="BE93" i="9"/>
  <c r="BK79" i="14"/>
  <c r="BK79" i="10"/>
  <c r="BD81" i="14"/>
  <c r="BD81" i="10"/>
  <c r="BI64" i="14"/>
  <c r="BI64" i="10"/>
  <c r="BI83" i="10" s="1"/>
  <c r="BG65" i="14"/>
  <c r="BG65" i="10"/>
  <c r="BC8" i="14"/>
  <c r="BC11" i="1"/>
  <c r="BC8" i="10"/>
  <c r="BC11" i="10" s="1"/>
  <c r="BA57" i="14"/>
  <c r="BA58" i="14" s="1"/>
  <c r="BA57" i="10"/>
  <c r="BA58" i="10" s="1"/>
  <c r="BH92" i="10"/>
  <c r="BH92" i="14"/>
  <c r="BK89" i="9"/>
  <c r="BA51" i="9"/>
  <c r="BA21" i="9"/>
  <c r="BF21" i="9"/>
  <c r="BF33" i="9" s="1"/>
  <c r="BF51" i="9"/>
  <c r="BG79" i="10"/>
  <c r="BG79" i="14"/>
  <c r="BD8" i="10"/>
  <c r="BD11" i="1"/>
  <c r="BD8" i="14"/>
  <c r="BP8" i="14" s="1"/>
  <c r="BP8" i="1"/>
  <c r="BA67" i="14"/>
  <c r="BA67" i="10"/>
  <c r="BE79" i="10"/>
  <c r="BE79" i="14"/>
  <c r="BK67" i="14"/>
  <c r="BK67" i="10"/>
  <c r="BH86" i="14"/>
  <c r="BH86" i="10"/>
  <c r="BH89" i="1"/>
  <c r="BD86" i="14"/>
  <c r="BD89" i="14" s="1"/>
  <c r="BD89" i="1"/>
  <c r="BD86" i="10"/>
  <c r="BD89" i="10" s="1"/>
  <c r="BD17" i="8"/>
  <c r="BG58" i="8"/>
  <c r="BB72" i="14"/>
  <c r="BB72" i="10"/>
  <c r="BH79" i="10"/>
  <c r="BH79" i="14"/>
  <c r="BD96" i="8"/>
  <c r="BC93" i="8"/>
  <c r="AZ86" i="10"/>
  <c r="AZ86" i="14"/>
  <c r="AZ89" i="1"/>
  <c r="BD26" i="8"/>
  <c r="BD47" i="8"/>
  <c r="BD29" i="8" s="1"/>
  <c r="BD27" i="9"/>
  <c r="BI14" i="10"/>
  <c r="BI17" i="1"/>
  <c r="BI14" i="14"/>
  <c r="BJ26" i="8"/>
  <c r="BJ47" i="8"/>
  <c r="BE67" i="14"/>
  <c r="BE67" i="10"/>
  <c r="BH11" i="8"/>
  <c r="BI102" i="8" s="1"/>
  <c r="BG80" i="14"/>
  <c r="BG80" i="10"/>
  <c r="BJ81" i="14"/>
  <c r="BJ81" i="10"/>
  <c r="BH11" i="9"/>
  <c r="BI102" i="9" s="1"/>
  <c r="BC68" i="10"/>
  <c r="BC68" i="14"/>
  <c r="BP68" i="14" s="1"/>
  <c r="BJ93" i="8"/>
  <c r="AZ79" i="10"/>
  <c r="AZ79" i="14"/>
  <c r="BP79" i="14" s="1"/>
  <c r="BF67" i="14"/>
  <c r="BF67" i="10"/>
  <c r="BC11" i="8"/>
  <c r="BC83" i="8"/>
  <c r="AZ75" i="10"/>
  <c r="AZ75" i="14"/>
  <c r="BG89" i="1"/>
  <c r="BG86" i="10"/>
  <c r="BG89" i="10" s="1"/>
  <c r="BG86" i="14"/>
  <c r="BJ28" i="9"/>
  <c r="BF71" i="10"/>
  <c r="BF71" i="14"/>
  <c r="BC93" i="1"/>
  <c r="BC91" i="10"/>
  <c r="BC91" i="14"/>
  <c r="BC93" i="14" s="1"/>
  <c r="BI63" i="14"/>
  <c r="BI83" i="14" s="1"/>
  <c r="BI63" i="10"/>
  <c r="BI83" i="1"/>
  <c r="BI89" i="8"/>
  <c r="BF93" i="8"/>
  <c r="BD47" i="9"/>
  <c r="BD26" i="9"/>
  <c r="BJ80" i="10"/>
  <c r="BJ80" i="14"/>
  <c r="BI10" i="10"/>
  <c r="BI10" i="14"/>
  <c r="BD67" i="14"/>
  <c r="BD67" i="10"/>
  <c r="BF8" i="10"/>
  <c r="BF8" i="14"/>
  <c r="BF11" i="1"/>
  <c r="BG102" i="1" s="1"/>
  <c r="BA15" i="14"/>
  <c r="BX15" i="14" s="1"/>
  <c r="BA15" i="10"/>
  <c r="BJ58" i="9"/>
  <c r="BH58" i="8"/>
  <c r="BI70" i="14"/>
  <c r="BI70" i="10"/>
  <c r="BJ74" i="10"/>
  <c r="BJ74" i="14"/>
  <c r="AZ47" i="9"/>
  <c r="AZ26" i="9"/>
  <c r="AZ32" i="9" s="1"/>
  <c r="BI45" i="14"/>
  <c r="BI45" i="10"/>
  <c r="BI27" i="1"/>
  <c r="BH91" i="14"/>
  <c r="BH93" i="14" s="1"/>
  <c r="BH93" i="1"/>
  <c r="BH91" i="10"/>
  <c r="BF57" i="14"/>
  <c r="BF57" i="10"/>
  <c r="BG26" i="9"/>
  <c r="BG47" i="9"/>
  <c r="BF74" i="10"/>
  <c r="BF74" i="14"/>
  <c r="BC64" i="14"/>
  <c r="BC64" i="10"/>
  <c r="BC83" i="10" s="1"/>
  <c r="BD58" i="9"/>
  <c r="AZ76" i="14"/>
  <c r="AZ76" i="10"/>
  <c r="BH51" i="9"/>
  <c r="BH21" i="9"/>
  <c r="BG9" i="10"/>
  <c r="BG9" i="14"/>
  <c r="BD87" i="10"/>
  <c r="BD87" i="14"/>
  <c r="BP87" i="14" s="1"/>
  <c r="BI17" i="8"/>
  <c r="BB27" i="8"/>
  <c r="AZ51" i="8"/>
  <c r="AZ21" i="8"/>
  <c r="BJ72" i="14"/>
  <c r="BJ72" i="10"/>
  <c r="BI16" i="10"/>
  <c r="BI16" i="14"/>
  <c r="BI73" i="10"/>
  <c r="BI73" i="14"/>
  <c r="BB81" i="14"/>
  <c r="BB81" i="10"/>
  <c r="BG72" i="14"/>
  <c r="BG72" i="10"/>
  <c r="BB46" i="10"/>
  <c r="BP46" i="10" s="1"/>
  <c r="BB28" i="1"/>
  <c r="BB46" i="14"/>
  <c r="BJ21" i="1"/>
  <c r="BJ33" i="1" s="1"/>
  <c r="BJ51" i="1"/>
  <c r="BJ39" i="10"/>
  <c r="BJ39" i="14"/>
  <c r="BG57" i="10"/>
  <c r="BG57" i="14"/>
  <c r="BF92" i="10"/>
  <c r="BF93" i="10" s="1"/>
  <c r="BF92" i="14"/>
  <c r="BH88" i="14"/>
  <c r="BH88" i="10"/>
  <c r="BF9" i="10"/>
  <c r="BF9" i="14"/>
  <c r="BF17" i="8"/>
  <c r="BF29" i="8" s="1"/>
  <c r="BD69" i="14"/>
  <c r="BP69" i="14" s="1"/>
  <c r="BD69" i="10"/>
  <c r="BP69" i="10" s="1"/>
  <c r="AZ11" i="1"/>
  <c r="AZ102" i="1" s="1"/>
  <c r="AZ8" i="10"/>
  <c r="AZ8" i="14"/>
  <c r="BI82" i="14"/>
  <c r="BI82" i="10"/>
  <c r="BE64" i="14"/>
  <c r="BE64" i="10"/>
  <c r="BJ15" i="14"/>
  <c r="BJ17" i="14" s="1"/>
  <c r="BJ15" i="10"/>
  <c r="BI71" i="14"/>
  <c r="BI71" i="10"/>
  <c r="BA83" i="1"/>
  <c r="BA63" i="14"/>
  <c r="BA63" i="10"/>
  <c r="BA17" i="9"/>
  <c r="BA23" i="9" s="1"/>
  <c r="BB67" i="10"/>
  <c r="BB67" i="14"/>
  <c r="BA64" i="14"/>
  <c r="BA64" i="10"/>
  <c r="BK17" i="8"/>
  <c r="BB57" i="10"/>
  <c r="BB57" i="14"/>
  <c r="BG78" i="14"/>
  <c r="BG78" i="10"/>
  <c r="BI88" i="10"/>
  <c r="BI88" i="14"/>
  <c r="BB14" i="14"/>
  <c r="BB14" i="10"/>
  <c r="BB17" i="1"/>
  <c r="BA79" i="10"/>
  <c r="BA79" i="14"/>
  <c r="BI52" i="9"/>
  <c r="BI22" i="9"/>
  <c r="BH76" i="10"/>
  <c r="BH76" i="14"/>
  <c r="BC93" i="9"/>
  <c r="BJ51" i="8"/>
  <c r="BJ21" i="8"/>
  <c r="BJ33" i="8" s="1"/>
  <c r="BK72" i="14"/>
  <c r="BK72" i="10"/>
  <c r="BK83" i="10" s="1"/>
  <c r="BB96" i="1"/>
  <c r="BB95" i="14"/>
  <c r="BB96" i="14" s="1"/>
  <c r="BB95" i="10"/>
  <c r="BB96" i="10" s="1"/>
  <c r="BJ69" i="14"/>
  <c r="BJ69" i="10"/>
  <c r="BD83" i="1"/>
  <c r="BD63" i="14"/>
  <c r="BD83" i="14" s="1"/>
  <c r="BD63" i="10"/>
  <c r="BD83" i="10" s="1"/>
  <c r="BC96" i="9"/>
  <c r="BD72" i="10"/>
  <c r="BD72" i="14"/>
  <c r="AZ51" i="9"/>
  <c r="AZ21" i="9"/>
  <c r="BI27" i="8"/>
  <c r="BJ17" i="9"/>
  <c r="BC67" i="10"/>
  <c r="BC67" i="14"/>
  <c r="BE15" i="10"/>
  <c r="BE15" i="14"/>
  <c r="AZ14" i="10"/>
  <c r="AZ14" i="14"/>
  <c r="BP14" i="14" s="1"/>
  <c r="AZ17" i="1"/>
  <c r="AZ23" i="1" s="1"/>
  <c r="BI58" i="8"/>
  <c r="BA47" i="8"/>
  <c r="BA29" i="8" s="1"/>
  <c r="BA26" i="8"/>
  <c r="BK16" i="14"/>
  <c r="BK16" i="10"/>
  <c r="BI21" i="8"/>
  <c r="BI51" i="8"/>
  <c r="BA76" i="10"/>
  <c r="BA76" i="14"/>
  <c r="BA10" i="10"/>
  <c r="BA10" i="14"/>
  <c r="BC83" i="9"/>
  <c r="BH77" i="10"/>
  <c r="BH77" i="14"/>
  <c r="BE11" i="9"/>
  <c r="AZ17" i="8"/>
  <c r="BC17" i="1"/>
  <c r="BC23" i="1" s="1"/>
  <c r="BC14" i="10"/>
  <c r="BC26" i="10" s="1"/>
  <c r="BC14" i="14"/>
  <c r="BE93" i="8"/>
  <c r="BJ65" i="14"/>
  <c r="BJ65" i="10"/>
  <c r="BF93" i="9"/>
  <c r="BC15" i="10"/>
  <c r="BC15" i="14"/>
  <c r="BC21" i="14" s="1"/>
  <c r="BD70" i="14"/>
  <c r="BD70" i="10"/>
  <c r="BF68" i="10"/>
  <c r="BF68" i="14"/>
  <c r="AZ93" i="8"/>
  <c r="BE27" i="8"/>
  <c r="BI74" i="14"/>
  <c r="BI74" i="10"/>
  <c r="BD22" i="8"/>
  <c r="BD34" i="8" s="1"/>
  <c r="BD52" i="8"/>
  <c r="BH82" i="14"/>
  <c r="BH82" i="10"/>
  <c r="BD11" i="8"/>
  <c r="BP8" i="8"/>
  <c r="BA89" i="1"/>
  <c r="BA86" i="10"/>
  <c r="BP86" i="10" s="1"/>
  <c r="BA86" i="14"/>
  <c r="BA89" i="14" s="1"/>
  <c r="BB92" i="14"/>
  <c r="BB92" i="10"/>
  <c r="BF79" i="14"/>
  <c r="BF79" i="10"/>
  <c r="BK69" i="10"/>
  <c r="BK69" i="14"/>
  <c r="BH68" i="10"/>
  <c r="BH68" i="14"/>
  <c r="BJ70" i="14"/>
  <c r="BJ70" i="10"/>
  <c r="BB58" i="1"/>
  <c r="BB56" i="14"/>
  <c r="BB56" i="10"/>
  <c r="BG87" i="10"/>
  <c r="BG87" i="14"/>
  <c r="BG89" i="14" s="1"/>
  <c r="BK95" i="10"/>
  <c r="BK96" i="10" s="1"/>
  <c r="BK95" i="14"/>
  <c r="BK96" i="14" s="1"/>
  <c r="BK96" i="1"/>
  <c r="BI66" i="14"/>
  <c r="BI66" i="10"/>
  <c r="BF86" i="14"/>
  <c r="BF86" i="10"/>
  <c r="BF89" i="1"/>
  <c r="BG11" i="9"/>
  <c r="BH102" i="9" s="1"/>
  <c r="BC87" i="10"/>
  <c r="BC87" i="14"/>
  <c r="BH73" i="14"/>
  <c r="BH73" i="10"/>
  <c r="BF69" i="10"/>
  <c r="BF83" i="10" s="1"/>
  <c r="BF69" i="14"/>
  <c r="BE58" i="8"/>
  <c r="BJ83" i="9"/>
  <c r="BG96" i="1"/>
  <c r="BG95" i="14"/>
  <c r="BG96" i="14" s="1"/>
  <c r="BG95" i="10"/>
  <c r="BG96" i="10" s="1"/>
  <c r="BI38" i="14"/>
  <c r="BI38" i="10"/>
  <c r="BI41" i="10" s="1"/>
  <c r="BI20" i="1"/>
  <c r="BI41" i="1"/>
  <c r="BI53" i="1" s="1"/>
  <c r="BI60" i="1" s="1"/>
  <c r="BI98" i="1" s="1"/>
  <c r="BI50" i="1"/>
  <c r="BJ28" i="8"/>
  <c r="BJ93" i="9"/>
  <c r="BK71" i="14"/>
  <c r="BK71" i="10"/>
  <c r="BG77" i="10"/>
  <c r="BG77" i="14"/>
  <c r="BF40" i="10"/>
  <c r="BF52" i="1"/>
  <c r="BF22" i="1"/>
  <c r="BF40" i="14"/>
  <c r="BB96" i="9"/>
  <c r="BG88" i="14"/>
  <c r="BG88" i="10"/>
  <c r="BB83" i="9"/>
  <c r="AZ27" i="1"/>
  <c r="AZ45" i="14"/>
  <c r="AZ27" i="14" s="1"/>
  <c r="AZ45" i="10"/>
  <c r="BI96" i="8"/>
  <c r="BB11" i="8"/>
  <c r="BC51" i="8"/>
  <c r="BC21" i="8"/>
  <c r="BI58" i="9"/>
  <c r="BG15" i="10"/>
  <c r="BG27" i="10" s="1"/>
  <c r="BG15" i="14"/>
  <c r="BG21" i="14" s="1"/>
  <c r="BG33" i="14" s="1"/>
  <c r="BB82" i="10"/>
  <c r="BB82" i="14"/>
  <c r="BE96" i="8"/>
  <c r="BK96" i="8"/>
  <c r="BK65" i="10"/>
  <c r="BK65" i="14"/>
  <c r="BI91" i="14"/>
  <c r="BI93" i="14" s="1"/>
  <c r="BI91" i="10"/>
  <c r="BI93" i="10" s="1"/>
  <c r="BI93" i="1"/>
  <c r="BF76" i="10"/>
  <c r="BF76" i="14"/>
  <c r="BG93" i="9"/>
  <c r="BF44" i="10"/>
  <c r="BF47" i="1"/>
  <c r="BF44" i="14"/>
  <c r="BF26" i="14" s="1"/>
  <c r="BF26" i="1"/>
  <c r="BH22" i="8"/>
  <c r="BH52" i="8"/>
  <c r="BD93" i="9"/>
  <c r="BK22" i="8"/>
  <c r="BK52" i="8"/>
  <c r="AZ72" i="10"/>
  <c r="AZ72" i="14"/>
  <c r="BF65" i="14"/>
  <c r="BF83" i="14" s="1"/>
  <c r="BF65" i="10"/>
  <c r="BJ58" i="8"/>
  <c r="BA83" i="9"/>
  <c r="BA73" i="10"/>
  <c r="BA73" i="14"/>
  <c r="BB28" i="9"/>
  <c r="BB63" i="10"/>
  <c r="BP63" i="10" s="1"/>
  <c r="BB63" i="14"/>
  <c r="BP63" i="14" s="1"/>
  <c r="BB83" i="1"/>
  <c r="BK40" i="10"/>
  <c r="BK22" i="1"/>
  <c r="BK40" i="14"/>
  <c r="BK52" i="1"/>
  <c r="BK96" i="9"/>
  <c r="BE83" i="9"/>
  <c r="BF41" i="8"/>
  <c r="BF23" i="8" s="1"/>
  <c r="BF35" i="8" s="1"/>
  <c r="BF50" i="8"/>
  <c r="BF20" i="8"/>
  <c r="BB64" i="14"/>
  <c r="BB64" i="10"/>
  <c r="BK75" i="10"/>
  <c r="BK75" i="14"/>
  <c r="BI93" i="9"/>
  <c r="BB22" i="8"/>
  <c r="BB52" i="8"/>
  <c r="BE74" i="10"/>
  <c r="BE74" i="14"/>
  <c r="BK21" i="1"/>
  <c r="BK51" i="1"/>
  <c r="BK39" i="14"/>
  <c r="BK21" i="14" s="1"/>
  <c r="BK39" i="10"/>
  <c r="BK21" i="10" s="1"/>
  <c r="BK33" i="10" s="1"/>
  <c r="BJ11" i="9"/>
  <c r="BJ102" i="9" s="1"/>
  <c r="BB47" i="8"/>
  <c r="BB26" i="8"/>
  <c r="BC51" i="1"/>
  <c r="BC21" i="1"/>
  <c r="BC39" i="14"/>
  <c r="BC41" i="14" s="1"/>
  <c r="BC39" i="10"/>
  <c r="BK82" i="10"/>
  <c r="BK82" i="14"/>
  <c r="BA46" i="10"/>
  <c r="BA46" i="14"/>
  <c r="BA28" i="1"/>
  <c r="AZ83" i="8"/>
  <c r="BB9" i="10"/>
  <c r="BB9" i="14"/>
  <c r="BG14" i="14"/>
  <c r="BG17" i="14" s="1"/>
  <c r="BG14" i="10"/>
  <c r="BG20" i="10" s="1"/>
  <c r="BG17" i="1"/>
  <c r="BD74" i="10"/>
  <c r="BD74" i="14"/>
  <c r="BB21" i="8"/>
  <c r="BB33" i="8" s="1"/>
  <c r="BB51" i="8"/>
  <c r="BA11" i="8"/>
  <c r="BG10" i="10"/>
  <c r="BG11" i="10" s="1"/>
  <c r="BG10" i="14"/>
  <c r="AZ44" i="14"/>
  <c r="AZ44" i="10"/>
  <c r="AZ47" i="1"/>
  <c r="AZ26" i="1"/>
  <c r="AZ32" i="1" s="1"/>
  <c r="BI79" i="14"/>
  <c r="BI79" i="10"/>
  <c r="BB10" i="10"/>
  <c r="BB10" i="14"/>
  <c r="BC9" i="10"/>
  <c r="BC9" i="14"/>
  <c r="BE89" i="8"/>
  <c r="BH83" i="9"/>
  <c r="AZ96" i="8"/>
  <c r="BC81" i="10"/>
  <c r="BC81" i="14"/>
  <c r="BP81" i="14" s="1"/>
  <c r="BI26" i="8"/>
  <c r="BI47" i="8"/>
  <c r="BI29" i="8" s="1"/>
  <c r="AZ17" i="9"/>
  <c r="BC28" i="8"/>
  <c r="BF66" i="10"/>
  <c r="BF66" i="14"/>
  <c r="BK21" i="9"/>
  <c r="BK33" i="9" s="1"/>
  <c r="BK51" i="9"/>
  <c r="BF72" i="10"/>
  <c r="BF72" i="14"/>
  <c r="BK50" i="9"/>
  <c r="BK41" i="9"/>
  <c r="BK20" i="9"/>
  <c r="AZ74" i="10"/>
  <c r="BP74" i="10" s="1"/>
  <c r="AZ74" i="14"/>
  <c r="BH52" i="1"/>
  <c r="BH22" i="1"/>
  <c r="BH40" i="10"/>
  <c r="BH40" i="14"/>
  <c r="BP10" i="8"/>
  <c r="BF46" i="14"/>
  <c r="BF28" i="1"/>
  <c r="BF46" i="10"/>
  <c r="BH46" i="10"/>
  <c r="BH28" i="10" s="1"/>
  <c r="BH46" i="14"/>
  <c r="BH28" i="1"/>
  <c r="BK64" i="10"/>
  <c r="BK64" i="14"/>
  <c r="BA93" i="8"/>
  <c r="BK83" i="8"/>
  <c r="BG81" i="10"/>
  <c r="BG81" i="14"/>
  <c r="BJ26" i="9"/>
  <c r="BJ47" i="9"/>
  <c r="AZ96" i="1"/>
  <c r="AZ95" i="10"/>
  <c r="AZ96" i="10" s="1"/>
  <c r="AZ95" i="14"/>
  <c r="AZ96" i="14" s="1"/>
  <c r="BA52" i="1"/>
  <c r="BA40" i="14"/>
  <c r="BP40" i="14" s="1"/>
  <c r="BA40" i="10"/>
  <c r="BA22" i="10" s="1"/>
  <c r="BA34" i="10" s="1"/>
  <c r="BA22" i="1"/>
  <c r="BJ14" i="10"/>
  <c r="BJ17" i="1"/>
  <c r="BJ14" i="14"/>
  <c r="BE89" i="9"/>
  <c r="BA78" i="10"/>
  <c r="BP78" i="10" s="1"/>
  <c r="BA78" i="14"/>
  <c r="AZ73" i="14"/>
  <c r="BP73" i="14" s="1"/>
  <c r="AZ73" i="10"/>
  <c r="BP73" i="10" s="1"/>
  <c r="BD10" i="14"/>
  <c r="BP10" i="14" s="1"/>
  <c r="BD10" i="10"/>
  <c r="BP10" i="1"/>
  <c r="BK93" i="9"/>
  <c r="BE22" i="9"/>
  <c r="BE52" i="9"/>
  <c r="BG75" i="10"/>
  <c r="BG75" i="14"/>
  <c r="BD78" i="10"/>
  <c r="BD78" i="14"/>
  <c r="BK10" i="14"/>
  <c r="BK10" i="10"/>
  <c r="AZ57" i="14"/>
  <c r="AZ57" i="10"/>
  <c r="BF70" i="10"/>
  <c r="BF70" i="14"/>
  <c r="BA45" i="10"/>
  <c r="BA27" i="10" s="1"/>
  <c r="BA45" i="14"/>
  <c r="BA27" i="1"/>
  <c r="BG63" i="10"/>
  <c r="BG83" i="1"/>
  <c r="BG63" i="14"/>
  <c r="BC10" i="10"/>
  <c r="BC10" i="14"/>
  <c r="BA95" i="10"/>
  <c r="BA96" i="10" s="1"/>
  <c r="BA95" i="14"/>
  <c r="BA96" i="14" s="1"/>
  <c r="BA96" i="1"/>
  <c r="BE47" i="9"/>
  <c r="BE53" i="9" s="1"/>
  <c r="BE60" i="9" s="1"/>
  <c r="BE98" i="9" s="1"/>
  <c r="BE26" i="9"/>
  <c r="BH89" i="8"/>
  <c r="BC74" i="14"/>
  <c r="BC74" i="10"/>
  <c r="BB22" i="9"/>
  <c r="BB52" i="9"/>
  <c r="BC20" i="9"/>
  <c r="BC50" i="9"/>
  <c r="BC41" i="9"/>
  <c r="BH67" i="14"/>
  <c r="BH67" i="10"/>
  <c r="BF83" i="1"/>
  <c r="BF63" i="10"/>
  <c r="BF63" i="14"/>
  <c r="BJ89" i="8"/>
  <c r="BB89" i="8"/>
  <c r="BB78" i="10"/>
  <c r="BB78" i="14"/>
  <c r="AZ26" i="8"/>
  <c r="AZ47" i="8"/>
  <c r="AZ29" i="8" s="1"/>
  <c r="BA65" i="14"/>
  <c r="BA65" i="10"/>
  <c r="BG82" i="10"/>
  <c r="BG82" i="14"/>
  <c r="BF16" i="14"/>
  <c r="BF16" i="10"/>
  <c r="BE27" i="1"/>
  <c r="BE45" i="14"/>
  <c r="BE27" i="14" s="1"/>
  <c r="BE45" i="10"/>
  <c r="BC27" i="1"/>
  <c r="BC45" i="10"/>
  <c r="BC45" i="14"/>
  <c r="BH38" i="14"/>
  <c r="BH41" i="1"/>
  <c r="BH53" i="1" s="1"/>
  <c r="BH60" i="1" s="1"/>
  <c r="BH98" i="1" s="1"/>
  <c r="BH50" i="1"/>
  <c r="BH20" i="1"/>
  <c r="BH32" i="1" s="1"/>
  <c r="BH38" i="10"/>
  <c r="BB8" i="10"/>
  <c r="BB8" i="14"/>
  <c r="BB11" i="1"/>
  <c r="BG74" i="10"/>
  <c r="BG74" i="14"/>
  <c r="BH58" i="1"/>
  <c r="BH56" i="10"/>
  <c r="BH58" i="10" s="1"/>
  <c r="BH56" i="14"/>
  <c r="BI20" i="9"/>
  <c r="BI41" i="9"/>
  <c r="BI50" i="9"/>
  <c r="BE93" i="1"/>
  <c r="BE91" i="10"/>
  <c r="BE93" i="10" s="1"/>
  <c r="BE91" i="14"/>
  <c r="BD89" i="9"/>
  <c r="BE28" i="9"/>
  <c r="BJ67" i="14"/>
  <c r="BJ67" i="10"/>
  <c r="BH16" i="14"/>
  <c r="BH16" i="10"/>
  <c r="BI57" i="10"/>
  <c r="BI57" i="14"/>
  <c r="BJ17" i="8"/>
  <c r="BJ29" i="8" s="1"/>
  <c r="BC96" i="8"/>
  <c r="BK17" i="9"/>
  <c r="BG93" i="8"/>
  <c r="BG51" i="8"/>
  <c r="BG21" i="8"/>
  <c r="BK26" i="9"/>
  <c r="BK32" i="9" s="1"/>
  <c r="BK47" i="9"/>
  <c r="BK53" i="9" s="1"/>
  <c r="BK60" i="9" s="1"/>
  <c r="BK98" i="9" s="1"/>
  <c r="BK28" i="9"/>
  <c r="BD17" i="9"/>
  <c r="BH72" i="10"/>
  <c r="BH72" i="14"/>
  <c r="BA87" i="14"/>
  <c r="BA87" i="10"/>
  <c r="BB15" i="10"/>
  <c r="BB17" i="10" s="1"/>
  <c r="BB15" i="14"/>
  <c r="BB17" i="14" s="1"/>
  <c r="BP9" i="9"/>
  <c r="BP11" i="9" s="1"/>
  <c r="BJ71" i="10"/>
  <c r="BJ71" i="14"/>
  <c r="AZ27" i="9"/>
  <c r="BH96" i="8"/>
  <c r="BF58" i="8"/>
  <c r="BI46" i="14"/>
  <c r="BI28" i="1"/>
  <c r="BI46" i="10"/>
  <c r="BI28" i="10" s="1"/>
  <c r="BC17" i="9"/>
  <c r="BA93" i="9"/>
  <c r="AZ70" i="14"/>
  <c r="AZ70" i="10"/>
  <c r="BH93" i="9"/>
  <c r="BC28" i="1"/>
  <c r="BC46" i="10"/>
  <c r="BC28" i="10" s="1"/>
  <c r="BC46" i="14"/>
  <c r="BC28" i="14" s="1"/>
  <c r="BJ16" i="10"/>
  <c r="BJ17" i="10" s="1"/>
  <c r="BJ16" i="14"/>
  <c r="BH28" i="8"/>
  <c r="BK89" i="8"/>
  <c r="BK92" i="10"/>
  <c r="BK92" i="14"/>
  <c r="BK46" i="10"/>
  <c r="BK28" i="10" s="1"/>
  <c r="BK46" i="14"/>
  <c r="BK52" i="14" s="1"/>
  <c r="BK28" i="1"/>
  <c r="BJ73" i="14"/>
  <c r="BJ73" i="10"/>
  <c r="BE77" i="14"/>
  <c r="BE77" i="10"/>
  <c r="BI95" i="14"/>
  <c r="BI96" i="14" s="1"/>
  <c r="BI96" i="1"/>
  <c r="BI95" i="10"/>
  <c r="BI96" i="10" s="1"/>
  <c r="BC95" i="10"/>
  <c r="BC96" i="10" s="1"/>
  <c r="BC96" i="1"/>
  <c r="BC95" i="14"/>
  <c r="BC96" i="14" s="1"/>
  <c r="BF77" i="14"/>
  <c r="BF77" i="10"/>
  <c r="BK78" i="10"/>
  <c r="BK78" i="14"/>
  <c r="BG41" i="9"/>
  <c r="BG50" i="9"/>
  <c r="BG20" i="9"/>
  <c r="BG32" i="9" s="1"/>
  <c r="BD93" i="8"/>
  <c r="BD26" i="1"/>
  <c r="BD44" i="10"/>
  <c r="BD26" i="10" s="1"/>
  <c r="BD44" i="14"/>
  <c r="BD47" i="1"/>
  <c r="BB28" i="8"/>
  <c r="BB34" i="8" s="1"/>
  <c r="BA17" i="8"/>
  <c r="BD45" i="10"/>
  <c r="BD45" i="14"/>
  <c r="BD27" i="1"/>
  <c r="BD33" i="1" s="1"/>
  <c r="BI83" i="9"/>
  <c r="BE78" i="10"/>
  <c r="BE78" i="14"/>
  <c r="BF93" i="1"/>
  <c r="BF91" i="14"/>
  <c r="BF91" i="10"/>
  <c r="BE89" i="1"/>
  <c r="BE86" i="14"/>
  <c r="BE86" i="10"/>
  <c r="BD58" i="8"/>
  <c r="BD57" i="14"/>
  <c r="BD58" i="14" s="1"/>
  <c r="BD57" i="10"/>
  <c r="BB96" i="8"/>
  <c r="BA27" i="9"/>
  <c r="BF47" i="8"/>
  <c r="BF26" i="8"/>
  <c r="BK86" i="14"/>
  <c r="BK89" i="14" s="1"/>
  <c r="BK86" i="10"/>
  <c r="BK89" i="1"/>
  <c r="BH81" i="10"/>
  <c r="BH81" i="14"/>
  <c r="BG64" i="14"/>
  <c r="BG64" i="10"/>
  <c r="BF78" i="14"/>
  <c r="BF78" i="10"/>
  <c r="BK91" i="10"/>
  <c r="BK91" i="14"/>
  <c r="BK93" i="1"/>
  <c r="BA89" i="8"/>
  <c r="BD65" i="14"/>
  <c r="BD65" i="10"/>
  <c r="BG69" i="14"/>
  <c r="BG69" i="10"/>
  <c r="BH78" i="10"/>
  <c r="BH78" i="14"/>
  <c r="BA28" i="8"/>
  <c r="BA34" i="8" s="1"/>
  <c r="BE87" i="10"/>
  <c r="BE87" i="14"/>
  <c r="BD92" i="14"/>
  <c r="BD92" i="10"/>
  <c r="AZ87" i="14"/>
  <c r="AZ87" i="10"/>
  <c r="AZ89" i="10" s="1"/>
  <c r="AZ58" i="9"/>
  <c r="BH26" i="1"/>
  <c r="BH44" i="10"/>
  <c r="BH44" i="14"/>
  <c r="BH47" i="1"/>
  <c r="BK50" i="1"/>
  <c r="BK20" i="1"/>
  <c r="BK38" i="10"/>
  <c r="BK41" i="10" s="1"/>
  <c r="BK38" i="14"/>
  <c r="BK50" i="14" s="1"/>
  <c r="BK41" i="1"/>
  <c r="BK23" i="1" s="1"/>
  <c r="BD95" i="14"/>
  <c r="BD96" i="14" s="1"/>
  <c r="BD95" i="10"/>
  <c r="BD96" i="1"/>
  <c r="BG92" i="10"/>
  <c r="BG92" i="14"/>
  <c r="BG93" i="14" s="1"/>
  <c r="BK73" i="14"/>
  <c r="BK73" i="10"/>
  <c r="BI9" i="10"/>
  <c r="BI9" i="14"/>
  <c r="BE10" i="10"/>
  <c r="BE11" i="10" s="1"/>
  <c r="BE10" i="14"/>
  <c r="BA8" i="10"/>
  <c r="BA11" i="1"/>
  <c r="BP102" i="1" s="1"/>
  <c r="BA8" i="14"/>
  <c r="BA11" i="14" s="1"/>
  <c r="BF27" i="1"/>
  <c r="BF45" i="14"/>
  <c r="BF51" i="14" s="1"/>
  <c r="BF45" i="10"/>
  <c r="BK45" i="10"/>
  <c r="BK27" i="10" s="1"/>
  <c r="BK45" i="14"/>
  <c r="BK27" i="14" s="1"/>
  <c r="BK27" i="1"/>
  <c r="BK56" i="14"/>
  <c r="BK58" i="14" s="1"/>
  <c r="BK56" i="10"/>
  <c r="BK58" i="10" s="1"/>
  <c r="BK58" i="1"/>
  <c r="AZ93" i="9"/>
  <c r="BI11" i="8"/>
  <c r="AZ58" i="8"/>
  <c r="BF22" i="9"/>
  <c r="BF52" i="9"/>
  <c r="BD21" i="9"/>
  <c r="BD51" i="9"/>
  <c r="BC89" i="9"/>
  <c r="BG56" i="10"/>
  <c r="BG58" i="10" s="1"/>
  <c r="BG58" i="1"/>
  <c r="BG56" i="14"/>
  <c r="BA93" i="1"/>
  <c r="BA91" i="10"/>
  <c r="BA93" i="10" s="1"/>
  <c r="BA91" i="14"/>
  <c r="BE50" i="8"/>
  <c r="BE41" i="8"/>
  <c r="BE53" i="8" s="1"/>
  <c r="BE20" i="8"/>
  <c r="BF83" i="8"/>
  <c r="BK11" i="9"/>
  <c r="BJ10" i="10"/>
  <c r="BJ10" i="14"/>
  <c r="BG68" i="14"/>
  <c r="BG68" i="10"/>
  <c r="BA16" i="14"/>
  <c r="BP16" i="14" s="1"/>
  <c r="BA16" i="10"/>
  <c r="BA28" i="10" s="1"/>
  <c r="BC27" i="8"/>
  <c r="BA27" i="8"/>
  <c r="BC70" i="14"/>
  <c r="BC70" i="10"/>
  <c r="BC58" i="1"/>
  <c r="BC56" i="14"/>
  <c r="BC58" i="14" s="1"/>
  <c r="BC56" i="10"/>
  <c r="BC58" i="10" s="1"/>
  <c r="BB52" i="1"/>
  <c r="BB40" i="10"/>
  <c r="BB22" i="1"/>
  <c r="BB40" i="14"/>
  <c r="BB22" i="14" s="1"/>
  <c r="BI69" i="10"/>
  <c r="BI69" i="14"/>
  <c r="BH14" i="14"/>
  <c r="BH17" i="14" s="1"/>
  <c r="BH14" i="10"/>
  <c r="BH20" i="10" s="1"/>
  <c r="BH17" i="1"/>
  <c r="BH29" i="1" s="1"/>
  <c r="BH58" i="9"/>
  <c r="BB88" i="10"/>
  <c r="BB88" i="14"/>
  <c r="BC69" i="10"/>
  <c r="BC69" i="14"/>
  <c r="BI40" i="14"/>
  <c r="BI40" i="10"/>
  <c r="BI22" i="10" s="1"/>
  <c r="BI34" i="10" s="1"/>
  <c r="BI52" i="1"/>
  <c r="BI22" i="1"/>
  <c r="BK28" i="8"/>
  <c r="AZ65" i="10"/>
  <c r="AZ65" i="14"/>
  <c r="BA9" i="14"/>
  <c r="BA9" i="10"/>
  <c r="BA11" i="10" s="1"/>
  <c r="BJ64" i="10"/>
  <c r="BJ64" i="14"/>
  <c r="BJ83" i="14" s="1"/>
  <c r="BB51" i="9"/>
  <c r="BB21" i="9"/>
  <c r="BK44" i="14"/>
  <c r="BK44" i="10"/>
  <c r="BK47" i="1"/>
  <c r="BK29" i="1" s="1"/>
  <c r="BK26" i="1"/>
  <c r="BF17" i="9"/>
  <c r="BG27" i="9"/>
  <c r="BC80" i="10"/>
  <c r="BC80" i="14"/>
  <c r="BJ28" i="1"/>
  <c r="BJ46" i="14"/>
  <c r="BJ46" i="10"/>
  <c r="BK27" i="8"/>
  <c r="BB26" i="9"/>
  <c r="BB32" i="9" s="1"/>
  <c r="BB47" i="9"/>
  <c r="BB68" i="14"/>
  <c r="BB68" i="10"/>
  <c r="BK47" i="8"/>
  <c r="BK26" i="8"/>
  <c r="BA66" i="14"/>
  <c r="BP66" i="14" s="1"/>
  <c r="BA66" i="10"/>
  <c r="BI86" i="14"/>
  <c r="BI86" i="10"/>
  <c r="BI89" i="10" s="1"/>
  <c r="BI89" i="1"/>
  <c r="BB58" i="8"/>
  <c r="BF58" i="9"/>
  <c r="BE22" i="8"/>
  <c r="BE52" i="8"/>
  <c r="AZ40" i="10"/>
  <c r="BP40" i="10" s="1"/>
  <c r="AZ22" i="1"/>
  <c r="AZ34" i="1" s="1"/>
  <c r="AZ52" i="1"/>
  <c r="AZ40" i="14"/>
  <c r="BD64" i="10"/>
  <c r="BD64" i="14"/>
  <c r="BI8" i="10"/>
  <c r="BI8" i="14"/>
  <c r="BI11" i="14" s="1"/>
  <c r="BI11" i="1"/>
  <c r="BI68" i="10"/>
  <c r="BI68" i="14"/>
  <c r="BJ56" i="14"/>
  <c r="BJ58" i="1"/>
  <c r="BJ56" i="10"/>
  <c r="BC22" i="8"/>
  <c r="BC34" i="8" s="1"/>
  <c r="BC52" i="8"/>
  <c r="BD11" i="9"/>
  <c r="BP8" i="9"/>
  <c r="BE92" i="10"/>
  <c r="BE92" i="14"/>
  <c r="BB38" i="10"/>
  <c r="BB20" i="10" s="1"/>
  <c r="BB38" i="14"/>
  <c r="BB20" i="1"/>
  <c r="BB50" i="1"/>
  <c r="BB41" i="1"/>
  <c r="BI15" i="10"/>
  <c r="BI27" i="10" s="1"/>
  <c r="BI15" i="14"/>
  <c r="BI17" i="14" s="1"/>
  <c r="BC63" i="10"/>
  <c r="BC63" i="14"/>
  <c r="BC83" i="1"/>
  <c r="BC51" i="9"/>
  <c r="BC21" i="9"/>
  <c r="BC33" i="9" s="1"/>
  <c r="BJ20" i="9"/>
  <c r="BJ41" i="9"/>
  <c r="BJ53" i="9" s="1"/>
  <c r="BJ60" i="9" s="1"/>
  <c r="BJ98" i="9" s="1"/>
  <c r="BJ50" i="9"/>
  <c r="BG67" i="14"/>
  <c r="BG67" i="10"/>
  <c r="BG58" i="9"/>
  <c r="BF17" i="1"/>
  <c r="BF14" i="14"/>
  <c r="BF17" i="14" s="1"/>
  <c r="BF14" i="10"/>
  <c r="BF26" i="10" s="1"/>
  <c r="BE63" i="14"/>
  <c r="BE83" i="14" s="1"/>
  <c r="BE63" i="10"/>
  <c r="BE83" i="10" s="1"/>
  <c r="BE83" i="1"/>
  <c r="BE88" i="14"/>
  <c r="BE88" i="10"/>
  <c r="BJ8" i="10"/>
  <c r="BJ8" i="14"/>
  <c r="BJ11" i="1"/>
  <c r="BK102" i="1" s="1"/>
  <c r="BG26" i="8"/>
  <c r="BG32" i="8" s="1"/>
  <c r="BG47" i="8"/>
  <c r="BG29" i="8" s="1"/>
  <c r="BG89" i="9"/>
  <c r="BB70" i="14"/>
  <c r="BB70" i="10"/>
  <c r="BH89" i="9"/>
  <c r="BE72" i="10"/>
  <c r="BE72" i="14"/>
  <c r="BF28" i="9"/>
  <c r="BJ82" i="10"/>
  <c r="BJ83" i="10" s="1"/>
  <c r="BJ82" i="14"/>
  <c r="BA77" i="10"/>
  <c r="BA77" i="14"/>
  <c r="BC71" i="10"/>
  <c r="BC71" i="14"/>
  <c r="BI87" i="10"/>
  <c r="BI87" i="14"/>
  <c r="BE27" i="9"/>
  <c r="BE33" i="9" s="1"/>
  <c r="BJ96" i="9"/>
  <c r="BB44" i="14"/>
  <c r="BB47" i="1"/>
  <c r="BB26" i="1"/>
  <c r="BB44" i="10"/>
  <c r="BE95" i="10"/>
  <c r="BE96" i="10" s="1"/>
  <c r="BE95" i="14"/>
  <c r="BE96" i="14" s="1"/>
  <c r="BE96" i="1"/>
  <c r="BA72" i="10"/>
  <c r="BA72" i="14"/>
  <c r="BD16" i="10"/>
  <c r="BD16" i="14"/>
  <c r="AZ20" i="8"/>
  <c r="AZ50" i="8"/>
  <c r="AZ41" i="8"/>
  <c r="AZ53" i="8" s="1"/>
  <c r="AZ60" i="8" s="1"/>
  <c r="AZ98" i="8" s="1"/>
  <c r="BJ87" i="10"/>
  <c r="BJ89" i="10" s="1"/>
  <c r="BJ87" i="14"/>
  <c r="AZ89" i="9"/>
  <c r="BB27" i="9"/>
  <c r="BK80" i="10"/>
  <c r="BK80" i="14"/>
  <c r="BK66" i="10"/>
  <c r="BK66" i="14"/>
  <c r="BD51" i="8"/>
  <c r="BD21" i="8"/>
  <c r="BD33" i="8" s="1"/>
  <c r="BJ96" i="8"/>
  <c r="BC58" i="8"/>
  <c r="BC20" i="8"/>
  <c r="BC50" i="8"/>
  <c r="BC41" i="8"/>
  <c r="BC23" i="8" s="1"/>
  <c r="BH71" i="10"/>
  <c r="BH71" i="14"/>
  <c r="BA68" i="14"/>
  <c r="BA68" i="10"/>
  <c r="BA21" i="1"/>
  <c r="BA33" i="1" s="1"/>
  <c r="BA51" i="1"/>
  <c r="BA39" i="14"/>
  <c r="BA51" i="14" s="1"/>
  <c r="BA39" i="10"/>
  <c r="BA41" i="10" s="1"/>
  <c r="BG52" i="1"/>
  <c r="BG40" i="10"/>
  <c r="BG41" i="10" s="1"/>
  <c r="BG22" i="1"/>
  <c r="BG34" i="1" s="1"/>
  <c r="BG40" i="14"/>
  <c r="BG52" i="14" s="1"/>
  <c r="BI22" i="8"/>
  <c r="BI52" i="8"/>
  <c r="BC11" i="9"/>
  <c r="BC102" i="9" s="1"/>
  <c r="BG71" i="14"/>
  <c r="BG71" i="10"/>
  <c r="BD17" i="1"/>
  <c r="BD23" i="1" s="1"/>
  <c r="BD14" i="10"/>
  <c r="BD14" i="14"/>
  <c r="BK76" i="10"/>
  <c r="BK76" i="14"/>
  <c r="BJ20" i="8"/>
  <c r="BJ50" i="8"/>
  <c r="BJ41" i="8"/>
  <c r="BJ53" i="8" s="1"/>
  <c r="BJ60" i="8" s="1"/>
  <c r="BJ98" i="8" s="1"/>
  <c r="BD83" i="9"/>
  <c r="BA89" i="9"/>
  <c r="BK29" i="9"/>
  <c r="BA23" i="1"/>
  <c r="BA35" i="1" s="1"/>
  <c r="BF11" i="14"/>
  <c r="BC102" i="1"/>
  <c r="AZ23" i="8"/>
  <c r="BC11" i="14"/>
  <c r="BJ41" i="14"/>
  <c r="BJ23" i="14" s="1"/>
  <c r="BD32" i="1"/>
  <c r="BA32" i="8"/>
  <c r="BB89" i="14"/>
  <c r="BH11" i="10"/>
  <c r="AZ22" i="10"/>
  <c r="BI26" i="14"/>
  <c r="BK22" i="10"/>
  <c r="BK34" i="10" s="1"/>
  <c r="BA23" i="8"/>
  <c r="BG50" i="14"/>
  <c r="BD34" i="9"/>
  <c r="BH26" i="10"/>
  <c r="AZ33" i="9"/>
  <c r="BB58" i="14"/>
  <c r="BF28" i="10"/>
  <c r="BK34" i="1"/>
  <c r="BB22" i="10"/>
  <c r="BB27" i="10"/>
  <c r="BB21" i="10"/>
  <c r="BD17" i="14"/>
  <c r="BA47" i="14"/>
  <c r="BJ22" i="14"/>
  <c r="AZ17" i="10"/>
  <c r="BD29" i="1"/>
  <c r="BH58" i="14"/>
  <c r="BF29" i="1"/>
  <c r="BE34" i="8"/>
  <c r="BD32" i="8"/>
  <c r="BK89" i="10"/>
  <c r="AZ93" i="14"/>
  <c r="BA26" i="14"/>
  <c r="BG33" i="8"/>
  <c r="BC27" i="10"/>
  <c r="BH22" i="14"/>
  <c r="AZ58" i="14"/>
  <c r="BG23" i="9"/>
  <c r="BE20" i="10"/>
  <c r="BB29" i="8"/>
  <c r="BH89" i="10"/>
  <c r="BH29" i="9"/>
  <c r="BG28" i="14"/>
  <c r="AZ53" i="1"/>
  <c r="AZ60" i="1" s="1"/>
  <c r="AZ83" i="10"/>
  <c r="BI33" i="1"/>
  <c r="BK23" i="9"/>
  <c r="BE22" i="14"/>
  <c r="BA93" i="14"/>
  <c r="BA52" i="14"/>
  <c r="BJ20" i="14"/>
  <c r="BE28" i="10"/>
  <c r="BB23" i="8"/>
  <c r="BB35" i="8" s="1"/>
  <c r="BE29" i="9"/>
  <c r="BJ102" i="8"/>
  <c r="BB102" i="8"/>
  <c r="BB58" i="10"/>
  <c r="BJ22" i="10"/>
  <c r="BH34" i="1"/>
  <c r="BC21" i="10"/>
  <c r="BC33" i="10" s="1"/>
  <c r="BI53" i="9"/>
  <c r="BI60" i="9" s="1"/>
  <c r="BI98" i="9" s="1"/>
  <c r="BB41" i="14"/>
  <c r="BE33" i="8"/>
  <c r="BI52" i="14"/>
  <c r="BA21" i="10"/>
  <c r="BA33" i="10" s="1"/>
  <c r="BE28" i="14"/>
  <c r="BE102" i="8"/>
  <c r="AZ22" i="14"/>
  <c r="BE29" i="8"/>
  <c r="BF34" i="9"/>
  <c r="BB11" i="10"/>
  <c r="BK34" i="8"/>
  <c r="BC53" i="9"/>
  <c r="BC60" i="9" s="1"/>
  <c r="BK47" i="10"/>
  <c r="BK26" i="10"/>
  <c r="BD20" i="10"/>
  <c r="AZ47" i="10"/>
  <c r="BH32" i="9"/>
  <c r="BF53" i="9"/>
  <c r="BF60" i="9" s="1"/>
  <c r="BF23" i="9"/>
  <c r="BD27" i="14"/>
  <c r="BE58" i="14"/>
  <c r="BB47" i="14"/>
  <c r="BB52" i="14"/>
  <c r="BF32" i="8"/>
  <c r="BG53" i="8"/>
  <c r="BG60" i="8" s="1"/>
  <c r="BG98" i="8" s="1"/>
  <c r="AZ29" i="1"/>
  <c r="AZ35" i="1" s="1"/>
  <c r="BA28" i="14"/>
  <c r="BD34" i="1"/>
  <c r="BA102" i="8"/>
  <c r="AZ102" i="8"/>
  <c r="BJ28" i="10"/>
  <c r="BJ34" i="10" s="1"/>
  <c r="BC29" i="8"/>
  <c r="BD11" i="10"/>
  <c r="BB26" i="14"/>
  <c r="BB20" i="14"/>
  <c r="BH89" i="14"/>
  <c r="BJ93" i="14"/>
  <c r="BI33" i="8"/>
  <c r="BJ26" i="14"/>
  <c r="BJ50" i="14"/>
  <c r="BG32" i="1"/>
  <c r="AZ28" i="14"/>
  <c r="BE22" i="10"/>
  <c r="BE34" i="10" s="1"/>
  <c r="BB29" i="9"/>
  <c r="BE27" i="10"/>
  <c r="BC22" i="10"/>
  <c r="BP102" i="8"/>
  <c r="BF53" i="1"/>
  <c r="BF60" i="1" s="1"/>
  <c r="BF98" i="1" s="1"/>
  <c r="BH23" i="8"/>
  <c r="AZ23" i="9"/>
  <c r="BE20" i="14"/>
  <c r="BE21" i="14"/>
  <c r="BD22" i="14"/>
  <c r="BK26" i="14"/>
  <c r="BB28" i="14"/>
  <c r="BB102" i="1"/>
  <c r="BA29" i="9"/>
  <c r="BA35" i="9" s="1"/>
  <c r="BH33" i="9"/>
  <c r="AZ33" i="8"/>
  <c r="BC93" i="10"/>
  <c r="BB33" i="9"/>
  <c r="BB23" i="1"/>
  <c r="BG53" i="9"/>
  <c r="BG60" i="9" s="1"/>
  <c r="BG98" i="9" s="1"/>
  <c r="AZ93" i="10"/>
  <c r="BD17" i="10"/>
  <c r="BF47" i="14"/>
  <c r="BF52" i="14"/>
  <c r="BF22" i="14"/>
  <c r="BC53" i="8"/>
  <c r="BC60" i="8" s="1"/>
  <c r="AZ41" i="10"/>
  <c r="AZ23" i="10" s="1"/>
  <c r="BJ34" i="1"/>
  <c r="BD53" i="8"/>
  <c r="BD60" i="8" s="1"/>
  <c r="BJ58" i="14"/>
  <c r="BI34" i="8"/>
  <c r="BE102" i="9"/>
  <c r="BF89" i="14"/>
  <c r="BJ11" i="10"/>
  <c r="BH21" i="10"/>
  <c r="BH41" i="10"/>
  <c r="BK20" i="14"/>
  <c r="BC26" i="14"/>
  <c r="BD93" i="10"/>
  <c r="BI17" i="10"/>
  <c r="BI21" i="10"/>
  <c r="BG23" i="1"/>
  <c r="BH50" i="14"/>
  <c r="BG22" i="14"/>
  <c r="BG34" i="14" s="1"/>
  <c r="BD27" i="10"/>
  <c r="BA53" i="1"/>
  <c r="BA60" i="1" s="1"/>
  <c r="BA98" i="1" s="1"/>
  <c r="BI53" i="8"/>
  <c r="BI60" i="8" s="1"/>
  <c r="BI98" i="8" s="1"/>
  <c r="BE32" i="8"/>
  <c r="AZ52" i="14"/>
  <c r="BH53" i="9"/>
  <c r="BH60" i="9" s="1"/>
  <c r="BH98" i="9" s="1"/>
  <c r="BB41" i="10"/>
  <c r="BB23" i="10" s="1"/>
  <c r="BE60" i="8"/>
  <c r="BE98" i="8" s="1"/>
  <c r="BG47" i="14"/>
  <c r="BE58" i="10"/>
  <c r="BA33" i="9"/>
  <c r="BB32" i="1"/>
  <c r="BE89" i="10"/>
  <c r="BD96" i="10"/>
  <c r="BG34" i="8"/>
  <c r="BP102" i="9"/>
  <c r="BP10" i="10"/>
  <c r="BA102" i="1"/>
  <c r="BC33" i="1"/>
  <c r="BB33" i="1"/>
  <c r="BJ34" i="8"/>
  <c r="BK29" i="8"/>
  <c r="BK93" i="10"/>
  <c r="BB34" i="14"/>
  <c r="BS4" i="14"/>
  <c r="BS3" i="14"/>
  <c r="BT3" i="14"/>
  <c r="BT4" i="14"/>
  <c r="BP3" i="14"/>
  <c r="BP72" i="14"/>
  <c r="BP75" i="14"/>
  <c r="BP92" i="14"/>
  <c r="BP88" i="14"/>
  <c r="BP39" i="14"/>
  <c r="BP4" i="14"/>
  <c r="BP56" i="14"/>
  <c r="BP64" i="14"/>
  <c r="BP91" i="14"/>
  <c r="BP95" i="14"/>
  <c r="BP96" i="14" s="1"/>
  <c r="J3" i="13"/>
  <c r="Q3" i="13"/>
  <c r="W3" i="13" s="1"/>
  <c r="M3" i="13"/>
  <c r="T3" i="13"/>
  <c r="Z3" i="13" s="1"/>
  <c r="N3" i="13"/>
  <c r="U3" i="13"/>
  <c r="AA3" i="13" s="1"/>
  <c r="K3" i="13"/>
  <c r="R3" i="13"/>
  <c r="X3" i="13" s="1"/>
  <c r="BS3" i="10"/>
  <c r="BS4" i="10"/>
  <c r="BT3" i="10"/>
  <c r="BT4" i="10"/>
  <c r="BP3" i="10"/>
  <c r="BP4" i="10"/>
  <c r="BP15" i="10"/>
  <c r="BX15" i="10"/>
  <c r="BX16" i="10"/>
  <c r="BP45" i="10"/>
  <c r="BP38" i="10"/>
  <c r="BP76" i="10"/>
  <c r="BP77" i="10"/>
  <c r="BP65" i="10"/>
  <c r="BP70" i="10"/>
  <c r="BP72" i="10"/>
  <c r="BP91" i="10"/>
  <c r="BP95" i="10"/>
  <c r="BP75" i="10"/>
  <c r="BP82" i="10"/>
  <c r="BP68" i="10"/>
  <c r="BP88" i="10"/>
  <c r="BR4" i="10"/>
  <c r="BR3" i="10"/>
  <c r="BQ3" i="10"/>
  <c r="BQ4" i="10"/>
  <c r="BR3" i="9"/>
  <c r="BR4" i="9"/>
  <c r="BP14" i="9"/>
  <c r="BP15" i="9"/>
  <c r="BX15" i="9"/>
  <c r="BP3" i="9"/>
  <c r="BP4" i="9"/>
  <c r="BX14" i="9"/>
  <c r="BP16" i="9"/>
  <c r="BX16" i="9"/>
  <c r="BP40" i="9"/>
  <c r="BP44" i="9"/>
  <c r="BP45" i="9"/>
  <c r="BP46" i="9"/>
  <c r="BP66" i="9"/>
  <c r="BP67" i="9"/>
  <c r="BP68" i="9"/>
  <c r="BP56" i="9"/>
  <c r="BP63" i="9"/>
  <c r="BP64" i="9"/>
  <c r="BP75" i="9"/>
  <c r="BP80" i="9"/>
  <c r="BP74" i="9"/>
  <c r="BP79" i="9"/>
  <c r="BP38" i="9"/>
  <c r="BP65" i="9"/>
  <c r="BP69" i="9"/>
  <c r="BP76" i="9"/>
  <c r="BP87" i="9"/>
  <c r="BP91" i="9"/>
  <c r="BP92" i="9"/>
  <c r="BP39" i="9"/>
  <c r="BP73" i="9"/>
  <c r="BP77" i="9"/>
  <c r="BP82" i="9"/>
  <c r="BP88" i="9"/>
  <c r="BP70" i="9"/>
  <c r="BP72" i="9"/>
  <c r="BP81" i="9"/>
  <c r="BP86" i="9"/>
  <c r="BP95" i="9"/>
  <c r="BP96" i="9" s="1"/>
  <c r="BP57" i="9"/>
  <c r="BP71" i="9"/>
  <c r="BP78" i="9"/>
  <c r="BS3" i="9"/>
  <c r="BS4" i="9"/>
  <c r="BQ4" i="9"/>
  <c r="BQ3" i="9"/>
  <c r="BT3" i="9"/>
  <c r="BT4" i="9"/>
  <c r="BQ3" i="8"/>
  <c r="BQ4" i="8"/>
  <c r="BT3" i="8"/>
  <c r="BT4" i="8"/>
  <c r="BS4" i="8"/>
  <c r="BS3" i="8"/>
  <c r="BP14" i="8"/>
  <c r="BP38" i="8"/>
  <c r="BP39" i="8"/>
  <c r="BP40" i="8"/>
  <c r="BP44" i="8"/>
  <c r="BP45" i="8"/>
  <c r="BP46" i="8"/>
  <c r="BP63" i="8"/>
  <c r="BP64" i="8"/>
  <c r="BP65" i="8"/>
  <c r="BP66" i="8"/>
  <c r="BP67" i="8"/>
  <c r="BP72" i="8"/>
  <c r="BP73" i="8"/>
  <c r="BP74" i="8"/>
  <c r="BP75" i="8"/>
  <c r="BP82" i="8"/>
  <c r="BP86" i="8"/>
  <c r="BP76" i="8"/>
  <c r="BP80" i="8"/>
  <c r="BP87" i="8"/>
  <c r="BP91" i="8"/>
  <c r="BP70" i="8"/>
  <c r="BP71" i="8"/>
  <c r="BP77" i="8"/>
  <c r="BP78" i="8"/>
  <c r="BP79" i="8"/>
  <c r="BP88" i="8"/>
  <c r="BP56" i="8"/>
  <c r="BP68" i="8"/>
  <c r="BP69" i="8"/>
  <c r="BP81" i="8"/>
  <c r="BP92" i="8"/>
  <c r="BP95" i="8"/>
  <c r="BP96" i="8" s="1"/>
  <c r="BP57" i="8"/>
  <c r="BP3" i="8"/>
  <c r="BP4" i="8"/>
  <c r="BX14" i="8"/>
  <c r="BP15" i="8"/>
  <c r="BX15" i="8"/>
  <c r="BP16" i="8"/>
  <c r="BX16" i="8"/>
  <c r="BR4" i="8"/>
  <c r="BR3" i="8"/>
  <c r="BP11" i="8"/>
  <c r="BT4" i="1"/>
  <c r="BT3" i="1"/>
  <c r="BS3" i="1"/>
  <c r="BS4" i="1"/>
  <c r="BR3" i="1"/>
  <c r="BR4" i="1"/>
  <c r="BQ3" i="1"/>
  <c r="BQ4" i="1"/>
  <c r="BP3" i="1"/>
  <c r="BP4" i="1"/>
  <c r="BX16" i="1"/>
  <c r="BX15" i="1"/>
  <c r="BX14" i="1"/>
  <c r="BP78" i="1"/>
  <c r="BP56" i="1"/>
  <c r="BP79" i="1"/>
  <c r="BP95" i="1"/>
  <c r="BP96" i="1" s="1"/>
  <c r="BP72" i="1"/>
  <c r="BP77" i="1"/>
  <c r="BP64" i="1"/>
  <c r="BP81" i="1"/>
  <c r="BP46" i="1"/>
  <c r="BP71" i="1"/>
  <c r="BP38" i="1"/>
  <c r="BP45" i="1"/>
  <c r="BP91" i="1"/>
  <c r="BP57" i="1"/>
  <c r="BP70" i="1"/>
  <c r="BP44" i="1"/>
  <c r="BP82" i="1"/>
  <c r="BP76" i="1"/>
  <c r="BP88" i="1"/>
  <c r="BP69" i="1"/>
  <c r="BP75" i="1"/>
  <c r="BP87" i="1"/>
  <c r="BP68" i="1"/>
  <c r="BP67" i="1"/>
  <c r="BP74" i="1"/>
  <c r="BP65" i="1"/>
  <c r="BP40" i="1"/>
  <c r="BP66" i="1"/>
  <c r="BP86" i="1"/>
  <c r="BP39" i="1"/>
  <c r="BP63" i="1"/>
  <c r="BP80" i="1"/>
  <c r="BP73" i="1"/>
  <c r="BP92" i="1"/>
  <c r="BP15" i="1"/>
  <c r="BP16" i="1"/>
  <c r="BP14" i="1"/>
  <c r="BP11" i="1"/>
  <c r="AL38" i="1"/>
  <c r="AG86" i="1"/>
  <c r="AJ92" i="1"/>
  <c r="AE67" i="1"/>
  <c r="AE73" i="1"/>
  <c r="K68" i="1"/>
  <c r="AR40" i="1"/>
  <c r="AR8" i="1"/>
  <c r="U65" i="1"/>
  <c r="AI91" i="1"/>
  <c r="AN46" i="1"/>
  <c r="P10" i="8"/>
  <c r="K44" i="8"/>
  <c r="AV86" i="1"/>
  <c r="L80" i="1"/>
  <c r="R95" i="1"/>
  <c r="Y9" i="1"/>
  <c r="AH72" i="1"/>
  <c r="N75" i="1"/>
  <c r="AD66" i="1"/>
  <c r="R67" i="1"/>
  <c r="AN64" i="8"/>
  <c r="AL71" i="1"/>
  <c r="F92" i="1"/>
  <c r="AM86" i="1"/>
  <c r="S75" i="1"/>
  <c r="J87" i="1"/>
  <c r="H67" i="1"/>
  <c r="F39" i="8"/>
  <c r="Q8" i="1"/>
  <c r="U46" i="1"/>
  <c r="W45" i="8"/>
  <c r="AY70" i="1"/>
  <c r="Q64" i="1"/>
  <c r="W78" i="1"/>
  <c r="AM45" i="1"/>
  <c r="G88" i="1"/>
  <c r="AX64" i="1"/>
  <c r="AD68" i="1"/>
  <c r="I88" i="1"/>
  <c r="F88" i="1"/>
  <c r="Y71" i="1"/>
  <c r="J39" i="1"/>
  <c r="AB82" i="8"/>
  <c r="E44" i="9"/>
  <c r="AW81" i="1"/>
  <c r="K65" i="8"/>
  <c r="Q40" i="1"/>
  <c r="I39" i="1"/>
  <c r="E86" i="8"/>
  <c r="I79" i="1"/>
  <c r="AR46" i="1"/>
  <c r="AP75" i="1"/>
  <c r="AC73" i="8"/>
  <c r="X80" i="1"/>
  <c r="U44" i="1"/>
  <c r="AS92" i="1"/>
  <c r="AE88" i="1"/>
  <c r="H70" i="1"/>
  <c r="AD63" i="1"/>
  <c r="AC65" i="1"/>
  <c r="AD65" i="1"/>
  <c r="AU70" i="1"/>
  <c r="AT86" i="1"/>
  <c r="Z64" i="1"/>
  <c r="E71" i="1"/>
  <c r="AP45" i="1"/>
  <c r="AI44" i="1"/>
  <c r="AM72" i="1"/>
  <c r="AP95" i="1"/>
  <c r="AI64" i="1"/>
  <c r="T91" i="1"/>
  <c r="Z76" i="1"/>
  <c r="O67" i="1"/>
  <c r="F38" i="1"/>
  <c r="J57" i="1"/>
  <c r="AM46" i="1"/>
  <c r="G95" i="1"/>
  <c r="K78" i="8"/>
  <c r="T80" i="1"/>
  <c r="AL15" i="1"/>
  <c r="Q66" i="1"/>
  <c r="F73" i="1"/>
  <c r="AY56" i="8"/>
  <c r="AJ8" i="8"/>
  <c r="R77" i="8"/>
  <c r="D76" i="1"/>
  <c r="AU69" i="8"/>
  <c r="E79" i="1"/>
  <c r="I67" i="1"/>
  <c r="AM82" i="8"/>
  <c r="AV10" i="1"/>
  <c r="AY56" i="1"/>
  <c r="AC82" i="8"/>
  <c r="AP65" i="1"/>
  <c r="AG88" i="1"/>
  <c r="M82" i="1"/>
  <c r="AH38" i="1"/>
  <c r="Z14" i="1"/>
  <c r="S65" i="1"/>
  <c r="I64" i="1"/>
  <c r="AC44" i="8"/>
  <c r="L71" i="8"/>
  <c r="AK95" i="8"/>
  <c r="AI95" i="1"/>
  <c r="I56" i="1"/>
  <c r="G64" i="1"/>
  <c r="E88" i="1"/>
  <c r="M67" i="1"/>
  <c r="M70" i="8"/>
  <c r="Y95" i="8"/>
  <c r="L56" i="1"/>
  <c r="M8" i="1"/>
  <c r="AH14" i="1"/>
  <c r="AR16" i="1"/>
  <c r="AJ73" i="1"/>
  <c r="I71" i="1"/>
  <c r="AN66" i="1"/>
  <c r="Q39" i="8"/>
  <c r="AF15" i="1"/>
  <c r="Z91" i="1"/>
  <c r="D75" i="1"/>
  <c r="AT10" i="1"/>
  <c r="W73" i="1"/>
  <c r="AX65" i="1"/>
  <c r="AJ81" i="8"/>
  <c r="N74" i="1"/>
  <c r="AI45" i="8"/>
  <c r="F78" i="1"/>
  <c r="AF38" i="1"/>
  <c r="AV68" i="1"/>
  <c r="V82" i="1"/>
  <c r="X76" i="1"/>
  <c r="AK73" i="1"/>
  <c r="AB8" i="1"/>
  <c r="Z46" i="8"/>
  <c r="O57" i="1"/>
  <c r="AW88" i="1"/>
  <c r="AO80" i="1"/>
  <c r="AD73" i="8"/>
  <c r="AR44" i="1"/>
  <c r="AW95" i="8"/>
  <c r="I44" i="1"/>
  <c r="T79" i="1"/>
  <c r="D82" i="1"/>
  <c r="Y40" i="1"/>
  <c r="AE57" i="1"/>
  <c r="L46" i="1"/>
  <c r="AO9" i="1"/>
  <c r="AR45" i="8"/>
  <c r="AS95" i="1"/>
  <c r="G72" i="1"/>
  <c r="AF57" i="1"/>
  <c r="AQ45" i="1"/>
  <c r="AU80" i="1"/>
  <c r="AH63" i="8"/>
  <c r="AP69" i="1"/>
  <c r="X91" i="1"/>
  <c r="AT75" i="1"/>
  <c r="AH79" i="1"/>
  <c r="L95" i="8"/>
  <c r="O68" i="8"/>
  <c r="AD14" i="8"/>
  <c r="W66" i="1"/>
  <c r="Y9" i="8"/>
  <c r="AW39" i="1"/>
  <c r="F70" i="1"/>
  <c r="Y75" i="1"/>
  <c r="V45" i="1"/>
  <c r="I40" i="1"/>
  <c r="AX15" i="8"/>
  <c r="AJ9" i="1"/>
  <c r="E40" i="1"/>
  <c r="N14" i="1"/>
  <c r="L10" i="1"/>
  <c r="T88" i="1"/>
  <c r="U38" i="1"/>
  <c r="Q78" i="8"/>
  <c r="AI74" i="1"/>
  <c r="V65" i="1"/>
  <c r="AG76" i="1"/>
  <c r="AD15" i="1"/>
  <c r="AF81" i="1"/>
  <c r="AO38" i="8"/>
  <c r="H44" i="1"/>
  <c r="K38" i="1"/>
  <c r="J81" i="1"/>
  <c r="AA87" i="1"/>
  <c r="AS88" i="8"/>
  <c r="AU40" i="1"/>
  <c r="AB15" i="8"/>
  <c r="U76" i="1"/>
  <c r="N15" i="1"/>
  <c r="AB39" i="1"/>
  <c r="AQ77" i="1"/>
  <c r="AL8" i="1"/>
  <c r="Y67" i="8"/>
  <c r="AW40" i="8"/>
  <c r="AU56" i="1"/>
  <c r="AE56" i="1"/>
  <c r="AN45" i="8"/>
  <c r="J68" i="1"/>
  <c r="AO39" i="1"/>
  <c r="AM8" i="1"/>
  <c r="AW72" i="1"/>
  <c r="AF67" i="1"/>
  <c r="AV46" i="1"/>
  <c r="AS56" i="1"/>
  <c r="K8" i="8"/>
  <c r="AT14" i="1"/>
  <c r="Z72" i="8"/>
  <c r="AE72" i="1"/>
  <c r="AF73" i="8"/>
  <c r="AF10" i="1"/>
  <c r="T71" i="8"/>
  <c r="AE40" i="8"/>
  <c r="AY86" i="9"/>
  <c r="L44" i="1"/>
  <c r="AS68" i="1"/>
  <c r="AP82" i="1"/>
  <c r="AT95" i="8"/>
  <c r="AJ38" i="1"/>
  <c r="AM9" i="8"/>
  <c r="AV82" i="1"/>
  <c r="Q91" i="8"/>
  <c r="J14" i="1"/>
  <c r="AR38" i="8"/>
  <c r="AF65" i="1"/>
  <c r="AN74" i="1"/>
  <c r="AL72" i="1"/>
  <c r="W39" i="8"/>
  <c r="AW46" i="1"/>
  <c r="E14" i="1"/>
  <c r="K10" i="1"/>
  <c r="AS95" i="8"/>
  <c r="AI63" i="1"/>
  <c r="AI40" i="1"/>
  <c r="Z77" i="8"/>
  <c r="D82" i="8"/>
  <c r="M80" i="1"/>
  <c r="E80" i="1"/>
  <c r="AG45" i="1"/>
  <c r="R72" i="1"/>
  <c r="R88" i="1"/>
  <c r="AX67" i="8"/>
  <c r="W63" i="1"/>
  <c r="AR69" i="1"/>
  <c r="F38" i="8"/>
  <c r="H95" i="1"/>
  <c r="AU81" i="1"/>
  <c r="X88" i="8"/>
  <c r="Y15" i="8"/>
  <c r="AU14" i="1"/>
  <c r="AF70" i="1"/>
  <c r="J45" i="1"/>
  <c r="AO45" i="1"/>
  <c r="AX78" i="8"/>
  <c r="AE66" i="1"/>
  <c r="AN82" i="1"/>
  <c r="W77" i="1"/>
  <c r="AJ67" i="1"/>
  <c r="J74" i="1"/>
  <c r="T16" i="1"/>
  <c r="F67" i="8"/>
  <c r="AV92" i="1"/>
  <c r="T68" i="1"/>
  <c r="AL56" i="1"/>
  <c r="W65" i="1"/>
  <c r="G67" i="1"/>
  <c r="AS77" i="8"/>
  <c r="AM14" i="1"/>
  <c r="AU92" i="1"/>
  <c r="AA67" i="1"/>
  <c r="AI86" i="1"/>
  <c r="AU63" i="8"/>
  <c r="Q87" i="1"/>
  <c r="AM16" i="1"/>
  <c r="AB38" i="1"/>
  <c r="G86" i="1"/>
  <c r="L92" i="1"/>
  <c r="F81" i="8"/>
  <c r="Z9" i="1"/>
  <c r="G63" i="1"/>
  <c r="Z69" i="1"/>
  <c r="X63" i="1"/>
  <c r="J80" i="1"/>
  <c r="G56" i="1"/>
  <c r="AO76" i="1"/>
  <c r="Y82" i="1"/>
  <c r="Z69" i="8"/>
  <c r="AY76" i="1"/>
  <c r="I8" i="1"/>
  <c r="AD38" i="8"/>
  <c r="AQ80" i="8"/>
  <c r="AE44" i="1"/>
  <c r="AX88" i="1"/>
  <c r="D67" i="1"/>
  <c r="V75" i="8"/>
  <c r="AR71" i="1"/>
  <c r="AD76" i="1"/>
  <c r="H9" i="1"/>
  <c r="AT44" i="1"/>
  <c r="O91" i="8"/>
  <c r="AB80" i="1"/>
  <c r="Z86" i="1"/>
  <c r="AX68" i="1"/>
  <c r="W79" i="1"/>
  <c r="AD95" i="1"/>
  <c r="Z67" i="1"/>
  <c r="AW74" i="1"/>
  <c r="AR76" i="1"/>
  <c r="J71" i="1"/>
  <c r="AC91" i="1"/>
  <c r="AS65" i="9"/>
  <c r="AA69" i="1"/>
  <c r="M63" i="1"/>
  <c r="AY71" i="1"/>
  <c r="V88" i="1"/>
  <c r="AO68" i="1"/>
  <c r="AQ46" i="1"/>
  <c r="AF73" i="1"/>
  <c r="AG81" i="1"/>
  <c r="AP56" i="9"/>
  <c r="I70" i="1"/>
  <c r="AT82" i="1"/>
  <c r="O74" i="1"/>
  <c r="AC81" i="1"/>
  <c r="Q77" i="1"/>
  <c r="AG65" i="8"/>
  <c r="W72" i="1"/>
  <c r="H77" i="1"/>
  <c r="U66" i="1"/>
  <c r="Z95" i="1"/>
  <c r="U80" i="1"/>
  <c r="AF77" i="8"/>
  <c r="AV64" i="1"/>
  <c r="AY76" i="8"/>
  <c r="AC56" i="9"/>
  <c r="T14" i="1"/>
  <c r="G69" i="8"/>
  <c r="D75" i="8"/>
  <c r="G9" i="8"/>
  <c r="AH45" i="1"/>
  <c r="S76" i="1"/>
  <c r="V63" i="1"/>
  <c r="AA16" i="9"/>
  <c r="U40" i="1"/>
  <c r="AL81" i="1"/>
  <c r="AN8" i="1"/>
  <c r="P66" i="1"/>
  <c r="X44" i="1"/>
  <c r="AT73" i="1"/>
  <c r="AU57" i="8"/>
  <c r="AS79" i="8"/>
  <c r="AP74" i="1"/>
  <c r="F45" i="1"/>
  <c r="Q80" i="8"/>
  <c r="E75" i="1"/>
  <c r="AU75" i="1"/>
  <c r="T78" i="1"/>
  <c r="Z79" i="1"/>
  <c r="W70" i="1"/>
  <c r="M72" i="1"/>
  <c r="Y95" i="1"/>
  <c r="AQ73" i="1"/>
  <c r="H69" i="1"/>
  <c r="M57" i="1"/>
  <c r="F15" i="1"/>
  <c r="AC10" i="1"/>
  <c r="AJ70" i="1"/>
  <c r="M45" i="1"/>
  <c r="AW44" i="1"/>
  <c r="S40" i="1"/>
  <c r="K71" i="1"/>
  <c r="AJ44" i="8"/>
  <c r="AM80" i="8"/>
  <c r="AJ79" i="1"/>
  <c r="V81" i="1"/>
  <c r="AM73" i="1"/>
  <c r="AU10" i="1"/>
  <c r="AG95" i="1"/>
  <c r="I45" i="1"/>
  <c r="AF66" i="1"/>
  <c r="I73" i="1"/>
  <c r="T45" i="1"/>
  <c r="O64" i="1"/>
  <c r="AN39" i="1"/>
  <c r="AX95" i="1"/>
  <c r="AQ79" i="1"/>
  <c r="R46" i="1"/>
  <c r="Z75" i="1"/>
  <c r="AA9" i="1"/>
  <c r="AK82" i="1"/>
  <c r="AW57" i="1"/>
  <c r="R74" i="1"/>
  <c r="AC81" i="8"/>
  <c r="P10" i="1"/>
  <c r="AV67" i="1"/>
  <c r="N39" i="1"/>
  <c r="AS8" i="1"/>
  <c r="X79" i="8"/>
  <c r="R86" i="1"/>
  <c r="Y8" i="1"/>
  <c r="AL46" i="1"/>
  <c r="O91" i="1"/>
  <c r="AK15" i="8"/>
  <c r="X46" i="8"/>
  <c r="AS72" i="1"/>
  <c r="AX14" i="1"/>
  <c r="AI8" i="1"/>
  <c r="W39" i="1"/>
  <c r="AH67" i="8"/>
  <c r="J65" i="1"/>
  <c r="R71" i="1"/>
  <c r="AD87" i="1"/>
  <c r="AY14" i="8"/>
  <c r="AX87" i="1"/>
  <c r="R56" i="1"/>
  <c r="G75" i="1"/>
  <c r="AS88" i="1"/>
  <c r="K40" i="1"/>
  <c r="P81" i="1"/>
  <c r="Y46" i="1"/>
  <c r="K64" i="1"/>
  <c r="W8" i="8"/>
  <c r="W71" i="1"/>
  <c r="AJ78" i="8"/>
  <c r="AK77" i="1"/>
  <c r="U9" i="1"/>
  <c r="AY92" i="1"/>
  <c r="H72" i="1"/>
  <c r="O39" i="1"/>
  <c r="AH74" i="8"/>
  <c r="AB66" i="1"/>
  <c r="AG70" i="8"/>
  <c r="S82" i="1"/>
  <c r="AL80" i="1"/>
  <c r="AC76" i="1"/>
  <c r="U73" i="1"/>
  <c r="X88" i="1"/>
  <c r="D14" i="1"/>
  <c r="F86" i="1"/>
  <c r="W81" i="1"/>
  <c r="S95" i="8"/>
  <c r="M91" i="1"/>
  <c r="AV63" i="8"/>
  <c r="AA77" i="1"/>
  <c r="F39" i="1"/>
  <c r="AU77" i="8"/>
  <c r="O72" i="1"/>
  <c r="AQ88" i="1"/>
  <c r="U8" i="1"/>
  <c r="U78" i="1"/>
  <c r="AX40" i="1"/>
  <c r="G57" i="1"/>
  <c r="E75" i="9"/>
  <c r="R57" i="1"/>
  <c r="AN77" i="1"/>
  <c r="AD38" i="1"/>
  <c r="AO69" i="8"/>
  <c r="W79" i="8"/>
  <c r="M38" i="1"/>
  <c r="AA86" i="1"/>
  <c r="AK87" i="1"/>
  <c r="AW64" i="1"/>
  <c r="R14" i="1"/>
  <c r="H40" i="8"/>
  <c r="AJ74" i="8"/>
  <c r="AE9" i="1"/>
  <c r="E38" i="1"/>
  <c r="AE82" i="8"/>
  <c r="AM87" i="1"/>
  <c r="AT81" i="1"/>
  <c r="X45" i="1"/>
  <c r="N77" i="8"/>
  <c r="AA14" i="1"/>
  <c r="AJ65" i="1"/>
  <c r="Y67" i="1"/>
  <c r="D71" i="1"/>
  <c r="AP88" i="8"/>
  <c r="W16" i="1"/>
  <c r="O71" i="1"/>
  <c r="AT80" i="1"/>
  <c r="Q72" i="1"/>
  <c r="AD79" i="1"/>
  <c r="AM75" i="1"/>
  <c r="N15" i="8"/>
  <c r="O66" i="1"/>
  <c r="AS75" i="1"/>
  <c r="K56" i="1"/>
  <c r="AK9" i="1"/>
  <c r="E72" i="1"/>
  <c r="X95" i="9"/>
  <c r="S68" i="1"/>
  <c r="AN16" i="1"/>
  <c r="AD46" i="1"/>
  <c r="AJ66" i="1"/>
  <c r="AY66" i="1"/>
  <c r="K65" i="1"/>
  <c r="X81" i="1"/>
  <c r="R82" i="1"/>
  <c r="G76" i="1"/>
  <c r="AK91" i="8"/>
  <c r="AG82" i="1"/>
  <c r="AY46" i="8"/>
  <c r="J16" i="1"/>
  <c r="AJ91" i="1"/>
  <c r="AQ78" i="1"/>
  <c r="R39" i="1"/>
  <c r="AN63" i="1"/>
  <c r="AU64" i="8"/>
  <c r="AY72" i="1"/>
  <c r="I79" i="8"/>
  <c r="R68" i="8"/>
  <c r="AA57" i="1"/>
  <c r="Q16" i="8"/>
  <c r="L8" i="1"/>
  <c r="K63" i="1"/>
  <c r="AK16" i="1"/>
  <c r="AC57" i="1"/>
  <c r="AA66" i="1"/>
  <c r="V10" i="1"/>
  <c r="AW82" i="1"/>
  <c r="AF64" i="1"/>
  <c r="E95" i="1"/>
  <c r="AX46" i="1"/>
  <c r="O78" i="1"/>
  <c r="X39" i="1"/>
  <c r="AV76" i="1"/>
  <c r="AG74" i="1"/>
  <c r="AJ88" i="1"/>
  <c r="AS82" i="1"/>
  <c r="AB74" i="1"/>
  <c r="X66" i="1"/>
  <c r="AK80" i="1"/>
  <c r="M91" i="8"/>
  <c r="AH68" i="1"/>
  <c r="AC74" i="1"/>
  <c r="AN64" i="1"/>
  <c r="Q67" i="1"/>
  <c r="AI38" i="1"/>
  <c r="E69" i="1"/>
  <c r="F80" i="1"/>
  <c r="L66" i="1"/>
  <c r="AB65" i="1"/>
  <c r="M45" i="8"/>
  <c r="AG46" i="1"/>
  <c r="AK40" i="1"/>
  <c r="AW69" i="1"/>
  <c r="V64" i="1"/>
  <c r="K45" i="1"/>
  <c r="N88" i="8"/>
  <c r="AU38" i="1"/>
  <c r="AD64" i="1"/>
  <c r="S78" i="8"/>
  <c r="AM69" i="1"/>
  <c r="U77" i="1"/>
  <c r="AY8" i="1"/>
  <c r="AX70" i="1"/>
  <c r="Z63" i="1"/>
  <c r="AG65" i="1"/>
  <c r="L75" i="1"/>
  <c r="V40" i="8"/>
  <c r="Q77" i="8"/>
  <c r="AA81" i="1"/>
  <c r="AM10" i="1"/>
  <c r="AV71" i="1"/>
  <c r="S80" i="8"/>
  <c r="AD72" i="8"/>
  <c r="Q68" i="1"/>
  <c r="AJ87" i="1"/>
  <c r="AS8" i="8"/>
  <c r="M92" i="8"/>
  <c r="AJ70" i="8"/>
  <c r="AL76" i="1"/>
  <c r="AI71" i="1"/>
  <c r="L10" i="8"/>
  <c r="Q10" i="1"/>
  <c r="AQ92" i="1"/>
  <c r="U67" i="1"/>
  <c r="AA80" i="1"/>
  <c r="I80" i="1"/>
  <c r="K15" i="1"/>
  <c r="F40" i="1"/>
  <c r="AR15" i="8"/>
  <c r="E74" i="1"/>
  <c r="W82" i="1"/>
  <c r="S66" i="1"/>
  <c r="AB64" i="1"/>
  <c r="F9" i="8"/>
  <c r="V68" i="8"/>
  <c r="AT69" i="1"/>
  <c r="H63" i="1"/>
  <c r="AA10" i="1"/>
  <c r="AR79" i="1"/>
  <c r="AW95" i="1"/>
  <c r="AN73" i="1"/>
  <c r="P67" i="1"/>
  <c r="AP15" i="8"/>
  <c r="AQ64" i="1"/>
  <c r="AD8" i="1"/>
  <c r="T66" i="1"/>
  <c r="J38" i="1"/>
  <c r="AC40" i="1"/>
  <c r="AS10" i="8"/>
  <c r="AE8" i="8"/>
  <c r="AE68" i="1"/>
  <c r="AA15" i="1"/>
  <c r="E64" i="1"/>
  <c r="AB86" i="8"/>
  <c r="AS10" i="1"/>
  <c r="Z81" i="1"/>
  <c r="AI39" i="1"/>
  <c r="G82" i="1"/>
  <c r="H14" i="8"/>
  <c r="P65" i="1"/>
  <c r="G77" i="1"/>
  <c r="V67" i="1"/>
  <c r="AG73" i="1"/>
  <c r="AK68" i="9"/>
  <c r="S72" i="1"/>
  <c r="AR87" i="1"/>
  <c r="R78" i="1"/>
  <c r="K9" i="1"/>
  <c r="AN86" i="1"/>
  <c r="S80" i="1"/>
  <c r="AX10" i="1"/>
  <c r="AX45" i="1"/>
  <c r="AX78" i="1"/>
  <c r="O92" i="1"/>
  <c r="AO77" i="1"/>
  <c r="AT77" i="1"/>
  <c r="AG8" i="8"/>
  <c r="F77" i="1"/>
  <c r="AH81" i="8"/>
  <c r="AR10" i="1"/>
  <c r="W44" i="1"/>
  <c r="T38" i="8"/>
  <c r="AT16" i="1"/>
  <c r="AS67" i="1"/>
  <c r="G45" i="1"/>
  <c r="AA64" i="1"/>
  <c r="Q16" i="1"/>
  <c r="AV39" i="1"/>
  <c r="S77" i="1"/>
  <c r="AC72" i="1"/>
  <c r="AY45" i="1"/>
  <c r="AB72" i="1"/>
  <c r="AK68" i="1"/>
  <c r="J91" i="8"/>
  <c r="AB63" i="1"/>
  <c r="P69" i="1"/>
  <c r="AE66" i="8"/>
  <c r="L14" i="1"/>
  <c r="Z8" i="1"/>
  <c r="Q86" i="8"/>
  <c r="U14" i="1"/>
  <c r="Y72" i="1"/>
  <c r="M66" i="1"/>
  <c r="AN72" i="1"/>
  <c r="F74" i="1"/>
  <c r="AW67" i="1"/>
  <c r="J46" i="8"/>
  <c r="AR75" i="1"/>
  <c r="AR72" i="1"/>
  <c r="X57" i="1"/>
  <c r="AP76" i="1"/>
  <c r="K57" i="8"/>
  <c r="AF69" i="8"/>
  <c r="D73" i="1"/>
  <c r="AF78" i="8"/>
  <c r="N80" i="1"/>
  <c r="O46" i="8"/>
  <c r="J92" i="1"/>
  <c r="AW91" i="8"/>
  <c r="E10" i="1"/>
  <c r="P74" i="1"/>
  <c r="AY73" i="1"/>
  <c r="R40" i="1"/>
  <c r="R87" i="9"/>
  <c r="F44" i="8"/>
  <c r="AY40" i="1"/>
  <c r="AY75" i="1"/>
  <c r="AQ45" i="8"/>
  <c r="F66" i="1"/>
  <c r="J76" i="1"/>
  <c r="L64" i="8"/>
  <c r="AH56" i="1"/>
  <c r="AR81" i="1"/>
  <c r="AK92" i="8"/>
  <c r="Y74" i="8"/>
  <c r="AK71" i="8"/>
  <c r="O95" i="1"/>
  <c r="V80" i="8"/>
  <c r="AA78" i="1"/>
  <c r="AE65" i="1"/>
  <c r="AF69" i="1"/>
  <c r="AU8" i="1"/>
  <c r="N82" i="9"/>
  <c r="AH39" i="8"/>
  <c r="G80" i="8"/>
  <c r="AL78" i="8"/>
  <c r="L79" i="1"/>
  <c r="Q91" i="1"/>
  <c r="M75" i="1"/>
  <c r="AF67" i="8"/>
  <c r="AB73" i="1"/>
  <c r="P81" i="8"/>
  <c r="AX39" i="1"/>
  <c r="S73" i="1"/>
  <c r="U68" i="8"/>
  <c r="AR73" i="1"/>
  <c r="Z88" i="1"/>
  <c r="AU87" i="8"/>
  <c r="D15" i="1"/>
  <c r="P40" i="1"/>
  <c r="AT95" i="1"/>
  <c r="AM78" i="8"/>
  <c r="V75" i="1"/>
  <c r="Z92" i="1"/>
  <c r="AI71" i="8"/>
  <c r="AH70" i="1"/>
  <c r="AV91" i="9"/>
  <c r="K87" i="1"/>
  <c r="AN82" i="8"/>
  <c r="W38" i="1"/>
  <c r="AH78" i="1"/>
  <c r="AG91" i="1"/>
  <c r="K91" i="1"/>
  <c r="X72" i="8"/>
  <c r="R81" i="1"/>
  <c r="AX9" i="1"/>
  <c r="X73" i="1"/>
  <c r="AA8" i="1"/>
  <c r="AH73" i="1"/>
  <c r="AW80" i="1"/>
  <c r="I46" i="1"/>
  <c r="M76" i="1"/>
  <c r="AU46" i="1"/>
  <c r="AO10" i="1"/>
  <c r="F45" i="8"/>
  <c r="AO75" i="1"/>
  <c r="AY87" i="8"/>
  <c r="L87" i="1"/>
  <c r="G91" i="1"/>
  <c r="K74" i="1"/>
  <c r="AP67" i="8"/>
  <c r="AN91" i="1"/>
  <c r="AL40" i="1"/>
  <c r="AB87" i="1"/>
  <c r="AF88" i="1"/>
  <c r="P79" i="1"/>
  <c r="O68" i="1"/>
  <c r="AV8" i="1"/>
  <c r="AK10" i="1"/>
  <c r="AL73" i="1"/>
  <c r="AE71" i="1"/>
  <c r="AW67" i="9"/>
  <c r="J79" i="1"/>
  <c r="Y16" i="1"/>
  <c r="AC46" i="8"/>
  <c r="X10" i="8"/>
  <c r="AE77" i="8"/>
  <c r="AE95" i="1"/>
  <c r="Q95" i="8"/>
  <c r="AA82" i="1"/>
  <c r="H8" i="8"/>
  <c r="AW15" i="1"/>
  <c r="X9" i="8"/>
  <c r="P92" i="1"/>
  <c r="Y10" i="1"/>
  <c r="AJ16" i="1"/>
  <c r="K39" i="8"/>
  <c r="J44" i="1"/>
  <c r="AT40" i="8"/>
  <c r="AJ65" i="8"/>
  <c r="G46" i="1"/>
  <c r="S10" i="8"/>
  <c r="AO68" i="8"/>
  <c r="D57" i="1"/>
  <c r="G74" i="8"/>
  <c r="T15" i="1"/>
  <c r="AS92" i="8"/>
  <c r="N45" i="1"/>
  <c r="AK82" i="8"/>
  <c r="P87" i="1"/>
  <c r="R16" i="1"/>
  <c r="U81" i="1"/>
  <c r="X66" i="8"/>
  <c r="V40" i="1"/>
  <c r="N56" i="8"/>
  <c r="AF77" i="1"/>
  <c r="AV91" i="8"/>
  <c r="AG78" i="8"/>
  <c r="H80" i="1"/>
  <c r="O66" i="9"/>
  <c r="G95" i="8"/>
  <c r="Q95" i="1"/>
  <c r="AI16" i="1"/>
  <c r="L38" i="8"/>
  <c r="AY8" i="8"/>
  <c r="D80" i="1"/>
  <c r="X56" i="1"/>
  <c r="AC79" i="1"/>
  <c r="AH46" i="8"/>
  <c r="AL76" i="8"/>
  <c r="AW72" i="8"/>
  <c r="AO57" i="1"/>
  <c r="AQ57" i="1"/>
  <c r="S57" i="1"/>
  <c r="AX40" i="8"/>
  <c r="AP40" i="1"/>
  <c r="AK65" i="1"/>
  <c r="AQ40" i="1"/>
  <c r="AS56" i="8"/>
  <c r="AD39" i="8"/>
  <c r="W95" i="1"/>
  <c r="AL65" i="1"/>
  <c r="AN57" i="1"/>
  <c r="AO92" i="9"/>
  <c r="AG75" i="1"/>
  <c r="AQ63" i="1"/>
  <c r="V63" i="8"/>
  <c r="AH57" i="1"/>
  <c r="AX79" i="8"/>
  <c r="AG72" i="1"/>
  <c r="AK72" i="9"/>
  <c r="S73" i="8"/>
  <c r="AU68" i="8"/>
  <c r="AM88" i="1"/>
  <c r="AA39" i="1"/>
  <c r="R63" i="1"/>
  <c r="AN45" i="1"/>
  <c r="AX8" i="1"/>
  <c r="AT63" i="1"/>
  <c r="AS44" i="1"/>
  <c r="AH77" i="8"/>
  <c r="N46" i="8"/>
  <c r="AU72" i="1"/>
  <c r="T82" i="9"/>
  <c r="AG70" i="1"/>
  <c r="AP92" i="1"/>
  <c r="AB16" i="8"/>
  <c r="AH66" i="8"/>
  <c r="E15" i="1"/>
  <c r="AI72" i="1"/>
  <c r="W65" i="8"/>
  <c r="G71" i="1"/>
  <c r="AY38" i="1"/>
  <c r="X87" i="1"/>
  <c r="T81" i="8"/>
  <c r="Y78" i="1"/>
  <c r="AR70" i="8"/>
  <c r="Q44" i="1"/>
  <c r="AW78" i="8"/>
  <c r="AE70" i="1"/>
  <c r="AV16" i="8"/>
  <c r="AV73" i="1"/>
  <c r="AB71" i="1"/>
  <c r="M81" i="1"/>
  <c r="P76" i="1"/>
  <c r="F69" i="1"/>
  <c r="U16" i="1"/>
  <c r="AW14" i="1"/>
  <c r="V86" i="1"/>
  <c r="AE92" i="1"/>
  <c r="M9" i="1"/>
  <c r="P8" i="1"/>
  <c r="L71" i="1"/>
  <c r="F14" i="1"/>
  <c r="AM46" i="8"/>
  <c r="N70" i="1"/>
  <c r="X92" i="1"/>
  <c r="I14" i="1"/>
  <c r="U39" i="1"/>
  <c r="AY14" i="1"/>
  <c r="Q69" i="8"/>
  <c r="G56" i="8"/>
  <c r="D16" i="8"/>
  <c r="AC87" i="1"/>
  <c r="AM66" i="1"/>
  <c r="K81" i="1"/>
  <c r="X9" i="1"/>
  <c r="T86" i="8"/>
  <c r="AE75" i="1"/>
  <c r="V44" i="1"/>
  <c r="I38" i="1"/>
  <c r="AY78" i="8"/>
  <c r="O40" i="1"/>
  <c r="N73" i="8"/>
  <c r="AL16" i="8"/>
  <c r="J57" i="8"/>
  <c r="AV80" i="1"/>
  <c r="H81" i="1"/>
  <c r="V95" i="1"/>
  <c r="I63" i="8"/>
  <c r="AQ86" i="1"/>
  <c r="O39" i="8"/>
  <c r="M56" i="8"/>
  <c r="P16" i="8"/>
  <c r="W64" i="1"/>
  <c r="O86" i="1"/>
  <c r="AD71" i="8"/>
  <c r="AJ64" i="8"/>
  <c r="D81" i="1"/>
  <c r="AH71" i="8"/>
  <c r="I66" i="1"/>
  <c r="V79" i="1"/>
  <c r="K46" i="1"/>
  <c r="AV73" i="8"/>
  <c r="AI79" i="1"/>
  <c r="AM57" i="8"/>
  <c r="Q78" i="1"/>
  <c r="Z40" i="1"/>
  <c r="I69" i="1"/>
  <c r="AN15" i="1"/>
  <c r="V8" i="1"/>
  <c r="P15" i="1"/>
  <c r="AI56" i="1"/>
  <c r="Z44" i="1"/>
  <c r="X82" i="8"/>
  <c r="AF56" i="1"/>
  <c r="Z38" i="1"/>
  <c r="AX75" i="1"/>
  <c r="AC74" i="8"/>
  <c r="T82" i="1"/>
  <c r="AW86" i="9"/>
  <c r="AY82" i="8"/>
  <c r="W67" i="1"/>
  <c r="AH10" i="8"/>
  <c r="V92" i="1"/>
  <c r="AM81" i="1"/>
  <c r="AP68" i="1"/>
  <c r="AL70" i="1"/>
  <c r="AC80" i="1"/>
  <c r="AY74" i="1"/>
  <c r="J95" i="1"/>
  <c r="AP81" i="1"/>
  <c r="L88" i="1"/>
  <c r="AB57" i="1"/>
  <c r="AO16" i="1"/>
  <c r="Y76" i="1"/>
  <c r="AU15" i="1"/>
  <c r="AU64" i="1"/>
  <c r="U45" i="1"/>
  <c r="AI70" i="1"/>
  <c r="AA16" i="1"/>
  <c r="L57" i="1"/>
  <c r="T81" i="1"/>
  <c r="AQ80" i="9"/>
  <c r="AQ77" i="8"/>
  <c r="AP8" i="1"/>
  <c r="Q66" i="8"/>
  <c r="AW81" i="8"/>
  <c r="AO40" i="1"/>
  <c r="X68" i="8"/>
  <c r="J75" i="8"/>
  <c r="AK73" i="8"/>
  <c r="AF87" i="1"/>
  <c r="AY88" i="1"/>
  <c r="Z79" i="8"/>
  <c r="T92" i="1"/>
  <c r="AX63" i="1"/>
  <c r="S44" i="8"/>
  <c r="D64" i="1"/>
  <c r="R86" i="8"/>
  <c r="AP38" i="8"/>
  <c r="AY80" i="1"/>
  <c r="L40" i="1"/>
  <c r="AX44" i="1"/>
  <c r="AD44" i="1"/>
  <c r="AS73" i="1"/>
  <c r="Q56" i="8"/>
  <c r="AK76" i="1"/>
  <c r="E67" i="1"/>
  <c r="W38" i="8"/>
  <c r="M78" i="8"/>
  <c r="AP63" i="1"/>
  <c r="AI82" i="1"/>
  <c r="AP15" i="1"/>
  <c r="AC39" i="1"/>
  <c r="M88" i="1"/>
  <c r="S91" i="1"/>
  <c r="T38" i="1"/>
  <c r="AQ69" i="1"/>
  <c r="AC68" i="8"/>
  <c r="AR68" i="1"/>
  <c r="AX66" i="1"/>
  <c r="AY87" i="1"/>
  <c r="AH82" i="1"/>
  <c r="Z45" i="1"/>
  <c r="V68" i="1"/>
  <c r="AO81" i="1"/>
  <c r="U70" i="1"/>
  <c r="Z68" i="8"/>
  <c r="AW65" i="1"/>
  <c r="K14" i="1"/>
  <c r="O69" i="8"/>
  <c r="AU91" i="8"/>
  <c r="AB45" i="1"/>
  <c r="AN44" i="1"/>
  <c r="Y39" i="1"/>
  <c r="AN95" i="1"/>
  <c r="X78" i="1"/>
  <c r="Q74" i="1"/>
  <c r="D87" i="1"/>
  <c r="AV38" i="1"/>
  <c r="AC95" i="1"/>
  <c r="T44" i="1"/>
  <c r="X77" i="1"/>
  <c r="AA91" i="8"/>
  <c r="AU74" i="1"/>
  <c r="Y66" i="1"/>
  <c r="AF40" i="1"/>
  <c r="AL66" i="1"/>
  <c r="AQ75" i="9"/>
  <c r="V44" i="8"/>
  <c r="F10" i="1"/>
  <c r="AP64" i="1"/>
  <c r="AT79" i="1"/>
  <c r="AJ14" i="1"/>
  <c r="E75" i="8"/>
  <c r="AC64" i="1"/>
  <c r="AA68" i="8"/>
  <c r="O64" i="8"/>
  <c r="F71" i="1"/>
  <c r="X70" i="1"/>
  <c r="AQ44" i="1"/>
  <c r="U74" i="1"/>
  <c r="E76" i="1"/>
  <c r="P75" i="1"/>
  <c r="AF68" i="1"/>
  <c r="AJ64" i="9"/>
  <c r="AD92" i="1"/>
  <c r="AW39" i="8"/>
  <c r="AU76" i="8"/>
  <c r="AG39" i="1"/>
  <c r="AV72" i="8"/>
  <c r="D70" i="1"/>
  <c r="H88" i="8"/>
  <c r="AS80" i="1"/>
  <c r="AK92" i="1"/>
  <c r="N16" i="1"/>
  <c r="P72" i="1"/>
  <c r="M71" i="1"/>
  <c r="AR67" i="1"/>
  <c r="M92" i="1"/>
  <c r="AK70" i="1"/>
  <c r="AM9" i="1"/>
  <c r="E56" i="1"/>
  <c r="AS46" i="1"/>
  <c r="AJ74" i="1"/>
  <c r="AM44" i="1"/>
  <c r="AT57" i="1"/>
  <c r="AU63" i="1"/>
  <c r="AY69" i="8"/>
  <c r="K57" i="1"/>
  <c r="U64" i="8"/>
  <c r="Z15" i="8"/>
  <c r="R66" i="1"/>
  <c r="AN16" i="8"/>
  <c r="F91" i="1"/>
  <c r="AW70" i="1"/>
  <c r="AA38" i="1"/>
  <c r="AN87" i="1"/>
  <c r="AK74" i="1"/>
  <c r="T73" i="1"/>
  <c r="AR14" i="1"/>
  <c r="AJ86" i="1"/>
  <c r="Z78" i="1"/>
  <c r="N95" i="1"/>
  <c r="X72" i="1"/>
  <c r="Z74" i="1"/>
  <c r="W87" i="1"/>
  <c r="AL68" i="1"/>
  <c r="G92" i="8"/>
  <c r="AG92" i="1"/>
  <c r="N65" i="1"/>
  <c r="L87" i="8"/>
  <c r="H75" i="1"/>
  <c r="AM95" i="1"/>
  <c r="N73" i="1"/>
  <c r="AM56" i="8"/>
  <c r="F76" i="1"/>
  <c r="K76" i="1"/>
  <c r="AD75" i="1"/>
  <c r="AK45" i="1"/>
  <c r="H71" i="1"/>
  <c r="AM56" i="1"/>
  <c r="X38" i="1"/>
  <c r="AM76" i="1"/>
  <c r="Z80" i="1"/>
  <c r="Q82" i="1"/>
  <c r="W92" i="1"/>
  <c r="I74" i="1"/>
  <c r="D95" i="1"/>
  <c r="AT92" i="1"/>
  <c r="Q92" i="1"/>
  <c r="R80" i="8"/>
  <c r="S10" i="1"/>
  <c r="AH40" i="1"/>
  <c r="AO66" i="8"/>
  <c r="H91" i="8"/>
  <c r="S81" i="1"/>
  <c r="AN63" i="8"/>
  <c r="AM74" i="1"/>
  <c r="AB40" i="1"/>
  <c r="AK91" i="1"/>
  <c r="AL82" i="1"/>
  <c r="N92" i="1"/>
  <c r="L82" i="1"/>
  <c r="AI74" i="8"/>
  <c r="AK71" i="1"/>
  <c r="AX86" i="1"/>
  <c r="AF78" i="1"/>
  <c r="AP78" i="1"/>
  <c r="AR38" i="1"/>
  <c r="O71" i="8"/>
  <c r="AT68" i="1"/>
  <c r="O65" i="9"/>
  <c r="AR45" i="1"/>
  <c r="V57" i="8"/>
  <c r="AY16" i="8"/>
  <c r="U64" i="1"/>
  <c r="AY9" i="1"/>
  <c r="AQ65" i="1"/>
  <c r="AQ80" i="1"/>
  <c r="N63" i="1"/>
  <c r="AH46" i="1"/>
  <c r="M16" i="1"/>
  <c r="M65" i="8"/>
  <c r="K79" i="1"/>
  <c r="M15" i="1"/>
  <c r="AH88" i="1"/>
  <c r="AF63" i="1"/>
  <c r="AA91" i="1"/>
  <c r="AP77" i="8"/>
  <c r="AC82" i="1"/>
  <c r="AN68" i="1"/>
  <c r="J76" i="8"/>
  <c r="AF88" i="8"/>
  <c r="R88" i="8"/>
  <c r="Y73" i="1"/>
  <c r="D44" i="1"/>
  <c r="AS69" i="1"/>
  <c r="AI95" i="8"/>
  <c r="W40" i="8"/>
  <c r="I75" i="1"/>
  <c r="AQ38" i="1"/>
  <c r="AJ8" i="1"/>
  <c r="N79" i="1"/>
  <c r="M68" i="1"/>
  <c r="AN73" i="8"/>
  <c r="AD77" i="1"/>
  <c r="AV87" i="1"/>
  <c r="O65" i="1"/>
  <c r="X77" i="8"/>
  <c r="AR57" i="1"/>
  <c r="AA80" i="8"/>
  <c r="AD64" i="8"/>
  <c r="S71" i="1"/>
  <c r="S45" i="8"/>
  <c r="AO81" i="8"/>
  <c r="K77" i="1"/>
  <c r="AQ8" i="1"/>
  <c r="I10" i="8"/>
  <c r="AI78" i="8"/>
  <c r="AW78" i="1"/>
  <c r="O10" i="1"/>
  <c r="AE87" i="1"/>
  <c r="AF46" i="1"/>
  <c r="AA56" i="1"/>
  <c r="H68" i="1"/>
  <c r="O81" i="1"/>
  <c r="AO44" i="8"/>
  <c r="AY79" i="1"/>
  <c r="AP80" i="8"/>
  <c r="G14" i="1"/>
  <c r="K77" i="8"/>
  <c r="D79" i="1"/>
  <c r="AY81" i="1"/>
  <c r="AK72" i="1"/>
  <c r="AB14" i="1"/>
  <c r="AK80" i="8"/>
  <c r="D77" i="1"/>
  <c r="AC69" i="1"/>
  <c r="M64" i="1"/>
  <c r="AW74" i="8"/>
  <c r="E63" i="8"/>
  <c r="V76" i="1"/>
  <c r="AE14" i="1"/>
  <c r="G92" i="1"/>
  <c r="AI9" i="8"/>
  <c r="V80" i="1"/>
  <c r="AG15" i="1"/>
  <c r="N66" i="1"/>
  <c r="AY79" i="8"/>
  <c r="Y45" i="1"/>
  <c r="W71" i="8"/>
  <c r="AT46" i="1"/>
  <c r="AK67" i="1"/>
  <c r="AS16" i="8"/>
  <c r="AB82" i="1"/>
  <c r="K69" i="1"/>
  <c r="W86" i="1"/>
  <c r="AG38" i="1"/>
  <c r="Z87" i="1"/>
  <c r="W68" i="1"/>
  <c r="AA66" i="8"/>
  <c r="AD69" i="1"/>
  <c r="S69" i="1"/>
  <c r="K72" i="1"/>
  <c r="AW82" i="8"/>
  <c r="AO88" i="1"/>
  <c r="AA44" i="1"/>
  <c r="AL74" i="9"/>
  <c r="N69" i="1"/>
  <c r="AA73" i="1"/>
  <c r="AC39" i="8"/>
  <c r="AY15" i="1"/>
  <c r="N38" i="1"/>
  <c r="M70" i="1"/>
  <c r="AL91" i="1"/>
  <c r="J73" i="1"/>
  <c r="AR63" i="1"/>
  <c r="AL92" i="9"/>
  <c r="AS76" i="8"/>
  <c r="P88" i="1"/>
  <c r="AN69" i="1"/>
  <c r="AE78" i="1"/>
  <c r="J78" i="1"/>
  <c r="AJ95" i="1"/>
  <c r="D86" i="1"/>
  <c r="AH10" i="1"/>
  <c r="AO15" i="1"/>
  <c r="AN92" i="1"/>
  <c r="D56" i="1"/>
  <c r="X95" i="8"/>
  <c r="Q72" i="8"/>
  <c r="Y80" i="8"/>
  <c r="AC87" i="9"/>
  <c r="M87" i="1"/>
  <c r="AL16" i="1"/>
  <c r="AP80" i="1"/>
  <c r="H80" i="8"/>
  <c r="D92" i="8"/>
  <c r="K91" i="8"/>
  <c r="AT10" i="8"/>
  <c r="X10" i="1"/>
  <c r="AB79" i="1"/>
  <c r="AI80" i="8"/>
  <c r="H38" i="1"/>
  <c r="Y86" i="8"/>
  <c r="E66" i="1"/>
  <c r="I92" i="1"/>
  <c r="P70" i="1"/>
  <c r="AJ67" i="8"/>
  <c r="T69" i="8"/>
  <c r="AB66" i="9"/>
  <c r="E78" i="8"/>
  <c r="R45" i="1"/>
  <c r="AR81" i="8"/>
  <c r="O63" i="1"/>
  <c r="AO78" i="8"/>
  <c r="AF76" i="8"/>
  <c r="AY64" i="1"/>
  <c r="AV68" i="8"/>
  <c r="AW10" i="1"/>
  <c r="AB9" i="1"/>
  <c r="AI80" i="1"/>
  <c r="G68" i="1"/>
  <c r="AR73" i="8"/>
  <c r="AQ78" i="8"/>
  <c r="O75" i="1"/>
  <c r="G66" i="1"/>
  <c r="AV74" i="1"/>
  <c r="I68" i="1"/>
  <c r="AC56" i="1"/>
  <c r="AY82" i="1"/>
  <c r="AH86" i="8"/>
  <c r="AS71" i="1"/>
  <c r="G9" i="1"/>
  <c r="AJ46" i="8"/>
  <c r="Q79" i="1"/>
  <c r="AT71" i="1"/>
  <c r="AX79" i="1"/>
  <c r="AF46" i="8"/>
  <c r="I71" i="8"/>
  <c r="J63" i="1"/>
  <c r="AM64" i="1"/>
  <c r="AR8" i="8"/>
  <c r="AL86" i="1"/>
  <c r="L70" i="1"/>
  <c r="D40" i="1"/>
  <c r="M39" i="1"/>
  <c r="O88" i="1"/>
  <c r="W77" i="8"/>
  <c r="AX91" i="1"/>
  <c r="W72" i="8"/>
  <c r="AK79" i="1"/>
  <c r="AR77" i="8"/>
  <c r="V77" i="1"/>
  <c r="AW73" i="8"/>
  <c r="E73" i="8"/>
  <c r="L69" i="8"/>
  <c r="N67" i="8"/>
  <c r="R73" i="8"/>
  <c r="M88" i="8"/>
  <c r="M39" i="8"/>
  <c r="AT9" i="8"/>
  <c r="AY69" i="9"/>
  <c r="N76" i="9"/>
  <c r="P86" i="1"/>
  <c r="P95" i="1"/>
  <c r="AD76" i="8"/>
  <c r="AQ15" i="1"/>
  <c r="AN73" i="9"/>
  <c r="R8" i="1"/>
  <c r="AU82" i="1"/>
  <c r="S76" i="8"/>
  <c r="AF75" i="1"/>
  <c r="V46" i="9"/>
  <c r="R79" i="1"/>
  <c r="Z45" i="8"/>
  <c r="T39" i="1"/>
  <c r="M73" i="8"/>
  <c r="AD88" i="8"/>
  <c r="L38" i="1"/>
  <c r="V72" i="1"/>
  <c r="AS75" i="9"/>
  <c r="AH68" i="8"/>
  <c r="W80" i="8"/>
  <c r="AG68" i="9"/>
  <c r="Z67" i="9"/>
  <c r="X95" i="1"/>
  <c r="AH56" i="9"/>
  <c r="AA68" i="1"/>
  <c r="AY68" i="9"/>
  <c r="AC10" i="8"/>
  <c r="AB64" i="8"/>
  <c r="AA88" i="8"/>
  <c r="M82" i="9"/>
  <c r="AT45" i="1"/>
  <c r="Z63" i="8"/>
  <c r="AU91" i="1"/>
  <c r="G10" i="1"/>
  <c r="AK45" i="8"/>
  <c r="V16" i="8"/>
  <c r="Z56" i="8"/>
  <c r="Z73" i="8"/>
  <c r="AG45" i="8"/>
  <c r="AN70" i="8"/>
  <c r="X71" i="1"/>
  <c r="H65" i="1"/>
  <c r="W68" i="8"/>
  <c r="AW66" i="1"/>
  <c r="AI82" i="8"/>
  <c r="AU86" i="9"/>
  <c r="J16" i="9"/>
  <c r="I69" i="8"/>
  <c r="Z46" i="1"/>
  <c r="E91" i="1"/>
  <c r="AR80" i="8"/>
  <c r="AM40" i="1"/>
  <c r="U91" i="1"/>
  <c r="AH67" i="1"/>
  <c r="I91" i="1"/>
  <c r="AR65" i="1"/>
  <c r="D78" i="1"/>
  <c r="AV72" i="1"/>
  <c r="AO65" i="1"/>
  <c r="AV63" i="1"/>
  <c r="T77" i="1"/>
  <c r="G80" i="1"/>
  <c r="AG91" i="8"/>
  <c r="AQ10" i="1"/>
  <c r="AI76" i="1"/>
  <c r="V69" i="1"/>
  <c r="J69" i="1"/>
  <c r="AV14" i="1"/>
  <c r="AT75" i="8"/>
  <c r="AI14" i="1"/>
  <c r="AT66" i="1"/>
  <c r="AO8" i="1"/>
  <c r="AA70" i="1"/>
  <c r="S78" i="1"/>
  <c r="F68" i="1"/>
  <c r="AF8" i="1"/>
  <c r="AR69" i="8"/>
  <c r="AD77" i="8"/>
  <c r="AI63" i="8"/>
  <c r="H86" i="1"/>
  <c r="AE65" i="8"/>
  <c r="E72" i="8"/>
  <c r="AA71" i="1"/>
  <c r="AR64" i="1"/>
  <c r="E44" i="1"/>
  <c r="S39" i="8"/>
  <c r="AV77" i="9"/>
  <c r="AD82" i="1"/>
  <c r="AI45" i="1"/>
  <c r="I65" i="8"/>
  <c r="R38" i="8"/>
  <c r="AI14" i="8"/>
  <c r="P64" i="8"/>
  <c r="E65" i="8"/>
  <c r="AX74" i="1"/>
  <c r="Z16" i="8"/>
  <c r="AR73" i="9"/>
  <c r="AA10" i="8"/>
  <c r="AT69" i="8"/>
  <c r="N9" i="1"/>
  <c r="R77" i="1"/>
  <c r="Y56" i="1"/>
  <c r="AR76" i="8"/>
  <c r="J70" i="1"/>
  <c r="T70" i="9"/>
  <c r="AO67" i="1"/>
  <c r="AP44" i="8"/>
  <c r="AD39" i="1"/>
  <c r="AO69" i="1"/>
  <c r="T74" i="1"/>
  <c r="F46" i="8"/>
  <c r="AJ57" i="1"/>
  <c r="AG9" i="9"/>
  <c r="AP9" i="8"/>
  <c r="W91" i="8"/>
  <c r="AA86" i="9"/>
  <c r="H82" i="1"/>
  <c r="U71" i="1"/>
  <c r="E74" i="8"/>
  <c r="E70" i="1"/>
  <c r="AD57" i="8"/>
  <c r="AM63" i="1"/>
  <c r="AX71" i="1"/>
  <c r="J69" i="8"/>
  <c r="X92" i="8"/>
  <c r="AC14" i="1"/>
  <c r="H16" i="8"/>
  <c r="H63" i="8"/>
  <c r="AE63" i="8"/>
  <c r="F16" i="8"/>
  <c r="AY92" i="9"/>
  <c r="AS73" i="8"/>
  <c r="AM8" i="8"/>
  <c r="Y44" i="1"/>
  <c r="AL8" i="8"/>
  <c r="N87" i="8"/>
  <c r="M77" i="8"/>
  <c r="AQ8" i="9"/>
  <c r="AL9" i="1"/>
  <c r="G45" i="8"/>
  <c r="AA95" i="1"/>
  <c r="G74" i="9"/>
  <c r="I57" i="8"/>
  <c r="AL87" i="9"/>
  <c r="F72" i="1"/>
  <c r="AG71" i="1"/>
  <c r="V66" i="1"/>
  <c r="AT78" i="1"/>
  <c r="AD10" i="1"/>
  <c r="AW92" i="1"/>
  <c r="AS66" i="1"/>
  <c r="L74" i="1"/>
  <c r="D72" i="1"/>
  <c r="I46" i="8"/>
  <c r="K86" i="8"/>
  <c r="AQ66" i="1"/>
  <c r="U95" i="1"/>
  <c r="W14" i="8"/>
  <c r="F10" i="9"/>
  <c r="J82" i="1"/>
  <c r="X70" i="8"/>
  <c r="Y38" i="9"/>
  <c r="AN8" i="8"/>
  <c r="G65" i="8"/>
  <c r="R71" i="8"/>
  <c r="F69" i="8"/>
  <c r="O16" i="8"/>
  <c r="O46" i="1"/>
  <c r="R9" i="9"/>
  <c r="AY46" i="1"/>
  <c r="AW8" i="1"/>
  <c r="AS72" i="8"/>
  <c r="AV95" i="9"/>
  <c r="M46" i="1"/>
  <c r="AV16" i="1"/>
  <c r="AH71" i="1"/>
  <c r="V95" i="9"/>
  <c r="Z39" i="8"/>
  <c r="J38" i="8"/>
  <c r="AX71" i="8"/>
  <c r="G66" i="8"/>
  <c r="H79" i="1"/>
  <c r="AL78" i="1"/>
  <c r="P88" i="8"/>
  <c r="AD87" i="8"/>
  <c r="AV86" i="8"/>
  <c r="O9" i="1"/>
  <c r="AE45" i="8"/>
  <c r="AT64" i="1"/>
  <c r="Y79" i="1"/>
  <c r="AN86" i="9"/>
  <c r="AV56" i="1"/>
  <c r="AQ15" i="8"/>
  <c r="J9" i="1"/>
  <c r="AE9" i="9"/>
  <c r="AA76" i="1"/>
  <c r="E77" i="1"/>
  <c r="Q77" i="9"/>
  <c r="AI10" i="8"/>
  <c r="L77" i="1"/>
  <c r="AT40" i="1"/>
  <c r="V57" i="1"/>
  <c r="D91" i="1"/>
  <c r="R10" i="8"/>
  <c r="AX73" i="1"/>
  <c r="Y14" i="9"/>
  <c r="O70" i="8"/>
  <c r="AT56" i="1"/>
  <c r="V74" i="1"/>
  <c r="D8" i="1"/>
  <c r="AE76" i="1"/>
  <c r="AN78" i="1"/>
  <c r="AU86" i="1"/>
  <c r="F56" i="9"/>
  <c r="AN9" i="1"/>
  <c r="AL71" i="8"/>
  <c r="T78" i="8"/>
  <c r="AG56" i="1"/>
  <c r="Z9" i="8"/>
  <c r="AM56" i="9"/>
  <c r="L67" i="1"/>
  <c r="AC78" i="8"/>
  <c r="AG78" i="1"/>
  <c r="AQ66" i="8"/>
  <c r="AR72" i="8"/>
  <c r="AW70" i="8"/>
  <c r="AF9" i="1"/>
  <c r="D74" i="1"/>
  <c r="AB91" i="1"/>
  <c r="AO87" i="1"/>
  <c r="F8" i="1"/>
  <c r="AU87" i="1"/>
  <c r="AG95" i="8"/>
  <c r="E73" i="1"/>
  <c r="AE15" i="1"/>
  <c r="AA46" i="1"/>
  <c r="U88" i="1"/>
  <c r="AL79" i="8"/>
  <c r="AI92" i="8"/>
  <c r="AN44" i="8"/>
  <c r="AF80" i="1"/>
  <c r="AX74" i="9"/>
  <c r="Z38" i="9"/>
  <c r="D65" i="1"/>
  <c r="AB81" i="8"/>
  <c r="AA92" i="1"/>
  <c r="AE64" i="8"/>
  <c r="N10" i="8"/>
  <c r="AO44" i="1"/>
  <c r="P68" i="1"/>
  <c r="S67" i="1"/>
  <c r="W44" i="8"/>
  <c r="AO64" i="8"/>
  <c r="AK67" i="8"/>
  <c r="I76" i="8"/>
  <c r="S9" i="1"/>
  <c r="T75" i="1"/>
  <c r="AN87" i="8"/>
  <c r="Q76" i="8"/>
  <c r="O78" i="8"/>
  <c r="D71" i="8"/>
  <c r="T72" i="8"/>
  <c r="O65" i="8"/>
  <c r="AI73" i="1"/>
  <c r="I87" i="1"/>
  <c r="AV9" i="1"/>
  <c r="S86" i="1"/>
  <c r="L16" i="1"/>
  <c r="G40" i="1"/>
  <c r="U10" i="1"/>
  <c r="AD86" i="1"/>
  <c r="AF74" i="1"/>
  <c r="AO86" i="1"/>
  <c r="E67" i="8"/>
  <c r="AP57" i="1"/>
  <c r="AU67" i="1"/>
  <c r="H88" i="1"/>
  <c r="W10" i="1"/>
  <c r="N44" i="1"/>
  <c r="U81" i="8"/>
  <c r="U75" i="1"/>
  <c r="G79" i="1"/>
  <c r="AC66" i="9"/>
  <c r="AG72" i="8"/>
  <c r="AC66" i="1"/>
  <c r="AB81" i="1"/>
  <c r="AG14" i="1"/>
  <c r="AV95" i="1"/>
  <c r="S70" i="8"/>
  <c r="W9" i="1"/>
  <c r="I65" i="1"/>
  <c r="AE40" i="1"/>
  <c r="AF10" i="9"/>
  <c r="AJ40" i="1"/>
  <c r="AA87" i="8"/>
  <c r="AN79" i="8"/>
  <c r="J72" i="1"/>
  <c r="R75" i="1"/>
  <c r="AD65" i="9"/>
  <c r="Q81" i="1"/>
  <c r="AG38" i="8"/>
  <c r="AA64" i="8"/>
  <c r="H8" i="1"/>
  <c r="L86" i="1"/>
  <c r="AK39" i="1"/>
  <c r="AX57" i="1"/>
  <c r="AH95" i="8"/>
  <c r="AG40" i="1"/>
  <c r="R15" i="8"/>
  <c r="W38" i="9"/>
  <c r="AJ10" i="1"/>
  <c r="F56" i="8"/>
  <c r="AH9" i="1"/>
  <c r="L45" i="1"/>
  <c r="Y79" i="9"/>
  <c r="AH80" i="8"/>
  <c r="AV67" i="8"/>
  <c r="AP70" i="1"/>
  <c r="AF72" i="9"/>
  <c r="N87" i="1"/>
  <c r="AC65" i="9"/>
  <c r="AT87" i="8"/>
  <c r="V69" i="8"/>
  <c r="D88" i="1"/>
  <c r="N91" i="1"/>
  <c r="G76" i="8"/>
  <c r="AL88" i="9"/>
  <c r="AQ76" i="1"/>
  <c r="AH69" i="8"/>
  <c r="AO66" i="1"/>
  <c r="AB10" i="9"/>
  <c r="AL73" i="9"/>
  <c r="AS74" i="1"/>
  <c r="AP39" i="8"/>
  <c r="AM38" i="1"/>
  <c r="K14" i="8"/>
  <c r="U65" i="8"/>
  <c r="L14" i="9"/>
  <c r="AY44" i="1"/>
  <c r="N8" i="8"/>
  <c r="D95" i="8"/>
  <c r="AM88" i="8"/>
  <c r="R80" i="1"/>
  <c r="AJ14" i="8"/>
  <c r="AC68" i="1"/>
  <c r="AY75" i="8"/>
  <c r="F64" i="8"/>
  <c r="AU57" i="1"/>
  <c r="AQ39" i="8"/>
  <c r="Z56" i="9"/>
  <c r="AL46" i="8"/>
  <c r="AV88" i="1"/>
  <c r="AU73" i="1"/>
  <c r="AB16" i="1"/>
  <c r="AW9" i="1"/>
  <c r="J46" i="1"/>
  <c r="AX88" i="8"/>
  <c r="L68" i="9"/>
  <c r="R76" i="9"/>
  <c r="U86" i="1"/>
  <c r="N87" i="9"/>
  <c r="AH64" i="1"/>
  <c r="AP79" i="1"/>
  <c r="AX75" i="8"/>
  <c r="AU72" i="8"/>
  <c r="K69" i="8"/>
  <c r="AU39" i="1"/>
  <c r="AS15" i="8"/>
  <c r="N71" i="8"/>
  <c r="T46" i="1"/>
  <c r="Q73" i="8"/>
  <c r="Z68" i="1"/>
  <c r="E10" i="8"/>
  <c r="AU72" i="9"/>
  <c r="O44" i="8"/>
  <c r="E95" i="9"/>
  <c r="F65" i="1"/>
  <c r="D74" i="8"/>
  <c r="AY92" i="8"/>
  <c r="P92" i="8"/>
  <c r="AL57" i="8"/>
  <c r="N76" i="1"/>
  <c r="AI87" i="9"/>
  <c r="AW56" i="8"/>
  <c r="R69" i="1"/>
  <c r="U79" i="8"/>
  <c r="AE45" i="1"/>
  <c r="AH9" i="8"/>
  <c r="H66" i="8"/>
  <c r="L63" i="8"/>
  <c r="AH77" i="9"/>
  <c r="Q46" i="1"/>
  <c r="AM67" i="1"/>
  <c r="Z39" i="1"/>
  <c r="E8" i="1"/>
  <c r="X74" i="1"/>
  <c r="AP91" i="1"/>
  <c r="Y64" i="1"/>
  <c r="AG80" i="1"/>
  <c r="M44" i="1"/>
  <c r="AV56" i="8"/>
  <c r="AL79" i="1"/>
  <c r="Z16" i="1"/>
  <c r="L73" i="1"/>
  <c r="AS77" i="1"/>
  <c r="AI77" i="1"/>
  <c r="Y14" i="1"/>
  <c r="G70" i="8"/>
  <c r="AA63" i="1"/>
  <c r="X75" i="1"/>
  <c r="AS63" i="8"/>
  <c r="AV70" i="1"/>
  <c r="AD80" i="1"/>
  <c r="S14" i="1"/>
  <c r="AK44" i="8"/>
  <c r="AX69" i="1"/>
  <c r="I82" i="1"/>
  <c r="N68" i="1"/>
  <c r="AW16" i="8"/>
  <c r="AG9" i="1"/>
  <c r="AV91" i="1"/>
  <c r="Z57" i="1"/>
  <c r="AP77" i="1"/>
  <c r="N67" i="1"/>
  <c r="Q9" i="1"/>
  <c r="AS9" i="1"/>
  <c r="AH76" i="1"/>
  <c r="Z10" i="1"/>
  <c r="S82" i="8"/>
  <c r="R64" i="1"/>
  <c r="AV45" i="1"/>
  <c r="V87" i="1"/>
  <c r="AI72" i="9"/>
  <c r="G73" i="1"/>
  <c r="AJ68" i="1"/>
  <c r="AN88" i="1"/>
  <c r="F44" i="1"/>
  <c r="AS76" i="1"/>
  <c r="AB92" i="1"/>
  <c r="AW56" i="1"/>
  <c r="M75" i="8"/>
  <c r="U95" i="8"/>
  <c r="E86" i="1"/>
  <c r="Z56" i="1"/>
  <c r="AR39" i="1"/>
  <c r="AU75" i="9"/>
  <c r="J63" i="8"/>
  <c r="AI57" i="1"/>
  <c r="K8" i="1"/>
  <c r="AF82" i="1"/>
  <c r="R95" i="8"/>
  <c r="AG63" i="1"/>
  <c r="X44" i="9"/>
  <c r="N39" i="9"/>
  <c r="AY78" i="1"/>
  <c r="N72" i="8"/>
  <c r="AU76" i="1"/>
  <c r="D9" i="1"/>
  <c r="M86" i="1"/>
  <c r="W66" i="8"/>
  <c r="AI76" i="9"/>
  <c r="P87" i="8"/>
  <c r="Y75" i="8"/>
  <c r="AY69" i="1"/>
  <c r="AU74" i="8"/>
  <c r="F74" i="8"/>
  <c r="AK88" i="8"/>
  <c r="AD78" i="1"/>
  <c r="Y92" i="8"/>
  <c r="AO70" i="9"/>
  <c r="N66" i="8"/>
  <c r="J16" i="8"/>
  <c r="AA76" i="9"/>
  <c r="Z57" i="8"/>
  <c r="W56" i="1"/>
  <c r="Q14" i="1"/>
  <c r="W40" i="1"/>
  <c r="N80" i="8"/>
  <c r="T65" i="1"/>
  <c r="AA81" i="8"/>
  <c r="H14" i="1"/>
  <c r="AG70" i="9"/>
  <c r="AK79" i="9"/>
  <c r="J71" i="8"/>
  <c r="E44" i="8"/>
  <c r="O77" i="1"/>
  <c r="AW45" i="1"/>
  <c r="X68" i="1"/>
  <c r="AT9" i="1"/>
  <c r="AD88" i="1"/>
  <c r="AR78" i="1"/>
  <c r="AD57" i="1"/>
  <c r="AY68" i="1"/>
  <c r="AL66" i="9"/>
  <c r="X67" i="1"/>
  <c r="D82" i="9"/>
  <c r="AD91" i="1"/>
  <c r="AK57" i="1"/>
  <c r="AK44" i="1"/>
  <c r="AO95" i="1"/>
  <c r="G69" i="1"/>
  <c r="E57" i="1"/>
  <c r="I16" i="1"/>
  <c r="AS87" i="1"/>
  <c r="D74" i="9"/>
  <c r="G16" i="1"/>
  <c r="AI66" i="1"/>
  <c r="Z81" i="8"/>
  <c r="AA14" i="8"/>
  <c r="D56" i="8"/>
  <c r="AR63" i="8"/>
  <c r="AE64" i="1"/>
  <c r="U79" i="1"/>
  <c r="G44" i="1"/>
  <c r="X86" i="1"/>
  <c r="R81" i="8"/>
  <c r="N81" i="1"/>
  <c r="AU79" i="8"/>
  <c r="AV69" i="1"/>
  <c r="AA66" i="9"/>
  <c r="X15" i="8"/>
  <c r="F76" i="8"/>
  <c r="P38" i="8"/>
  <c r="AQ70" i="1"/>
  <c r="J79" i="8"/>
  <c r="AK46" i="1"/>
  <c r="AT76" i="1"/>
  <c r="AC80" i="8"/>
  <c r="V67" i="8"/>
  <c r="AC9" i="1"/>
  <c r="S56" i="8"/>
  <c r="O80" i="1"/>
  <c r="O56" i="1"/>
  <c r="V9" i="8"/>
  <c r="AI88" i="8"/>
  <c r="E16" i="1"/>
  <c r="I39" i="8"/>
  <c r="AC38" i="1"/>
  <c r="S8" i="1"/>
  <c r="L63" i="1"/>
  <c r="AB70" i="1"/>
  <c r="U40" i="8"/>
  <c r="AX92" i="1"/>
  <c r="AQ82" i="1"/>
  <c r="AU82" i="9"/>
  <c r="P45" i="1"/>
  <c r="AY44" i="8"/>
  <c r="H64" i="1"/>
  <c r="Y57" i="8"/>
  <c r="J64" i="1"/>
  <c r="AV77" i="8"/>
  <c r="G38" i="1"/>
  <c r="AB88" i="1"/>
  <c r="AY67" i="1"/>
  <c r="AK64" i="8"/>
  <c r="AJ78" i="9"/>
  <c r="AE86" i="1"/>
  <c r="AC88" i="1"/>
  <c r="AV46" i="8"/>
  <c r="AE71" i="9"/>
  <c r="E67" i="9"/>
  <c r="AN75" i="1"/>
  <c r="Y87" i="1"/>
  <c r="R82" i="8"/>
  <c r="AI10" i="1"/>
  <c r="F77" i="8"/>
  <c r="S88" i="1"/>
  <c r="AA75" i="8"/>
  <c r="AE81" i="8"/>
  <c r="D69" i="1"/>
  <c r="AD70" i="1"/>
  <c r="AR70" i="1"/>
  <c r="H79" i="8"/>
  <c r="S64" i="8"/>
  <c r="Y88" i="1"/>
  <c r="K46" i="8"/>
  <c r="M10" i="8"/>
  <c r="D39" i="1"/>
  <c r="AS78" i="1"/>
  <c r="J40" i="1"/>
  <c r="L16" i="9"/>
  <c r="Z80" i="8"/>
  <c r="P15" i="8"/>
  <c r="T63" i="1"/>
  <c r="O75" i="8"/>
  <c r="W15" i="1"/>
  <c r="M78" i="1"/>
  <c r="N64" i="1"/>
  <c r="AY67" i="9"/>
  <c r="AE56" i="8"/>
  <c r="AJ16" i="8"/>
  <c r="AG87" i="9"/>
  <c r="AP74" i="8"/>
  <c r="X8" i="1"/>
  <c r="E82" i="1"/>
  <c r="P82" i="1"/>
  <c r="R75" i="8"/>
  <c r="AF71" i="1"/>
  <c r="D38" i="1"/>
  <c r="I74" i="8"/>
  <c r="I67" i="8"/>
  <c r="X78" i="8"/>
  <c r="Z71" i="9"/>
  <c r="N88" i="1"/>
  <c r="AY56" i="9"/>
  <c r="AE91" i="8"/>
  <c r="P86" i="8"/>
  <c r="L57" i="8"/>
  <c r="AU69" i="1"/>
  <c r="AM45" i="8"/>
  <c r="K73" i="1"/>
  <c r="AW86" i="8"/>
  <c r="AX95" i="8"/>
  <c r="N9" i="9"/>
  <c r="AN72" i="9"/>
  <c r="R46" i="8"/>
  <c r="AT76" i="9"/>
  <c r="Q88" i="1"/>
  <c r="AX63" i="9"/>
  <c r="T73" i="8"/>
  <c r="Y70" i="1"/>
  <c r="AK87" i="8"/>
  <c r="T92" i="8"/>
  <c r="AR66" i="9"/>
  <c r="AW87" i="1"/>
  <c r="R38" i="1"/>
  <c r="AJ80" i="1"/>
  <c r="H46" i="8"/>
  <c r="S39" i="1"/>
  <c r="AO72" i="1"/>
  <c r="D68" i="1"/>
  <c r="I77" i="1"/>
  <c r="S15" i="1"/>
  <c r="J40" i="8"/>
  <c r="AG74" i="8"/>
  <c r="AU77" i="1"/>
  <c r="AT10" i="9"/>
  <c r="H70" i="8"/>
  <c r="Q65" i="1"/>
  <c r="U15" i="8"/>
  <c r="AA45" i="9"/>
  <c r="AU95" i="1"/>
  <c r="Y91" i="8"/>
  <c r="AG40" i="8"/>
  <c r="AY70" i="8"/>
  <c r="Q56" i="1"/>
  <c r="I45" i="8"/>
  <c r="AY10" i="1"/>
  <c r="E38" i="8"/>
  <c r="X16" i="8"/>
  <c r="E68" i="8"/>
  <c r="AQ64" i="8"/>
  <c r="P66" i="8"/>
  <c r="T70" i="8"/>
  <c r="P46" i="8"/>
  <c r="AO38" i="1"/>
  <c r="J86" i="9"/>
  <c r="AV15" i="1"/>
  <c r="Y68" i="1"/>
  <c r="AJ44" i="1"/>
  <c r="O44" i="1"/>
  <c r="AC72" i="8"/>
  <c r="Y70" i="8"/>
  <c r="AI71" i="9"/>
  <c r="P57" i="8"/>
  <c r="I92" i="8"/>
  <c r="AW40" i="9"/>
  <c r="AN40" i="1"/>
  <c r="T91" i="8"/>
  <c r="AQ81" i="1"/>
  <c r="AV64" i="8"/>
  <c r="AU15" i="8"/>
  <c r="AY14" i="9"/>
  <c r="AK95" i="9"/>
  <c r="O38" i="1"/>
  <c r="K75" i="8"/>
  <c r="K9" i="9"/>
  <c r="G39" i="1"/>
  <c r="K80" i="1"/>
  <c r="O76" i="1"/>
  <c r="G67" i="8"/>
  <c r="K92" i="8"/>
  <c r="H46" i="1"/>
  <c r="AQ95" i="1"/>
  <c r="AF16" i="1"/>
  <c r="AS16" i="1"/>
  <c r="AJ72" i="1"/>
  <c r="AA38" i="8"/>
  <c r="AE70" i="8"/>
  <c r="AH73" i="8"/>
  <c r="J75" i="1"/>
  <c r="U70" i="8"/>
  <c r="AE16" i="1"/>
  <c r="H66" i="9"/>
  <c r="M73" i="1"/>
  <c r="AL75" i="8"/>
  <c r="AR88" i="1"/>
  <c r="T9" i="1"/>
  <c r="AF95" i="1"/>
  <c r="AU56" i="8"/>
  <c r="AA79" i="8"/>
  <c r="S39" i="9"/>
  <c r="M91" i="9"/>
  <c r="M76" i="9"/>
  <c r="E69" i="8"/>
  <c r="G82" i="9"/>
  <c r="E95" i="8"/>
  <c r="G86" i="8"/>
  <c r="AT78" i="8"/>
  <c r="Q14" i="8"/>
  <c r="AC77" i="8"/>
  <c r="J46" i="9"/>
  <c r="T87" i="1"/>
  <c r="AP9" i="9"/>
  <c r="W79" i="9"/>
  <c r="AS68" i="9"/>
  <c r="AC74" i="9"/>
  <c r="D63" i="8"/>
  <c r="AK38" i="1"/>
  <c r="T40" i="1"/>
  <c r="T74" i="8"/>
  <c r="I16" i="8"/>
  <c r="AN69" i="8"/>
  <c r="AM75" i="8"/>
  <c r="U73" i="9"/>
  <c r="P78" i="9"/>
  <c r="W16" i="9"/>
  <c r="S10" i="9"/>
  <c r="V71" i="1"/>
  <c r="AT88" i="1"/>
  <c r="Z82" i="1"/>
  <c r="AO15" i="8"/>
  <c r="AV69" i="8"/>
  <c r="AL77" i="9"/>
  <c r="AW63" i="8"/>
  <c r="AX80" i="1"/>
  <c r="AP56" i="1"/>
  <c r="D9" i="8"/>
  <c r="AR66" i="1"/>
  <c r="AA74" i="8"/>
  <c r="AC8" i="1"/>
  <c r="P9" i="8"/>
  <c r="N71" i="1"/>
  <c r="K66" i="9"/>
  <c r="P91" i="1"/>
  <c r="H66" i="1"/>
  <c r="AM44" i="8"/>
  <c r="AP44" i="1"/>
  <c r="W69" i="1"/>
  <c r="E87" i="1"/>
  <c r="M95" i="1"/>
  <c r="AX72" i="9"/>
  <c r="L72" i="1"/>
  <c r="M79" i="1"/>
  <c r="G74" i="1"/>
  <c r="AD45" i="1"/>
  <c r="S56" i="1"/>
  <c r="E65" i="1"/>
  <c r="AJ39" i="1"/>
  <c r="AS45" i="1"/>
  <c r="AC70" i="9"/>
  <c r="AB86" i="1"/>
  <c r="I57" i="1"/>
  <c r="AJ69" i="1"/>
  <c r="AL67" i="8"/>
  <c r="L16" i="8"/>
  <c r="AN14" i="1"/>
  <c r="AE67" i="9"/>
  <c r="Z64" i="8"/>
  <c r="AF79" i="1"/>
  <c r="AE87" i="8"/>
  <c r="F38" i="9"/>
  <c r="Q44" i="8"/>
  <c r="I95" i="8"/>
  <c r="AX80" i="8"/>
  <c r="AI79" i="8"/>
  <c r="AR65" i="9"/>
  <c r="AY57" i="1"/>
  <c r="S75" i="8"/>
  <c r="AW73" i="1"/>
  <c r="T71" i="1"/>
  <c r="J56" i="1"/>
  <c r="AM10" i="8"/>
  <c r="AE74" i="1"/>
  <c r="AY88" i="8"/>
  <c r="AH39" i="1"/>
  <c r="AL39" i="1"/>
  <c r="P65" i="8"/>
  <c r="W87" i="8"/>
  <c r="Q73" i="9"/>
  <c r="S91" i="8"/>
  <c r="L91" i="1"/>
  <c r="AH80" i="1"/>
  <c r="U15" i="1"/>
  <c r="AN70" i="1"/>
  <c r="O73" i="1"/>
  <c r="T10" i="1"/>
  <c r="AH74" i="1"/>
  <c r="AJ95" i="8"/>
  <c r="AS66" i="8"/>
  <c r="AN71" i="1"/>
  <c r="AR87" i="8"/>
  <c r="AL88" i="8"/>
  <c r="AR78" i="9"/>
  <c r="E14" i="9"/>
  <c r="E76" i="8"/>
  <c r="AB67" i="8"/>
  <c r="O63" i="9"/>
  <c r="R87" i="8"/>
  <c r="V9" i="1"/>
  <c r="AK88" i="1"/>
  <c r="AI67" i="1"/>
  <c r="P44" i="9"/>
  <c r="X64" i="1"/>
  <c r="L46" i="8"/>
  <c r="F75" i="9"/>
  <c r="AE79" i="1"/>
  <c r="AF72" i="1"/>
  <c r="J67" i="1"/>
  <c r="AQ86" i="9"/>
  <c r="AV69" i="9"/>
  <c r="S69" i="8"/>
  <c r="AE8" i="1"/>
  <c r="L63" i="9"/>
  <c r="AS80" i="8"/>
  <c r="W46" i="9"/>
  <c r="Z70" i="8"/>
  <c r="Y39" i="8"/>
  <c r="O45" i="9"/>
  <c r="U63" i="1"/>
  <c r="G92" i="9"/>
  <c r="AS57" i="8"/>
  <c r="P68" i="9"/>
  <c r="AX38" i="8"/>
  <c r="AV71" i="8"/>
  <c r="H10" i="8"/>
  <c r="S74" i="1"/>
  <c r="D95" i="9"/>
  <c r="U69" i="1"/>
  <c r="AP80" i="9"/>
  <c r="AU88" i="9"/>
  <c r="AP38" i="1"/>
  <c r="X76" i="9"/>
  <c r="AF70" i="8"/>
  <c r="U72" i="8"/>
  <c r="AY88" i="9"/>
  <c r="AA63" i="9"/>
  <c r="AT15" i="1"/>
  <c r="Q15" i="8"/>
  <c r="W69" i="9"/>
  <c r="G65" i="1"/>
  <c r="P80" i="1"/>
  <c r="AN38" i="1"/>
  <c r="AS70" i="9"/>
  <c r="G57" i="8"/>
  <c r="M65" i="9"/>
  <c r="I16" i="9"/>
  <c r="AC46" i="1"/>
  <c r="AF56" i="8"/>
  <c r="AY15" i="8"/>
  <c r="O79" i="9"/>
  <c r="Q10" i="8"/>
  <c r="R72" i="8"/>
  <c r="F8" i="8"/>
  <c r="W88" i="9"/>
  <c r="AH38" i="8"/>
  <c r="AH80" i="9"/>
  <c r="K95" i="8"/>
  <c r="I95" i="1"/>
  <c r="P39" i="1"/>
  <c r="AK14" i="1"/>
  <c r="Q86" i="1"/>
  <c r="AK38" i="8"/>
  <c r="H78" i="9"/>
  <c r="W9" i="8"/>
  <c r="AI70" i="8"/>
  <c r="L39" i="9"/>
  <c r="AM81" i="9"/>
  <c r="U57" i="1"/>
  <c r="P45" i="8"/>
  <c r="M79" i="8"/>
  <c r="AC77" i="1"/>
  <c r="F75" i="1"/>
  <c r="AT73" i="8"/>
  <c r="AD16" i="8"/>
  <c r="O66" i="8"/>
  <c r="R57" i="8"/>
  <c r="L67" i="8"/>
  <c r="X79" i="1"/>
  <c r="AA86" i="8"/>
  <c r="AF76" i="1"/>
  <c r="N78" i="8"/>
  <c r="L69" i="1"/>
  <c r="F79" i="8"/>
  <c r="AT72" i="1"/>
  <c r="M38" i="9"/>
  <c r="L78" i="8"/>
  <c r="AN67" i="8"/>
  <c r="AC86" i="1"/>
  <c r="AG14" i="8"/>
  <c r="AK79" i="8"/>
  <c r="AD73" i="1"/>
  <c r="U80" i="8"/>
  <c r="T87" i="8"/>
  <c r="F64" i="1"/>
  <c r="G8" i="1"/>
  <c r="F71" i="8"/>
  <c r="AT88" i="8"/>
  <c r="AW77" i="8"/>
  <c r="R65" i="1"/>
  <c r="P69" i="8"/>
  <c r="H78" i="1"/>
  <c r="K88" i="8"/>
  <c r="O80" i="8"/>
  <c r="AH95" i="1"/>
  <c r="Z91" i="8"/>
  <c r="U57" i="8"/>
  <c r="AK95" i="1"/>
  <c r="F78" i="8"/>
  <c r="V10" i="8"/>
  <c r="F92" i="8"/>
  <c r="AH16" i="8"/>
  <c r="AX77" i="8"/>
  <c r="AE67" i="8"/>
  <c r="P9" i="1"/>
  <c r="AY77" i="8"/>
  <c r="AX72" i="1"/>
  <c r="AX76" i="1"/>
  <c r="R9" i="1"/>
  <c r="P73" i="1"/>
  <c r="AA67" i="8"/>
  <c r="K76" i="9"/>
  <c r="R56" i="9"/>
  <c r="D92" i="1"/>
  <c r="AG77" i="1"/>
  <c r="AD78" i="8"/>
  <c r="AH69" i="1"/>
  <c r="AG63" i="8"/>
  <c r="AB75" i="1"/>
  <c r="AG69" i="8"/>
  <c r="K70" i="1"/>
  <c r="Y81" i="1"/>
  <c r="AM15" i="8"/>
  <c r="AA72" i="1"/>
  <c r="AG66" i="1"/>
  <c r="AT87" i="1"/>
  <c r="W73" i="8"/>
  <c r="AQ91" i="1"/>
  <c r="AT57" i="8"/>
  <c r="W64" i="8"/>
  <c r="AA92" i="8"/>
  <c r="AQ16" i="9"/>
  <c r="M38" i="8"/>
  <c r="AI67" i="9"/>
  <c r="AL87" i="1"/>
  <c r="AJ63" i="8"/>
  <c r="AP46" i="1"/>
  <c r="AH91" i="9"/>
  <c r="E63" i="1"/>
  <c r="AO72" i="9"/>
  <c r="AO63" i="9"/>
  <c r="AJ91" i="8"/>
  <c r="AW76" i="1"/>
  <c r="AB45" i="9"/>
  <c r="R78" i="8"/>
  <c r="AN16" i="9"/>
  <c r="AX95" i="9"/>
  <c r="AB69" i="1"/>
  <c r="AN67" i="9"/>
  <c r="AN46" i="9"/>
  <c r="T77" i="8"/>
  <c r="AR78" i="8"/>
  <c r="AV57" i="8"/>
  <c r="T95" i="1"/>
  <c r="O69" i="1"/>
  <c r="AA76" i="8"/>
  <c r="AQ56" i="1"/>
  <c r="P9" i="9"/>
  <c r="J9" i="8"/>
  <c r="Z79" i="9"/>
  <c r="AK75" i="9"/>
  <c r="E8" i="8"/>
  <c r="Q79" i="8"/>
  <c r="J86" i="8"/>
  <c r="U44" i="8"/>
  <c r="AH86" i="1"/>
  <c r="U82" i="8"/>
  <c r="H44" i="8"/>
  <c r="AU66" i="1"/>
  <c r="AC40" i="9"/>
  <c r="O82" i="1"/>
  <c r="AV76" i="8"/>
  <c r="AK66" i="1"/>
  <c r="M44" i="8"/>
  <c r="AH65" i="1"/>
  <c r="AF91" i="8"/>
  <c r="E39" i="8"/>
  <c r="E74" i="9"/>
  <c r="W57" i="1"/>
  <c r="AF57" i="8"/>
  <c r="AG8" i="1"/>
  <c r="D66" i="1"/>
  <c r="AU71" i="1"/>
  <c r="AP16" i="1"/>
  <c r="T56" i="1"/>
  <c r="AD40" i="1"/>
  <c r="AX38" i="1"/>
  <c r="AQ68" i="1"/>
  <c r="Y77" i="1"/>
  <c r="AH72" i="8"/>
  <c r="I75" i="8"/>
  <c r="AQ87" i="1"/>
  <c r="AU88" i="8"/>
  <c r="AM65" i="1"/>
  <c r="AQ71" i="8"/>
  <c r="AS65" i="1"/>
  <c r="S45" i="1"/>
  <c r="AA40" i="1"/>
  <c r="AU73" i="8"/>
  <c r="U57" i="9"/>
  <c r="AB65" i="9"/>
  <c r="AQ71" i="1"/>
  <c r="AO46" i="8"/>
  <c r="AR74" i="8"/>
  <c r="S38" i="1"/>
  <c r="L91" i="8"/>
  <c r="K66" i="8"/>
  <c r="AC70" i="1"/>
  <c r="AO73" i="1"/>
  <c r="I87" i="8"/>
  <c r="W72" i="9"/>
  <c r="U14" i="8"/>
  <c r="H87" i="8"/>
  <c r="AJ57" i="8"/>
  <c r="R73" i="1"/>
  <c r="I44" i="8"/>
  <c r="AU80" i="8"/>
  <c r="AQ65" i="8"/>
  <c r="AR71" i="9"/>
  <c r="AQ74" i="1"/>
  <c r="AT15" i="8"/>
  <c r="AI69" i="9"/>
  <c r="J81" i="8"/>
  <c r="AC39" i="9"/>
  <c r="V16" i="1"/>
  <c r="AT16" i="8"/>
  <c r="K88" i="1"/>
  <c r="H73" i="1"/>
  <c r="AD40" i="9"/>
  <c r="V39" i="8"/>
  <c r="U56" i="1"/>
  <c r="AH14" i="8"/>
  <c r="AP66" i="8"/>
  <c r="X92" i="9"/>
  <c r="G78" i="8"/>
  <c r="AH88" i="8"/>
  <c r="AR91" i="8"/>
  <c r="P70" i="9"/>
  <c r="AD82" i="8"/>
  <c r="AJ75" i="8"/>
  <c r="X71" i="8"/>
  <c r="AM91" i="1"/>
  <c r="E82" i="9"/>
  <c r="L9" i="1"/>
  <c r="K76" i="8"/>
  <c r="T67" i="1"/>
  <c r="O8" i="1"/>
  <c r="Q68" i="8"/>
  <c r="AO92" i="1"/>
  <c r="W57" i="8"/>
  <c r="F95" i="1"/>
  <c r="Z66" i="1"/>
  <c r="F92" i="9"/>
  <c r="AR92" i="9"/>
  <c r="AL86" i="8"/>
  <c r="AX76" i="8"/>
  <c r="AD79" i="9"/>
  <c r="AS40" i="1"/>
  <c r="D38" i="9"/>
  <c r="S67" i="9"/>
  <c r="V91" i="8"/>
  <c r="R71" i="9"/>
  <c r="AF39" i="1"/>
  <c r="AF10" i="8"/>
  <c r="AW9" i="8"/>
  <c r="D87" i="9"/>
  <c r="AP78" i="8"/>
  <c r="F69" i="9"/>
  <c r="F9" i="9"/>
  <c r="AU66" i="9"/>
  <c r="AP87" i="1"/>
  <c r="AK63" i="1"/>
  <c r="AP76" i="8"/>
  <c r="AO64" i="1"/>
  <c r="AW92" i="9"/>
  <c r="AN66" i="8"/>
  <c r="AH78" i="8"/>
  <c r="AX44" i="8"/>
  <c r="AJ77" i="1"/>
  <c r="V72" i="8"/>
  <c r="AT82" i="8"/>
  <c r="N86" i="8"/>
  <c r="Y38" i="1"/>
  <c r="AX64" i="9"/>
  <c r="I38" i="9"/>
  <c r="Q15" i="1"/>
  <c r="S77" i="9"/>
  <c r="H57" i="8"/>
  <c r="AB79" i="9"/>
  <c r="U92" i="8"/>
  <c r="Y66" i="8"/>
  <c r="AW46" i="8"/>
  <c r="X82" i="9"/>
  <c r="AU38" i="8"/>
  <c r="AF38" i="8"/>
  <c r="H95" i="9"/>
  <c r="J79" i="9"/>
  <c r="AN15" i="9"/>
  <c r="X68" i="9"/>
  <c r="AA72" i="8"/>
  <c r="AF8" i="8"/>
  <c r="AM9" i="9"/>
  <c r="AA77" i="8"/>
  <c r="AU39" i="8"/>
  <c r="D71" i="9"/>
  <c r="AA95" i="8"/>
  <c r="F67" i="9"/>
  <c r="AW79" i="8"/>
  <c r="AU68" i="1"/>
  <c r="V73" i="1"/>
  <c r="AX70" i="8"/>
  <c r="F87" i="1"/>
  <c r="AI68" i="1"/>
  <c r="AX14" i="8"/>
  <c r="AV92" i="8"/>
  <c r="AL14" i="1"/>
  <c r="S79" i="1"/>
  <c r="AC75" i="1"/>
  <c r="K95" i="1"/>
  <c r="K80" i="8"/>
  <c r="R80" i="9"/>
  <c r="S63" i="8"/>
  <c r="AF91" i="1"/>
  <c r="AY73" i="9"/>
  <c r="Y77" i="8"/>
  <c r="V46" i="1"/>
  <c r="E87" i="9"/>
  <c r="AS39" i="9"/>
  <c r="W88" i="8"/>
  <c r="AA75" i="9"/>
  <c r="Z14" i="8"/>
  <c r="AF75" i="8"/>
  <c r="E40" i="9"/>
  <c r="D44" i="8"/>
  <c r="AT46" i="8"/>
  <c r="AT91" i="1"/>
  <c r="N8" i="1"/>
  <c r="AC65" i="8"/>
  <c r="F63" i="8"/>
  <c r="AU73" i="9"/>
  <c r="X8" i="9"/>
  <c r="AC16" i="1"/>
  <c r="AP56" i="8"/>
  <c r="AK65" i="9"/>
  <c r="J10" i="1"/>
  <c r="AN81" i="8"/>
  <c r="AV65" i="8"/>
  <c r="AO82" i="8"/>
  <c r="S63" i="1"/>
  <c r="K92" i="9"/>
  <c r="AT67" i="1"/>
  <c r="AT74" i="8"/>
  <c r="AQ75" i="1"/>
  <c r="AG87" i="8"/>
  <c r="L39" i="1"/>
  <c r="AJ76" i="1"/>
  <c r="T8" i="1"/>
  <c r="D46" i="1"/>
  <c r="I86" i="1"/>
  <c r="AL74" i="8"/>
  <c r="W45" i="1"/>
  <c r="AL68" i="8"/>
  <c r="AN15" i="8"/>
  <c r="X78" i="9"/>
  <c r="AG69" i="1"/>
  <c r="AV14" i="8"/>
  <c r="AD72" i="1"/>
  <c r="AL95" i="1"/>
  <c r="AF68" i="8"/>
  <c r="AW75" i="1"/>
  <c r="AX9" i="8"/>
  <c r="AF15" i="8"/>
  <c r="H40" i="1"/>
  <c r="AX45" i="8"/>
  <c r="S74" i="8"/>
  <c r="AO56" i="1"/>
  <c r="K78" i="1"/>
  <c r="T8" i="9"/>
  <c r="AK81" i="1"/>
  <c r="AV87" i="8"/>
  <c r="AW65" i="8"/>
  <c r="AK68" i="8"/>
  <c r="AP46" i="9"/>
  <c r="W74" i="8"/>
  <c r="U87" i="9"/>
  <c r="L80" i="8"/>
  <c r="AD77" i="9"/>
  <c r="AC63" i="1"/>
  <c r="R66" i="8"/>
  <c r="AN38" i="9"/>
  <c r="G87" i="1"/>
  <c r="Y64" i="8"/>
  <c r="AR69" i="9"/>
  <c r="AT8" i="1"/>
  <c r="AH38" i="9"/>
  <c r="AD46" i="8"/>
  <c r="AN46" i="8"/>
  <c r="AQ74" i="8"/>
  <c r="AX16" i="9"/>
  <c r="AW38" i="8"/>
  <c r="H39" i="1"/>
  <c r="AY79" i="9"/>
  <c r="AG79" i="1"/>
  <c r="I81" i="1"/>
  <c r="E92" i="8"/>
  <c r="P16" i="9"/>
  <c r="Y91" i="1"/>
  <c r="AD16" i="1"/>
  <c r="AK39" i="8"/>
  <c r="M77" i="1"/>
  <c r="AC87" i="8"/>
  <c r="Z78" i="9"/>
  <c r="M72" i="8"/>
  <c r="AU78" i="1"/>
  <c r="AB70" i="8"/>
  <c r="AL95" i="9"/>
  <c r="AC14" i="9"/>
  <c r="AE77" i="1"/>
  <c r="AN38" i="8"/>
  <c r="V81" i="8"/>
  <c r="J76" i="9"/>
  <c r="F82" i="1"/>
  <c r="N56" i="1"/>
  <c r="AI64" i="9"/>
  <c r="AJ74" i="9"/>
  <c r="AT74" i="9"/>
  <c r="T80" i="8"/>
  <c r="S66" i="8"/>
  <c r="AT74" i="1"/>
  <c r="AO88" i="8"/>
  <c r="AC69" i="8"/>
  <c r="AP45" i="8"/>
  <c r="AW86" i="1"/>
  <c r="Q73" i="1"/>
  <c r="R9" i="8"/>
  <c r="AN81" i="1"/>
  <c r="J8" i="1"/>
  <c r="AO77" i="8"/>
  <c r="K70" i="8"/>
  <c r="P44" i="1"/>
  <c r="AN91" i="8"/>
  <c r="E14" i="8"/>
  <c r="AH77" i="1"/>
  <c r="AM68" i="1"/>
  <c r="T95" i="8"/>
  <c r="F79" i="1"/>
  <c r="P78" i="1"/>
  <c r="V79" i="9"/>
  <c r="AI88" i="1"/>
  <c r="AY63" i="1"/>
  <c r="AP91" i="8"/>
  <c r="AJ66" i="8"/>
  <c r="AY40" i="9"/>
  <c r="AG16" i="1"/>
  <c r="Z38" i="8"/>
  <c r="L95" i="1"/>
  <c r="AR65" i="8"/>
  <c r="AI92" i="1"/>
  <c r="AC79" i="9"/>
  <c r="T69" i="1"/>
  <c r="T64" i="1"/>
  <c r="AN79" i="1"/>
  <c r="U70" i="9"/>
  <c r="Y69" i="8"/>
  <c r="AY76" i="9"/>
  <c r="J78" i="8"/>
  <c r="AR86" i="1"/>
  <c r="AH44" i="1"/>
  <c r="AI9" i="1"/>
  <c r="Z44" i="8"/>
  <c r="AJ56" i="8"/>
  <c r="H86" i="8"/>
  <c r="L15" i="8"/>
  <c r="X87" i="9"/>
  <c r="AE69" i="1"/>
  <c r="T70" i="1"/>
  <c r="AK78" i="1"/>
  <c r="S95" i="1"/>
  <c r="AH75" i="1"/>
  <c r="AB78" i="1"/>
  <c r="AD91" i="8"/>
  <c r="AE75" i="8"/>
  <c r="AE39" i="1"/>
  <c r="AN8" i="9"/>
  <c r="Y80" i="1"/>
  <c r="E56" i="8"/>
  <c r="S67" i="8"/>
  <c r="AS81" i="1"/>
  <c r="AQ76" i="8"/>
  <c r="AY65" i="1"/>
  <c r="AH70" i="8"/>
  <c r="N92" i="8"/>
  <c r="AB15" i="1"/>
  <c r="E68" i="1"/>
  <c r="J91" i="1"/>
  <c r="P67" i="8"/>
  <c r="AX63" i="8"/>
  <c r="S87" i="1"/>
  <c r="AM57" i="1"/>
  <c r="I72" i="9"/>
  <c r="AB44" i="1"/>
  <c r="X46" i="1"/>
  <c r="K44" i="1"/>
  <c r="AX68" i="8"/>
  <c r="AP79" i="8"/>
  <c r="AY71" i="9"/>
  <c r="Y63" i="1"/>
  <c r="M65" i="1"/>
  <c r="Q45" i="1"/>
  <c r="AI69" i="8"/>
  <c r="Q70" i="8"/>
  <c r="AV75" i="1"/>
  <c r="AI16" i="8"/>
  <c r="O75" i="9"/>
  <c r="AK92" i="9"/>
  <c r="AN76" i="1"/>
  <c r="AK86" i="9"/>
  <c r="AL91" i="8"/>
  <c r="AM70" i="1"/>
  <c r="F16" i="1"/>
  <c r="AS8" i="9"/>
  <c r="AQ44" i="9"/>
  <c r="Q75" i="9"/>
  <c r="AP8" i="8"/>
  <c r="AE16" i="9"/>
  <c r="AN56" i="1"/>
  <c r="AS69" i="8"/>
  <c r="E16" i="8"/>
  <c r="F46" i="1"/>
  <c r="AB68" i="1"/>
  <c r="AS44" i="9"/>
  <c r="V74" i="8"/>
  <c r="F91" i="8"/>
  <c r="AM16" i="9"/>
  <c r="E15" i="8"/>
  <c r="E45" i="1"/>
  <c r="S87" i="8"/>
  <c r="AF92" i="1"/>
  <c r="AR15" i="1"/>
  <c r="AV79" i="1"/>
  <c r="AB88" i="8"/>
  <c r="AY39" i="1"/>
  <c r="AV65" i="9"/>
  <c r="AK56" i="1"/>
  <c r="X39" i="9"/>
  <c r="AW40" i="1"/>
  <c r="AF8" i="9"/>
  <c r="H15" i="1"/>
  <c r="F63" i="1"/>
  <c r="AG68" i="1"/>
  <c r="AO64" i="9"/>
  <c r="T91" i="9"/>
  <c r="Y79" i="8"/>
  <c r="V40" i="9"/>
  <c r="AR56" i="1"/>
  <c r="P71" i="1"/>
  <c r="O64" i="9"/>
  <c r="AQ46" i="8"/>
  <c r="AO70" i="1"/>
  <c r="AM91" i="8"/>
  <c r="AE63" i="1"/>
  <c r="V70" i="1"/>
  <c r="T72" i="9"/>
  <c r="AB46" i="1"/>
  <c r="O72" i="8"/>
  <c r="AC67" i="1"/>
  <c r="AS81" i="8"/>
  <c r="O9" i="8"/>
  <c r="Z70" i="1"/>
  <c r="AY57" i="8"/>
  <c r="AV79" i="9"/>
  <c r="N40" i="1"/>
  <c r="M44" i="9"/>
  <c r="AI81" i="1"/>
  <c r="S38" i="9"/>
  <c r="V87" i="8"/>
  <c r="D63" i="1"/>
  <c r="AS64" i="1"/>
  <c r="U73" i="8"/>
  <c r="R63" i="8"/>
  <c r="AC16" i="9"/>
  <c r="AD92" i="8"/>
  <c r="AH87" i="1"/>
  <c r="F57" i="1"/>
  <c r="Y15" i="1"/>
  <c r="X69" i="8"/>
  <c r="AK69" i="9"/>
  <c r="AD39" i="9"/>
  <c r="AV71" i="9"/>
  <c r="S15" i="8"/>
  <c r="W82" i="8"/>
  <c r="I78" i="1"/>
  <c r="AD15" i="9"/>
  <c r="AH91" i="1"/>
  <c r="AN82" i="9"/>
  <c r="Q80" i="1"/>
  <c r="AV46" i="9"/>
  <c r="AN9" i="9"/>
  <c r="V46" i="8"/>
  <c r="I66" i="9"/>
  <c r="AE65" i="9"/>
  <c r="AG69" i="9"/>
  <c r="AM67" i="9"/>
  <c r="AO75" i="8"/>
  <c r="V15" i="8"/>
  <c r="Z88" i="9"/>
  <c r="AL63" i="1"/>
  <c r="V63" i="9"/>
  <c r="AM71" i="1"/>
  <c r="K56" i="8"/>
  <c r="X80" i="8"/>
  <c r="AB56" i="1"/>
  <c r="N73" i="9"/>
  <c r="AG66" i="9"/>
  <c r="H76" i="8"/>
  <c r="R87" i="1"/>
  <c r="AE74" i="9"/>
  <c r="AU67" i="8"/>
  <c r="AE69" i="9"/>
  <c r="AQ91" i="8"/>
  <c r="W71" i="9"/>
  <c r="AT14" i="8"/>
  <c r="D44" i="9"/>
  <c r="D66" i="9"/>
  <c r="AI56" i="8"/>
  <c r="AD67" i="8"/>
  <c r="AE38" i="1"/>
  <c r="I10" i="1"/>
  <c r="AS10" i="9"/>
  <c r="AF44" i="8"/>
  <c r="AF14" i="1"/>
  <c r="U16" i="9"/>
  <c r="W81" i="8"/>
  <c r="AU45" i="1"/>
  <c r="AJ92" i="8"/>
  <c r="O71" i="9"/>
  <c r="AO46" i="1"/>
  <c r="X73" i="8"/>
  <c r="AD56" i="1"/>
  <c r="H79" i="9"/>
  <c r="AQ14" i="1"/>
  <c r="D72" i="9"/>
  <c r="U39" i="8"/>
  <c r="AV57" i="1"/>
  <c r="L73" i="8"/>
  <c r="AM66" i="8"/>
  <c r="L92" i="9"/>
  <c r="AQ39" i="9"/>
  <c r="Z73" i="9"/>
  <c r="AJ71" i="1"/>
  <c r="AK74" i="8"/>
  <c r="AO88" i="9"/>
  <c r="N40" i="9"/>
  <c r="AT38" i="1"/>
  <c r="AE9" i="8"/>
  <c r="AT65" i="9"/>
  <c r="V16" i="9"/>
  <c r="AS86" i="1"/>
  <c r="I63" i="9"/>
  <c r="AP72" i="1"/>
  <c r="AF66" i="8"/>
  <c r="AM71" i="9"/>
  <c r="AO74" i="1"/>
  <c r="AB44" i="9"/>
  <c r="E69" i="9"/>
  <c r="M92" i="9"/>
  <c r="AD80" i="8"/>
  <c r="AV40" i="8"/>
  <c r="AG44" i="8"/>
  <c r="AW95" i="9"/>
  <c r="AD95" i="8"/>
  <c r="V76" i="9"/>
  <c r="AH79" i="9"/>
  <c r="AC56" i="8"/>
  <c r="AJ76" i="9"/>
  <c r="AS79" i="1"/>
  <c r="AX87" i="8"/>
  <c r="G69" i="9"/>
  <c r="AI9" i="9"/>
  <c r="AY64" i="8"/>
  <c r="H91" i="1"/>
  <c r="E92" i="1"/>
  <c r="AW87" i="8"/>
  <c r="AC63" i="8"/>
  <c r="AO81" i="9"/>
  <c r="AU65" i="1"/>
  <c r="AN10" i="1"/>
  <c r="AJ68" i="8"/>
  <c r="S16" i="1"/>
  <c r="Z77" i="1"/>
  <c r="Y16" i="8"/>
  <c r="G77" i="9"/>
  <c r="V56" i="8"/>
  <c r="G38" i="8"/>
  <c r="S46" i="1"/>
  <c r="X57" i="8"/>
  <c r="O16" i="1"/>
  <c r="AU10" i="9"/>
  <c r="AR82" i="1"/>
  <c r="AQ76" i="9"/>
  <c r="Y40" i="8"/>
  <c r="AR82" i="9"/>
  <c r="AL44" i="1"/>
  <c r="AU75" i="8"/>
  <c r="AH82" i="8"/>
  <c r="AB65" i="8"/>
  <c r="W76" i="8"/>
  <c r="O95" i="8"/>
  <c r="AH45" i="8"/>
  <c r="R68" i="1"/>
  <c r="AP73" i="8"/>
  <c r="AR74" i="1"/>
  <c r="AP81" i="8"/>
  <c r="AX15" i="1"/>
  <c r="AP65" i="9"/>
  <c r="AA88" i="9"/>
  <c r="AL69" i="1"/>
  <c r="AE80" i="1"/>
  <c r="AB8" i="8"/>
  <c r="N82" i="1"/>
  <c r="E9" i="1"/>
  <c r="AH92" i="1"/>
  <c r="AS86" i="9"/>
  <c r="Y57" i="1"/>
  <c r="AG73" i="8"/>
  <c r="AB76" i="1"/>
  <c r="O70" i="1"/>
  <c r="V38" i="8"/>
  <c r="H39" i="9"/>
  <c r="AY91" i="1"/>
  <c r="G15" i="1"/>
  <c r="AW88" i="8"/>
  <c r="AG8" i="9"/>
  <c r="Q69" i="1"/>
  <c r="AT39" i="1"/>
  <c r="AE44" i="8"/>
  <c r="AO76" i="8"/>
  <c r="AI70" i="9"/>
  <c r="X67" i="8"/>
  <c r="W15" i="9"/>
  <c r="X16" i="1"/>
  <c r="AC79" i="8"/>
  <c r="AD69" i="8"/>
  <c r="H78" i="8"/>
  <c r="Z65" i="1"/>
  <c r="AW57" i="9"/>
  <c r="U68" i="1"/>
  <c r="G67" i="9"/>
  <c r="AK15" i="9"/>
  <c r="AP73" i="1"/>
  <c r="H45" i="1"/>
  <c r="AE79" i="8"/>
  <c r="I40" i="8"/>
  <c r="U56" i="9"/>
  <c r="AR76" i="9"/>
  <c r="J88" i="9"/>
  <c r="W76" i="1"/>
  <c r="Y65" i="1"/>
  <c r="N92" i="9"/>
  <c r="K40" i="9"/>
  <c r="AB39" i="9"/>
  <c r="F73" i="8"/>
  <c r="R91" i="8"/>
  <c r="AC38" i="8"/>
  <c r="AM79" i="8"/>
  <c r="AS91" i="8"/>
  <c r="AD67" i="1"/>
  <c r="AF81" i="9"/>
  <c r="AG46" i="8"/>
  <c r="E80" i="9"/>
  <c r="AW80" i="8"/>
  <c r="S79" i="9"/>
  <c r="AR66" i="8"/>
  <c r="E73" i="9"/>
  <c r="AJ82" i="8"/>
  <c r="AP88" i="9"/>
  <c r="Y81" i="9"/>
  <c r="AH8" i="1"/>
  <c r="AP57" i="9"/>
  <c r="V38" i="9"/>
  <c r="AU77" i="9"/>
  <c r="R65" i="9"/>
  <c r="Q8" i="8"/>
  <c r="AC45" i="1"/>
  <c r="F86" i="9"/>
  <c r="K71" i="8"/>
  <c r="AT45" i="9"/>
  <c r="AM45" i="9"/>
  <c r="AS86" i="8"/>
  <c r="AP75" i="8"/>
  <c r="H38" i="8"/>
  <c r="AT68" i="9"/>
  <c r="J77" i="8"/>
  <c r="AQ88" i="8"/>
  <c r="H67" i="8"/>
  <c r="AP72" i="9"/>
  <c r="AQ81" i="8"/>
  <c r="Z15" i="9"/>
  <c r="AA72" i="9"/>
  <c r="P38" i="9"/>
  <c r="P74" i="9"/>
  <c r="Y92" i="9"/>
  <c r="AC16" i="8"/>
  <c r="AJ73" i="8"/>
  <c r="L78" i="1"/>
  <c r="AN71" i="8"/>
  <c r="R63" i="9"/>
  <c r="F74" i="9"/>
  <c r="AB80" i="9"/>
  <c r="Y10" i="9"/>
  <c r="AV44" i="8"/>
  <c r="AF14" i="9"/>
  <c r="AJ79" i="9"/>
  <c r="AX9" i="9"/>
  <c r="AF86" i="1"/>
  <c r="AJ78" i="1"/>
  <c r="M82" i="8"/>
  <c r="Y40" i="9"/>
  <c r="F57" i="9"/>
  <c r="H92" i="1"/>
  <c r="Q71" i="1"/>
  <c r="AX16" i="8"/>
  <c r="AF72" i="8"/>
  <c r="X40" i="9"/>
  <c r="AK70" i="8"/>
  <c r="AI69" i="1"/>
  <c r="AH15" i="8"/>
  <c r="AF14" i="8"/>
  <c r="AJ64" i="1"/>
  <c r="H16" i="1"/>
  <c r="Q63" i="1"/>
  <c r="P77" i="8"/>
  <c r="AR79" i="8"/>
  <c r="AS73" i="9"/>
  <c r="AE86" i="8"/>
  <c r="AS14" i="9"/>
  <c r="AC82" i="9"/>
  <c r="AJ71" i="9"/>
  <c r="AE77" i="9"/>
  <c r="L81" i="8"/>
  <c r="AI57" i="8"/>
  <c r="T10" i="8"/>
  <c r="AY39" i="8"/>
  <c r="AB10" i="1"/>
  <c r="U9" i="8"/>
  <c r="W91" i="1"/>
  <c r="G76" i="9"/>
  <c r="W8" i="9"/>
  <c r="Q65" i="8"/>
  <c r="AS15" i="1"/>
  <c r="AM66" i="9"/>
  <c r="AN78" i="9"/>
  <c r="AN65" i="1"/>
  <c r="T44" i="8"/>
  <c r="X15" i="1"/>
  <c r="AE39" i="8"/>
  <c r="AT38" i="8"/>
  <c r="M81" i="9"/>
  <c r="AM87" i="9"/>
  <c r="F10" i="8"/>
  <c r="AL15" i="8"/>
  <c r="Z71" i="1"/>
  <c r="AO91" i="1"/>
  <c r="AX86" i="8"/>
  <c r="AI15" i="8"/>
  <c r="V64" i="8"/>
  <c r="O86" i="8"/>
  <c r="G77" i="8"/>
  <c r="Z88" i="8"/>
  <c r="V76" i="8"/>
  <c r="AL44" i="8"/>
  <c r="AQ72" i="8"/>
  <c r="AO69" i="9"/>
  <c r="AU57" i="9"/>
  <c r="L82" i="8"/>
  <c r="AO75" i="9"/>
  <c r="AK8" i="1"/>
  <c r="AA78" i="8"/>
  <c r="V87" i="9"/>
  <c r="AC73" i="1"/>
  <c r="AA82" i="9"/>
  <c r="X75" i="8"/>
  <c r="AD68" i="8"/>
  <c r="X86" i="9"/>
  <c r="T57" i="1"/>
  <c r="P74" i="8"/>
  <c r="I63" i="1"/>
  <c r="O77" i="8"/>
  <c r="W91" i="9"/>
  <c r="AQ40" i="8"/>
  <c r="AF45" i="8"/>
  <c r="I14" i="8"/>
  <c r="M77" i="9"/>
  <c r="L45" i="8"/>
  <c r="M95" i="9"/>
  <c r="AX16" i="1"/>
  <c r="G88" i="9"/>
  <c r="G87" i="8"/>
  <c r="AH57" i="8"/>
  <c r="AV81" i="8"/>
  <c r="AT8" i="8"/>
  <c r="Y44" i="9"/>
  <c r="L57" i="9"/>
  <c r="AS80" i="9"/>
  <c r="AE91" i="9"/>
  <c r="AG10" i="9"/>
  <c r="AL46" i="9"/>
  <c r="M86" i="9"/>
  <c r="AA92" i="9"/>
  <c r="M40" i="8"/>
  <c r="E10" i="9"/>
  <c r="AA45" i="1"/>
  <c r="AD81" i="1"/>
  <c r="AJ56" i="1"/>
  <c r="T86" i="1"/>
  <c r="AN69" i="9"/>
  <c r="AH92" i="8"/>
  <c r="AH82" i="9"/>
  <c r="AL68" i="9"/>
  <c r="AA74" i="9"/>
  <c r="W86" i="8"/>
  <c r="J67" i="8"/>
  <c r="AM68" i="9"/>
  <c r="AP92" i="8"/>
  <c r="AA46" i="8"/>
  <c r="T66" i="9"/>
  <c r="AU86" i="8"/>
  <c r="AE95" i="8"/>
  <c r="AO77" i="9"/>
  <c r="AP74" i="9"/>
  <c r="AV66" i="8"/>
  <c r="AP87" i="8"/>
  <c r="N72" i="1"/>
  <c r="T71" i="9"/>
  <c r="AG67" i="1"/>
  <c r="H70" i="9"/>
  <c r="M67" i="8"/>
  <c r="D8" i="8"/>
  <c r="AV78" i="1"/>
  <c r="AY77" i="1"/>
  <c r="AH63" i="1"/>
  <c r="AP14" i="1"/>
  <c r="AO95" i="8"/>
  <c r="AK86" i="1"/>
  <c r="AF95" i="8"/>
  <c r="G8" i="8"/>
  <c r="AE68" i="8"/>
  <c r="AC92" i="1"/>
  <c r="O56" i="8"/>
  <c r="AN76" i="8"/>
  <c r="AS45" i="8"/>
  <c r="P56" i="8"/>
  <c r="Y82" i="9"/>
  <c r="Q91" i="9"/>
  <c r="R44" i="1"/>
  <c r="U88" i="8"/>
  <c r="I91" i="8"/>
  <c r="AK74" i="9"/>
  <c r="Y86" i="1"/>
  <c r="AB95" i="9"/>
  <c r="J82" i="8"/>
  <c r="T87" i="9"/>
  <c r="AD75" i="8"/>
  <c r="E46" i="8"/>
  <c r="AS75" i="8"/>
  <c r="L14" i="8"/>
  <c r="AI82" i="9"/>
  <c r="L70" i="9"/>
  <c r="P39" i="8"/>
  <c r="L68" i="1"/>
  <c r="L68" i="8"/>
  <c r="U82" i="1"/>
  <c r="M40" i="1"/>
  <c r="AR82" i="8"/>
  <c r="AY80" i="8"/>
  <c r="U56" i="8"/>
  <c r="AS57" i="9"/>
  <c r="E68" i="9"/>
  <c r="S63" i="9"/>
  <c r="AE78" i="8"/>
  <c r="Z66" i="8"/>
  <c r="N75" i="8"/>
  <c r="H75" i="8"/>
  <c r="Y78" i="8"/>
  <c r="AA8" i="9"/>
  <c r="Y75" i="9"/>
  <c r="I9" i="8"/>
  <c r="O57" i="8"/>
  <c r="W69" i="8"/>
  <c r="Y38" i="8"/>
  <c r="L65" i="9"/>
  <c r="K40" i="8"/>
  <c r="M15" i="8"/>
  <c r="O63" i="8"/>
  <c r="J14" i="9"/>
  <c r="AK8" i="9"/>
  <c r="AR40" i="9"/>
  <c r="AF87" i="9"/>
  <c r="AK81" i="8"/>
  <c r="AB40" i="8"/>
  <c r="AB46" i="8"/>
  <c r="AL80" i="8"/>
  <c r="AN75" i="9"/>
  <c r="Y72" i="8"/>
  <c r="AS92" i="9"/>
  <c r="AK71" i="9"/>
  <c r="Y65" i="8"/>
  <c r="AU69" i="9"/>
  <c r="AJ57" i="9"/>
  <c r="O81" i="9"/>
  <c r="AR77" i="1"/>
  <c r="AL63" i="8"/>
  <c r="AD66" i="9"/>
  <c r="H81" i="8"/>
  <c r="AG71" i="8"/>
  <c r="F95" i="8"/>
  <c r="AO57" i="8"/>
  <c r="H14" i="9"/>
  <c r="AT77" i="8"/>
  <c r="AY66" i="8"/>
  <c r="AQ79" i="8"/>
  <c r="O82" i="8"/>
  <c r="AF15" i="9"/>
  <c r="D69" i="8"/>
  <c r="AQ56" i="9"/>
  <c r="V71" i="8"/>
  <c r="M9" i="8"/>
  <c r="X73" i="9"/>
  <c r="V70" i="8"/>
  <c r="AF95" i="9"/>
  <c r="Z86" i="8"/>
  <c r="U87" i="8"/>
  <c r="AA39" i="8"/>
  <c r="AW64" i="8"/>
  <c r="AY71" i="8"/>
  <c r="AV82" i="8"/>
  <c r="AR57" i="8"/>
  <c r="X63" i="9"/>
  <c r="G88" i="8"/>
  <c r="AF91" i="9"/>
  <c r="AM69" i="8"/>
  <c r="D91" i="9"/>
  <c r="AP40" i="8"/>
  <c r="Y66" i="9"/>
  <c r="AG86" i="8"/>
  <c r="E57" i="8"/>
  <c r="H77" i="9"/>
  <c r="AO91" i="8"/>
  <c r="D80" i="8"/>
  <c r="AC40" i="8"/>
  <c r="K81" i="8"/>
  <c r="E38" i="9"/>
  <c r="G15" i="9"/>
  <c r="G79" i="8"/>
  <c r="AN70" i="9"/>
  <c r="AC95" i="9"/>
  <c r="AB77" i="9"/>
  <c r="AG10" i="1"/>
  <c r="R78" i="9"/>
  <c r="AO57" i="9"/>
  <c r="AE46" i="1"/>
  <c r="U15" i="9"/>
  <c r="AK66" i="8"/>
  <c r="AX57" i="8"/>
  <c r="G44" i="8"/>
  <c r="R8" i="8"/>
  <c r="AL10" i="1"/>
  <c r="U79" i="9"/>
  <c r="G81" i="9"/>
  <c r="K67" i="1"/>
  <c r="V91" i="1"/>
  <c r="AR80" i="1"/>
  <c r="S72" i="9"/>
  <c r="AK65" i="8"/>
  <c r="P72" i="8"/>
  <c r="P46" i="1"/>
  <c r="Q38" i="1"/>
  <c r="X71" i="9"/>
  <c r="AU16" i="1"/>
  <c r="E82" i="8"/>
  <c r="E78" i="1"/>
  <c r="AX77" i="1"/>
  <c r="AD40" i="8"/>
  <c r="AC71" i="1"/>
  <c r="AP88" i="1"/>
  <c r="AG68" i="8"/>
  <c r="J72" i="9"/>
  <c r="AK56" i="8"/>
  <c r="F44" i="9"/>
  <c r="M75" i="9"/>
  <c r="F72" i="8"/>
  <c r="AG67" i="9"/>
  <c r="Q92" i="8"/>
  <c r="L75" i="8"/>
  <c r="AO66" i="9"/>
  <c r="G39" i="8"/>
  <c r="AY65" i="8"/>
  <c r="AR46" i="8"/>
  <c r="AW14" i="9"/>
  <c r="U8" i="8"/>
  <c r="AR9" i="8"/>
  <c r="AL95" i="8"/>
  <c r="X87" i="8"/>
  <c r="E81" i="8"/>
  <c r="Q67" i="8"/>
  <c r="AP14" i="8"/>
  <c r="U92" i="1"/>
  <c r="W67" i="8"/>
  <c r="AH95" i="9"/>
  <c r="AR9" i="9"/>
  <c r="AW66" i="9"/>
  <c r="AQ57" i="8"/>
  <c r="P82" i="9"/>
  <c r="AH81" i="9"/>
  <c r="I88" i="8"/>
  <c r="AL71" i="9"/>
  <c r="AQ16" i="1"/>
  <c r="G68" i="8"/>
  <c r="AA67" i="9"/>
  <c r="AY95" i="1"/>
  <c r="P64" i="1"/>
  <c r="P77" i="1"/>
  <c r="I82" i="8"/>
  <c r="E81" i="1"/>
  <c r="AU92" i="8"/>
  <c r="L8" i="8"/>
  <c r="Z65" i="8"/>
  <c r="AV80" i="8"/>
  <c r="AR95" i="8"/>
  <c r="AW75" i="8"/>
  <c r="AI73" i="8"/>
  <c r="AO78" i="1"/>
  <c r="AV88" i="9"/>
  <c r="AX81" i="8"/>
  <c r="AO95" i="9"/>
  <c r="O14" i="1"/>
  <c r="AE46" i="8"/>
  <c r="Y67" i="9"/>
  <c r="AQ72" i="1"/>
  <c r="AL74" i="1"/>
  <c r="G75" i="9"/>
  <c r="AG77" i="8"/>
  <c r="K16" i="1"/>
  <c r="X14" i="1"/>
  <c r="AJ40" i="8"/>
  <c r="AS9" i="8"/>
  <c r="AS82" i="8"/>
  <c r="K10" i="9"/>
  <c r="J71" i="9"/>
  <c r="AB95" i="1"/>
  <c r="AV39" i="8"/>
  <c r="G46" i="8"/>
  <c r="AR95" i="1"/>
  <c r="AJ10" i="8"/>
  <c r="G86" i="9"/>
  <c r="K92" i="1"/>
  <c r="O10" i="9"/>
  <c r="M86" i="8"/>
  <c r="T68" i="9"/>
  <c r="AD74" i="1"/>
  <c r="Y63" i="9"/>
  <c r="AN77" i="8"/>
  <c r="AO56" i="8"/>
  <c r="AL14" i="8"/>
  <c r="G10" i="9"/>
  <c r="AR64" i="8"/>
  <c r="AJ38" i="9"/>
  <c r="AH15" i="9"/>
  <c r="Q87" i="8"/>
  <c r="AG15" i="8"/>
  <c r="I92" i="9"/>
  <c r="U39" i="9"/>
  <c r="AW69" i="8"/>
  <c r="G16" i="9"/>
  <c r="N75" i="9"/>
  <c r="I74" i="9"/>
  <c r="V81" i="9"/>
  <c r="AC67" i="9"/>
  <c r="X40" i="1"/>
  <c r="AX46" i="9"/>
  <c r="AT39" i="8"/>
  <c r="AV45" i="9"/>
  <c r="P72" i="9"/>
  <c r="U71" i="8"/>
  <c r="P45" i="9"/>
  <c r="AH57" i="9"/>
  <c r="X91" i="8"/>
  <c r="D92" i="9"/>
  <c r="X91" i="9"/>
  <c r="AF73" i="9"/>
  <c r="Q75" i="1"/>
  <c r="AP39" i="1"/>
  <c r="AD8" i="8"/>
  <c r="L65" i="1"/>
  <c r="L71" i="9"/>
  <c r="M14" i="1"/>
  <c r="AO67" i="9"/>
  <c r="M14" i="8"/>
  <c r="AV66" i="1"/>
  <c r="AM86" i="8"/>
  <c r="M81" i="8"/>
  <c r="AY86" i="1"/>
  <c r="AQ67" i="1"/>
  <c r="P63" i="8"/>
  <c r="F65" i="8"/>
  <c r="AO63" i="1"/>
  <c r="AN80" i="8"/>
  <c r="AE91" i="1"/>
  <c r="AX82" i="1"/>
  <c r="H9" i="9"/>
  <c r="V77" i="8"/>
  <c r="AU14" i="8"/>
  <c r="K82" i="1"/>
  <c r="AE69" i="8"/>
  <c r="I76" i="1"/>
  <c r="AE16" i="8"/>
  <c r="P76" i="9"/>
  <c r="P44" i="8"/>
  <c r="AO82" i="9"/>
  <c r="AD64" i="9"/>
  <c r="AQ9" i="1"/>
  <c r="AS91" i="1"/>
  <c r="AW77" i="1"/>
  <c r="AS77" i="9"/>
  <c r="K68" i="8"/>
  <c r="AJ63" i="1"/>
  <c r="L76" i="1"/>
  <c r="AF68" i="9"/>
  <c r="AV56" i="9"/>
  <c r="AP95" i="8"/>
  <c r="F79" i="9"/>
  <c r="Z73" i="1"/>
  <c r="AG63" i="9"/>
  <c r="L92" i="8"/>
  <c r="F70" i="8"/>
  <c r="AL45" i="8"/>
  <c r="AB68" i="8"/>
  <c r="AM15" i="1"/>
  <c r="J72" i="8"/>
  <c r="D66" i="8"/>
  <c r="AH63" i="9"/>
  <c r="Z82" i="8"/>
  <c r="AN44" i="9"/>
  <c r="AV67" i="9"/>
  <c r="F82" i="8"/>
  <c r="R74" i="8"/>
  <c r="AM65" i="8"/>
  <c r="AX76" i="9"/>
  <c r="D65" i="8"/>
  <c r="W80" i="9"/>
  <c r="AR88" i="9"/>
  <c r="G81" i="8"/>
  <c r="AV78" i="9"/>
  <c r="D38" i="8"/>
  <c r="AQ9" i="8"/>
  <c r="H40" i="9"/>
  <c r="AM70" i="8"/>
  <c r="R74" i="9"/>
  <c r="AL67" i="1"/>
  <c r="Z10" i="8"/>
  <c r="X65" i="1"/>
  <c r="AM82" i="1"/>
  <c r="S46" i="8"/>
  <c r="Q76" i="1"/>
  <c r="AY16" i="1"/>
  <c r="AX64" i="8"/>
  <c r="AB75" i="8"/>
  <c r="D16" i="1"/>
  <c r="AI75" i="1"/>
  <c r="I9" i="1"/>
  <c r="AN80" i="1"/>
  <c r="AD71" i="1"/>
  <c r="AQ15" i="9"/>
  <c r="N88" i="9"/>
  <c r="AF16" i="8"/>
  <c r="W46" i="8"/>
  <c r="AO82" i="1"/>
  <c r="AP71" i="1"/>
  <c r="AT81" i="8"/>
  <c r="AK69" i="8"/>
  <c r="J69" i="9"/>
  <c r="AB78" i="8"/>
  <c r="Z72" i="9"/>
  <c r="Q39" i="1"/>
  <c r="O38" i="8"/>
  <c r="AE38" i="8"/>
  <c r="X72" i="9"/>
  <c r="AY78" i="9"/>
  <c r="AW79" i="1"/>
  <c r="AX74" i="8"/>
  <c r="AF40" i="8"/>
  <c r="AG78" i="9"/>
  <c r="AP78" i="9"/>
  <c r="AL45" i="1"/>
  <c r="AC92" i="8"/>
  <c r="G70" i="9"/>
  <c r="K39" i="9"/>
  <c r="S64" i="1"/>
  <c r="AX15" i="9"/>
  <c r="W70" i="8"/>
  <c r="W57" i="9"/>
  <c r="T69" i="9"/>
  <c r="Y15" i="9"/>
  <c r="Q76" i="9"/>
  <c r="P86" i="9"/>
  <c r="AU40" i="9"/>
  <c r="AY45" i="9"/>
  <c r="G40" i="9"/>
  <c r="D86" i="9"/>
  <c r="AK8" i="8"/>
  <c r="P81" i="9"/>
  <c r="AC88" i="8"/>
  <c r="AF81" i="8"/>
  <c r="Y72" i="9"/>
  <c r="K95" i="9"/>
  <c r="AW76" i="9"/>
  <c r="N45" i="8"/>
  <c r="AT91" i="8"/>
  <c r="AD81" i="8"/>
  <c r="I64" i="8"/>
  <c r="AD9" i="1"/>
  <c r="AS88" i="9"/>
  <c r="AA74" i="1"/>
  <c r="G71" i="8"/>
  <c r="E15" i="9"/>
  <c r="L66" i="8"/>
  <c r="H57" i="1"/>
  <c r="AV81" i="9"/>
  <c r="G73" i="8"/>
  <c r="AB87" i="8"/>
  <c r="Y71" i="9"/>
  <c r="AH91" i="8"/>
  <c r="N74" i="8"/>
  <c r="AL77" i="8"/>
  <c r="O72" i="9"/>
  <c r="L88" i="8"/>
  <c r="F73" i="9"/>
  <c r="F65" i="9"/>
  <c r="Z75" i="8"/>
  <c r="AM63" i="8"/>
  <c r="P68" i="8"/>
  <c r="J78" i="9"/>
  <c r="P95" i="8"/>
  <c r="I56" i="9"/>
  <c r="W70" i="9"/>
  <c r="AG79" i="8"/>
  <c r="Y71" i="8"/>
  <c r="AO70" i="8"/>
  <c r="I72" i="1"/>
  <c r="AT73" i="9"/>
  <c r="F76" i="9"/>
  <c r="O10" i="8"/>
  <c r="K91" i="9"/>
  <c r="AD78" i="9"/>
  <c r="Y68" i="8"/>
  <c r="S14" i="8"/>
  <c r="D87" i="8"/>
  <c r="AF63" i="8"/>
  <c r="Y91" i="9"/>
  <c r="AF9" i="9"/>
  <c r="AC78" i="1"/>
  <c r="AC78" i="9"/>
  <c r="M57" i="8"/>
  <c r="Y81" i="8"/>
  <c r="AI86" i="9"/>
  <c r="Z71" i="8"/>
  <c r="AU10" i="8"/>
  <c r="J45" i="9"/>
  <c r="K45" i="9"/>
  <c r="F45" i="9"/>
  <c r="V69" i="9"/>
  <c r="V73" i="8"/>
  <c r="AU95" i="8"/>
  <c r="G75" i="8"/>
  <c r="AV45" i="8"/>
  <c r="AW74" i="9"/>
  <c r="E79" i="8"/>
  <c r="AD87" i="9"/>
  <c r="O70" i="9"/>
  <c r="AG87" i="1"/>
  <c r="AT75" i="9"/>
  <c r="M45" i="9"/>
  <c r="O88" i="9"/>
  <c r="X86" i="8"/>
  <c r="Y88" i="9"/>
  <c r="AM80" i="1"/>
  <c r="AJ15" i="8"/>
  <c r="AS38" i="9"/>
  <c r="O82" i="9"/>
  <c r="AK40" i="9"/>
  <c r="AF71" i="8"/>
  <c r="AO15" i="9"/>
  <c r="AH10" i="9"/>
  <c r="Z8" i="8"/>
  <c r="X45" i="9"/>
  <c r="V65" i="8"/>
  <c r="AJ88" i="9"/>
  <c r="AG38" i="9"/>
  <c r="L77" i="8"/>
  <c r="L65" i="8"/>
  <c r="AL75" i="1"/>
  <c r="AE72" i="9"/>
  <c r="AI66" i="9"/>
  <c r="AD76" i="9"/>
  <c r="AK16" i="8"/>
  <c r="E92" i="9"/>
  <c r="AA79" i="1"/>
  <c r="AU46" i="9"/>
  <c r="G14" i="9"/>
  <c r="N10" i="1"/>
  <c r="J64" i="9"/>
  <c r="U91" i="8"/>
  <c r="AU39" i="9"/>
  <c r="U44" i="9"/>
  <c r="AV44" i="1"/>
  <c r="AD70" i="8"/>
  <c r="AQ65" i="9"/>
  <c r="AI86" i="8"/>
  <c r="AX8" i="9"/>
  <c r="H74" i="9"/>
  <c r="N63" i="8"/>
  <c r="L88" i="9"/>
  <c r="Q74" i="9"/>
  <c r="AQ73" i="8"/>
  <c r="J66" i="1"/>
  <c r="D70" i="9"/>
  <c r="AD63" i="9"/>
  <c r="AP65" i="8"/>
  <c r="P66" i="9"/>
  <c r="H76" i="9"/>
  <c r="AF82" i="9"/>
  <c r="AN88" i="9"/>
  <c r="AA63" i="8"/>
  <c r="V88" i="8"/>
  <c r="L9" i="8"/>
  <c r="AJ44" i="9"/>
  <c r="H88" i="9"/>
  <c r="AH44" i="9"/>
  <c r="M56" i="1"/>
  <c r="AN10" i="8"/>
  <c r="O78" i="9"/>
  <c r="M69" i="8"/>
  <c r="AD15" i="8"/>
  <c r="F68" i="9"/>
  <c r="AY74" i="9"/>
  <c r="T15" i="8"/>
  <c r="H77" i="8"/>
  <c r="AW91" i="1"/>
  <c r="AL64" i="1"/>
  <c r="AS70" i="1"/>
  <c r="P79" i="8"/>
  <c r="N57" i="1"/>
  <c r="L64" i="1"/>
  <c r="AV76" i="9"/>
  <c r="AR15" i="9"/>
  <c r="AR64" i="9"/>
  <c r="AO63" i="8"/>
  <c r="R92" i="1"/>
  <c r="N77" i="1"/>
  <c r="AA75" i="1"/>
  <c r="I64" i="9"/>
  <c r="E64" i="9"/>
  <c r="X38" i="8"/>
  <c r="AG44" i="1"/>
  <c r="AP46" i="8"/>
  <c r="AH64" i="9"/>
  <c r="AM38" i="8"/>
  <c r="W87" i="9"/>
  <c r="AT95" i="9"/>
  <c r="K67" i="8"/>
  <c r="D86" i="8"/>
  <c r="AY66" i="9"/>
  <c r="AX69" i="9"/>
  <c r="AR92" i="8"/>
  <c r="AA73" i="9"/>
  <c r="AX46" i="8"/>
  <c r="F40" i="8"/>
  <c r="H81" i="9"/>
  <c r="S8" i="9"/>
  <c r="H10" i="1"/>
  <c r="N76" i="8"/>
  <c r="AB56" i="8"/>
  <c r="AI46" i="1"/>
  <c r="AW63" i="9"/>
  <c r="X44" i="8"/>
  <c r="AG88" i="8"/>
  <c r="AV79" i="8"/>
  <c r="AH15" i="1"/>
  <c r="AA65" i="1"/>
  <c r="L79" i="8"/>
  <c r="AA71" i="8"/>
  <c r="X80" i="9"/>
  <c r="AR91" i="9"/>
  <c r="J8" i="8"/>
  <c r="AM91" i="9"/>
  <c r="AD80" i="9"/>
  <c r="AX69" i="8"/>
  <c r="E8" i="9"/>
  <c r="Z92" i="8"/>
  <c r="AA70" i="9"/>
  <c r="AV74" i="8"/>
  <c r="I88" i="9"/>
  <c r="AA91" i="9"/>
  <c r="R16" i="9"/>
  <c r="AT87" i="9"/>
  <c r="J87" i="9"/>
  <c r="R64" i="8"/>
  <c r="AR77" i="9"/>
  <c r="AN74" i="8"/>
  <c r="AN65" i="9"/>
  <c r="L75" i="9"/>
  <c r="AQ91" i="9"/>
  <c r="Y80" i="9"/>
  <c r="AD86" i="8"/>
  <c r="AH79" i="8"/>
  <c r="AQ82" i="8"/>
  <c r="AM10" i="9"/>
  <c r="V56" i="9"/>
  <c r="D67" i="8"/>
  <c r="Z14" i="9"/>
  <c r="G95" i="9"/>
  <c r="K64" i="8"/>
  <c r="AO74" i="9"/>
  <c r="AI65" i="1"/>
  <c r="AG56" i="9"/>
  <c r="W68" i="9"/>
  <c r="H71" i="8"/>
  <c r="K86" i="9"/>
  <c r="J10" i="8"/>
  <c r="AL78" i="9"/>
  <c r="K71" i="9"/>
  <c r="AJ87" i="8"/>
  <c r="AM95" i="8"/>
  <c r="Y44" i="8"/>
  <c r="F72" i="9"/>
  <c r="AI76" i="8"/>
  <c r="AX8" i="8"/>
  <c r="Z76" i="9"/>
  <c r="AX56" i="1"/>
  <c r="J56" i="8"/>
  <c r="Z77" i="9"/>
  <c r="AT40" i="9"/>
  <c r="H76" i="1"/>
  <c r="Y74" i="1"/>
  <c r="AA69" i="8"/>
  <c r="T9" i="9"/>
  <c r="AV9" i="8"/>
  <c r="AR56" i="8"/>
  <c r="F15" i="8"/>
  <c r="AX81" i="1"/>
  <c r="Y8" i="9"/>
  <c r="AV8" i="9"/>
  <c r="AY63" i="9"/>
  <c r="Q15" i="9"/>
  <c r="AI14" i="9"/>
  <c r="AL80" i="9"/>
  <c r="AR75" i="9"/>
  <c r="U95" i="9"/>
  <c r="M70" i="9"/>
  <c r="G91" i="8"/>
  <c r="L87" i="9"/>
  <c r="AM67" i="8"/>
  <c r="AO39" i="9"/>
  <c r="P56" i="1"/>
  <c r="AW71" i="8"/>
  <c r="H82" i="8"/>
  <c r="AT72" i="8"/>
  <c r="AC15" i="8"/>
  <c r="AE92" i="8"/>
  <c r="AE78" i="9"/>
  <c r="T14" i="8"/>
  <c r="AX79" i="9"/>
  <c r="AR38" i="9"/>
  <c r="AL10" i="9"/>
  <c r="AJ95" i="9"/>
  <c r="AU88" i="1"/>
  <c r="AP86" i="1"/>
  <c r="Y46" i="8"/>
  <c r="AP70" i="9"/>
  <c r="AW15" i="8"/>
  <c r="AL73" i="8"/>
  <c r="AT70" i="1"/>
  <c r="AQ16" i="8"/>
  <c r="I15" i="1"/>
  <c r="AU64" i="9"/>
  <c r="AO16" i="8"/>
  <c r="AS46" i="9"/>
  <c r="AR10" i="9"/>
  <c r="P91" i="8"/>
  <c r="R77" i="9"/>
  <c r="AT46" i="9"/>
  <c r="U14" i="9"/>
  <c r="AR72" i="9"/>
  <c r="AS68" i="8"/>
  <c r="AY64" i="9"/>
  <c r="W46" i="1"/>
  <c r="AI56" i="9"/>
  <c r="L76" i="8"/>
  <c r="AL72" i="8"/>
  <c r="AO71" i="9"/>
  <c r="X15" i="9"/>
  <c r="M79" i="9"/>
  <c r="M74" i="1"/>
  <c r="Y45" i="8"/>
  <c r="L91" i="9"/>
  <c r="AS14" i="8"/>
  <c r="AI40" i="8"/>
  <c r="AU92" i="9"/>
  <c r="V39" i="1"/>
  <c r="D79" i="9"/>
  <c r="AS45" i="9"/>
  <c r="H15" i="8"/>
  <c r="J95" i="9"/>
  <c r="K15" i="9"/>
  <c r="L70" i="8"/>
  <c r="AA80" i="9"/>
  <c r="AO68" i="9"/>
  <c r="Q38" i="8"/>
  <c r="AQ73" i="9"/>
  <c r="AG86" i="9"/>
  <c r="Z92" i="9"/>
  <c r="AB57" i="9"/>
  <c r="AL70" i="8"/>
  <c r="S68" i="9"/>
  <c r="AL16" i="9"/>
  <c r="D75" i="9"/>
  <c r="AS87" i="8"/>
  <c r="S81" i="8"/>
  <c r="AQ92" i="8"/>
  <c r="D70" i="8"/>
  <c r="AG92" i="8"/>
  <c r="S80" i="9"/>
  <c r="AA15" i="8"/>
  <c r="AT67" i="9"/>
  <c r="Z45" i="9"/>
  <c r="AF74" i="8"/>
  <c r="AO92" i="8"/>
  <c r="J45" i="8"/>
  <c r="AJ79" i="8"/>
  <c r="AW68" i="1"/>
  <c r="F64" i="9"/>
  <c r="AL65" i="8"/>
  <c r="AS70" i="8"/>
  <c r="AB80" i="8"/>
  <c r="AY45" i="8"/>
  <c r="D45" i="1"/>
  <c r="F80" i="8"/>
  <c r="AM16" i="8"/>
  <c r="H67" i="9"/>
  <c r="F88" i="8"/>
  <c r="AY77" i="9"/>
  <c r="S65" i="8"/>
  <c r="AA95" i="9"/>
  <c r="AK76" i="9"/>
  <c r="N10" i="9"/>
  <c r="AW63" i="1"/>
  <c r="AK44" i="9"/>
  <c r="AC63" i="9"/>
  <c r="J64" i="8"/>
  <c r="G82" i="8"/>
  <c r="AO14" i="8"/>
  <c r="AN39" i="8"/>
  <c r="AK39" i="9"/>
  <c r="F81" i="9"/>
  <c r="Q74" i="8"/>
  <c r="T64" i="8"/>
  <c r="R91" i="9"/>
  <c r="H71" i="9"/>
  <c r="G16" i="8"/>
  <c r="AX39" i="9"/>
  <c r="AI63" i="9"/>
  <c r="AU71" i="9"/>
  <c r="V38" i="1"/>
  <c r="AD88" i="9"/>
  <c r="AC86" i="8"/>
  <c r="I86" i="8"/>
  <c r="AF65" i="9"/>
  <c r="N16" i="8"/>
  <c r="AA64" i="9"/>
  <c r="P69" i="9"/>
  <c r="AK76" i="8"/>
  <c r="AM86" i="9"/>
  <c r="AE80" i="9"/>
  <c r="F56" i="1"/>
  <c r="AN95" i="8"/>
  <c r="AM77" i="1"/>
  <c r="AN88" i="8"/>
  <c r="R10" i="1"/>
  <c r="AL69" i="9"/>
  <c r="D68" i="8"/>
  <c r="V92" i="8"/>
  <c r="R10" i="9"/>
  <c r="AY46" i="9"/>
  <c r="I8" i="8"/>
  <c r="AJ45" i="8"/>
  <c r="K86" i="1"/>
  <c r="W15" i="8"/>
  <c r="AO87" i="8"/>
  <c r="AP68" i="8"/>
  <c r="AR39" i="9"/>
  <c r="AD65" i="8"/>
  <c r="AV77" i="1"/>
  <c r="AS78" i="8"/>
  <c r="Z82" i="9"/>
  <c r="H91" i="9"/>
  <c r="AA8" i="8"/>
  <c r="AT80" i="8"/>
  <c r="AM74" i="8"/>
  <c r="AC44" i="1"/>
  <c r="AU15" i="9"/>
  <c r="AO9" i="8"/>
  <c r="L56" i="9"/>
  <c r="Q38" i="9"/>
  <c r="H87" i="1"/>
  <c r="AI81" i="8"/>
  <c r="AK86" i="8"/>
  <c r="AH39" i="9"/>
  <c r="AN45" i="9"/>
  <c r="AK81" i="9"/>
  <c r="AV81" i="1"/>
  <c r="AB74" i="9"/>
  <c r="AR63" i="9"/>
  <c r="AD69" i="9"/>
  <c r="K63" i="8"/>
  <c r="Y73" i="8"/>
  <c r="AW91" i="9"/>
  <c r="W88" i="1"/>
  <c r="AB77" i="1"/>
  <c r="S86" i="8"/>
  <c r="AU56" i="9"/>
  <c r="S91" i="9"/>
  <c r="AY82" i="9"/>
  <c r="D15" i="8"/>
  <c r="H9" i="8"/>
  <c r="AE72" i="8"/>
  <c r="X88" i="9"/>
  <c r="AK16" i="9"/>
  <c r="AA9" i="9"/>
  <c r="T79" i="8"/>
  <c r="E46" i="1"/>
  <c r="AE10" i="8"/>
  <c r="AS63" i="9"/>
  <c r="AA70" i="8"/>
  <c r="AU9" i="9"/>
  <c r="K80" i="9"/>
  <c r="T56" i="8"/>
  <c r="D10" i="9"/>
  <c r="AX80" i="9"/>
  <c r="R79" i="8"/>
  <c r="AM76" i="8"/>
  <c r="G66" i="9"/>
  <c r="AW88" i="9"/>
  <c r="P8" i="8"/>
  <c r="Q45" i="8"/>
  <c r="AL69" i="8"/>
  <c r="AY10" i="9"/>
  <c r="AB88" i="9"/>
  <c r="W73" i="9"/>
  <c r="AF77" i="9"/>
  <c r="J38" i="9"/>
  <c r="AT71" i="9"/>
  <c r="AU70" i="9"/>
  <c r="W56" i="8"/>
  <c r="AS72" i="9"/>
  <c r="AH66" i="1"/>
  <c r="AT56" i="8"/>
  <c r="AB76" i="8"/>
  <c r="D76" i="9"/>
  <c r="AY81" i="9"/>
  <c r="AI91" i="9"/>
  <c r="AP14" i="9"/>
  <c r="P14" i="8"/>
  <c r="N39" i="8"/>
  <c r="G8" i="9"/>
  <c r="T40" i="8"/>
  <c r="Q95" i="9"/>
  <c r="AV70" i="8"/>
  <c r="L73" i="9"/>
  <c r="AK56" i="9"/>
  <c r="AM87" i="8"/>
  <c r="AP81" i="9"/>
  <c r="Z8" i="9"/>
  <c r="D64" i="8"/>
  <c r="I91" i="9"/>
  <c r="AD66" i="8"/>
  <c r="AQ95" i="8"/>
  <c r="AC76" i="9"/>
  <c r="G46" i="9"/>
  <c r="I68" i="9"/>
  <c r="G10" i="8"/>
  <c r="D14" i="9"/>
  <c r="M68" i="9"/>
  <c r="AJ14" i="9"/>
  <c r="P64" i="9"/>
  <c r="AW45" i="8"/>
  <c r="AD86" i="9"/>
  <c r="X14" i="8"/>
  <c r="I77" i="8"/>
  <c r="AY87" i="9"/>
  <c r="N63" i="9"/>
  <c r="N81" i="9"/>
  <c r="AJ73" i="9"/>
  <c r="O40" i="9"/>
  <c r="AC15" i="1"/>
  <c r="AL92" i="1"/>
  <c r="W14" i="1"/>
  <c r="P63" i="1"/>
  <c r="H74" i="1"/>
  <c r="AU79" i="1"/>
  <c r="AM81" i="8"/>
  <c r="AX91" i="8"/>
  <c r="AS57" i="1"/>
  <c r="AC75" i="9"/>
  <c r="W16" i="8"/>
  <c r="R70" i="8"/>
  <c r="S71" i="8"/>
  <c r="N65" i="9"/>
  <c r="Q88" i="8"/>
  <c r="AM72" i="8"/>
  <c r="AB63" i="8"/>
  <c r="I14" i="9"/>
  <c r="J70" i="8"/>
  <c r="F57" i="8"/>
  <c r="S40" i="9"/>
  <c r="AE14" i="8"/>
  <c r="G38" i="9"/>
  <c r="F82" i="9"/>
  <c r="M67" i="9"/>
  <c r="AG82" i="8"/>
  <c r="O76" i="8"/>
  <c r="G39" i="9"/>
  <c r="O81" i="8"/>
  <c r="H92" i="8"/>
  <c r="J92" i="8"/>
  <c r="AD10" i="8"/>
  <c r="L76" i="9"/>
  <c r="AC15" i="9"/>
  <c r="Q78" i="9"/>
  <c r="AG57" i="8"/>
  <c r="V56" i="1"/>
  <c r="J74" i="9"/>
  <c r="W65" i="9"/>
  <c r="AP87" i="9"/>
  <c r="AA88" i="1"/>
  <c r="AM44" i="9"/>
  <c r="K73" i="8"/>
  <c r="G70" i="1"/>
  <c r="AK10" i="9"/>
  <c r="AK67" i="9"/>
  <c r="AM39" i="1"/>
  <c r="AL57" i="1"/>
  <c r="AQ71" i="9"/>
  <c r="AX77" i="9"/>
  <c r="D45" i="8"/>
  <c r="X40" i="8"/>
  <c r="AM73" i="8"/>
  <c r="AO74" i="8"/>
  <c r="AR87" i="9"/>
  <c r="L44" i="9"/>
  <c r="M69" i="1"/>
  <c r="F81" i="1"/>
  <c r="AI15" i="1"/>
  <c r="M10" i="1"/>
  <c r="AO40" i="8"/>
  <c r="AJ82" i="1"/>
  <c r="J77" i="1"/>
  <c r="AO45" i="9"/>
  <c r="AI78" i="9"/>
  <c r="Q92" i="9"/>
  <c r="X69" i="1"/>
  <c r="Q72" i="9"/>
  <c r="S88" i="9"/>
  <c r="L81" i="1"/>
  <c r="P57" i="9"/>
  <c r="P16" i="1"/>
  <c r="O38" i="9"/>
  <c r="AH8" i="8"/>
  <c r="AE81" i="1"/>
  <c r="AW8" i="8"/>
  <c r="AL66" i="8"/>
  <c r="AA9" i="8"/>
  <c r="AG46" i="9"/>
  <c r="R72" i="9"/>
  <c r="V66" i="8"/>
  <c r="AI39" i="9"/>
  <c r="S87" i="9"/>
  <c r="Q75" i="8"/>
  <c r="AB40" i="9"/>
  <c r="AC76" i="8"/>
  <c r="V8" i="9"/>
  <c r="F70" i="9"/>
  <c r="AD71" i="9"/>
  <c r="AN57" i="8"/>
  <c r="H8" i="9"/>
  <c r="D91" i="8"/>
  <c r="U77" i="9"/>
  <c r="Q81" i="8"/>
  <c r="AO72" i="8"/>
  <c r="AQ70" i="9"/>
  <c r="AY95" i="8"/>
  <c r="V68" i="9"/>
  <c r="AY15" i="9"/>
  <c r="AT9" i="9"/>
  <c r="K69" i="9"/>
  <c r="S88" i="8"/>
  <c r="AR44" i="8"/>
  <c r="T75" i="8"/>
  <c r="K74" i="9"/>
  <c r="X82" i="1"/>
  <c r="M74" i="9"/>
  <c r="AB9" i="8"/>
  <c r="AW72" i="9"/>
  <c r="AI46" i="8"/>
  <c r="AP38" i="9"/>
  <c r="AV95" i="8"/>
  <c r="J80" i="9"/>
  <c r="AR86" i="9"/>
  <c r="AD45" i="8"/>
  <c r="AJ92" i="9"/>
  <c r="AC57" i="8"/>
  <c r="AI73" i="9"/>
  <c r="AM78" i="1"/>
  <c r="AP64" i="8"/>
  <c r="U87" i="1"/>
  <c r="AJ15" i="1"/>
  <c r="W74" i="1"/>
  <c r="AF74" i="9"/>
  <c r="V15" i="9"/>
  <c r="AB91" i="8"/>
  <c r="M73" i="9"/>
  <c r="AV15" i="8"/>
  <c r="N81" i="8"/>
  <c r="AF9" i="8"/>
  <c r="AS81" i="9"/>
  <c r="J88" i="1"/>
  <c r="O8" i="8"/>
  <c r="P14" i="1"/>
  <c r="W75" i="8"/>
  <c r="AM40" i="9"/>
  <c r="AV74" i="9"/>
  <c r="AU71" i="8"/>
  <c r="S70" i="1"/>
  <c r="G78" i="1"/>
  <c r="P91" i="9"/>
  <c r="AV80" i="9"/>
  <c r="AC64" i="8"/>
  <c r="G79" i="9"/>
  <c r="AW92" i="8"/>
  <c r="P77" i="9"/>
  <c r="AH40" i="8"/>
  <c r="U78" i="9"/>
  <c r="AR46" i="9"/>
  <c r="AC68" i="9"/>
  <c r="I69" i="9"/>
  <c r="AQ10" i="8"/>
  <c r="P39" i="9"/>
  <c r="T73" i="9"/>
  <c r="AC71" i="9"/>
  <c r="W92" i="8"/>
  <c r="Y82" i="8"/>
  <c r="AT92" i="9"/>
  <c r="AN76" i="9"/>
  <c r="Y95" i="9"/>
  <c r="AN68" i="8"/>
  <c r="G40" i="8"/>
  <c r="P73" i="8"/>
  <c r="S68" i="8"/>
  <c r="N15" i="9"/>
  <c r="AA73" i="8"/>
  <c r="K87" i="8"/>
  <c r="Z67" i="8"/>
  <c r="H45" i="8"/>
  <c r="AY9" i="8"/>
  <c r="T45" i="8"/>
  <c r="D8" i="9"/>
  <c r="U76" i="8"/>
  <c r="AN74" i="9"/>
  <c r="U74" i="9"/>
  <c r="AW45" i="9"/>
  <c r="AX82" i="8"/>
  <c r="AI88" i="9"/>
  <c r="AA45" i="8"/>
  <c r="AT66" i="8"/>
  <c r="AH75" i="9"/>
  <c r="P57" i="1"/>
  <c r="J9" i="9"/>
  <c r="AC95" i="8"/>
  <c r="N44" i="8"/>
  <c r="AH65" i="9"/>
  <c r="O39" i="9"/>
  <c r="AK91" i="9"/>
  <c r="AM80" i="9"/>
  <c r="AM79" i="9"/>
  <c r="AH44" i="8"/>
  <c r="R70" i="1"/>
  <c r="AK78" i="9"/>
  <c r="AC86" i="9"/>
  <c r="J68" i="9"/>
  <c r="AP57" i="8"/>
  <c r="AO71" i="1"/>
  <c r="S57" i="8"/>
  <c r="AB72" i="8"/>
  <c r="J73" i="9"/>
  <c r="AJ70" i="9"/>
  <c r="AJ76" i="8"/>
  <c r="N95" i="8"/>
  <c r="U66" i="9"/>
  <c r="O91" i="9"/>
  <c r="Y10" i="8"/>
  <c r="AG81" i="9"/>
  <c r="R15" i="1"/>
  <c r="AJ72" i="8"/>
  <c r="Q10" i="9"/>
  <c r="AC70" i="8"/>
  <c r="F80" i="9"/>
  <c r="M71" i="9"/>
  <c r="P79" i="9"/>
  <c r="AF45" i="1"/>
  <c r="AB39" i="8"/>
  <c r="AG16" i="9"/>
  <c r="G64" i="9"/>
  <c r="K38" i="9"/>
  <c r="AB44" i="8"/>
  <c r="P8" i="9"/>
  <c r="O9" i="9"/>
  <c r="AV16" i="9"/>
  <c r="I80" i="9"/>
  <c r="M68" i="8"/>
  <c r="D9" i="9"/>
  <c r="AS16" i="9"/>
  <c r="AU65" i="8"/>
  <c r="N72" i="9"/>
  <c r="S71" i="9"/>
  <c r="AU9" i="8"/>
  <c r="AJ69" i="8"/>
  <c r="AH68" i="9"/>
  <c r="AU79" i="9"/>
  <c r="Q87" i="9"/>
  <c r="AD74" i="9"/>
  <c r="AM69" i="9"/>
  <c r="AS56" i="9"/>
  <c r="AU46" i="8"/>
  <c r="V45" i="9"/>
  <c r="N8" i="9"/>
  <c r="AW38" i="1"/>
  <c r="AW71" i="1"/>
  <c r="AE15" i="8"/>
  <c r="AY73" i="8"/>
  <c r="AN86" i="8"/>
  <c r="AA65" i="8"/>
  <c r="W8" i="1"/>
  <c r="AE88" i="8"/>
  <c r="J91" i="9"/>
  <c r="M74" i="8"/>
  <c r="Z72" i="1"/>
  <c r="W75" i="1"/>
  <c r="AK82" i="9"/>
  <c r="J86" i="1"/>
  <c r="AA44" i="9"/>
  <c r="W9" i="9"/>
  <c r="AB77" i="8"/>
  <c r="AP63" i="9"/>
  <c r="AP10" i="1"/>
  <c r="P38" i="1"/>
  <c r="O87" i="9"/>
  <c r="H56" i="1"/>
  <c r="AB74" i="8"/>
  <c r="AG14" i="9"/>
  <c r="AK88" i="9"/>
  <c r="V88" i="9"/>
  <c r="AM39" i="9"/>
  <c r="AF44" i="9"/>
  <c r="Q63" i="8"/>
  <c r="X65" i="8"/>
  <c r="E77" i="8"/>
  <c r="AA78" i="9"/>
  <c r="AT79" i="9"/>
  <c r="O45" i="1"/>
  <c r="AT64" i="9"/>
  <c r="S40" i="8"/>
  <c r="AE38" i="9"/>
  <c r="AQ95" i="9"/>
  <c r="U92" i="9"/>
  <c r="AV65" i="1"/>
  <c r="Q82" i="8"/>
  <c r="M71" i="8"/>
  <c r="AA69" i="9"/>
  <c r="L10" i="9"/>
  <c r="AO65" i="8"/>
  <c r="V79" i="8"/>
  <c r="AG15" i="9"/>
  <c r="L40" i="8"/>
  <c r="AP63" i="8"/>
  <c r="AY68" i="8"/>
  <c r="AD91" i="9"/>
  <c r="AF64" i="9"/>
  <c r="Z74" i="8"/>
  <c r="AP67" i="9"/>
  <c r="AA44" i="8"/>
  <c r="P70" i="8"/>
  <c r="AJ81" i="9"/>
  <c r="T76" i="1"/>
  <c r="S86" i="9"/>
  <c r="AW46" i="9"/>
  <c r="AL70" i="9"/>
  <c r="AC91" i="8"/>
  <c r="J73" i="8"/>
  <c r="G15" i="8"/>
  <c r="AH72" i="9"/>
  <c r="AQ38" i="8"/>
  <c r="AU81" i="9"/>
  <c r="AI8" i="9"/>
  <c r="K16" i="9"/>
  <c r="AP73" i="9"/>
  <c r="AH81" i="1"/>
  <c r="D39" i="8"/>
  <c r="R38" i="9"/>
  <c r="F67" i="1"/>
  <c r="AV66" i="9"/>
  <c r="J44" i="9"/>
  <c r="T44" i="9"/>
  <c r="S16" i="9"/>
  <c r="T67" i="9"/>
  <c r="H87" i="9"/>
  <c r="AA57" i="8"/>
  <c r="E88" i="8"/>
  <c r="X67" i="9"/>
  <c r="AC71" i="8"/>
  <c r="AT44" i="8"/>
  <c r="T80" i="9"/>
  <c r="Y92" i="1"/>
  <c r="P88" i="9"/>
  <c r="V73" i="9"/>
  <c r="G81" i="1"/>
  <c r="AB86" i="9"/>
  <c r="I75" i="9"/>
  <c r="AT86" i="8"/>
  <c r="I82" i="9"/>
  <c r="I65" i="9"/>
  <c r="AL64" i="8"/>
  <c r="AI87" i="1"/>
  <c r="Y14" i="8"/>
  <c r="S57" i="9"/>
  <c r="Z64" i="9"/>
  <c r="E64" i="8"/>
  <c r="R95" i="9"/>
  <c r="AY10" i="8"/>
  <c r="AQ75" i="8"/>
  <c r="K9" i="8"/>
  <c r="I44" i="9"/>
  <c r="AB82" i="9"/>
  <c r="AG82" i="9"/>
  <c r="N80" i="9"/>
  <c r="AT63" i="9"/>
  <c r="AL10" i="8"/>
  <c r="F75" i="8"/>
  <c r="AG56" i="8"/>
  <c r="AP71" i="8"/>
  <c r="AT66" i="9"/>
  <c r="L72" i="9"/>
  <c r="AD74" i="8"/>
  <c r="AK78" i="8"/>
  <c r="J88" i="8"/>
  <c r="S79" i="8"/>
  <c r="AV40" i="1"/>
  <c r="AL75" i="9"/>
  <c r="Q82" i="9"/>
  <c r="U38" i="8"/>
  <c r="R39" i="9"/>
  <c r="W80" i="1"/>
  <c r="AD75" i="9"/>
  <c r="AY44" i="9"/>
  <c r="M9" i="9"/>
  <c r="O77" i="9"/>
  <c r="AL14" i="9"/>
  <c r="AS38" i="8"/>
  <c r="AF79" i="8"/>
  <c r="O87" i="8"/>
  <c r="AW75" i="9"/>
  <c r="I80" i="8"/>
  <c r="P40" i="9"/>
  <c r="AU66" i="8"/>
  <c r="AT88" i="9"/>
  <c r="AL8" i="9"/>
  <c r="Q56" i="9"/>
  <c r="T40" i="9"/>
  <c r="AS46" i="8"/>
  <c r="AJ45" i="9"/>
  <c r="AY74" i="8"/>
  <c r="K15" i="8"/>
  <c r="L9" i="9"/>
  <c r="U76" i="9"/>
  <c r="D57" i="8"/>
  <c r="Q14" i="9"/>
  <c r="AT65" i="8"/>
  <c r="AB71" i="8"/>
  <c r="AV75" i="9"/>
  <c r="E9" i="8"/>
  <c r="AB76" i="9"/>
  <c r="AQ81" i="9"/>
  <c r="W92" i="9"/>
  <c r="J39" i="8"/>
  <c r="AV64" i="9"/>
  <c r="U65" i="9"/>
  <c r="AF44" i="1"/>
  <c r="V39" i="9"/>
  <c r="K72" i="9"/>
  <c r="Z15" i="1"/>
  <c r="O8" i="9"/>
  <c r="T75" i="9"/>
  <c r="AM71" i="8"/>
  <c r="AB14" i="9"/>
  <c r="AC88" i="9"/>
  <c r="AQ82" i="9"/>
  <c r="X64" i="9"/>
  <c r="AK64" i="9"/>
  <c r="AW44" i="9"/>
  <c r="M72" i="9"/>
  <c r="M87" i="8"/>
  <c r="AN72" i="8"/>
  <c r="M16" i="9"/>
  <c r="X14" i="9"/>
  <c r="X69" i="9"/>
  <c r="AR71" i="8"/>
  <c r="V8" i="8"/>
  <c r="E46" i="9"/>
  <c r="AL76" i="9"/>
  <c r="AB81" i="9"/>
  <c r="AO65" i="9"/>
  <c r="J10" i="9"/>
  <c r="AL82" i="8"/>
  <c r="AY91" i="8"/>
  <c r="S92" i="1"/>
  <c r="R70" i="9"/>
  <c r="AD9" i="9"/>
  <c r="AP75" i="9"/>
  <c r="AC69" i="9"/>
  <c r="AP66" i="1"/>
  <c r="K82" i="9"/>
  <c r="AQ92" i="9"/>
  <c r="AW66" i="8"/>
  <c r="AQ46" i="9"/>
  <c r="T77" i="9"/>
  <c r="AD79" i="8"/>
  <c r="AL45" i="9"/>
  <c r="Q16" i="9"/>
  <c r="O40" i="8"/>
  <c r="K75" i="1"/>
  <c r="AK75" i="1"/>
  <c r="G87" i="9"/>
  <c r="AD72" i="9"/>
  <c r="AA16" i="8"/>
  <c r="R79" i="9"/>
  <c r="AD92" i="9"/>
  <c r="AI45" i="9"/>
  <c r="AB92" i="9"/>
  <c r="AP71" i="9"/>
  <c r="AH70" i="9"/>
  <c r="N57" i="9"/>
  <c r="I81" i="9"/>
  <c r="F40" i="9"/>
  <c r="AG81" i="8"/>
  <c r="AO9" i="9"/>
  <c r="K79" i="8"/>
  <c r="K66" i="1"/>
  <c r="AC8" i="9"/>
  <c r="AI68" i="9"/>
  <c r="H64" i="8"/>
  <c r="AX40" i="9"/>
  <c r="E77" i="9"/>
  <c r="AM82" i="9"/>
  <c r="AU95" i="9"/>
  <c r="AE76" i="8"/>
  <c r="AS66" i="9"/>
  <c r="O44" i="9"/>
  <c r="AB67" i="9"/>
  <c r="AE92" i="9"/>
  <c r="AT39" i="9"/>
  <c r="G78" i="9"/>
  <c r="AN75" i="8"/>
  <c r="AG92" i="9"/>
  <c r="R69" i="9"/>
  <c r="Q40" i="8"/>
  <c r="AE15" i="9"/>
  <c r="Y74" i="9"/>
  <c r="Z81" i="9"/>
  <c r="K78" i="9"/>
  <c r="R44" i="9"/>
  <c r="V74" i="9"/>
  <c r="AF63" i="9"/>
  <c r="H80" i="9"/>
  <c r="O79" i="8"/>
  <c r="AC14" i="8"/>
  <c r="AS9" i="9"/>
  <c r="AG64" i="1"/>
  <c r="AI68" i="8"/>
  <c r="AE95" i="9"/>
  <c r="AB71" i="9"/>
  <c r="T88" i="9"/>
  <c r="AJ77" i="8"/>
  <c r="S72" i="8"/>
  <c r="AL39" i="9"/>
  <c r="AJ86" i="8"/>
  <c r="AL56" i="8"/>
  <c r="AP44" i="9"/>
  <c r="AC44" i="9"/>
  <c r="M46" i="8"/>
  <c r="AR91" i="1"/>
  <c r="G44" i="9"/>
  <c r="Q44" i="9"/>
  <c r="D78" i="9"/>
  <c r="W81" i="9"/>
  <c r="T82" i="8"/>
  <c r="N77" i="9"/>
  <c r="AK63" i="8"/>
  <c r="AR14" i="8"/>
  <c r="S73" i="9"/>
  <c r="AU45" i="9"/>
  <c r="AN66" i="9"/>
  <c r="AO40" i="9"/>
  <c r="R65" i="8"/>
  <c r="AQ79" i="9"/>
  <c r="Y76" i="8"/>
  <c r="Q67" i="9"/>
  <c r="L44" i="8"/>
  <c r="AT57" i="9"/>
  <c r="AC92" i="9"/>
  <c r="O15" i="9"/>
  <c r="AI75" i="9"/>
  <c r="X56" i="8"/>
  <c r="K46" i="9"/>
  <c r="H82" i="9"/>
  <c r="F88" i="9"/>
  <c r="AU16" i="9"/>
  <c r="E39" i="1"/>
  <c r="AF39" i="8"/>
  <c r="AL40" i="8"/>
  <c r="U69" i="9"/>
  <c r="AT70" i="8"/>
  <c r="AQ66" i="9"/>
  <c r="AJ46" i="1"/>
  <c r="T10" i="9"/>
  <c r="AF76" i="9"/>
  <c r="AX45" i="9"/>
  <c r="S16" i="8"/>
  <c r="AP68" i="9"/>
  <c r="AI10" i="9"/>
  <c r="AF16" i="9"/>
  <c r="AL86" i="9"/>
  <c r="AS78" i="9"/>
  <c r="AX10" i="9"/>
  <c r="I71" i="9"/>
  <c r="AN95" i="9"/>
  <c r="AL72" i="9"/>
  <c r="J40" i="9"/>
  <c r="AE81" i="9"/>
  <c r="H44" i="9"/>
  <c r="AM57" i="9"/>
  <c r="Y57" i="9"/>
  <c r="H56" i="8"/>
  <c r="S70" i="9"/>
  <c r="V9" i="9"/>
  <c r="AX65" i="8"/>
  <c r="AC81" i="9"/>
  <c r="AU16" i="8"/>
  <c r="R92" i="8"/>
  <c r="R39" i="8"/>
  <c r="AU78" i="9"/>
  <c r="H73" i="8"/>
  <c r="AC10" i="9"/>
  <c r="X77" i="9"/>
  <c r="AP67" i="1"/>
  <c r="AF82" i="8"/>
  <c r="AN40" i="9"/>
  <c r="AQ56" i="8"/>
  <c r="AX57" i="9"/>
  <c r="T72" i="1"/>
  <c r="AH87" i="8"/>
  <c r="AP69" i="8"/>
  <c r="I77" i="9"/>
  <c r="AE70" i="9"/>
  <c r="AV10" i="8"/>
  <c r="U75" i="9"/>
  <c r="I40" i="9"/>
  <c r="AV88" i="8"/>
  <c r="I72" i="8"/>
  <c r="I39" i="9"/>
  <c r="U9" i="9"/>
  <c r="AQ57" i="9"/>
  <c r="AM88" i="9"/>
  <c r="Z68" i="9"/>
  <c r="AU91" i="9"/>
  <c r="W10" i="8"/>
  <c r="L81" i="9"/>
  <c r="D45" i="9"/>
  <c r="AL64" i="9"/>
  <c r="M8" i="9"/>
  <c r="T63" i="8"/>
  <c r="AP64" i="9"/>
  <c r="G63" i="9"/>
  <c r="AD70" i="9"/>
  <c r="AY72" i="8"/>
  <c r="AT80" i="9"/>
  <c r="E70" i="8"/>
  <c r="L74" i="9"/>
  <c r="AK15" i="1"/>
  <c r="AU14" i="9"/>
  <c r="AG76" i="8"/>
  <c r="D77" i="9"/>
  <c r="AR67" i="8"/>
  <c r="AN92" i="9"/>
  <c r="N70" i="8"/>
  <c r="G9" i="9"/>
  <c r="E39" i="9"/>
  <c r="AH88" i="9"/>
  <c r="AA56" i="9"/>
  <c r="P95" i="9"/>
  <c r="T57" i="9"/>
  <c r="AD57" i="9"/>
  <c r="X81" i="9"/>
  <c r="M80" i="8"/>
  <c r="W67" i="9"/>
  <c r="O74" i="8"/>
  <c r="AD95" i="9"/>
  <c r="I95" i="9"/>
  <c r="L78" i="9"/>
  <c r="AH67" i="9"/>
  <c r="AL38" i="9"/>
  <c r="AJ67" i="9"/>
  <c r="N46" i="1"/>
  <c r="V15" i="1"/>
  <c r="AP79" i="9"/>
  <c r="S46" i="9"/>
  <c r="L72" i="8"/>
  <c r="AD45" i="9"/>
  <c r="Y78" i="9"/>
  <c r="AS64" i="8"/>
  <c r="V78" i="1"/>
  <c r="AQ8" i="8"/>
  <c r="Z76" i="8"/>
  <c r="N56" i="9"/>
  <c r="O57" i="9"/>
  <c r="AS74" i="9"/>
  <c r="AR16" i="8"/>
  <c r="F77" i="9"/>
  <c r="S8" i="8"/>
  <c r="AT71" i="8"/>
  <c r="E70" i="9"/>
  <c r="F14" i="8"/>
  <c r="H86" i="9"/>
  <c r="AP8" i="9"/>
  <c r="T76" i="8"/>
  <c r="AN67" i="1"/>
  <c r="AH73" i="9"/>
  <c r="V57" i="9"/>
  <c r="W95" i="8"/>
  <c r="AJ86" i="9"/>
  <c r="AE56" i="9"/>
  <c r="P56" i="9"/>
  <c r="W44" i="9"/>
  <c r="AM79" i="1"/>
  <c r="E87" i="8"/>
  <c r="X66" i="9"/>
  <c r="AX72" i="8"/>
  <c r="AY95" i="9"/>
  <c r="D69" i="9"/>
  <c r="I70" i="9"/>
  <c r="AU81" i="8"/>
  <c r="V70" i="9"/>
  <c r="AO45" i="8"/>
  <c r="AH9" i="9"/>
  <c r="J87" i="8"/>
  <c r="AD56" i="8"/>
  <c r="K82" i="8"/>
  <c r="K81" i="9"/>
  <c r="AE82" i="9"/>
  <c r="K39" i="1"/>
  <c r="T16" i="8"/>
  <c r="S81" i="9"/>
  <c r="X45" i="8"/>
  <c r="AS15" i="9"/>
  <c r="E88" i="9"/>
  <c r="E72" i="9"/>
  <c r="AK9" i="8"/>
  <c r="AQ14" i="8"/>
  <c r="AP77" i="9"/>
  <c r="L74" i="8"/>
  <c r="AV73" i="9"/>
  <c r="I9" i="9"/>
  <c r="S66" i="9"/>
  <c r="U75" i="8"/>
  <c r="N64" i="8"/>
  <c r="AK9" i="9"/>
  <c r="AF69" i="9"/>
  <c r="AN64" i="9"/>
  <c r="AH76" i="9"/>
  <c r="Y63" i="8"/>
  <c r="X75" i="9"/>
  <c r="R8" i="9"/>
  <c r="AU44" i="8"/>
  <c r="J15" i="1"/>
  <c r="U86" i="9"/>
  <c r="AE57" i="8"/>
  <c r="AS67" i="9"/>
  <c r="K72" i="8"/>
  <c r="R64" i="9"/>
  <c r="Q79" i="9"/>
  <c r="N46" i="9"/>
  <c r="Z87" i="9"/>
  <c r="AH40" i="9"/>
  <c r="U81" i="9"/>
  <c r="AB69" i="9"/>
  <c r="AB68" i="9"/>
  <c r="U38" i="9"/>
  <c r="AV86" i="9"/>
  <c r="T8" i="8"/>
  <c r="AV68" i="9"/>
  <c r="D77" i="8"/>
  <c r="D79" i="8"/>
  <c r="AF40" i="9"/>
  <c r="AS38" i="1"/>
  <c r="AR10" i="8"/>
  <c r="N38" i="9"/>
  <c r="E40" i="8"/>
  <c r="AO91" i="9"/>
  <c r="AF87" i="8"/>
  <c r="M39" i="9"/>
  <c r="Z78" i="8"/>
  <c r="I87" i="9"/>
  <c r="V10" i="9"/>
  <c r="AV8" i="8"/>
  <c r="AX71" i="9"/>
  <c r="AU76" i="9"/>
  <c r="AB45" i="8"/>
  <c r="AI57" i="9"/>
  <c r="S45" i="9"/>
  <c r="AB87" i="9"/>
  <c r="AF46" i="9"/>
  <c r="K75" i="9"/>
  <c r="AQ87" i="9"/>
  <c r="X39" i="8"/>
  <c r="N68" i="9"/>
  <c r="AS39" i="1"/>
  <c r="AL92" i="8"/>
  <c r="AN81" i="9"/>
  <c r="I15" i="8"/>
  <c r="AI66" i="8"/>
  <c r="AK63" i="9"/>
  <c r="V95" i="8"/>
  <c r="M66" i="8"/>
  <c r="R16" i="8"/>
  <c r="AI65" i="8"/>
  <c r="AH64" i="8"/>
  <c r="M64" i="8"/>
  <c r="F9" i="1"/>
  <c r="Z40" i="8"/>
  <c r="Y45" i="9"/>
  <c r="AU68" i="9"/>
  <c r="S56" i="9"/>
  <c r="AT86" i="9"/>
  <c r="AG79" i="9"/>
  <c r="M46" i="9"/>
  <c r="AL39" i="8"/>
  <c r="M76" i="8"/>
  <c r="U71" i="9"/>
  <c r="P80" i="8"/>
  <c r="V86" i="8"/>
  <c r="S69" i="9"/>
  <c r="AR86" i="8"/>
  <c r="AI74" i="9"/>
  <c r="U45" i="8"/>
  <c r="AP15" i="9"/>
  <c r="T64" i="9"/>
  <c r="AJ8" i="9"/>
  <c r="AV10" i="9"/>
  <c r="U72" i="1"/>
  <c r="AG64" i="9"/>
  <c r="AR45" i="9"/>
  <c r="AJ39" i="8"/>
  <c r="H72" i="8"/>
  <c r="AI46" i="9"/>
  <c r="AY9" i="9"/>
  <c r="AR56" i="9"/>
  <c r="AF80" i="8"/>
  <c r="AS95" i="9"/>
  <c r="Z91" i="9"/>
  <c r="R56" i="8"/>
  <c r="T16" i="9"/>
  <c r="AF79" i="9"/>
  <c r="AL77" i="1"/>
  <c r="Q39" i="9"/>
  <c r="AA40" i="8"/>
  <c r="AJ80" i="9"/>
  <c r="AQ86" i="8"/>
  <c r="L8" i="9"/>
  <c r="AS14" i="1"/>
  <c r="L64" i="9"/>
  <c r="AD9" i="8"/>
  <c r="AG9" i="8"/>
  <c r="AM75" i="9"/>
  <c r="AC57" i="9"/>
  <c r="AW67" i="8"/>
  <c r="R76" i="8"/>
  <c r="AI92" i="9"/>
  <c r="AK14" i="9"/>
  <c r="J77" i="9"/>
  <c r="AU40" i="8"/>
  <c r="AR88" i="8"/>
  <c r="Q9" i="8"/>
  <c r="AX70" i="9"/>
  <c r="Q57" i="9"/>
  <c r="AB10" i="8"/>
  <c r="M56" i="9"/>
  <c r="Q70" i="1"/>
  <c r="D15" i="9"/>
  <c r="AU82" i="8"/>
  <c r="O14" i="8"/>
  <c r="AP95" i="9"/>
  <c r="AL63" i="9"/>
  <c r="D10" i="1"/>
  <c r="AI38" i="8"/>
  <c r="V77" i="9"/>
  <c r="S9" i="9"/>
  <c r="AV57" i="9"/>
  <c r="O74" i="9"/>
  <c r="AI81" i="9"/>
  <c r="AV75" i="8"/>
  <c r="L46" i="9"/>
  <c r="AU44" i="9"/>
  <c r="AA71" i="9"/>
  <c r="M88" i="9"/>
  <c r="M64" i="9"/>
  <c r="S9" i="8"/>
  <c r="AW68" i="8"/>
  <c r="AW82" i="9"/>
  <c r="T65" i="9"/>
  <c r="AC9" i="9"/>
  <c r="T46" i="8"/>
  <c r="AP92" i="9"/>
  <c r="R86" i="9"/>
  <c r="AA38" i="9"/>
  <c r="AD73" i="9"/>
  <c r="P71" i="9"/>
  <c r="Q68" i="9"/>
  <c r="D10" i="8"/>
  <c r="AY16" i="9"/>
  <c r="AU63" i="9"/>
  <c r="AD16" i="9"/>
  <c r="I78" i="9"/>
  <c r="X81" i="8"/>
  <c r="AK46" i="9"/>
  <c r="AG71" i="9"/>
  <c r="AX66" i="9"/>
  <c r="X9" i="9"/>
  <c r="E76" i="9"/>
  <c r="AO14" i="1"/>
  <c r="S74" i="9"/>
  <c r="AL56" i="9"/>
  <c r="AI64" i="8"/>
  <c r="AE87" i="9"/>
  <c r="I70" i="8"/>
  <c r="P40" i="8"/>
  <c r="AR74" i="9"/>
  <c r="AO10" i="8"/>
  <c r="AH45" i="9"/>
  <c r="I81" i="8"/>
  <c r="G72" i="8"/>
  <c r="E81" i="9"/>
  <c r="AO87" i="9"/>
  <c r="H10" i="9"/>
  <c r="O15" i="1"/>
  <c r="Z10" i="9"/>
  <c r="AE80" i="8"/>
  <c r="J70" i="9"/>
  <c r="AJ72" i="9"/>
  <c r="AS76" i="9"/>
  <c r="AF86" i="8"/>
  <c r="Y64" i="9"/>
  <c r="K77" i="9"/>
  <c r="AX92" i="9"/>
  <c r="D88" i="9"/>
  <c r="AB16" i="9"/>
  <c r="M63" i="9"/>
  <c r="R76" i="1"/>
  <c r="AL88" i="1"/>
  <c r="I86" i="9"/>
  <c r="F46" i="9"/>
  <c r="AP91" i="9"/>
  <c r="AT77" i="9"/>
  <c r="AX10" i="8"/>
  <c r="T46" i="9"/>
  <c r="T39" i="9"/>
  <c r="AS44" i="8"/>
  <c r="AH87" i="9"/>
  <c r="K74" i="8"/>
  <c r="AT91" i="9"/>
  <c r="AF71" i="9"/>
  <c r="AE10" i="9"/>
  <c r="AD14" i="9"/>
  <c r="AK80" i="9"/>
  <c r="AM64" i="8"/>
  <c r="AP86" i="8"/>
  <c r="Z86" i="9"/>
  <c r="E66" i="9"/>
  <c r="AJ68" i="9"/>
  <c r="R68" i="9"/>
  <c r="AD44" i="9"/>
  <c r="W40" i="9"/>
  <c r="AS71" i="9"/>
  <c r="AK14" i="8"/>
  <c r="AJ38" i="8"/>
  <c r="I73" i="9"/>
  <c r="N9" i="8"/>
  <c r="AT14" i="9"/>
  <c r="AM77" i="8"/>
  <c r="AC75" i="8"/>
  <c r="AK57" i="8"/>
  <c r="AB66" i="8"/>
  <c r="AV70" i="9"/>
  <c r="AX73" i="9"/>
  <c r="AF64" i="8"/>
  <c r="S76" i="9"/>
  <c r="D72" i="8"/>
  <c r="J8" i="9"/>
  <c r="AW64" i="9"/>
  <c r="O88" i="8"/>
  <c r="L39" i="8"/>
  <c r="AL38" i="8"/>
  <c r="W86" i="9"/>
  <c r="AI78" i="1"/>
  <c r="AE45" i="9"/>
  <c r="T45" i="9"/>
  <c r="AR67" i="9"/>
  <c r="AB8" i="9"/>
  <c r="AG75" i="8"/>
  <c r="AG45" i="9"/>
  <c r="R44" i="8"/>
  <c r="AG72" i="9"/>
  <c r="AY39" i="9"/>
  <c r="AC67" i="8"/>
  <c r="AR9" i="1"/>
  <c r="AK87" i="9"/>
  <c r="U46" i="8"/>
  <c r="AN14" i="9"/>
  <c r="V92" i="9"/>
  <c r="F71" i="9"/>
  <c r="AG44" i="9"/>
  <c r="AN87" i="9"/>
  <c r="N65" i="8"/>
  <c r="AX66" i="8"/>
  <c r="AG57" i="9"/>
  <c r="AV82" i="9"/>
  <c r="M87" i="9"/>
  <c r="O68" i="9"/>
  <c r="R91" i="1"/>
  <c r="AR44" i="9"/>
  <c r="Y86" i="9"/>
  <c r="AC80" i="9"/>
  <c r="T9" i="8"/>
  <c r="O46" i="9"/>
  <c r="K57" i="9"/>
  <c r="AW39" i="9"/>
  <c r="AE71" i="8"/>
  <c r="AQ14" i="9"/>
  <c r="AW56" i="9"/>
  <c r="O87" i="1"/>
  <c r="AN9" i="8"/>
  <c r="H92" i="9"/>
  <c r="Q40" i="9"/>
  <c r="AW76" i="8"/>
  <c r="U10" i="9"/>
  <c r="AE73" i="9"/>
  <c r="Y9" i="9"/>
  <c r="K45" i="8"/>
  <c r="P63" i="9"/>
  <c r="AW44" i="8"/>
  <c r="AW38" i="9"/>
  <c r="AI79" i="9"/>
  <c r="AP66" i="9"/>
  <c r="AO67" i="8"/>
  <c r="AS74" i="8"/>
  <c r="AT64" i="8"/>
  <c r="AU8" i="8"/>
  <c r="AW71" i="9"/>
  <c r="K88" i="9"/>
  <c r="AM15" i="9"/>
  <c r="T63" i="9"/>
  <c r="AX88" i="9"/>
  <c r="N14" i="9"/>
  <c r="AM70" i="9"/>
  <c r="AJ75" i="1"/>
  <c r="W82" i="9"/>
  <c r="AF66" i="9"/>
  <c r="AR80" i="9"/>
  <c r="T57" i="8"/>
  <c r="D16" i="9"/>
  <c r="L82" i="9"/>
  <c r="AW70" i="9"/>
  <c r="Q9" i="9"/>
  <c r="AN63" i="9"/>
  <c r="AS39" i="8"/>
  <c r="AU80" i="9"/>
  <c r="G68" i="9"/>
  <c r="AJ81" i="1"/>
  <c r="AW65" i="9"/>
  <c r="D64" i="9"/>
  <c r="Y70" i="9"/>
  <c r="AK40" i="8"/>
  <c r="AB38" i="8"/>
  <c r="H56" i="9"/>
  <c r="AT45" i="8"/>
  <c r="AM73" i="9"/>
  <c r="E71" i="8"/>
  <c r="O79" i="1"/>
  <c r="E45" i="9"/>
  <c r="AR68" i="8"/>
  <c r="N95" i="9"/>
  <c r="F63" i="9"/>
  <c r="X56" i="9"/>
  <c r="AH69" i="9"/>
  <c r="AE44" i="9"/>
  <c r="Y69" i="9"/>
  <c r="AJ9" i="9"/>
  <c r="T86" i="9"/>
  <c r="AE57" i="9"/>
  <c r="J56" i="9"/>
  <c r="F15" i="9"/>
  <c r="AU65" i="9"/>
  <c r="AG73" i="9"/>
  <c r="AD14" i="1"/>
  <c r="AA46" i="9"/>
  <c r="AB73" i="9"/>
  <c r="P10" i="9"/>
  <c r="P46" i="9"/>
  <c r="AH8" i="9"/>
  <c r="AA57" i="9"/>
  <c r="AH71" i="9"/>
  <c r="AP82" i="8"/>
  <c r="T38" i="9"/>
  <c r="AB57" i="8"/>
  <c r="I78" i="8"/>
  <c r="AO38" i="9"/>
  <c r="R67" i="9"/>
  <c r="AJ82" i="9"/>
  <c r="W14" i="9"/>
  <c r="D73" i="8"/>
  <c r="N79" i="9"/>
  <c r="AE39" i="9"/>
  <c r="D56" i="9"/>
  <c r="AX68" i="9"/>
  <c r="M10" i="9"/>
  <c r="AD38" i="9"/>
  <c r="I45" i="9"/>
  <c r="I79" i="9"/>
  <c r="N91" i="8"/>
  <c r="R75" i="9"/>
  <c r="S44" i="1"/>
  <c r="U72" i="9"/>
  <c r="N14" i="8"/>
  <c r="AR16" i="9"/>
  <c r="AT56" i="9"/>
  <c r="AJ9" i="8"/>
  <c r="AT92" i="8"/>
  <c r="R45" i="9"/>
  <c r="I8" i="9"/>
  <c r="D81" i="8"/>
  <c r="F87" i="8"/>
  <c r="AJ91" i="9"/>
  <c r="N82" i="8"/>
  <c r="AL82" i="9"/>
  <c r="AJ77" i="9"/>
  <c r="AY38" i="9"/>
  <c r="AM74" i="9"/>
  <c r="P76" i="8"/>
  <c r="AB14" i="8"/>
  <c r="Z87" i="8"/>
  <c r="AQ69" i="9"/>
  <c r="AX56" i="9"/>
  <c r="U63" i="9"/>
  <c r="R40" i="9"/>
  <c r="Y56" i="9"/>
  <c r="AB9" i="9"/>
  <c r="AM68" i="8"/>
  <c r="D14" i="8"/>
  <c r="AL9" i="8"/>
  <c r="P75" i="9"/>
  <c r="AA79" i="9"/>
  <c r="AE8" i="9"/>
  <c r="AH16" i="9"/>
  <c r="J44" i="8"/>
  <c r="AG66" i="8"/>
  <c r="H15" i="9"/>
  <c r="AY67" i="8"/>
  <c r="AY57" i="9"/>
  <c r="Q70" i="9"/>
  <c r="Y46" i="9"/>
  <c r="N45" i="9"/>
  <c r="AP86" i="9"/>
  <c r="E45" i="8"/>
  <c r="F39" i="9"/>
  <c r="D65" i="9"/>
  <c r="J80" i="8"/>
  <c r="AM78" i="9"/>
  <c r="N78" i="1"/>
  <c r="J39" i="9"/>
  <c r="AK38" i="9"/>
  <c r="AS40" i="9"/>
  <c r="U66" i="8"/>
  <c r="AT8" i="9"/>
  <c r="P92" i="9"/>
  <c r="AK64" i="1"/>
  <c r="AY40" i="8"/>
  <c r="AV14" i="9"/>
  <c r="H45" i="9"/>
  <c r="K65" i="9"/>
  <c r="Q81" i="9"/>
  <c r="Z66" i="9"/>
  <c r="AK10" i="8"/>
  <c r="AI95" i="9"/>
  <c r="AN56" i="8"/>
  <c r="W76" i="9"/>
  <c r="AP40" i="9"/>
  <c r="D40" i="9"/>
  <c r="AV44" i="9"/>
  <c r="D88" i="8"/>
  <c r="AB91" i="9"/>
  <c r="AD63" i="8"/>
  <c r="N70" i="9"/>
  <c r="X70" i="9"/>
  <c r="W74" i="9"/>
  <c r="AY8" i="9"/>
  <c r="AB67" i="1"/>
  <c r="AU9" i="1"/>
  <c r="AW16" i="1"/>
  <c r="AE68" i="9"/>
  <c r="H68" i="8"/>
  <c r="W75" i="9"/>
  <c r="AX14" i="9"/>
  <c r="AP10" i="8"/>
  <c r="T92" i="9"/>
  <c r="AT76" i="8"/>
  <c r="R45" i="8"/>
  <c r="AE14" i="9"/>
  <c r="AY86" i="8"/>
  <c r="Q69" i="9"/>
  <c r="D67" i="9"/>
  <c r="L69" i="9"/>
  <c r="K38" i="8"/>
  <c r="AW57" i="8"/>
  <c r="W10" i="9"/>
  <c r="AG57" i="1"/>
  <c r="K10" i="8"/>
  <c r="O76" i="9"/>
  <c r="G71" i="9"/>
  <c r="AC45" i="8"/>
  <c r="AG91" i="9"/>
  <c r="AE63" i="9"/>
  <c r="AJ16" i="9"/>
  <c r="AX78" i="9"/>
  <c r="H39" i="8"/>
  <c r="AW10" i="8"/>
  <c r="H73" i="9"/>
  <c r="S65" i="9"/>
  <c r="AC8" i="8"/>
  <c r="AF92" i="8"/>
  <c r="AV9" i="9"/>
  <c r="AQ77" i="9"/>
  <c r="L66" i="9"/>
  <c r="AN65" i="8"/>
  <c r="AW69" i="9"/>
  <c r="U69" i="8"/>
  <c r="X76" i="8"/>
  <c r="Q64" i="8"/>
  <c r="AF92" i="9"/>
  <c r="AR57" i="9"/>
  <c r="G72" i="9"/>
  <c r="AP45" i="9"/>
  <c r="AO8" i="8"/>
  <c r="AO79" i="8"/>
  <c r="K79" i="9"/>
  <c r="N86" i="1"/>
  <c r="AB95" i="8"/>
  <c r="AR75" i="8"/>
  <c r="AG39" i="8"/>
  <c r="AP69" i="9"/>
  <c r="AN91" i="9"/>
  <c r="Y87" i="9"/>
  <c r="V45" i="8"/>
  <c r="AD67" i="9"/>
  <c r="E78" i="9"/>
  <c r="AE10" i="1"/>
  <c r="K8" i="9"/>
  <c r="AO73" i="8"/>
  <c r="AM39" i="8"/>
  <c r="AT69" i="9"/>
  <c r="G14" i="8"/>
  <c r="P75" i="8"/>
  <c r="E57" i="9"/>
  <c r="AE40" i="9"/>
  <c r="AR39" i="8"/>
  <c r="S14" i="9"/>
  <c r="AV72" i="9"/>
  <c r="AB69" i="8"/>
  <c r="D57" i="9"/>
  <c r="AR81" i="9"/>
  <c r="L56" i="8"/>
  <c r="AO44" i="9"/>
  <c r="AN68" i="9"/>
  <c r="H65" i="8"/>
  <c r="R92" i="9"/>
  <c r="AK70" i="9"/>
  <c r="AC73" i="9"/>
  <c r="AJ69" i="9"/>
  <c r="Z75" i="9"/>
  <c r="S82" i="9"/>
  <c r="V78" i="9"/>
  <c r="AA10" i="9"/>
  <c r="AW77" i="9"/>
  <c r="L77" i="9"/>
  <c r="AT38" i="9"/>
  <c r="AH78" i="9"/>
  <c r="J65" i="8"/>
  <c r="AV39" i="9"/>
  <c r="AD44" i="8"/>
  <c r="Q71" i="9"/>
  <c r="J14" i="8"/>
  <c r="AS67" i="8"/>
  <c r="E56" i="9"/>
  <c r="AP16" i="9"/>
  <c r="D76" i="8"/>
  <c r="W66" i="9"/>
  <c r="AD68" i="9"/>
  <c r="AI15" i="9"/>
  <c r="AJ15" i="9"/>
  <c r="I10" i="9"/>
  <c r="H72" i="9"/>
  <c r="T65" i="8"/>
  <c r="AQ63" i="9"/>
  <c r="V78" i="8"/>
  <c r="AF38" i="9"/>
  <c r="AT63" i="8"/>
  <c r="AJ40" i="9"/>
  <c r="U46" i="9"/>
  <c r="F78" i="9"/>
  <c r="AE82" i="1"/>
  <c r="AD46" i="9"/>
  <c r="D63" i="9"/>
  <c r="AB15" i="9"/>
  <c r="AG67" i="8"/>
  <c r="G57" i="9"/>
  <c r="L79" i="9"/>
  <c r="V14" i="1"/>
  <c r="AB63" i="9"/>
  <c r="T39" i="8"/>
  <c r="F68" i="8"/>
  <c r="AK45" i="9"/>
  <c r="AJ88" i="8"/>
  <c r="S92" i="8"/>
  <c r="AP82" i="9"/>
  <c r="H65" i="9"/>
  <c r="AR8" i="9"/>
  <c r="AA68" i="9"/>
  <c r="AW79" i="9"/>
  <c r="K67" i="9"/>
  <c r="S95" i="9"/>
  <c r="N78" i="9"/>
  <c r="V14" i="9"/>
  <c r="AF86" i="9"/>
  <c r="M16" i="8"/>
  <c r="AO71" i="8"/>
  <c r="AA39" i="9"/>
  <c r="AQ67" i="8"/>
  <c r="X74" i="9"/>
  <c r="J66" i="9"/>
  <c r="E9" i="9"/>
  <c r="AE88" i="9"/>
  <c r="J68" i="8"/>
  <c r="Q45" i="9"/>
  <c r="Z95" i="8"/>
  <c r="AG80" i="9"/>
  <c r="N71" i="9"/>
  <c r="AT16" i="9"/>
  <c r="AT72" i="9"/>
  <c r="G64" i="8"/>
  <c r="AQ78" i="9"/>
  <c r="AM76" i="9"/>
  <c r="AT65" i="1"/>
  <c r="AQ9" i="9"/>
  <c r="AQ64" i="9"/>
  <c r="AU8" i="9"/>
  <c r="AO73" i="9"/>
  <c r="H75" i="9"/>
  <c r="AP72" i="8"/>
  <c r="U40" i="9"/>
  <c r="AW16" i="9"/>
  <c r="U82" i="9"/>
  <c r="R14" i="9"/>
  <c r="AW9" i="9"/>
  <c r="S44" i="9"/>
  <c r="AG76" i="9"/>
  <c r="W95" i="9"/>
  <c r="I73" i="8"/>
  <c r="AT79" i="8"/>
  <c r="J81" i="9"/>
  <c r="AL44" i="9"/>
  <c r="F8" i="9"/>
  <c r="N86" i="9"/>
  <c r="AN79" i="9"/>
  <c r="AE76" i="9"/>
  <c r="AO79" i="9"/>
  <c r="P87" i="9"/>
  <c r="H69" i="8"/>
  <c r="K56" i="9"/>
  <c r="AU70" i="8"/>
  <c r="AV92" i="9"/>
  <c r="AU87" i="9"/>
  <c r="I56" i="8"/>
  <c r="Y87" i="8"/>
  <c r="E86" i="9"/>
  <c r="AQ72" i="9"/>
  <c r="H69" i="9"/>
  <c r="AT81" i="9"/>
  <c r="G65" i="9"/>
  <c r="T78" i="9"/>
  <c r="AO56" i="9"/>
  <c r="L86" i="8"/>
  <c r="Y68" i="9"/>
  <c r="M57" i="9"/>
  <c r="Q46" i="9"/>
  <c r="R40" i="8"/>
  <c r="E66" i="8"/>
  <c r="AJ75" i="9"/>
  <c r="Y76" i="9"/>
  <c r="AA15" i="9"/>
  <c r="F91" i="9"/>
  <c r="Y39" i="9"/>
  <c r="AL87" i="8"/>
  <c r="Q66" i="9"/>
  <c r="L15" i="9"/>
  <c r="AI44" i="8"/>
  <c r="V72" i="9"/>
  <c r="AC72" i="9"/>
  <c r="AA82" i="8"/>
  <c r="AQ45" i="9"/>
  <c r="Z63" i="9"/>
  <c r="I66" i="8"/>
  <c r="AA87" i="9"/>
  <c r="AH92" i="9"/>
  <c r="F86" i="8"/>
  <c r="AG80" i="8"/>
  <c r="AM14" i="8"/>
  <c r="AP70" i="8"/>
  <c r="AX73" i="8"/>
  <c r="AY65" i="9"/>
  <c r="Y56" i="8"/>
  <c r="X38" i="9"/>
  <c r="V67" i="9"/>
  <c r="V75" i="9"/>
  <c r="AM46" i="9"/>
  <c r="AS64" i="9"/>
  <c r="O92" i="9"/>
  <c r="AF78" i="9"/>
  <c r="U86" i="8"/>
  <c r="J82" i="9"/>
  <c r="AY72" i="9"/>
  <c r="AI8" i="8"/>
  <c r="O67" i="8"/>
  <c r="AE64" i="9"/>
  <c r="D46" i="8"/>
  <c r="E16" i="9"/>
  <c r="AV78" i="8"/>
  <c r="W56" i="9"/>
  <c r="W78" i="8"/>
  <c r="F14" i="9"/>
  <c r="AY81" i="8"/>
  <c r="D81" i="9"/>
  <c r="AF75" i="9"/>
  <c r="AY38" i="8"/>
  <c r="AR92" i="1"/>
  <c r="U88" i="9"/>
  <c r="J57" i="9"/>
  <c r="Z95" i="9"/>
  <c r="AB46" i="9"/>
  <c r="H38" i="9"/>
  <c r="K64" i="9"/>
  <c r="AQ10" i="9"/>
  <c r="N44" i="9"/>
  <c r="AP10" i="9"/>
  <c r="AQ39" i="1"/>
  <c r="AQ40" i="9"/>
  <c r="T95" i="9"/>
  <c r="AP39" i="9"/>
  <c r="D40" i="8"/>
  <c r="AQ74" i="9"/>
  <c r="T79" i="9"/>
  <c r="AF80" i="9"/>
  <c r="AQ69" i="8"/>
  <c r="P65" i="9"/>
  <c r="AL40" i="9"/>
  <c r="Z39" i="9"/>
  <c r="AS69" i="9"/>
  <c r="AJ56" i="9"/>
  <c r="T88" i="8"/>
  <c r="AG65" i="9"/>
  <c r="O15" i="8"/>
  <c r="AY91" i="9"/>
  <c r="K70" i="9"/>
  <c r="Z69" i="9"/>
  <c r="E63" i="9"/>
  <c r="AE46" i="9"/>
  <c r="AU38" i="9"/>
  <c r="T66" i="8"/>
  <c r="AI65" i="9"/>
  <c r="Y88" i="8"/>
  <c r="U68" i="9"/>
  <c r="H95" i="8"/>
  <c r="AN77" i="9"/>
  <c r="N57" i="8"/>
  <c r="U91" i="9"/>
  <c r="M15" i="9"/>
  <c r="R88" i="9"/>
  <c r="T56" i="9"/>
  <c r="AG64" i="8"/>
  <c r="J65" i="9"/>
  <c r="N40" i="8"/>
  <c r="K68" i="9"/>
  <c r="AL57" i="9"/>
  <c r="AE79" i="9"/>
  <c r="AD8" i="9"/>
  <c r="V80" i="9"/>
  <c r="AW81" i="9"/>
  <c r="X8" i="8"/>
  <c r="AM92" i="1"/>
  <c r="AN40" i="8"/>
  <c r="AV63" i="9"/>
  <c r="AO80" i="9"/>
  <c r="G63" i="8"/>
  <c r="AM38" i="9"/>
  <c r="D78" i="8"/>
  <c r="AO76" i="9"/>
  <c r="G56" i="9"/>
  <c r="AB78" i="9"/>
  <c r="Z57" i="9"/>
  <c r="K73" i="9"/>
  <c r="T81" i="9"/>
  <c r="AY63" i="8"/>
  <c r="K63" i="9"/>
  <c r="AO86" i="8"/>
  <c r="AT82" i="9"/>
  <c r="AE75" i="9"/>
  <c r="J67" i="9"/>
  <c r="Z80" i="9"/>
  <c r="I68" i="8"/>
  <c r="M66" i="9"/>
  <c r="AP9" i="1"/>
  <c r="AL15" i="9"/>
  <c r="AQ88" i="9"/>
  <c r="W63" i="8"/>
  <c r="AW87" i="9"/>
  <c r="X46" i="9"/>
  <c r="N64" i="9"/>
  <c r="Y8" i="8"/>
  <c r="U67" i="8"/>
  <c r="AL91" i="9"/>
  <c r="H68" i="9"/>
  <c r="T14" i="9"/>
  <c r="AS87" i="9"/>
  <c r="AY80" i="9"/>
  <c r="AH66" i="9"/>
  <c r="Q63" i="9"/>
  <c r="AC38" i="9"/>
  <c r="AQ67" i="9"/>
  <c r="R67" i="8"/>
  <c r="H46" i="9"/>
  <c r="W64" i="9"/>
  <c r="G91" i="9"/>
  <c r="F16" i="9"/>
  <c r="N67" i="9"/>
  <c r="AN57" i="9"/>
  <c r="AX81" i="9"/>
  <c r="E71" i="9"/>
  <c r="E80" i="8"/>
  <c r="AK46" i="8"/>
  <c r="AN39" i="9"/>
  <c r="Q57" i="1"/>
  <c r="AH76" i="8"/>
  <c r="O14" i="9"/>
  <c r="AF45" i="9"/>
  <c r="AR14" i="9"/>
  <c r="V82" i="9"/>
  <c r="P14" i="9"/>
  <c r="N68" i="8"/>
  <c r="AD10" i="9"/>
  <c r="AF70" i="9"/>
  <c r="AS91" i="9"/>
  <c r="V64" i="9"/>
  <c r="X57" i="9"/>
  <c r="AX75" i="9"/>
  <c r="AK72" i="8"/>
  <c r="AY75" i="9"/>
  <c r="AC9" i="8"/>
  <c r="D73" i="9"/>
  <c r="E65" i="9"/>
  <c r="AG39" i="9"/>
  <c r="AH74" i="9"/>
  <c r="W78" i="9"/>
  <c r="R73" i="9"/>
  <c r="AB70" i="9"/>
  <c r="AA14" i="9"/>
  <c r="O56" i="9"/>
  <c r="AQ87" i="8"/>
  <c r="AQ38" i="9"/>
  <c r="AN71" i="9"/>
  <c r="V82" i="8"/>
  <c r="M14" i="9"/>
  <c r="K44" i="9"/>
  <c r="AK75" i="8"/>
  <c r="AO79" i="1"/>
  <c r="AK69" i="1"/>
  <c r="AT70" i="9"/>
  <c r="AO78" i="9"/>
  <c r="AO39" i="8"/>
  <c r="Z74" i="9"/>
  <c r="AI40" i="9"/>
  <c r="AM92" i="9"/>
  <c r="N79" i="8"/>
  <c r="O73" i="8"/>
  <c r="AL79" i="9"/>
  <c r="P71" i="8"/>
  <c r="AC46" i="9"/>
  <c r="AJ65" i="9"/>
  <c r="AI77" i="9"/>
  <c r="H57" i="9"/>
  <c r="J15" i="8"/>
  <c r="AI91" i="8"/>
  <c r="U64" i="9"/>
  <c r="AL65" i="9"/>
  <c r="Z44" i="9"/>
  <c r="I76" i="9"/>
  <c r="AD81" i="9"/>
  <c r="AF65" i="8"/>
  <c r="N74" i="9"/>
  <c r="AN10" i="9"/>
  <c r="AF56" i="9"/>
  <c r="AC91" i="9"/>
  <c r="U16" i="8"/>
  <c r="D39" i="9"/>
  <c r="X63" i="8"/>
  <c r="U8" i="9"/>
  <c r="J15" i="9"/>
  <c r="T74" i="9"/>
  <c r="AP76" i="9"/>
  <c r="AB79" i="8"/>
  <c r="AO80" i="8"/>
  <c r="Y65" i="9"/>
  <c r="O95" i="9"/>
  <c r="N66" i="9"/>
  <c r="AR79" i="9"/>
  <c r="AC66" i="8"/>
  <c r="AU45" i="8"/>
  <c r="T15" i="9"/>
  <c r="I57" i="9"/>
  <c r="AB38" i="9"/>
  <c r="AN14" i="8"/>
  <c r="N16" i="9"/>
  <c r="AJ87" i="9"/>
  <c r="AJ80" i="8"/>
  <c r="AW15" i="9"/>
  <c r="O16" i="9"/>
  <c r="AG75" i="9"/>
  <c r="Z16" i="9"/>
  <c r="X64" i="8"/>
  <c r="T68" i="8"/>
  <c r="AN80" i="9"/>
  <c r="G45" i="9"/>
  <c r="F87" i="9"/>
  <c r="AR95" i="9"/>
  <c r="AJ46" i="9"/>
  <c r="AU67" i="9"/>
  <c r="AB75" i="9"/>
  <c r="AX67" i="1"/>
  <c r="R69" i="8"/>
  <c r="U10" i="8"/>
  <c r="R66" i="9"/>
  <c r="AM72" i="9"/>
  <c r="AD56" i="9"/>
  <c r="AN92" i="8"/>
  <c r="AJ45" i="1"/>
  <c r="AM63" i="9"/>
  <c r="AM92" i="8"/>
  <c r="Q86" i="9"/>
  <c r="AX87" i="9"/>
  <c r="V91" i="9"/>
  <c r="AB64" i="9"/>
  <c r="F66" i="9"/>
  <c r="J63" i="9"/>
  <c r="AX39" i="8"/>
  <c r="AA77" i="9"/>
  <c r="AH65" i="8"/>
  <c r="S64" i="9"/>
  <c r="S75" i="9"/>
  <c r="M78" i="9"/>
  <c r="AI87" i="8"/>
  <c r="AS40" i="8"/>
  <c r="R57" i="9"/>
  <c r="E79" i="9"/>
  <c r="I67" i="9"/>
  <c r="AW73" i="9"/>
  <c r="O86" i="9"/>
  <c r="W63" i="9"/>
  <c r="X16" i="9"/>
  <c r="AH56" i="8"/>
  <c r="AL81" i="8"/>
  <c r="AG77" i="9"/>
  <c r="Q57" i="8"/>
  <c r="AS63" i="1"/>
  <c r="P78" i="8"/>
  <c r="X10" i="9"/>
  <c r="AI72" i="8"/>
  <c r="AJ39" i="9"/>
  <c r="AA56" i="8"/>
  <c r="AI44" i="9"/>
  <c r="K16" i="8"/>
  <c r="F95" i="9"/>
  <c r="M95" i="8"/>
  <c r="Y77" i="9"/>
  <c r="AX91" i="9"/>
  <c r="AM95" i="9"/>
  <c r="AH16" i="1"/>
  <c r="O69" i="9"/>
  <c r="AM65" i="9"/>
  <c r="M69" i="9"/>
  <c r="U45" i="9"/>
  <c r="AJ71" i="8"/>
  <c r="AI16" i="9"/>
  <c r="N38" i="8"/>
  <c r="L15" i="1"/>
  <c r="P80" i="9"/>
  <c r="O45" i="8"/>
  <c r="N69" i="8"/>
  <c r="AG88" i="9"/>
  <c r="J95" i="8"/>
  <c r="J92" i="9"/>
  <c r="AT78" i="9"/>
  <c r="AM64" i="9"/>
  <c r="K14" i="9"/>
  <c r="AJ10" i="9"/>
  <c r="G80" i="9"/>
  <c r="AI75" i="8"/>
  <c r="L40" i="9"/>
  <c r="O67" i="9"/>
  <c r="V14" i="8"/>
  <c r="M8" i="8"/>
  <c r="AI77" i="8"/>
  <c r="Y16" i="9"/>
  <c r="P82" i="8"/>
  <c r="L80" i="9"/>
  <c r="W77" i="9"/>
  <c r="AL9" i="9"/>
  <c r="AG10" i="8"/>
  <c r="D46" i="9"/>
  <c r="O80" i="9"/>
  <c r="S77" i="8"/>
  <c r="M80" i="9"/>
  <c r="AV40" i="9"/>
  <c r="Z40" i="9"/>
  <c r="I38" i="8"/>
  <c r="AK66" i="9"/>
  <c r="H74" i="8"/>
  <c r="D68" i="9"/>
  <c r="U77" i="8"/>
  <c r="R46" i="9"/>
  <c r="L67" i="9"/>
  <c r="AW78" i="9"/>
  <c r="AE74" i="8"/>
  <c r="AA81" i="9"/>
  <c r="AX86" i="9"/>
  <c r="R82" i="9"/>
  <c r="AO16" i="9"/>
  <c r="P73" i="9"/>
  <c r="AF57" i="9"/>
  <c r="AU78" i="8"/>
  <c r="AM14" i="9"/>
  <c r="J66" i="8"/>
  <c r="AI80" i="9"/>
  <c r="AA65" i="9"/>
  <c r="AQ70" i="8"/>
  <c r="Y73" i="9"/>
  <c r="L38" i="9"/>
  <c r="AI39" i="8"/>
  <c r="AK57" i="9"/>
  <c r="W39" i="9"/>
  <c r="S78" i="9"/>
  <c r="AB92" i="8"/>
  <c r="AR68" i="9"/>
  <c r="AF88" i="9"/>
  <c r="AX82" i="9"/>
  <c r="AB56" i="9"/>
  <c r="Q46" i="8"/>
  <c r="AK77" i="9"/>
  <c r="AE66" i="9"/>
  <c r="H64" i="9"/>
  <c r="V44" i="9"/>
  <c r="K87" i="9"/>
  <c r="U80" i="9"/>
  <c r="AX38" i="9"/>
  <c r="AO10" i="9"/>
  <c r="R15" i="9"/>
  <c r="AP16" i="8"/>
  <c r="V86" i="9"/>
  <c r="AM40" i="8"/>
  <c r="I46" i="9"/>
  <c r="AN78" i="8"/>
  <c r="S92" i="9"/>
  <c r="AN56" i="9"/>
  <c r="U74" i="8"/>
  <c r="V65" i="9"/>
  <c r="U78" i="8"/>
  <c r="AX65" i="9"/>
  <c r="AT15" i="9"/>
  <c r="AH86" i="9"/>
  <c r="AW14" i="8"/>
  <c r="T67" i="8"/>
  <c r="AH75" i="8"/>
  <c r="AV38" i="9"/>
  <c r="I15" i="9"/>
  <c r="AU44" i="1"/>
  <c r="L95" i="9"/>
  <c r="AG40" i="9"/>
  <c r="AY70" i="9"/>
  <c r="H16" i="9"/>
  <c r="E91" i="9"/>
  <c r="AB72" i="9"/>
  <c r="AO86" i="9"/>
  <c r="V71" i="9"/>
  <c r="AQ68" i="8"/>
  <c r="S15" i="9"/>
  <c r="X74" i="8"/>
  <c r="P15" i="9"/>
  <c r="AW10" i="9"/>
  <c r="AM77" i="9"/>
  <c r="AB73" i="8"/>
  <c r="AE86" i="9"/>
  <c r="E91" i="8"/>
  <c r="AH46" i="9"/>
  <c r="AL67" i="9"/>
  <c r="AA40" i="9"/>
  <c r="AQ68" i="9"/>
  <c r="D80" i="9"/>
  <c r="AT44" i="9"/>
  <c r="AS71" i="8"/>
  <c r="Q65" i="9"/>
  <c r="S38" i="8"/>
  <c r="AW68" i="9"/>
  <c r="AX92" i="8"/>
  <c r="V66" i="9"/>
  <c r="AF67" i="9"/>
  <c r="U67" i="9"/>
  <c r="AL81" i="9"/>
  <c r="AK77" i="8"/>
  <c r="AQ44" i="8"/>
  <c r="AX56" i="8"/>
  <c r="AX44" i="9"/>
  <c r="AT68" i="8"/>
  <c r="G73" i="9"/>
  <c r="W45" i="9"/>
  <c r="N91" i="9"/>
  <c r="X65" i="9"/>
  <c r="Q64" i="9"/>
  <c r="Z9" i="9"/>
  <c r="T76" i="9"/>
  <c r="P67" i="9"/>
  <c r="Q80" i="9"/>
  <c r="AV38" i="8"/>
  <c r="N69" i="9"/>
  <c r="AI38" i="9"/>
  <c r="AC77" i="9"/>
  <c r="Q8" i="9"/>
  <c r="M40" i="9"/>
  <c r="AW80" i="9"/>
  <c r="AJ66" i="9"/>
  <c r="AG16" i="8"/>
  <c r="AS79" i="9"/>
  <c r="AS65" i="8"/>
  <c r="AJ63" i="9"/>
  <c r="AD82" i="9"/>
  <c r="J74" i="8"/>
  <c r="L86" i="9"/>
  <c r="X79" i="9"/>
  <c r="O73" i="9"/>
  <c r="Q88" i="9"/>
  <c r="AF39" i="9"/>
  <c r="AR40" i="8"/>
  <c r="O92" i="8"/>
  <c r="Z65" i="9"/>
  <c r="H63" i="9"/>
  <c r="AI67" i="8"/>
  <c r="AM8" i="9"/>
  <c r="F66" i="8"/>
  <c r="AK73" i="9"/>
  <c r="R81" i="9"/>
  <c r="AO8" i="9"/>
  <c r="AV15" i="9"/>
  <c r="AO14" i="9"/>
  <c r="Z70" i="9"/>
  <c r="AH14" i="9"/>
  <c r="AO46" i="9"/>
  <c r="AG74" i="9"/>
  <c r="AU74" i="9"/>
  <c r="J75" i="9"/>
  <c r="AC45" i="9"/>
  <c r="AV87" i="9"/>
  <c r="AX67" i="9"/>
  <c r="AS82" i="9"/>
  <c r="AQ63" i="8"/>
  <c r="R14" i="8"/>
  <c r="AG95" i="9"/>
  <c r="M63" i="8"/>
  <c r="AE73" i="8"/>
  <c r="Z46" i="9"/>
  <c r="AR70" i="9"/>
  <c r="U63" i="8"/>
  <c r="AW8" i="9"/>
  <c r="Y69" i="1"/>
  <c r="Q71" i="8"/>
  <c r="AT67" i="8"/>
  <c r="L45" i="9"/>
  <c r="AC64" i="9"/>
  <c r="E81" i="12" a="1"/>
  <c r="X91" i="12" a="1"/>
  <c r="E8" i="12" a="1"/>
  <c r="E91" i="12" a="1"/>
  <c r="X74" i="12" a="1"/>
  <c r="E75" i="12" a="1"/>
  <c r="E86" i="12" a="1"/>
  <c r="X80" i="12" a="1"/>
  <c r="E57" i="12" a="1"/>
  <c r="E39" i="12" a="1"/>
  <c r="E69" i="12" a="1"/>
  <c r="X66" i="12" a="1"/>
  <c r="X63" i="12" a="1"/>
  <c r="E64" i="12" a="1"/>
  <c r="E38" i="12" a="1"/>
  <c r="E95" i="12" a="1"/>
  <c r="E88" i="12" a="1"/>
  <c r="E10" i="12" a="1"/>
  <c r="X70" i="12" a="1"/>
  <c r="E44" i="12" a="1"/>
  <c r="X75" i="12" a="1"/>
  <c r="X81" i="12" a="1"/>
  <c r="X15" i="12" a="1"/>
  <c r="E72" i="12" a="1"/>
  <c r="E68" i="12" a="1"/>
  <c r="X65" i="12" a="1"/>
  <c r="E87" i="12" a="1"/>
  <c r="E67" i="12" a="1"/>
  <c r="E66" i="12" a="1"/>
  <c r="E9" i="12" a="1"/>
  <c r="X73" i="12" a="1"/>
  <c r="X69" i="12" a="1"/>
  <c r="X56" i="12" a="1"/>
  <c r="X79" i="12" a="1"/>
  <c r="E74" i="12" a="1"/>
  <c r="E80" i="12" a="1"/>
  <c r="X40" i="12" a="1"/>
  <c r="X86" i="12" a="1"/>
  <c r="X44" i="12" a="1"/>
  <c r="X71" i="12" a="1"/>
  <c r="X67" i="12" a="1"/>
  <c r="E77" i="12" a="1"/>
  <c r="X39" i="12" a="1"/>
  <c r="E78" i="12" a="1"/>
  <c r="E15" i="12" a="1"/>
  <c r="X68" i="12" a="1"/>
  <c r="X38" i="12" a="1"/>
  <c r="X45" i="12" a="1"/>
  <c r="E71" i="12" a="1"/>
  <c r="X10" i="12" a="1"/>
  <c r="E79" i="12" a="1"/>
  <c r="E14" i="12" a="1"/>
  <c r="E46" i="12" a="1"/>
  <c r="X77" i="12" a="1"/>
  <c r="X88" i="12" a="1"/>
  <c r="X46" i="12" a="1"/>
  <c r="X78" i="12" a="1"/>
  <c r="E70" i="12" a="1"/>
  <c r="X72" i="12" a="1"/>
  <c r="E65" i="12" a="1"/>
  <c r="E92" i="12" a="1"/>
  <c r="E63" i="12" a="1"/>
  <c r="E40" i="12" a="1"/>
  <c r="E45" i="12" a="1"/>
  <c r="X76" i="12" a="1"/>
  <c r="E82" i="12" a="1"/>
  <c r="E73" i="12" a="1"/>
  <c r="E76" i="12" a="1"/>
  <c r="E16" i="12" a="1"/>
  <c r="X82" i="12" a="1"/>
  <c r="E56" i="12" a="1"/>
  <c r="X92" i="12" a="1"/>
  <c r="BC32" i="10" l="1"/>
  <c r="BE53" i="10"/>
  <c r="BE35" i="1"/>
  <c r="BC98" i="8"/>
  <c r="BC17" i="10"/>
  <c r="BP64" i="10"/>
  <c r="BP57" i="14"/>
  <c r="BX16" i="14"/>
  <c r="BA26" i="10"/>
  <c r="BA32" i="10" s="1"/>
  <c r="BH53" i="10"/>
  <c r="BH60" i="10" s="1"/>
  <c r="BD98" i="8"/>
  <c r="BE33" i="14"/>
  <c r="BI47" i="10"/>
  <c r="BJ47" i="14"/>
  <c r="BF98" i="9"/>
  <c r="BC98" i="9"/>
  <c r="BC29" i="1"/>
  <c r="BC35" i="1" s="1"/>
  <c r="AZ98" i="1"/>
  <c r="BG47" i="10"/>
  <c r="BE26" i="10"/>
  <c r="BA89" i="10"/>
  <c r="BJ32" i="9"/>
  <c r="BI22" i="14"/>
  <c r="BI34" i="14" s="1"/>
  <c r="BC34" i="1"/>
  <c r="BI28" i="14"/>
  <c r="BI58" i="10"/>
  <c r="BI32" i="1"/>
  <c r="BF89" i="10"/>
  <c r="BI29" i="1"/>
  <c r="BC35" i="8"/>
  <c r="AZ35" i="8"/>
  <c r="BP45" i="14"/>
  <c r="BA17" i="14"/>
  <c r="BA29" i="14" s="1"/>
  <c r="BA35" i="14" s="1"/>
  <c r="BC34" i="10"/>
  <c r="AZ47" i="14"/>
  <c r="BH41" i="14"/>
  <c r="BK28" i="14"/>
  <c r="BF17" i="10"/>
  <c r="BE32" i="10"/>
  <c r="BA47" i="10"/>
  <c r="BA53" i="10" s="1"/>
  <c r="BA60" i="10" s="1"/>
  <c r="BA98" i="10" s="1"/>
  <c r="BF102" i="9"/>
  <c r="BJ21" i="14"/>
  <c r="BJ33" i="14" s="1"/>
  <c r="BC102" i="10"/>
  <c r="BP16" i="10"/>
  <c r="BP38" i="14"/>
  <c r="AZ83" i="14"/>
  <c r="BH93" i="10"/>
  <c r="BP87" i="10"/>
  <c r="BP57" i="10"/>
  <c r="BX14" i="10"/>
  <c r="BP46" i="14"/>
  <c r="BP86" i="14"/>
  <c r="BG17" i="10"/>
  <c r="BD102" i="9"/>
  <c r="BI23" i="1"/>
  <c r="BJ20" i="10"/>
  <c r="BF27" i="10"/>
  <c r="BF33" i="10" s="1"/>
  <c r="AZ50" i="14"/>
  <c r="BF50" i="14"/>
  <c r="BC47" i="14"/>
  <c r="AZ29" i="10"/>
  <c r="BH102" i="1"/>
  <c r="BI20" i="10"/>
  <c r="BG51" i="14"/>
  <c r="BD28" i="14"/>
  <c r="BI11" i="10"/>
  <c r="BI102" i="10" s="1"/>
  <c r="BJ52" i="14"/>
  <c r="BH28" i="14"/>
  <c r="BH34" i="14" s="1"/>
  <c r="BC51" i="14"/>
  <c r="BF28" i="14"/>
  <c r="BF34" i="14" s="1"/>
  <c r="BB102" i="9"/>
  <c r="BG29" i="14"/>
  <c r="BF29" i="14"/>
  <c r="BH35" i="9"/>
  <c r="BK53" i="1"/>
  <c r="BK60" i="1" s="1"/>
  <c r="BK98" i="1" s="1"/>
  <c r="BP14" i="10"/>
  <c r="BA21" i="14"/>
  <c r="BC27" i="14"/>
  <c r="BC33" i="14" s="1"/>
  <c r="BF27" i="14"/>
  <c r="BC47" i="10"/>
  <c r="BA41" i="14"/>
  <c r="BA53" i="14" s="1"/>
  <c r="BJ23" i="9"/>
  <c r="BG22" i="10"/>
  <c r="BG41" i="14"/>
  <c r="BB83" i="10"/>
  <c r="BF41" i="14"/>
  <c r="BC52" i="14"/>
  <c r="BD11" i="14"/>
  <c r="BD102" i="14" s="1"/>
  <c r="BH53" i="8"/>
  <c r="BH60" i="8" s="1"/>
  <c r="BH98" i="8" s="1"/>
  <c r="BK35" i="9"/>
  <c r="BJ51" i="14"/>
  <c r="BD21" i="14"/>
  <c r="BB53" i="1"/>
  <c r="BB60" i="1" s="1"/>
  <c r="BB98" i="1" s="1"/>
  <c r="BK47" i="14"/>
  <c r="BK33" i="14"/>
  <c r="BF53" i="8"/>
  <c r="BF60" i="8" s="1"/>
  <c r="BF98" i="8" s="1"/>
  <c r="BI23" i="9"/>
  <c r="BI35" i="9" s="1"/>
  <c r="BB11" i="14"/>
  <c r="BC102" i="14" s="1"/>
  <c r="BG29" i="9"/>
  <c r="BG35" i="9" s="1"/>
  <c r="BC32" i="1"/>
  <c r="BG102" i="8"/>
  <c r="BH23" i="9"/>
  <c r="BA32" i="9"/>
  <c r="AZ34" i="8"/>
  <c r="BX14" i="14"/>
  <c r="BA102" i="9"/>
  <c r="BB51" i="14"/>
  <c r="BE26" i="14"/>
  <c r="BE32" i="14" s="1"/>
  <c r="BH17" i="10"/>
  <c r="BH29" i="10" s="1"/>
  <c r="BG21" i="10"/>
  <c r="BG33" i="10" s="1"/>
  <c r="BD50" i="14"/>
  <c r="BE51" i="14"/>
  <c r="AZ51" i="14"/>
  <c r="BH27" i="10"/>
  <c r="BH33" i="10" s="1"/>
  <c r="BA53" i="8"/>
  <c r="BA60" i="8" s="1"/>
  <c r="BA98" i="8" s="1"/>
  <c r="BK41" i="14"/>
  <c r="BD26" i="14"/>
  <c r="BA83" i="14"/>
  <c r="BB83" i="14"/>
  <c r="BE89" i="14"/>
  <c r="BC83" i="14"/>
  <c r="BB34" i="1"/>
  <c r="BK102" i="9"/>
  <c r="BG58" i="14"/>
  <c r="BH47" i="14"/>
  <c r="BD47" i="10"/>
  <c r="BJ28" i="14"/>
  <c r="BA27" i="14"/>
  <c r="BH52" i="14"/>
  <c r="AZ26" i="10"/>
  <c r="AZ32" i="10" s="1"/>
  <c r="BE102" i="1"/>
  <c r="BH33" i="1"/>
  <c r="BA53" i="9"/>
  <c r="BA60" i="9" s="1"/>
  <c r="BA98" i="9" s="1"/>
  <c r="BG53" i="1"/>
  <c r="BG60" i="1" s="1"/>
  <c r="BG98" i="1" s="1"/>
  <c r="BI33" i="10"/>
  <c r="BD35" i="1"/>
  <c r="BD32" i="10"/>
  <c r="BE23" i="8"/>
  <c r="BE35" i="8" s="1"/>
  <c r="BC17" i="14"/>
  <c r="BK51" i="14"/>
  <c r="BE93" i="14"/>
  <c r="BI34" i="1"/>
  <c r="BB34" i="9"/>
  <c r="BJ29" i="9"/>
  <c r="AZ26" i="14"/>
  <c r="BH34" i="8"/>
  <c r="BF34" i="1"/>
  <c r="BH27" i="14"/>
  <c r="BE41" i="14"/>
  <c r="BE23" i="14" s="1"/>
  <c r="L52" i="9"/>
  <c r="L22" i="9"/>
  <c r="AJ58" i="9"/>
  <c r="AQ20" i="9"/>
  <c r="AQ41" i="9"/>
  <c r="AQ50" i="9"/>
  <c r="Z28" i="9"/>
  <c r="AC11" i="9"/>
  <c r="BO80" i="9"/>
  <c r="BQ80" i="9"/>
  <c r="F96" i="9"/>
  <c r="AF28" i="9"/>
  <c r="AO89" i="9"/>
  <c r="BT73" i="9"/>
  <c r="E93" i="8"/>
  <c r="AQ26" i="8"/>
  <c r="AQ47" i="8"/>
  <c r="K83" i="9"/>
  <c r="AT51" i="9"/>
  <c r="AT21" i="9"/>
  <c r="E93" i="9"/>
  <c r="AQ83" i="8"/>
  <c r="L15" i="14"/>
  <c r="L15" i="10"/>
  <c r="W96" i="9"/>
  <c r="U89" i="8"/>
  <c r="BR78" i="9"/>
  <c r="O58" i="9"/>
  <c r="BO56" i="8"/>
  <c r="AN58" i="8"/>
  <c r="BQ56" i="8"/>
  <c r="Q57" i="10"/>
  <c r="Q57" i="14"/>
  <c r="AX89" i="9"/>
  <c r="M51" i="9"/>
  <c r="M21" i="9"/>
  <c r="X83" i="8"/>
  <c r="BS73" i="9"/>
  <c r="AG96" i="9"/>
  <c r="AH27" i="9"/>
  <c r="AO93" i="9"/>
  <c r="AO11" i="9"/>
  <c r="O17" i="9"/>
  <c r="AU27" i="8"/>
  <c r="BR87" i="9"/>
  <c r="M11" i="9"/>
  <c r="R22" i="8"/>
  <c r="R52" i="8"/>
  <c r="AF21" i="9"/>
  <c r="AF51" i="9"/>
  <c r="AC50" i="9"/>
  <c r="AC41" i="9"/>
  <c r="AC20" i="9"/>
  <c r="BQ9" i="9"/>
  <c r="AF83" i="9"/>
  <c r="BT77" i="9"/>
  <c r="K66" i="10"/>
  <c r="K66" i="14"/>
  <c r="L89" i="8"/>
  <c r="N26" i="9"/>
  <c r="N47" i="9"/>
  <c r="AI50" i="9"/>
  <c r="AI20" i="9"/>
  <c r="AI41" i="9"/>
  <c r="AI93" i="8"/>
  <c r="N50" i="8"/>
  <c r="N41" i="8"/>
  <c r="N20" i="8"/>
  <c r="W21" i="9"/>
  <c r="W51" i="9"/>
  <c r="AY83" i="8"/>
  <c r="BR15" i="9"/>
  <c r="BZ15" i="9"/>
  <c r="AS52" i="9"/>
  <c r="AS22" i="9"/>
  <c r="L89" i="9"/>
  <c r="AI96" i="9"/>
  <c r="Z83" i="9"/>
  <c r="BO39" i="9"/>
  <c r="AN21" i="9"/>
  <c r="AN51" i="9"/>
  <c r="BQ39" i="9"/>
  <c r="W83" i="9"/>
  <c r="Z21" i="9"/>
  <c r="Z51" i="9"/>
  <c r="D21" i="9"/>
  <c r="D51" i="9"/>
  <c r="BT39" i="9"/>
  <c r="AX26" i="9"/>
  <c r="AX47" i="9"/>
  <c r="K58" i="9"/>
  <c r="AI47" i="9"/>
  <c r="AI26" i="9"/>
  <c r="W83" i="8"/>
  <c r="E22" i="8"/>
  <c r="E52" i="8"/>
  <c r="F17" i="9"/>
  <c r="AR96" i="9"/>
  <c r="S27" i="9"/>
  <c r="Q27" i="9"/>
  <c r="Q83" i="9"/>
  <c r="AT65" i="14"/>
  <c r="AT65" i="10"/>
  <c r="AO58" i="9"/>
  <c r="BO75" i="8"/>
  <c r="BQ75" i="8"/>
  <c r="BQ10" i="9"/>
  <c r="AX21" i="8"/>
  <c r="AX51" i="8"/>
  <c r="BR67" i="9"/>
  <c r="Q28" i="9"/>
  <c r="S47" i="9"/>
  <c r="S26" i="9"/>
  <c r="AY11" i="9"/>
  <c r="D83" i="9"/>
  <c r="BT63" i="9"/>
  <c r="AK20" i="9"/>
  <c r="AK41" i="9"/>
  <c r="AK50" i="9"/>
  <c r="AG52" i="9"/>
  <c r="AG22" i="9"/>
  <c r="AA51" i="9"/>
  <c r="AA21" i="9"/>
  <c r="AK28" i="8"/>
  <c r="V47" i="9"/>
  <c r="V26" i="9"/>
  <c r="O89" i="9"/>
  <c r="AL22" i="9"/>
  <c r="AL52" i="9"/>
  <c r="AJ75" i="10"/>
  <c r="AJ75" i="14"/>
  <c r="AK28" i="9"/>
  <c r="BO77" i="9"/>
  <c r="BQ77" i="9"/>
  <c r="W27" i="9"/>
  <c r="AA58" i="8"/>
  <c r="AK83" i="9"/>
  <c r="N50" i="9"/>
  <c r="N41" i="9"/>
  <c r="N20" i="9"/>
  <c r="AS93" i="9"/>
  <c r="D27" i="9"/>
  <c r="BT45" i="9"/>
  <c r="AU20" i="9"/>
  <c r="AU50" i="9"/>
  <c r="AU41" i="9"/>
  <c r="Y69" i="14"/>
  <c r="Y69" i="10"/>
  <c r="R47" i="9"/>
  <c r="R26" i="9"/>
  <c r="AU17" i="9"/>
  <c r="R17" i="8"/>
  <c r="AV50" i="8"/>
  <c r="AV41" i="8"/>
  <c r="AV20" i="8"/>
  <c r="O26" i="9"/>
  <c r="O47" i="9"/>
  <c r="AQ83" i="9"/>
  <c r="AI51" i="8"/>
  <c r="AI21" i="8"/>
  <c r="AD28" i="9"/>
  <c r="J21" i="9"/>
  <c r="J51" i="9"/>
  <c r="L96" i="9"/>
  <c r="AU11" i="9"/>
  <c r="BS82" i="8"/>
  <c r="AO17" i="9"/>
  <c r="K17" i="9"/>
  <c r="BS65" i="9"/>
  <c r="AP22" i="9"/>
  <c r="AP52" i="9"/>
  <c r="AW11" i="9"/>
  <c r="AC93" i="9"/>
  <c r="AG51" i="9"/>
  <c r="AG21" i="9"/>
  <c r="BS87" i="9"/>
  <c r="AJ51" i="9"/>
  <c r="AJ21" i="9"/>
  <c r="P22" i="8"/>
  <c r="P52" i="8"/>
  <c r="BS40" i="8"/>
  <c r="BO10" i="8"/>
  <c r="W58" i="9"/>
  <c r="AB27" i="8"/>
  <c r="BR45" i="8"/>
  <c r="AE28" i="9"/>
  <c r="AN58" i="9"/>
  <c r="BO56" i="9"/>
  <c r="BQ56" i="9"/>
  <c r="BR72" i="9"/>
  <c r="AK15" i="14"/>
  <c r="AK15" i="10"/>
  <c r="AT11" i="9"/>
  <c r="H41" i="9"/>
  <c r="H20" i="9"/>
  <c r="H50" i="9"/>
  <c r="AC27" i="9"/>
  <c r="U27" i="9"/>
  <c r="Q11" i="9"/>
  <c r="R17" i="9"/>
  <c r="L41" i="9"/>
  <c r="L50" i="9"/>
  <c r="L20" i="9"/>
  <c r="AE82" i="14"/>
  <c r="AE82" i="10"/>
  <c r="N78" i="14"/>
  <c r="N78" i="10"/>
  <c r="AU47" i="1"/>
  <c r="AU44" i="14"/>
  <c r="AU26" i="1"/>
  <c r="AU44" i="10"/>
  <c r="AJ83" i="9"/>
  <c r="T58" i="9"/>
  <c r="AX58" i="8"/>
  <c r="AH28" i="9"/>
  <c r="AW41" i="9"/>
  <c r="AW50" i="9"/>
  <c r="AW20" i="9"/>
  <c r="AF58" i="9"/>
  <c r="N17" i="9"/>
  <c r="F93" i="9"/>
  <c r="AB20" i="9"/>
  <c r="AB50" i="9"/>
  <c r="AB41" i="9"/>
  <c r="BR38" i="9"/>
  <c r="AP9" i="14"/>
  <c r="AP9" i="10"/>
  <c r="AS50" i="1"/>
  <c r="AS41" i="1"/>
  <c r="AS38" i="14"/>
  <c r="AS20" i="1"/>
  <c r="AS38" i="10"/>
  <c r="AM11" i="9"/>
  <c r="O96" i="9"/>
  <c r="E83" i="9"/>
  <c r="BR92" i="8"/>
  <c r="F22" i="9"/>
  <c r="F52" i="9"/>
  <c r="AB28" i="9"/>
  <c r="BR46" i="9"/>
  <c r="BS67" i="9"/>
  <c r="H28" i="9"/>
  <c r="L27" i="9"/>
  <c r="AS21" i="8"/>
  <c r="AS51" i="8"/>
  <c r="AM28" i="9"/>
  <c r="AW26" i="8"/>
  <c r="AW47" i="8"/>
  <c r="BO81" i="9"/>
  <c r="BQ81" i="9"/>
  <c r="AF22" i="9"/>
  <c r="AF52" i="9"/>
  <c r="P96" i="9"/>
  <c r="BS95" i="9"/>
  <c r="BS96" i="9" s="1"/>
  <c r="AU93" i="9"/>
  <c r="BO78" i="8"/>
  <c r="BQ78" i="8"/>
  <c r="T17" i="9"/>
  <c r="AE89" i="9"/>
  <c r="BS80" i="9"/>
  <c r="Z96" i="9"/>
  <c r="AK27" i="9"/>
  <c r="AU96" i="9"/>
  <c r="AQ52" i="9"/>
  <c r="AQ22" i="9"/>
  <c r="AD83" i="8"/>
  <c r="U28" i="9"/>
  <c r="AV41" i="9"/>
  <c r="AV20" i="9"/>
  <c r="AV50" i="9"/>
  <c r="BS15" i="9"/>
  <c r="CA15" i="9"/>
  <c r="BR70" i="9"/>
  <c r="H27" i="9"/>
  <c r="V93" i="9"/>
  <c r="K47" i="9"/>
  <c r="K26" i="9"/>
  <c r="BO57" i="9"/>
  <c r="BQ57" i="9"/>
  <c r="Q28" i="8"/>
  <c r="BO63" i="9"/>
  <c r="AN83" i="9"/>
  <c r="BQ63" i="9"/>
  <c r="P83" i="9"/>
  <c r="BS63" i="9"/>
  <c r="Y21" i="9"/>
  <c r="Y51" i="9"/>
  <c r="BR75" i="9"/>
  <c r="T83" i="9"/>
  <c r="AU83" i="9"/>
  <c r="BO79" i="9"/>
  <c r="BQ79" i="9"/>
  <c r="AH58" i="8"/>
  <c r="BS78" i="8"/>
  <c r="BT79" i="8"/>
  <c r="P17" i="9"/>
  <c r="BS14" i="9"/>
  <c r="CA14" i="9"/>
  <c r="H83" i="9"/>
  <c r="D28" i="8"/>
  <c r="BT46" i="8"/>
  <c r="AA58" i="9"/>
  <c r="AV11" i="8"/>
  <c r="I28" i="9"/>
  <c r="BO71" i="9"/>
  <c r="BQ71" i="9"/>
  <c r="AO89" i="8"/>
  <c r="BT76" i="8"/>
  <c r="U52" i="9"/>
  <c r="U22" i="9"/>
  <c r="AB93" i="9"/>
  <c r="BR91" i="9"/>
  <c r="AJ52" i="9"/>
  <c r="AJ22" i="9"/>
  <c r="BT65" i="9"/>
  <c r="AJ28" i="9"/>
  <c r="J83" i="9"/>
  <c r="AV17" i="9"/>
  <c r="AC28" i="9"/>
  <c r="AQ27" i="9"/>
  <c r="AB58" i="9"/>
  <c r="BR56" i="9"/>
  <c r="AS22" i="8"/>
  <c r="AS52" i="8"/>
  <c r="K27" i="8"/>
  <c r="J96" i="8"/>
  <c r="U11" i="9"/>
  <c r="AI26" i="8"/>
  <c r="AI47" i="8"/>
  <c r="O15" i="10"/>
  <c r="O15" i="14"/>
  <c r="H96" i="8"/>
  <c r="N89" i="9"/>
  <c r="AS63" i="14"/>
  <c r="AS63" i="10"/>
  <c r="AS83" i="1"/>
  <c r="AS51" i="1"/>
  <c r="AS39" i="10"/>
  <c r="AS21" i="1"/>
  <c r="AS39" i="14"/>
  <c r="AL58" i="9"/>
  <c r="BT77" i="8"/>
  <c r="BR79" i="8"/>
  <c r="AY21" i="9"/>
  <c r="AY51" i="9"/>
  <c r="AY93" i="9"/>
  <c r="AM52" i="8"/>
  <c r="AM22" i="8"/>
  <c r="AL93" i="9"/>
  <c r="Q52" i="8"/>
  <c r="Q22" i="8"/>
  <c r="E89" i="9"/>
  <c r="BO92" i="9"/>
  <c r="BQ92" i="9"/>
  <c r="T51" i="8"/>
  <c r="T21" i="8"/>
  <c r="AO28" i="9"/>
  <c r="AH16" i="14"/>
  <c r="AH16" i="10"/>
  <c r="J22" i="9"/>
  <c r="J52" i="9"/>
  <c r="BT88" i="8"/>
  <c r="AT83" i="8"/>
  <c r="F21" i="9"/>
  <c r="F51" i="9"/>
  <c r="AA17" i="9"/>
  <c r="AY22" i="8"/>
  <c r="AY52" i="8"/>
  <c r="G58" i="9"/>
  <c r="AM51" i="8"/>
  <c r="AM21" i="8"/>
  <c r="D28" i="9"/>
  <c r="BT46" i="9"/>
  <c r="X28" i="9"/>
  <c r="I11" i="9"/>
  <c r="X58" i="9"/>
  <c r="D22" i="8"/>
  <c r="D52" i="8"/>
  <c r="BT40" i="8"/>
  <c r="AV89" i="9"/>
  <c r="P28" i="9"/>
  <c r="BS46" i="9"/>
  <c r="I51" i="9"/>
  <c r="I21" i="9"/>
  <c r="R11" i="9"/>
  <c r="BT10" i="9"/>
  <c r="T21" i="9"/>
  <c r="T51" i="9"/>
  <c r="AI27" i="9"/>
  <c r="AD47" i="9"/>
  <c r="AD26" i="9"/>
  <c r="O52" i="9"/>
  <c r="O22" i="9"/>
  <c r="J17" i="8"/>
  <c r="F11" i="9"/>
  <c r="AJ21" i="8"/>
  <c r="AJ51" i="8"/>
  <c r="N27" i="9"/>
  <c r="AP11" i="9"/>
  <c r="R93" i="9"/>
  <c r="Y58" i="9"/>
  <c r="X17" i="9"/>
  <c r="AH47" i="9"/>
  <c r="AH26" i="9"/>
  <c r="AR17" i="9"/>
  <c r="R27" i="9"/>
  <c r="D58" i="9"/>
  <c r="BT56" i="9"/>
  <c r="AS58" i="9"/>
  <c r="U20" i="9"/>
  <c r="U41" i="9"/>
  <c r="U50" i="9"/>
  <c r="BT68" i="9"/>
  <c r="AR93" i="1"/>
  <c r="AR91" i="10"/>
  <c r="AR91" i="14"/>
  <c r="R26" i="8"/>
  <c r="R47" i="8"/>
  <c r="AT47" i="9"/>
  <c r="AT26" i="9"/>
  <c r="AS20" i="8"/>
  <c r="AS50" i="8"/>
  <c r="AS41" i="8"/>
  <c r="AQ89" i="8"/>
  <c r="AP66" i="14"/>
  <c r="AP66" i="10"/>
  <c r="BT69" i="9"/>
  <c r="AR27" i="9"/>
  <c r="AM89" i="9"/>
  <c r="AQ96" i="8"/>
  <c r="Y28" i="9"/>
  <c r="E21" i="9"/>
  <c r="E51" i="9"/>
  <c r="AN96" i="9"/>
  <c r="BO95" i="9"/>
  <c r="BO96" i="9" s="1"/>
  <c r="BQ95" i="9"/>
  <c r="BQ96" i="9" s="1"/>
  <c r="H89" i="9"/>
  <c r="R52" i="9"/>
  <c r="R22" i="9"/>
  <c r="V21" i="9"/>
  <c r="V51" i="9"/>
  <c r="AR58" i="8"/>
  <c r="Q22" i="9"/>
  <c r="Q52" i="9"/>
  <c r="R28" i="9"/>
  <c r="K11" i="9"/>
  <c r="AP27" i="9"/>
  <c r="N83" i="8"/>
  <c r="AA41" i="9"/>
  <c r="AA20" i="9"/>
  <c r="AA50" i="9"/>
  <c r="AE51" i="9"/>
  <c r="AE21" i="9"/>
  <c r="BR68" i="9"/>
  <c r="V89" i="9"/>
  <c r="M11" i="8"/>
  <c r="BR73" i="9"/>
  <c r="F83" i="9"/>
  <c r="P11" i="9"/>
  <c r="Y83" i="8"/>
  <c r="T83" i="8"/>
  <c r="AG27" i="9"/>
  <c r="Z22" i="9"/>
  <c r="Z52" i="9"/>
  <c r="AR47" i="8"/>
  <c r="AR26" i="8"/>
  <c r="AD47" i="8"/>
  <c r="AD26" i="8"/>
  <c r="X27" i="8"/>
  <c r="AY96" i="9"/>
  <c r="BO68" i="9"/>
  <c r="BQ68" i="9"/>
  <c r="AL22" i="8"/>
  <c r="AL52" i="8"/>
  <c r="F17" i="8"/>
  <c r="AO51" i="9"/>
  <c r="AO21" i="9"/>
  <c r="U83" i="9"/>
  <c r="BO72" i="8"/>
  <c r="BQ72" i="8"/>
  <c r="AF26" i="1"/>
  <c r="AF44" i="10"/>
  <c r="AF47" i="1"/>
  <c r="AF44" i="14"/>
  <c r="AJ26" i="9"/>
  <c r="AJ47" i="9"/>
  <c r="AE10" i="14"/>
  <c r="AE10" i="10"/>
  <c r="R89" i="9"/>
  <c r="H21" i="8"/>
  <c r="H51" i="8"/>
  <c r="BR69" i="9"/>
  <c r="N22" i="8"/>
  <c r="N52" i="8"/>
  <c r="AJ27" i="1"/>
  <c r="AJ45" i="14"/>
  <c r="AJ45" i="10"/>
  <c r="AA28" i="9"/>
  <c r="T28" i="9"/>
  <c r="AB47" i="8"/>
  <c r="AB26" i="8"/>
  <c r="BR44" i="8"/>
  <c r="I22" i="9"/>
  <c r="I52" i="9"/>
  <c r="BT81" i="9"/>
  <c r="AR92" i="10"/>
  <c r="AR92" i="14"/>
  <c r="AU22" i="8"/>
  <c r="AU52" i="8"/>
  <c r="AA52" i="8"/>
  <c r="AA22" i="8"/>
  <c r="N83" i="9"/>
  <c r="AV51" i="9"/>
  <c r="AV21" i="9"/>
  <c r="U72" i="14"/>
  <c r="U72" i="10"/>
  <c r="BS69" i="9"/>
  <c r="I93" i="9"/>
  <c r="AO47" i="9"/>
  <c r="AO26" i="9"/>
  <c r="AB83" i="9"/>
  <c r="BR63" i="9"/>
  <c r="AF21" i="8"/>
  <c r="AF51" i="8"/>
  <c r="AX58" i="9"/>
  <c r="AX52" i="9"/>
  <c r="AX22" i="9"/>
  <c r="AO22" i="9"/>
  <c r="AO52" i="9"/>
  <c r="BS9" i="9"/>
  <c r="E58" i="9"/>
  <c r="AJ27" i="9"/>
  <c r="AX11" i="9"/>
  <c r="AH17" i="9"/>
  <c r="AT58" i="9"/>
  <c r="BT73" i="8"/>
  <c r="Y17" i="8"/>
  <c r="AM96" i="9"/>
  <c r="AD58" i="9"/>
  <c r="AD14" i="14"/>
  <c r="AD14" i="10"/>
  <c r="AD17" i="1"/>
  <c r="AL21" i="8"/>
  <c r="AL51" i="8"/>
  <c r="K41" i="9"/>
  <c r="K20" i="9"/>
  <c r="K50" i="9"/>
  <c r="BO64" i="9"/>
  <c r="BQ64" i="9"/>
  <c r="BR73" i="8"/>
  <c r="AB11" i="9"/>
  <c r="AC102" i="9" s="1"/>
  <c r="R21" i="8"/>
  <c r="R51" i="8"/>
  <c r="Q21" i="9"/>
  <c r="Q33" i="9" s="1"/>
  <c r="Q51" i="9"/>
  <c r="Z89" i="9"/>
  <c r="BT64" i="8"/>
  <c r="L58" i="8"/>
  <c r="AV47" i="9"/>
  <c r="AV26" i="9"/>
  <c r="E51" i="1"/>
  <c r="E21" i="1"/>
  <c r="E39" i="14"/>
  <c r="E39" i="10"/>
  <c r="AK21" i="9"/>
  <c r="AK51" i="9"/>
  <c r="BS71" i="8"/>
  <c r="AF41" i="9"/>
  <c r="AF20" i="9"/>
  <c r="AF50" i="9"/>
  <c r="BO66" i="9"/>
  <c r="BQ66" i="9"/>
  <c r="O87" i="10"/>
  <c r="O87" i="14"/>
  <c r="E27" i="8"/>
  <c r="AS28" i="8"/>
  <c r="AG58" i="8"/>
  <c r="AI89" i="8"/>
  <c r="T28" i="8"/>
  <c r="AW17" i="8"/>
  <c r="W17" i="9"/>
  <c r="AI87" i="10"/>
  <c r="AI87" i="14"/>
  <c r="AH22" i="9"/>
  <c r="AH52" i="9"/>
  <c r="AD27" i="9"/>
  <c r="BR66" i="8"/>
  <c r="S28" i="9"/>
  <c r="AK17" i="9"/>
  <c r="AL77" i="14"/>
  <c r="AL77" i="10"/>
  <c r="AP89" i="8"/>
  <c r="K39" i="14"/>
  <c r="K21" i="1"/>
  <c r="K51" i="1"/>
  <c r="K39" i="10"/>
  <c r="AJ11" i="9"/>
  <c r="Z11" i="9"/>
  <c r="AL89" i="9"/>
  <c r="S11" i="8"/>
  <c r="G93" i="8"/>
  <c r="AN51" i="8"/>
  <c r="BO39" i="8"/>
  <c r="AN21" i="8"/>
  <c r="BQ39" i="8"/>
  <c r="AK64" i="14"/>
  <c r="AK64" i="10"/>
  <c r="AW47" i="9"/>
  <c r="AW26" i="9"/>
  <c r="J51" i="8"/>
  <c r="J21" i="8"/>
  <c r="AU27" i="9"/>
  <c r="AA83" i="8"/>
  <c r="Y74" i="14"/>
  <c r="Y74" i="10"/>
  <c r="AW58" i="9"/>
  <c r="AM20" i="9"/>
  <c r="AM50" i="9"/>
  <c r="AM41" i="9"/>
  <c r="V27" i="8"/>
  <c r="T22" i="9"/>
  <c r="T52" i="9"/>
  <c r="N17" i="8"/>
  <c r="AE83" i="9"/>
  <c r="AI50" i="8"/>
  <c r="AI20" i="8"/>
  <c r="AI41" i="8"/>
  <c r="G93" i="9"/>
  <c r="AN22" i="8"/>
  <c r="BO40" i="8"/>
  <c r="AN52" i="8"/>
  <c r="BQ40" i="8"/>
  <c r="M28" i="8"/>
  <c r="T27" i="9"/>
  <c r="X11" i="8"/>
  <c r="AD27" i="8"/>
  <c r="AP47" i="9"/>
  <c r="AP26" i="9"/>
  <c r="AK75" i="10"/>
  <c r="AK75" i="14"/>
  <c r="X17" i="8"/>
  <c r="AT20" i="9"/>
  <c r="AT41" i="9"/>
  <c r="AT50" i="9"/>
  <c r="S92" i="14"/>
  <c r="S92" i="10"/>
  <c r="AM79" i="14"/>
  <c r="AM79" i="10"/>
  <c r="BT57" i="9"/>
  <c r="AO17" i="8"/>
  <c r="X50" i="9"/>
  <c r="X20" i="9"/>
  <c r="X41" i="9"/>
  <c r="AB17" i="8"/>
  <c r="BR14" i="8"/>
  <c r="BZ14" i="8"/>
  <c r="BO88" i="9"/>
  <c r="BQ88" i="9"/>
  <c r="H76" i="10"/>
  <c r="H76" i="14"/>
  <c r="AQ17" i="9"/>
  <c r="Q58" i="9"/>
  <c r="BO87" i="9"/>
  <c r="BQ87" i="9"/>
  <c r="AG93" i="9"/>
  <c r="N28" i="9"/>
  <c r="D10" i="14"/>
  <c r="D10" i="10"/>
  <c r="AP51" i="9"/>
  <c r="AP21" i="9"/>
  <c r="S96" i="9"/>
  <c r="AL17" i="9"/>
  <c r="AB21" i="8"/>
  <c r="AB51" i="8"/>
  <c r="BR39" i="8"/>
  <c r="AE27" i="9"/>
  <c r="AR89" i="9"/>
  <c r="K75" i="14"/>
  <c r="K75" i="10"/>
  <c r="AD89" i="9"/>
  <c r="AY93" i="8"/>
  <c r="W26" i="9"/>
  <c r="W47" i="9"/>
  <c r="I89" i="8"/>
  <c r="J26" i="8"/>
  <c r="J47" i="8"/>
  <c r="J29" i="8" s="1"/>
  <c r="BR69" i="8"/>
  <c r="U96" i="9"/>
  <c r="BS76" i="8"/>
  <c r="AR17" i="8"/>
  <c r="AT52" i="9"/>
  <c r="AT22" i="9"/>
  <c r="V17" i="9"/>
  <c r="AN93" i="9"/>
  <c r="BO91" i="9"/>
  <c r="BQ91" i="9"/>
  <c r="AL11" i="9"/>
  <c r="AT83" i="9"/>
  <c r="AV47" i="1"/>
  <c r="AV44" i="14"/>
  <c r="AV26" i="1"/>
  <c r="AV44" i="10"/>
  <c r="AG47" i="9"/>
  <c r="AG26" i="9"/>
  <c r="S44" i="10"/>
  <c r="S26" i="1"/>
  <c r="S47" i="1"/>
  <c r="S44" i="14"/>
  <c r="AO20" i="9"/>
  <c r="AO50" i="9"/>
  <c r="AO41" i="9"/>
  <c r="AC27" i="8"/>
  <c r="AL83" i="9"/>
  <c r="AL47" i="9"/>
  <c r="AL26" i="9"/>
  <c r="S20" i="8"/>
  <c r="S50" i="8"/>
  <c r="S41" i="8"/>
  <c r="J58" i="9"/>
  <c r="BT67" i="9"/>
  <c r="AF45" i="10"/>
  <c r="AF27" i="1"/>
  <c r="AF45" i="14"/>
  <c r="M96" i="8"/>
  <c r="AI78" i="10"/>
  <c r="AI78" i="14"/>
  <c r="AR11" i="9"/>
  <c r="BO8" i="9"/>
  <c r="AY89" i="8"/>
  <c r="O22" i="8"/>
  <c r="O52" i="8"/>
  <c r="R58" i="8"/>
  <c r="AD17" i="9"/>
  <c r="AW27" i="8"/>
  <c r="AY96" i="8"/>
  <c r="P58" i="9"/>
  <c r="BS56" i="9"/>
  <c r="U27" i="8"/>
  <c r="AC89" i="8"/>
  <c r="AK58" i="9"/>
  <c r="X21" i="8"/>
  <c r="X33" i="8" s="1"/>
  <c r="X51" i="8"/>
  <c r="K28" i="9"/>
  <c r="AO14" i="10"/>
  <c r="AO14" i="14"/>
  <c r="AO17" i="1"/>
  <c r="BR76" i="9"/>
  <c r="AK83" i="8"/>
  <c r="AW51" i="9"/>
  <c r="AW21" i="9"/>
  <c r="T11" i="8"/>
  <c r="BS8" i="8"/>
  <c r="U47" i="9"/>
  <c r="U26" i="9"/>
  <c r="AF27" i="9"/>
  <c r="AT89" i="8"/>
  <c r="AP96" i="9"/>
  <c r="AR22" i="8"/>
  <c r="AR52" i="8"/>
  <c r="N96" i="9"/>
  <c r="BS79" i="9"/>
  <c r="W89" i="9"/>
  <c r="AT17" i="9"/>
  <c r="BT80" i="9"/>
  <c r="AV96" i="8"/>
  <c r="E27" i="9"/>
  <c r="Z93" i="9"/>
  <c r="BS64" i="9"/>
  <c r="AI11" i="8"/>
  <c r="AD58" i="8"/>
  <c r="AE58" i="9"/>
  <c r="AE11" i="9"/>
  <c r="S17" i="9"/>
  <c r="X58" i="8"/>
  <c r="AC83" i="9"/>
  <c r="AY20" i="9"/>
  <c r="AY50" i="9"/>
  <c r="AY41" i="9"/>
  <c r="BS66" i="9"/>
  <c r="J58" i="8"/>
  <c r="AG51" i="8"/>
  <c r="AG21" i="8"/>
  <c r="BO65" i="8"/>
  <c r="BQ65" i="8"/>
  <c r="AU51" i="9"/>
  <c r="AU21" i="9"/>
  <c r="N93" i="8"/>
  <c r="BR57" i="8"/>
  <c r="O17" i="8"/>
  <c r="G27" i="9"/>
  <c r="I20" i="8"/>
  <c r="I41" i="8"/>
  <c r="I50" i="8"/>
  <c r="T72" i="10"/>
  <c r="T72" i="14"/>
  <c r="AL41" i="8"/>
  <c r="AL20" i="8"/>
  <c r="AL50" i="8"/>
  <c r="T89" i="9"/>
  <c r="AP50" i="9"/>
  <c r="AP20" i="9"/>
  <c r="AP41" i="9"/>
  <c r="V17" i="8"/>
  <c r="AL27" i="9"/>
  <c r="Y11" i="8"/>
  <c r="AS96" i="9"/>
  <c r="AV52" i="9"/>
  <c r="AV22" i="9"/>
  <c r="AJ17" i="9"/>
  <c r="AJ29" i="9" s="1"/>
  <c r="Z96" i="8"/>
  <c r="AJ89" i="9"/>
  <c r="V38" i="14"/>
  <c r="V38" i="10"/>
  <c r="V41" i="1"/>
  <c r="V50" i="1"/>
  <c r="V20" i="1"/>
  <c r="AR21" i="8"/>
  <c r="AR51" i="8"/>
  <c r="AX27" i="9"/>
  <c r="AR89" i="8"/>
  <c r="AI17" i="9"/>
  <c r="AK47" i="9"/>
  <c r="AK26" i="9"/>
  <c r="G83" i="9"/>
  <c r="AB17" i="9"/>
  <c r="BR14" i="9"/>
  <c r="BZ14" i="9"/>
  <c r="AX56" i="14"/>
  <c r="AX58" i="1"/>
  <c r="AX56" i="10"/>
  <c r="O28" i="9"/>
  <c r="U93" i="9"/>
  <c r="BS81" i="9"/>
  <c r="BR92" i="9"/>
  <c r="N58" i="9"/>
  <c r="BR82" i="9"/>
  <c r="U93" i="8"/>
  <c r="AF26" i="9"/>
  <c r="AF47" i="9"/>
  <c r="BO14" i="9"/>
  <c r="AN17" i="9"/>
  <c r="BW14" i="9"/>
  <c r="BQ14" i="9"/>
  <c r="BY14" i="9"/>
  <c r="I58" i="8"/>
  <c r="T41" i="9"/>
  <c r="T20" i="9"/>
  <c r="T50" i="9"/>
  <c r="AB89" i="9"/>
  <c r="BR86" i="9"/>
  <c r="BO92" i="8"/>
  <c r="BQ92" i="8"/>
  <c r="M83" i="8"/>
  <c r="P22" i="9"/>
  <c r="P52" i="9"/>
  <c r="BS40" i="9"/>
  <c r="L21" i="8"/>
  <c r="L51" i="8"/>
  <c r="AI28" i="8"/>
  <c r="AP93" i="9"/>
  <c r="H58" i="8"/>
  <c r="AY20" i="8"/>
  <c r="AY50" i="8"/>
  <c r="AY41" i="8"/>
  <c r="P41" i="9"/>
  <c r="P20" i="9"/>
  <c r="P50" i="9"/>
  <c r="BS38" i="9"/>
  <c r="BR81" i="9"/>
  <c r="N93" i="9"/>
  <c r="AR28" i="9"/>
  <c r="W96" i="8"/>
  <c r="Q96" i="9"/>
  <c r="BS75" i="9"/>
  <c r="AE52" i="9"/>
  <c r="AE22" i="9"/>
  <c r="V17" i="1"/>
  <c r="V14" i="10"/>
  <c r="V14" i="14"/>
  <c r="AT93" i="9"/>
  <c r="AW63" i="10"/>
  <c r="AW83" i="1"/>
  <c r="AW63" i="14"/>
  <c r="Q89" i="9"/>
  <c r="AK11" i="8"/>
  <c r="BR71" i="8"/>
  <c r="AD83" i="9"/>
  <c r="BS9" i="8"/>
  <c r="AM83" i="9"/>
  <c r="AB96" i="8"/>
  <c r="BR95" i="8"/>
  <c r="BR96" i="8" s="1"/>
  <c r="I26" i="9"/>
  <c r="I47" i="9"/>
  <c r="P27" i="9"/>
  <c r="BS45" i="9"/>
  <c r="U28" i="8"/>
  <c r="I27" i="9"/>
  <c r="AG10" i="14"/>
  <c r="AG10" i="10"/>
  <c r="G81" i="14"/>
  <c r="G81" i="10"/>
  <c r="BT15" i="9"/>
  <c r="CB15" i="9"/>
  <c r="AX93" i="9"/>
  <c r="AI22" i="9"/>
  <c r="AI52" i="9"/>
  <c r="N72" i="10"/>
  <c r="N72" i="14"/>
  <c r="M28" i="9"/>
  <c r="AQ58" i="8"/>
  <c r="L93" i="9"/>
  <c r="AQ39" i="10"/>
  <c r="AQ21" i="1"/>
  <c r="AQ51" i="1"/>
  <c r="AQ39" i="14"/>
  <c r="AE17" i="9"/>
  <c r="AJ41" i="8"/>
  <c r="AJ50" i="8"/>
  <c r="AJ20" i="8"/>
  <c r="Q20" i="9"/>
  <c r="Q50" i="9"/>
  <c r="Q41" i="9"/>
  <c r="AT89" i="9"/>
  <c r="AH26" i="8"/>
  <c r="AH47" i="8"/>
  <c r="BR9" i="9"/>
  <c r="AP17" i="9"/>
  <c r="AP23" i="9" s="1"/>
  <c r="AR58" i="9"/>
  <c r="D89" i="9"/>
  <c r="BT86" i="9"/>
  <c r="AG57" i="10"/>
  <c r="AG57" i="14"/>
  <c r="D17" i="9"/>
  <c r="BT14" i="9"/>
  <c r="CB14" i="9"/>
  <c r="O50" i="9"/>
  <c r="O20" i="9"/>
  <c r="O41" i="9"/>
  <c r="Y96" i="9"/>
  <c r="AM17" i="9"/>
  <c r="AO27" i="8"/>
  <c r="AM96" i="8"/>
  <c r="AI83" i="9"/>
  <c r="T52" i="8"/>
  <c r="T22" i="8"/>
  <c r="T34" i="8" s="1"/>
  <c r="Z27" i="9"/>
  <c r="AG89" i="9"/>
  <c r="AM26" i="9"/>
  <c r="AM47" i="9"/>
  <c r="BR77" i="9"/>
  <c r="D22" i="9"/>
  <c r="D34" i="9" s="1"/>
  <c r="D52" i="9"/>
  <c r="BT40" i="9"/>
  <c r="AT26" i="8"/>
  <c r="AT47" i="8"/>
  <c r="K83" i="8"/>
  <c r="BS10" i="9"/>
  <c r="AK52" i="9"/>
  <c r="AK22" i="9"/>
  <c r="AV27" i="8"/>
  <c r="Y27" i="8"/>
  <c r="AY83" i="9"/>
  <c r="O79" i="14"/>
  <c r="O79" i="10"/>
  <c r="Y93" i="9"/>
  <c r="AM51" i="9"/>
  <c r="AM21" i="9"/>
  <c r="BT70" i="9"/>
  <c r="AI93" i="9"/>
  <c r="AQ96" i="9"/>
  <c r="G22" i="9"/>
  <c r="G52" i="9"/>
  <c r="AX11" i="8"/>
  <c r="P16" i="10"/>
  <c r="P16" i="14"/>
  <c r="BS16" i="1"/>
  <c r="CA16" i="1"/>
  <c r="M69" i="14"/>
  <c r="M69" i="10"/>
  <c r="BO76" i="9"/>
  <c r="BQ76" i="9"/>
  <c r="AP89" i="9"/>
  <c r="N86" i="10"/>
  <c r="N89" i="1"/>
  <c r="N86" i="14"/>
  <c r="Q27" i="8"/>
  <c r="BS72" i="9"/>
  <c r="N10" i="14"/>
  <c r="N10" i="10"/>
  <c r="AA88" i="10"/>
  <c r="AA88" i="14"/>
  <c r="AC96" i="9"/>
  <c r="AH89" i="9"/>
  <c r="AD41" i="9"/>
  <c r="AD50" i="9"/>
  <c r="AD20" i="9"/>
  <c r="V89" i="8"/>
  <c r="O93" i="9"/>
  <c r="M74" i="14"/>
  <c r="M74" i="10"/>
  <c r="U89" i="9"/>
  <c r="AI11" i="9"/>
  <c r="X26" i="8"/>
  <c r="X47" i="8"/>
  <c r="Q70" i="14"/>
  <c r="Q70" i="10"/>
  <c r="BO14" i="8"/>
  <c r="AN17" i="8"/>
  <c r="BW14" i="8"/>
  <c r="BQ14" i="8"/>
  <c r="BY14" i="8"/>
  <c r="AV83" i="9"/>
  <c r="V11" i="9"/>
  <c r="BO74" i="9"/>
  <c r="BQ74" i="9"/>
  <c r="AF83" i="8"/>
  <c r="AO21" i="8"/>
  <c r="AO51" i="8"/>
  <c r="AQ11" i="8"/>
  <c r="BQ8" i="8"/>
  <c r="H58" i="9"/>
  <c r="AY27" i="9"/>
  <c r="AN52" i="9"/>
  <c r="AN22" i="9"/>
  <c r="BO40" i="9"/>
  <c r="BQ40" i="9"/>
  <c r="BS57" i="9"/>
  <c r="L26" i="9"/>
  <c r="L47" i="9"/>
  <c r="AE41" i="9"/>
  <c r="AE50" i="9"/>
  <c r="AE20" i="9"/>
  <c r="AE32" i="9" s="1"/>
  <c r="AK17" i="8"/>
  <c r="P11" i="8"/>
  <c r="AV27" i="9"/>
  <c r="BT78" i="9"/>
  <c r="Q20" i="8"/>
  <c r="Q50" i="8"/>
  <c r="Q41" i="8"/>
  <c r="AK22" i="8"/>
  <c r="AK52" i="8"/>
  <c r="BO70" i="9"/>
  <c r="BQ70" i="9"/>
  <c r="AQ28" i="9"/>
  <c r="AQ34" i="9" s="1"/>
  <c r="M52" i="9"/>
  <c r="M22" i="9"/>
  <c r="AS50" i="9"/>
  <c r="AS20" i="9"/>
  <c r="AS41" i="9"/>
  <c r="AU96" i="8"/>
  <c r="AR83" i="9"/>
  <c r="D93" i="8"/>
  <c r="BT91" i="8"/>
  <c r="F28" i="9"/>
  <c r="E28" i="9"/>
  <c r="AK93" i="9"/>
  <c r="AW83" i="9"/>
  <c r="L58" i="9"/>
  <c r="AX21" i="9"/>
  <c r="AX51" i="9"/>
  <c r="BT76" i="9"/>
  <c r="AL88" i="10"/>
  <c r="AL88" i="14"/>
  <c r="AU52" i="9"/>
  <c r="AU22" i="9"/>
  <c r="G11" i="9"/>
  <c r="D17" i="8"/>
  <c r="BT14" i="8"/>
  <c r="CB14" i="8"/>
  <c r="BS75" i="8"/>
  <c r="L81" i="10"/>
  <c r="L81" i="14"/>
  <c r="BT87" i="8"/>
  <c r="U17" i="9"/>
  <c r="AJ46" i="14"/>
  <c r="AJ28" i="1"/>
  <c r="AJ46" i="10"/>
  <c r="S52" i="8"/>
  <c r="S22" i="8"/>
  <c r="AT51" i="8"/>
  <c r="AT21" i="8"/>
  <c r="AE47" i="9"/>
  <c r="AE26" i="9"/>
  <c r="AV11" i="9"/>
  <c r="AW102" i="9" s="1"/>
  <c r="AO58" i="8"/>
  <c r="AD89" i="8"/>
  <c r="BT78" i="8"/>
  <c r="AJ93" i="9"/>
  <c r="N96" i="8"/>
  <c r="BS92" i="9"/>
  <c r="O11" i="9"/>
  <c r="S58" i="9"/>
  <c r="AQ20" i="8"/>
  <c r="AQ50" i="8"/>
  <c r="AQ41" i="8"/>
  <c r="AQ53" i="8" s="1"/>
  <c r="AD93" i="9"/>
  <c r="BR74" i="9"/>
  <c r="Q17" i="9"/>
  <c r="AB22" i="9"/>
  <c r="AB52" i="9"/>
  <c r="BR40" i="9"/>
  <c r="O51" i="9"/>
  <c r="O21" i="9"/>
  <c r="D11" i="9"/>
  <c r="D102" i="9" s="1"/>
  <c r="J66" i="14"/>
  <c r="J66" i="10"/>
  <c r="AP72" i="14"/>
  <c r="AP72" i="10"/>
  <c r="BR76" i="8"/>
  <c r="Y27" i="9"/>
  <c r="M83" i="9"/>
  <c r="AF17" i="9"/>
  <c r="AF23" i="9" s="1"/>
  <c r="P89" i="9"/>
  <c r="BS86" i="9"/>
  <c r="Y89" i="9"/>
  <c r="G83" i="8"/>
  <c r="AI46" i="10"/>
  <c r="AI28" i="1"/>
  <c r="AI46" i="14"/>
  <c r="S17" i="8"/>
  <c r="AX28" i="9"/>
  <c r="BO77" i="8"/>
  <c r="BQ77" i="8"/>
  <c r="G17" i="9"/>
  <c r="E11" i="9"/>
  <c r="AE96" i="8"/>
  <c r="AU26" i="9"/>
  <c r="AU47" i="9"/>
  <c r="BO9" i="1"/>
  <c r="AR9" i="10"/>
  <c r="AR9" i="14"/>
  <c r="BO9" i="14" s="1"/>
  <c r="AM80" i="14"/>
  <c r="AM80" i="10"/>
  <c r="BT88" i="9"/>
  <c r="M17" i="9"/>
  <c r="M22" i="8"/>
  <c r="M52" i="8"/>
  <c r="V15" i="10"/>
  <c r="V15" i="14"/>
  <c r="T27" i="8"/>
  <c r="T33" i="8" s="1"/>
  <c r="AV81" i="10"/>
  <c r="AV81" i="14"/>
  <c r="I83" i="9"/>
  <c r="BS88" i="9"/>
  <c r="AT58" i="8"/>
  <c r="F9" i="10"/>
  <c r="F9" i="14"/>
  <c r="AV26" i="8"/>
  <c r="AV47" i="8"/>
  <c r="J15" i="14"/>
  <c r="J15" i="10"/>
  <c r="M58" i="9"/>
  <c r="D27" i="1"/>
  <c r="D45" i="10"/>
  <c r="D45" i="14"/>
  <c r="BT45" i="1"/>
  <c r="AH22" i="8"/>
  <c r="AH52" i="8"/>
  <c r="AE20" i="8"/>
  <c r="AE50" i="8"/>
  <c r="AE41" i="8"/>
  <c r="AM17" i="8"/>
  <c r="K89" i="9"/>
  <c r="AB58" i="8"/>
  <c r="BR56" i="8"/>
  <c r="X22" i="1"/>
  <c r="X40" i="10"/>
  <c r="X52" i="1"/>
  <c r="X40" i="14"/>
  <c r="AM92" i="14"/>
  <c r="AM92" i="10"/>
  <c r="AS28" i="9"/>
  <c r="BS80" i="8"/>
  <c r="AL75" i="14"/>
  <c r="AL75" i="10"/>
  <c r="BT70" i="8"/>
  <c r="E41" i="9"/>
  <c r="E50" i="9"/>
  <c r="E20" i="9"/>
  <c r="AC47" i="9"/>
  <c r="AC26" i="9"/>
  <c r="Y83" i="9"/>
  <c r="AQ93" i="9"/>
  <c r="O27" i="1"/>
  <c r="O45" i="14"/>
  <c r="O45" i="10"/>
  <c r="AU89" i="8"/>
  <c r="AQ17" i="8"/>
  <c r="F27" i="9"/>
  <c r="J11" i="9"/>
  <c r="AJ89" i="8"/>
  <c r="AP83" i="8"/>
  <c r="AS79" i="14"/>
  <c r="AS79" i="10"/>
  <c r="V78" i="14"/>
  <c r="V78" i="10"/>
  <c r="N47" i="8"/>
  <c r="N26" i="8"/>
  <c r="V56" i="14"/>
  <c r="V56" i="10"/>
  <c r="V58" i="1"/>
  <c r="AS86" i="14"/>
  <c r="AS89" i="1"/>
  <c r="AS86" i="10"/>
  <c r="AL58" i="8"/>
  <c r="AH66" i="14"/>
  <c r="AH66" i="10"/>
  <c r="AT96" i="9"/>
  <c r="H47" i="9"/>
  <c r="H26" i="9"/>
  <c r="AY27" i="8"/>
  <c r="X69" i="14"/>
  <c r="X69" i="10"/>
  <c r="X22" i="8"/>
  <c r="X52" i="8"/>
  <c r="O50" i="8"/>
  <c r="O41" i="8"/>
  <c r="O20" i="8"/>
  <c r="AS14" i="14"/>
  <c r="AS17" i="1"/>
  <c r="AS14" i="10"/>
  <c r="BT9" i="8"/>
  <c r="AI28" i="9"/>
  <c r="Q47" i="9"/>
  <c r="Q26" i="9"/>
  <c r="AD74" i="14"/>
  <c r="AD74" i="10"/>
  <c r="H11" i="9"/>
  <c r="I102" i="9" s="1"/>
  <c r="BT8" i="9"/>
  <c r="AA21" i="8"/>
  <c r="AA51" i="8"/>
  <c r="V11" i="8"/>
  <c r="X89" i="8"/>
  <c r="K27" i="9"/>
  <c r="M89" i="9"/>
  <c r="L22" i="8"/>
  <c r="L52" i="8"/>
  <c r="AN67" i="10"/>
  <c r="BO67" i="1"/>
  <c r="AN67" i="14"/>
  <c r="BQ67" i="1"/>
  <c r="AI21" i="9"/>
  <c r="AI51" i="9"/>
  <c r="AC96" i="8"/>
  <c r="H27" i="8"/>
  <c r="I96" i="9"/>
  <c r="N51" i="8"/>
  <c r="N21" i="8"/>
  <c r="R51" i="9"/>
  <c r="R21" i="9"/>
  <c r="BR80" i="9"/>
  <c r="G17" i="8"/>
  <c r="BR80" i="8"/>
  <c r="D27" i="8"/>
  <c r="BT45" i="8"/>
  <c r="AT28" i="9"/>
  <c r="BT16" i="9"/>
  <c r="CB16" i="9"/>
  <c r="Q39" i="10"/>
  <c r="Q39" i="14"/>
  <c r="Q21" i="1"/>
  <c r="Q51" i="1"/>
  <c r="BT15" i="8"/>
  <c r="CB15" i="8"/>
  <c r="AN27" i="9"/>
  <c r="BO45" i="9"/>
  <c r="BQ45" i="9"/>
  <c r="L26" i="8"/>
  <c r="L47" i="8"/>
  <c r="J96" i="9"/>
  <c r="AC22" i="8"/>
  <c r="AC52" i="8"/>
  <c r="Y11" i="9"/>
  <c r="AA96" i="9"/>
  <c r="BO65" i="9"/>
  <c r="BQ65" i="9"/>
  <c r="AM93" i="9"/>
  <c r="BT10" i="1"/>
  <c r="H10" i="14"/>
  <c r="BT10" i="14" s="1"/>
  <c r="H10" i="10"/>
  <c r="AA28" i="8"/>
  <c r="AA34" i="8" s="1"/>
  <c r="Y58" i="8"/>
  <c r="BR72" i="8"/>
  <c r="J27" i="9"/>
  <c r="K93" i="9"/>
  <c r="H20" i="8"/>
  <c r="H41" i="8"/>
  <c r="H50" i="8"/>
  <c r="BR64" i="9"/>
  <c r="AL28" i="9"/>
  <c r="Z15" i="14"/>
  <c r="Z15" i="10"/>
  <c r="R27" i="8"/>
  <c r="AC93" i="8"/>
  <c r="AC58" i="8"/>
  <c r="BT57" i="8"/>
  <c r="P51" i="9"/>
  <c r="P21" i="9"/>
  <c r="P33" i="9" s="1"/>
  <c r="BS39" i="9"/>
  <c r="W58" i="8"/>
  <c r="AR26" i="9"/>
  <c r="AR47" i="9"/>
  <c r="BT64" i="9"/>
  <c r="AE96" i="9"/>
  <c r="AG58" i="9"/>
  <c r="AC11" i="8"/>
  <c r="AG41" i="9"/>
  <c r="AG50" i="9"/>
  <c r="AG20" i="9"/>
  <c r="AT93" i="8"/>
  <c r="BT80" i="8"/>
  <c r="M89" i="8"/>
  <c r="AU28" i="9"/>
  <c r="T26" i="9"/>
  <c r="T47" i="9"/>
  <c r="BO74" i="8"/>
  <c r="BQ74" i="8"/>
  <c r="J11" i="8"/>
  <c r="AH51" i="9"/>
  <c r="AH21" i="9"/>
  <c r="L28" i="9"/>
  <c r="Z89" i="8"/>
  <c r="M27" i="9"/>
  <c r="AI58" i="9"/>
  <c r="O27" i="8"/>
  <c r="S11" i="9"/>
  <c r="AH11" i="9"/>
  <c r="P57" i="14"/>
  <c r="P57" i="10"/>
  <c r="BS57" i="1"/>
  <c r="Y92" i="14"/>
  <c r="Y92" i="10"/>
  <c r="AT27" i="8"/>
  <c r="AX17" i="9"/>
  <c r="R83" i="9"/>
  <c r="AU26" i="8"/>
  <c r="AU47" i="8"/>
  <c r="AA11" i="8"/>
  <c r="AO27" i="9"/>
  <c r="BS77" i="9"/>
  <c r="T96" i="9"/>
  <c r="BR78" i="8"/>
  <c r="AI65" i="14"/>
  <c r="AI65" i="10"/>
  <c r="T58" i="8"/>
  <c r="S93" i="9"/>
  <c r="BQ10" i="8"/>
  <c r="F89" i="8"/>
  <c r="AS26" i="8"/>
  <c r="AS47" i="8"/>
  <c r="BT75" i="9"/>
  <c r="AS27" i="9"/>
  <c r="N27" i="8"/>
  <c r="AO93" i="8"/>
  <c r="R15" i="10"/>
  <c r="R15" i="14"/>
  <c r="J26" i="9"/>
  <c r="J47" i="9"/>
  <c r="AR93" i="9"/>
  <c r="AV22" i="1"/>
  <c r="AV40" i="10"/>
  <c r="AV40" i="14"/>
  <c r="AV52" i="1"/>
  <c r="AP67" i="10"/>
  <c r="AP67" i="14"/>
  <c r="AF96" i="9"/>
  <c r="AO71" i="10"/>
  <c r="AO71" i="14"/>
  <c r="AS89" i="8"/>
  <c r="AX41" i="9"/>
  <c r="AX50" i="9"/>
  <c r="AX20" i="9"/>
  <c r="AE93" i="9"/>
  <c r="BT72" i="8"/>
  <c r="AK69" i="10"/>
  <c r="AK69" i="14"/>
  <c r="AW28" i="9"/>
  <c r="G47" i="8"/>
  <c r="G29" i="8" s="1"/>
  <c r="G26" i="8"/>
  <c r="D93" i="9"/>
  <c r="BT91" i="9"/>
  <c r="W22" i="9"/>
  <c r="W52" i="9"/>
  <c r="AG28" i="9"/>
  <c r="AK89" i="8"/>
  <c r="AD96" i="9"/>
  <c r="AT38" i="10"/>
  <c r="AT38" i="14"/>
  <c r="AT50" i="1"/>
  <c r="AT20" i="1"/>
  <c r="AT41" i="1"/>
  <c r="AB41" i="8"/>
  <c r="AB53" i="8" s="1"/>
  <c r="AB20" i="8"/>
  <c r="AB50" i="8"/>
  <c r="BR38" i="8"/>
  <c r="BO71" i="8"/>
  <c r="BQ71" i="8"/>
  <c r="Q11" i="8"/>
  <c r="X82" i="10"/>
  <c r="X82" i="14"/>
  <c r="J77" i="14"/>
  <c r="J77" i="10"/>
  <c r="AL57" i="14"/>
  <c r="AL57" i="10"/>
  <c r="W46" i="14"/>
  <c r="W28" i="1"/>
  <c r="W46" i="10"/>
  <c r="G21" i="9"/>
  <c r="G33" i="9" s="1"/>
  <c r="G51" i="9"/>
  <c r="AY47" i="9"/>
  <c r="AY26" i="9"/>
  <c r="AU58" i="9"/>
  <c r="D89" i="8"/>
  <c r="BT86" i="8"/>
  <c r="BS68" i="8"/>
  <c r="BT79" i="9"/>
  <c r="K92" i="10"/>
  <c r="K92" i="14"/>
  <c r="I58" i="9"/>
  <c r="U83" i="8"/>
  <c r="AG87" i="14"/>
  <c r="AG87" i="10"/>
  <c r="AI89" i="9"/>
  <c r="AM27" i="9"/>
  <c r="L11" i="9"/>
  <c r="M102" i="9" s="1"/>
  <c r="I89" i="9"/>
  <c r="S89" i="9"/>
  <c r="AD96" i="8"/>
  <c r="BO69" i="9"/>
  <c r="BQ69" i="9"/>
  <c r="N52" i="9"/>
  <c r="N22" i="9"/>
  <c r="J41" i="9"/>
  <c r="J20" i="9"/>
  <c r="J50" i="9"/>
  <c r="R76" i="10"/>
  <c r="R76" i="14"/>
  <c r="AA22" i="9"/>
  <c r="AA52" i="9"/>
  <c r="L78" i="10"/>
  <c r="L78" i="14"/>
  <c r="S64" i="10"/>
  <c r="S64" i="14"/>
  <c r="P50" i="1"/>
  <c r="P38" i="14"/>
  <c r="P20" i="1"/>
  <c r="P41" i="1"/>
  <c r="P38" i="10"/>
  <c r="BS38" i="1"/>
  <c r="G28" i="9"/>
  <c r="AW68" i="10"/>
  <c r="AW68" i="14"/>
  <c r="AJ82" i="14"/>
  <c r="AJ82" i="10"/>
  <c r="AM39" i="14"/>
  <c r="AM39" i="10"/>
  <c r="AM21" i="1"/>
  <c r="AM51" i="1"/>
  <c r="BO57" i="8"/>
  <c r="BQ57" i="8"/>
  <c r="S89" i="8"/>
  <c r="BR74" i="8"/>
  <c r="P93" i="9"/>
  <c r="BS91" i="9"/>
  <c r="X27" i="9"/>
  <c r="V39" i="10"/>
  <c r="V39" i="14"/>
  <c r="V21" i="1"/>
  <c r="V51" i="1"/>
  <c r="K96" i="9"/>
  <c r="G89" i="9"/>
  <c r="F67" i="14"/>
  <c r="F67" i="10"/>
  <c r="W89" i="8"/>
  <c r="Z47" i="9"/>
  <c r="Z29" i="9" s="1"/>
  <c r="Z26" i="9"/>
  <c r="AT27" i="9"/>
  <c r="AJ50" i="9"/>
  <c r="AJ20" i="9"/>
  <c r="AJ41" i="9"/>
  <c r="T76" i="14"/>
  <c r="T76" i="10"/>
  <c r="AW96" i="9"/>
  <c r="AF93" i="9"/>
  <c r="AG28" i="8"/>
  <c r="AA27" i="8"/>
  <c r="D11" i="8"/>
  <c r="T86" i="14"/>
  <c r="T89" i="1"/>
  <c r="T86" i="10"/>
  <c r="G47" i="9"/>
  <c r="G29" i="9" s="1"/>
  <c r="G26" i="9"/>
  <c r="Z22" i="8"/>
  <c r="Z52" i="8"/>
  <c r="BR16" i="9"/>
  <c r="BZ16" i="9"/>
  <c r="K51" i="9"/>
  <c r="K21" i="9"/>
  <c r="AX67" i="14"/>
  <c r="AX67" i="10"/>
  <c r="AO52" i="8"/>
  <c r="AO22" i="8"/>
  <c r="AB47" i="9"/>
  <c r="AB29" i="9" s="1"/>
  <c r="AB26" i="9"/>
  <c r="BR44" i="9"/>
  <c r="P17" i="8"/>
  <c r="BS14" i="8"/>
  <c r="CA14" i="8"/>
  <c r="G96" i="9"/>
  <c r="AB77" i="14"/>
  <c r="BR77" i="1"/>
  <c r="AB77" i="10"/>
  <c r="F22" i="8"/>
  <c r="F52" i="8"/>
  <c r="U51" i="9"/>
  <c r="U21" i="9"/>
  <c r="G20" i="9"/>
  <c r="G41" i="9"/>
  <c r="G50" i="9"/>
  <c r="Z11" i="8"/>
  <c r="AG89" i="8"/>
  <c r="AF22" i="8"/>
  <c r="AF52" i="8"/>
  <c r="R50" i="9"/>
  <c r="R41" i="9"/>
  <c r="R20" i="9"/>
  <c r="AC89" i="9"/>
  <c r="X93" i="9"/>
  <c r="Y47" i="9"/>
  <c r="Y26" i="9"/>
  <c r="N46" i="14"/>
  <c r="N46" i="10"/>
  <c r="N28" i="1"/>
  <c r="AV51" i="8"/>
  <c r="AV21" i="8"/>
  <c r="AM22" i="9"/>
  <c r="AM52" i="9"/>
  <c r="AF11" i="8"/>
  <c r="BR8" i="8"/>
  <c r="AG47" i="8"/>
  <c r="AG26" i="8"/>
  <c r="BT69" i="8"/>
  <c r="AO96" i="9"/>
  <c r="AW11" i="8"/>
  <c r="BS73" i="8"/>
  <c r="AG17" i="9"/>
  <c r="AJ58" i="1"/>
  <c r="AJ56" i="10"/>
  <c r="AJ56" i="14"/>
  <c r="AP17" i="8"/>
  <c r="AL50" i="9"/>
  <c r="AL41" i="9"/>
  <c r="AL20" i="9"/>
  <c r="AQ21" i="9"/>
  <c r="AQ51" i="9"/>
  <c r="S83" i="9"/>
  <c r="AK58" i="8"/>
  <c r="V20" i="9"/>
  <c r="V50" i="9"/>
  <c r="V41" i="9"/>
  <c r="T47" i="8"/>
  <c r="T26" i="8"/>
  <c r="V52" i="9"/>
  <c r="V22" i="9"/>
  <c r="H93" i="9"/>
  <c r="AP11" i="8"/>
  <c r="AX81" i="14"/>
  <c r="AX81" i="10"/>
  <c r="J27" i="8"/>
  <c r="J33" i="8" s="1"/>
  <c r="N82" i="14"/>
  <c r="N82" i="10"/>
  <c r="AN89" i="8"/>
  <c r="BO86" i="8"/>
  <c r="BQ86" i="8"/>
  <c r="M10" i="10"/>
  <c r="M10" i="14"/>
  <c r="AE17" i="8"/>
  <c r="AE23" i="8" s="1"/>
  <c r="AL67" i="14"/>
  <c r="AL67" i="10"/>
  <c r="Q83" i="8"/>
  <c r="BO46" i="8"/>
  <c r="AN28" i="8"/>
  <c r="AN34" i="8" s="1"/>
  <c r="BQ46" i="8"/>
  <c r="AO74" i="14"/>
  <c r="AO74" i="10"/>
  <c r="AB96" i="1"/>
  <c r="AB95" i="10"/>
  <c r="AB96" i="10" s="1"/>
  <c r="BR95" i="1"/>
  <c r="BR96" i="1" s="1"/>
  <c r="AB95" i="14"/>
  <c r="AB96" i="14" s="1"/>
  <c r="I17" i="9"/>
  <c r="AP71" i="10"/>
  <c r="AP71" i="14"/>
  <c r="AY28" i="9"/>
  <c r="Z17" i="9"/>
  <c r="AS83" i="9"/>
  <c r="AP96" i="8"/>
  <c r="E21" i="8"/>
  <c r="E51" i="8"/>
  <c r="W88" i="10"/>
  <c r="W88" i="14"/>
  <c r="AX96" i="9"/>
  <c r="AR20" i="9"/>
  <c r="AR50" i="9"/>
  <c r="AR41" i="9"/>
  <c r="AH50" i="8"/>
  <c r="AH20" i="8"/>
  <c r="AH41" i="8"/>
  <c r="BT10" i="8"/>
  <c r="AC20" i="8"/>
  <c r="AC50" i="8"/>
  <c r="AC41" i="8"/>
  <c r="AF89" i="9"/>
  <c r="N71" i="10"/>
  <c r="N71" i="14"/>
  <c r="T87" i="14"/>
  <c r="T87" i="10"/>
  <c r="BR57" i="9"/>
  <c r="I20" i="9"/>
  <c r="I32" i="9" s="1"/>
  <c r="I50" i="9"/>
  <c r="I41" i="9"/>
  <c r="I53" i="9" s="1"/>
  <c r="AS17" i="9"/>
  <c r="AI22" i="8"/>
  <c r="AI52" i="8"/>
  <c r="AF14" i="14"/>
  <c r="AF14" i="10"/>
  <c r="AF17" i="1"/>
  <c r="AN65" i="14"/>
  <c r="AN65" i="10"/>
  <c r="BO65" i="1"/>
  <c r="BQ65" i="1"/>
  <c r="E11" i="8"/>
  <c r="F102" i="8" s="1"/>
  <c r="AR51" i="9"/>
  <c r="AR21" i="9"/>
  <c r="AB11" i="8"/>
  <c r="AB93" i="8"/>
  <c r="BR91" i="8"/>
  <c r="G65" i="10"/>
  <c r="G65" i="14"/>
  <c r="AR95" i="14"/>
  <c r="AR96" i="14" s="1"/>
  <c r="AR96" i="1"/>
  <c r="AR95" i="10"/>
  <c r="I15" i="10"/>
  <c r="I15" i="14"/>
  <c r="BT81" i="8"/>
  <c r="AD28" i="8"/>
  <c r="D21" i="8"/>
  <c r="D51" i="8"/>
  <c r="BT39" i="8"/>
  <c r="AA65" i="10"/>
  <c r="AA65" i="14"/>
  <c r="AV58" i="9"/>
  <c r="AF93" i="8"/>
  <c r="AF92" i="10"/>
  <c r="AF92" i="14"/>
  <c r="BW16" i="9"/>
  <c r="BO16" i="9"/>
  <c r="BQ16" i="9"/>
  <c r="BY16" i="9"/>
  <c r="BO10" i="9"/>
  <c r="R93" i="8"/>
  <c r="AU11" i="8"/>
  <c r="J28" i="9"/>
  <c r="U68" i="10"/>
  <c r="U68" i="14"/>
  <c r="Y15" i="14"/>
  <c r="Y15" i="10"/>
  <c r="AF26" i="8"/>
  <c r="AF47" i="8"/>
  <c r="BT92" i="9"/>
  <c r="BO78" i="9"/>
  <c r="BQ78" i="9"/>
  <c r="T93" i="9"/>
  <c r="AQ47" i="9"/>
  <c r="AQ26" i="9"/>
  <c r="F89" i="9"/>
  <c r="AE80" i="14"/>
  <c r="AE80" i="10"/>
  <c r="AT11" i="8"/>
  <c r="AH50" i="9"/>
  <c r="AH20" i="9"/>
  <c r="AH41" i="9"/>
  <c r="AL51" i="9"/>
  <c r="AL21" i="9"/>
  <c r="W8" i="10"/>
  <c r="W11" i="1"/>
  <c r="W8" i="14"/>
  <c r="BW15" i="9"/>
  <c r="BO15" i="9"/>
  <c r="BQ15" i="9"/>
  <c r="BY15" i="9"/>
  <c r="BS70" i="8"/>
  <c r="AO78" i="10"/>
  <c r="AO78" i="14"/>
  <c r="J88" i="14"/>
  <c r="J88" i="10"/>
  <c r="AH65" i="10"/>
  <c r="AH65" i="14"/>
  <c r="AX16" i="14"/>
  <c r="AX16" i="10"/>
  <c r="F11" i="8"/>
  <c r="AX50" i="8"/>
  <c r="AX41" i="8"/>
  <c r="AX20" i="8"/>
  <c r="AE46" i="14"/>
  <c r="AE28" i="1"/>
  <c r="AE46" i="10"/>
  <c r="AC73" i="14"/>
  <c r="AC73" i="10"/>
  <c r="K52" i="8"/>
  <c r="K22" i="8"/>
  <c r="AC8" i="10"/>
  <c r="AC8" i="14"/>
  <c r="AC11" i="1"/>
  <c r="M77" i="10"/>
  <c r="M77" i="14"/>
  <c r="AV52" i="8"/>
  <c r="AV22" i="8"/>
  <c r="O89" i="8"/>
  <c r="U58" i="8"/>
  <c r="AY21" i="8"/>
  <c r="AY51" i="8"/>
  <c r="Y38" i="14"/>
  <c r="Y20" i="1"/>
  <c r="Y38" i="10"/>
  <c r="Y41" i="1"/>
  <c r="Y50" i="1"/>
  <c r="AU17" i="8"/>
  <c r="X83" i="9"/>
  <c r="AP83" i="9"/>
  <c r="AG11" i="9"/>
  <c r="AS11" i="9"/>
  <c r="AD67" i="14"/>
  <c r="AD67" i="10"/>
  <c r="AD71" i="14"/>
  <c r="AD71" i="10"/>
  <c r="J89" i="1"/>
  <c r="J86" i="10"/>
  <c r="J86" i="14"/>
  <c r="R87" i="10"/>
  <c r="R87" i="14"/>
  <c r="AL69" i="14"/>
  <c r="AL69" i="10"/>
  <c r="AH27" i="8"/>
  <c r="S70" i="10"/>
  <c r="S70" i="14"/>
  <c r="H22" i="9"/>
  <c r="H52" i="9"/>
  <c r="BS78" i="9"/>
  <c r="AT8" i="14"/>
  <c r="AT11" i="1"/>
  <c r="AT8" i="10"/>
  <c r="AE81" i="14"/>
  <c r="AE81" i="10"/>
  <c r="BO44" i="9"/>
  <c r="AN26" i="9"/>
  <c r="AN47" i="9"/>
  <c r="AN29" i="9" s="1"/>
  <c r="BQ44" i="9"/>
  <c r="L76" i="14"/>
  <c r="L76" i="10"/>
  <c r="M47" i="8"/>
  <c r="M26" i="8"/>
  <c r="E45" i="14"/>
  <c r="E27" i="1"/>
  <c r="E45" i="10"/>
  <c r="AB27" i="9"/>
  <c r="BR45" i="9"/>
  <c r="G52" i="8"/>
  <c r="G22" i="8"/>
  <c r="M96" i="9"/>
  <c r="E28" i="8"/>
  <c r="BS68" i="9"/>
  <c r="AB51" i="9"/>
  <c r="AB21" i="9"/>
  <c r="BR39" i="9"/>
  <c r="AL96" i="8"/>
  <c r="AK21" i="8"/>
  <c r="AK51" i="8"/>
  <c r="Q17" i="8"/>
  <c r="AV57" i="14"/>
  <c r="AV57" i="10"/>
  <c r="Z65" i="14"/>
  <c r="Z65" i="10"/>
  <c r="I78" i="10"/>
  <c r="I78" i="14"/>
  <c r="N89" i="8"/>
  <c r="AD81" i="10"/>
  <c r="AD81" i="14"/>
  <c r="I10" i="10"/>
  <c r="I10" i="14"/>
  <c r="AS15" i="10"/>
  <c r="AS15" i="14"/>
  <c r="AG68" i="10"/>
  <c r="AG68" i="14"/>
  <c r="F16" i="14"/>
  <c r="F16" i="10"/>
  <c r="AJ71" i="14"/>
  <c r="AJ71" i="10"/>
  <c r="AN80" i="10"/>
  <c r="BO80" i="1"/>
  <c r="BQ80" i="1"/>
  <c r="AN80" i="14"/>
  <c r="AW16" i="14"/>
  <c r="AW16" i="10"/>
  <c r="AJ81" i="14"/>
  <c r="AJ81" i="10"/>
  <c r="AT15" i="14"/>
  <c r="AT15" i="10"/>
  <c r="AB96" i="9"/>
  <c r="BR95" i="9"/>
  <c r="BR96" i="9" s="1"/>
  <c r="M56" i="14"/>
  <c r="M56" i="10"/>
  <c r="M58" i="1"/>
  <c r="S22" i="9"/>
  <c r="S34" i="9" s="1"/>
  <c r="S52" i="9"/>
  <c r="BQ9" i="8"/>
  <c r="K86" i="14"/>
  <c r="K89" i="1"/>
  <c r="K86" i="10"/>
  <c r="V28" i="8"/>
  <c r="N56" i="10"/>
  <c r="N56" i="14"/>
  <c r="N58" i="1"/>
  <c r="BR88" i="9"/>
  <c r="AB83" i="8"/>
  <c r="BR63" i="8"/>
  <c r="H96" i="9"/>
  <c r="BT87" i="9"/>
  <c r="AU88" i="14"/>
  <c r="AU88" i="10"/>
  <c r="AJ63" i="14"/>
  <c r="AJ83" i="1"/>
  <c r="AJ63" i="10"/>
  <c r="AK66" i="14"/>
  <c r="AK66" i="10"/>
  <c r="AW76" i="14"/>
  <c r="AW76" i="10"/>
  <c r="L27" i="8"/>
  <c r="BO75" i="9"/>
  <c r="BQ75" i="9"/>
  <c r="AQ16" i="14"/>
  <c r="AQ16" i="10"/>
  <c r="K22" i="9"/>
  <c r="K34" i="9" s="1"/>
  <c r="K52" i="9"/>
  <c r="Y20" i="8"/>
  <c r="Y50" i="8"/>
  <c r="Y41" i="8"/>
  <c r="AR66" i="10"/>
  <c r="AR66" i="14"/>
  <c r="AD16" i="10"/>
  <c r="AD16" i="14"/>
  <c r="U51" i="8"/>
  <c r="U21" i="8"/>
  <c r="BO9" i="8"/>
  <c r="AE89" i="8"/>
  <c r="AE41" i="1"/>
  <c r="AE50" i="1"/>
  <c r="AE38" i="14"/>
  <c r="AE38" i="10"/>
  <c r="AE20" i="1"/>
  <c r="G15" i="14"/>
  <c r="G15" i="10"/>
  <c r="F63" i="14"/>
  <c r="F63" i="10"/>
  <c r="F83" i="1"/>
  <c r="AM70" i="10"/>
  <c r="AM70" i="14"/>
  <c r="AM41" i="8"/>
  <c r="AM50" i="8"/>
  <c r="AM20" i="8"/>
  <c r="I9" i="10"/>
  <c r="I9" i="14"/>
  <c r="AX93" i="8"/>
  <c r="AA83" i="9"/>
  <c r="Y52" i="8"/>
  <c r="Y22" i="8"/>
  <c r="D41" i="8"/>
  <c r="D50" i="8"/>
  <c r="D20" i="8"/>
  <c r="BT38" i="8"/>
  <c r="R92" i="14"/>
  <c r="R92" i="10"/>
  <c r="F82" i="10"/>
  <c r="F82" i="14"/>
  <c r="AJ52" i="8"/>
  <c r="AJ22" i="8"/>
  <c r="AH83" i="9"/>
  <c r="AF20" i="8"/>
  <c r="AF32" i="8" s="1"/>
  <c r="AF41" i="8"/>
  <c r="AF50" i="8"/>
  <c r="AD21" i="9"/>
  <c r="AD33" i="9" s="1"/>
  <c r="AD51" i="9"/>
  <c r="AI15" i="10"/>
  <c r="AI15" i="14"/>
  <c r="H17" i="9"/>
  <c r="AR96" i="8"/>
  <c r="AJ93" i="8"/>
  <c r="G70" i="14"/>
  <c r="G70" i="10"/>
  <c r="L21" i="9"/>
  <c r="L51" i="9"/>
  <c r="AD11" i="9"/>
  <c r="AE102" i="9" s="1"/>
  <c r="AK8" i="10"/>
  <c r="AK8" i="14"/>
  <c r="AK11" i="1"/>
  <c r="Y91" i="14"/>
  <c r="Y93" i="1"/>
  <c r="Y91" i="10"/>
  <c r="G89" i="8"/>
  <c r="BT72" i="9"/>
  <c r="AX89" i="8"/>
  <c r="H57" i="10"/>
  <c r="H57" i="14"/>
  <c r="F57" i="10"/>
  <c r="F57" i="14"/>
  <c r="AP28" i="8"/>
  <c r="AY91" i="10"/>
  <c r="AY91" i="14"/>
  <c r="AY93" i="1"/>
  <c r="U11" i="8"/>
  <c r="H15" i="14"/>
  <c r="H15" i="10"/>
  <c r="AQ58" i="1"/>
  <c r="AQ56" i="14"/>
  <c r="AQ56" i="10"/>
  <c r="AL93" i="8"/>
  <c r="AO82" i="10"/>
  <c r="AO82" i="14"/>
  <c r="AI75" i="10"/>
  <c r="AI75" i="14"/>
  <c r="M22" i="1"/>
  <c r="M40" i="14"/>
  <c r="M52" i="1"/>
  <c r="M40" i="10"/>
  <c r="AF89" i="8"/>
  <c r="Y26" i="8"/>
  <c r="Y47" i="8"/>
  <c r="W11" i="9"/>
  <c r="BO69" i="8"/>
  <c r="BQ69" i="8"/>
  <c r="G87" i="10"/>
  <c r="G87" i="14"/>
  <c r="BT67" i="8"/>
  <c r="X14" i="14"/>
  <c r="X17" i="1"/>
  <c r="X14" i="10"/>
  <c r="BT66" i="8"/>
  <c r="AX15" i="14"/>
  <c r="AX15" i="10"/>
  <c r="AU20" i="8"/>
  <c r="AU50" i="8"/>
  <c r="AU41" i="8"/>
  <c r="AU53" i="8" s="1"/>
  <c r="I76" i="14"/>
  <c r="I76" i="10"/>
  <c r="BR10" i="8"/>
  <c r="AV28" i="9"/>
  <c r="O82" i="10"/>
  <c r="O82" i="14"/>
  <c r="F93" i="8"/>
  <c r="AO83" i="9"/>
  <c r="AW93" i="9"/>
  <c r="I17" i="8"/>
  <c r="AB28" i="8"/>
  <c r="BR46" i="8"/>
  <c r="U63" i="10"/>
  <c r="U83" i="1"/>
  <c r="U63" i="14"/>
  <c r="H87" i="14"/>
  <c r="H87" i="10"/>
  <c r="Y65" i="14"/>
  <c r="Y65" i="10"/>
  <c r="AP56" i="10"/>
  <c r="AP58" i="1"/>
  <c r="AP56" i="14"/>
  <c r="BS16" i="9"/>
  <c r="CA16" i="9"/>
  <c r="E96" i="8"/>
  <c r="AQ17" i="1"/>
  <c r="AQ14" i="10"/>
  <c r="AQ14" i="14"/>
  <c r="AO91" i="14"/>
  <c r="AO91" i="10"/>
  <c r="AO93" i="1"/>
  <c r="BS10" i="8"/>
  <c r="AJ77" i="10"/>
  <c r="AJ77" i="14"/>
  <c r="BR77" i="8"/>
  <c r="AI58" i="8"/>
  <c r="H51" i="9"/>
  <c r="H21" i="9"/>
  <c r="AF11" i="9"/>
  <c r="BR8" i="9"/>
  <c r="AK89" i="9"/>
  <c r="AM83" i="8"/>
  <c r="D16" i="10"/>
  <c r="D16" i="14"/>
  <c r="CB16" i="1"/>
  <c r="BT16" i="1"/>
  <c r="AB56" i="10"/>
  <c r="AB56" i="14"/>
  <c r="AB58" i="1"/>
  <c r="BR56" i="1"/>
  <c r="O96" i="8"/>
  <c r="AU79" i="14"/>
  <c r="AU79" i="10"/>
  <c r="R91" i="10"/>
  <c r="R93" i="1"/>
  <c r="R91" i="14"/>
  <c r="AW17" i="9"/>
  <c r="BO38" i="9"/>
  <c r="AN50" i="9"/>
  <c r="AN41" i="9"/>
  <c r="AN20" i="9"/>
  <c r="BQ38" i="9"/>
  <c r="K16" i="10"/>
  <c r="K16" i="14"/>
  <c r="P17" i="1"/>
  <c r="P14" i="14"/>
  <c r="P14" i="10"/>
  <c r="CA14" i="1"/>
  <c r="BS14" i="1"/>
  <c r="U82" i="10"/>
  <c r="U82" i="14"/>
  <c r="AF39" i="14"/>
  <c r="AF21" i="1"/>
  <c r="AF51" i="1"/>
  <c r="AF39" i="10"/>
  <c r="F96" i="8"/>
  <c r="AC52" i="9"/>
  <c r="AC22" i="9"/>
  <c r="AS17" i="8"/>
  <c r="AF27" i="8"/>
  <c r="AF33" i="8" s="1"/>
  <c r="AB52" i="8"/>
  <c r="AB22" i="8"/>
  <c r="BR40" i="8"/>
  <c r="AF58" i="8"/>
  <c r="O27" i="9"/>
  <c r="W76" i="14"/>
  <c r="W76" i="10"/>
  <c r="AX80" i="10"/>
  <c r="AX80" i="14"/>
  <c r="AP22" i="8"/>
  <c r="AP52" i="8"/>
  <c r="X16" i="10"/>
  <c r="X16" i="14"/>
  <c r="Z71" i="14"/>
  <c r="Z71" i="10"/>
  <c r="Q80" i="10"/>
  <c r="Q80" i="14"/>
  <c r="AX47" i="8"/>
  <c r="AX26" i="8"/>
  <c r="AW79" i="10"/>
  <c r="AW79" i="14"/>
  <c r="BT66" i="9"/>
  <c r="V41" i="8"/>
  <c r="V23" i="8" s="1"/>
  <c r="V20" i="8"/>
  <c r="V50" i="8"/>
  <c r="V70" i="14"/>
  <c r="V70" i="10"/>
  <c r="AW52" i="1"/>
  <c r="AW40" i="10"/>
  <c r="AW22" i="1"/>
  <c r="AW40" i="14"/>
  <c r="O69" i="14"/>
  <c r="O69" i="10"/>
  <c r="AN76" i="10"/>
  <c r="AN76" i="14"/>
  <c r="BO76" i="1"/>
  <c r="BQ76" i="1"/>
  <c r="G28" i="8"/>
  <c r="BR75" i="8"/>
  <c r="AU9" i="10"/>
  <c r="AU9" i="14"/>
  <c r="BT68" i="8"/>
  <c r="Y86" i="14"/>
  <c r="Y89" i="1"/>
  <c r="Y86" i="10"/>
  <c r="AJ27" i="8"/>
  <c r="AN41" i="8"/>
  <c r="AN20" i="8"/>
  <c r="BO38" i="8"/>
  <c r="AN50" i="8"/>
  <c r="BQ38" i="8"/>
  <c r="AH81" i="14"/>
  <c r="AH81" i="10"/>
  <c r="AM15" i="14"/>
  <c r="AM15" i="10"/>
  <c r="AW28" i="8"/>
  <c r="AA93" i="9"/>
  <c r="L11" i="8"/>
  <c r="AJ96" i="9"/>
  <c r="AW77" i="10"/>
  <c r="AW77" i="14"/>
  <c r="AU66" i="14"/>
  <c r="AU66" i="10"/>
  <c r="AS47" i="9"/>
  <c r="AS26" i="9"/>
  <c r="E63" i="14"/>
  <c r="E83" i="1"/>
  <c r="E63" i="10"/>
  <c r="AH15" i="10"/>
  <c r="AH15" i="14"/>
  <c r="AQ52" i="8"/>
  <c r="AQ22" i="8"/>
  <c r="BS82" i="9"/>
  <c r="AC46" i="14"/>
  <c r="AC46" i="10"/>
  <c r="AC28" i="1"/>
  <c r="Y51" i="8"/>
  <c r="Y21" i="8"/>
  <c r="Y33" i="8" s="1"/>
  <c r="AS57" i="10"/>
  <c r="AS57" i="14"/>
  <c r="AW83" i="8"/>
  <c r="I81" i="10"/>
  <c r="I81" i="14"/>
  <c r="AD56" i="14"/>
  <c r="AD56" i="10"/>
  <c r="AD58" i="1"/>
  <c r="AR28" i="8"/>
  <c r="P47" i="8"/>
  <c r="P26" i="8"/>
  <c r="BS44" i="8"/>
  <c r="P96" i="8"/>
  <c r="BS95" i="8"/>
  <c r="BS96" i="8" s="1"/>
  <c r="AV77" i="14"/>
  <c r="AV77" i="10"/>
  <c r="D26" i="9"/>
  <c r="D47" i="9"/>
  <c r="BT44" i="9"/>
  <c r="O70" i="14"/>
  <c r="O70" i="10"/>
  <c r="AE63" i="10"/>
  <c r="AE63" i="14"/>
  <c r="AE83" i="1"/>
  <c r="X21" i="9"/>
  <c r="X51" i="9"/>
  <c r="T95" i="14"/>
  <c r="T96" i="14" s="1"/>
  <c r="T96" i="1"/>
  <c r="T95" i="10"/>
  <c r="AQ58" i="9"/>
  <c r="K58" i="8"/>
  <c r="BS71" i="9"/>
  <c r="AT70" i="14"/>
  <c r="AT70" i="10"/>
  <c r="AO83" i="8"/>
  <c r="Q73" i="10"/>
  <c r="Q73" i="14"/>
  <c r="AE77" i="10"/>
  <c r="AE77" i="14"/>
  <c r="T40" i="14"/>
  <c r="T52" i="1"/>
  <c r="T22" i="1"/>
  <c r="T40" i="10"/>
  <c r="AC63" i="10"/>
  <c r="AC83" i="1"/>
  <c r="AC63" i="14"/>
  <c r="R70" i="14"/>
  <c r="R70" i="10"/>
  <c r="Y28" i="8"/>
  <c r="BR68" i="8"/>
  <c r="V93" i="8"/>
  <c r="BR87" i="8"/>
  <c r="W91" i="10"/>
  <c r="W91" i="14"/>
  <c r="W93" i="1"/>
  <c r="H47" i="8"/>
  <c r="H26" i="8"/>
  <c r="AB68" i="14"/>
  <c r="AB68" i="10"/>
  <c r="BR68" i="1"/>
  <c r="AH93" i="9"/>
  <c r="AC78" i="14"/>
  <c r="AC78" i="10"/>
  <c r="W93" i="9"/>
  <c r="AK50" i="8"/>
  <c r="AK41" i="8"/>
  <c r="AK20" i="8"/>
  <c r="X93" i="8"/>
  <c r="AA11" i="9"/>
  <c r="AR74" i="10"/>
  <c r="AR74" i="14"/>
  <c r="AG79" i="14"/>
  <c r="AG79" i="10"/>
  <c r="AC45" i="14"/>
  <c r="AC27" i="1"/>
  <c r="AC45" i="10"/>
  <c r="BO82" i="9"/>
  <c r="BQ82" i="9"/>
  <c r="BO66" i="8"/>
  <c r="BQ66" i="8"/>
  <c r="AH87" i="14"/>
  <c r="AH87" i="10"/>
  <c r="AL17" i="8"/>
  <c r="AG44" i="14"/>
  <c r="AG44" i="10"/>
  <c r="AG47" i="1"/>
  <c r="AG26" i="1"/>
  <c r="AT17" i="8"/>
  <c r="AB76" i="10"/>
  <c r="AB76" i="14"/>
  <c r="BR76" i="1"/>
  <c r="AM93" i="8"/>
  <c r="AK56" i="14"/>
  <c r="AK56" i="10"/>
  <c r="AK58" i="1"/>
  <c r="AY16" i="10"/>
  <c r="AY16" i="14"/>
  <c r="AA75" i="14"/>
  <c r="AA75" i="10"/>
  <c r="AM71" i="14"/>
  <c r="AM71" i="10"/>
  <c r="L17" i="8"/>
  <c r="AP38" i="10"/>
  <c r="AP38" i="14"/>
  <c r="AP20" i="1"/>
  <c r="AP41" i="1"/>
  <c r="AP50" i="1"/>
  <c r="R10" i="10"/>
  <c r="R10" i="14"/>
  <c r="AO11" i="8"/>
  <c r="BT65" i="8"/>
  <c r="J93" i="9"/>
  <c r="AW86" i="14"/>
  <c r="AW89" i="1"/>
  <c r="AW86" i="10"/>
  <c r="AC17" i="9"/>
  <c r="AK38" i="14"/>
  <c r="AK20" i="1"/>
  <c r="AK38" i="10"/>
  <c r="AK41" i="1"/>
  <c r="AK50" i="1"/>
  <c r="W80" i="10"/>
  <c r="W80" i="14"/>
  <c r="AL74" i="14"/>
  <c r="AL74" i="10"/>
  <c r="AL27" i="8"/>
  <c r="AA96" i="8"/>
  <c r="AA47" i="8"/>
  <c r="AA26" i="8"/>
  <c r="E81" i="14"/>
  <c r="E81" i="10"/>
  <c r="BR9" i="8"/>
  <c r="AS93" i="1"/>
  <c r="AS91" i="14"/>
  <c r="AS91" i="10"/>
  <c r="F28" i="1"/>
  <c r="F46" i="10"/>
  <c r="F46" i="14"/>
  <c r="AP46" i="14"/>
  <c r="AP28" i="1"/>
  <c r="AP46" i="10"/>
  <c r="AV65" i="14"/>
  <c r="AV65" i="10"/>
  <c r="AR52" i="9"/>
  <c r="AR22" i="9"/>
  <c r="Q86" i="14"/>
  <c r="Q89" i="1"/>
  <c r="Q86" i="10"/>
  <c r="W28" i="9"/>
  <c r="U58" i="9"/>
  <c r="T17" i="8"/>
  <c r="M93" i="9"/>
  <c r="AO28" i="1"/>
  <c r="AO46" i="10"/>
  <c r="AO46" i="14"/>
  <c r="BT9" i="9"/>
  <c r="AO70" i="10"/>
  <c r="AO70" i="14"/>
  <c r="AS93" i="8"/>
  <c r="Q76" i="10"/>
  <c r="Q76" i="14"/>
  <c r="W75" i="10"/>
  <c r="W75" i="14"/>
  <c r="V83" i="9"/>
  <c r="L68" i="14"/>
  <c r="L68" i="10"/>
  <c r="AP27" i="8"/>
  <c r="AL96" i="9"/>
  <c r="D83" i="8"/>
  <c r="BT63" i="8"/>
  <c r="AH11" i="8"/>
  <c r="AQ72" i="14"/>
  <c r="AQ72" i="10"/>
  <c r="O11" i="8"/>
  <c r="BT71" i="9"/>
  <c r="BR79" i="9"/>
  <c r="F26" i="9"/>
  <c r="F47" i="9"/>
  <c r="F29" i="9" s="1"/>
  <c r="D41" i="9"/>
  <c r="D50" i="9"/>
  <c r="D20" i="9"/>
  <c r="BT38" i="9"/>
  <c r="AW27" i="9"/>
  <c r="AL83" i="8"/>
  <c r="AH86" i="14"/>
  <c r="AH86" i="10"/>
  <c r="AH89" i="1"/>
  <c r="AJ83" i="8"/>
  <c r="BO68" i="8"/>
  <c r="BQ68" i="8"/>
  <c r="I83" i="1"/>
  <c r="I63" i="14"/>
  <c r="I63" i="10"/>
  <c r="AK11" i="9"/>
  <c r="BO9" i="9"/>
  <c r="AK14" i="14"/>
  <c r="AK17" i="1"/>
  <c r="AK14" i="10"/>
  <c r="AG67" i="14"/>
  <c r="AG67" i="10"/>
  <c r="I52" i="8"/>
  <c r="I22" i="8"/>
  <c r="AL26" i="8"/>
  <c r="AL47" i="8"/>
  <c r="H51" i="1"/>
  <c r="H39" i="14"/>
  <c r="H21" i="1"/>
  <c r="H39" i="10"/>
  <c r="S51" i="9"/>
  <c r="S21" i="9"/>
  <c r="AC44" i="10"/>
  <c r="AC44" i="14"/>
  <c r="AC26" i="1"/>
  <c r="AC47" i="1"/>
  <c r="AH91" i="14"/>
  <c r="AH91" i="10"/>
  <c r="AH93" i="1"/>
  <c r="AO64" i="14"/>
  <c r="AO64" i="10"/>
  <c r="AP88" i="10"/>
  <c r="AP88" i="14"/>
  <c r="AA27" i="1"/>
  <c r="AA45" i="10"/>
  <c r="AA45" i="14"/>
  <c r="AG64" i="14"/>
  <c r="AG64" i="10"/>
  <c r="AQ93" i="8"/>
  <c r="Y57" i="14"/>
  <c r="Y57" i="10"/>
  <c r="AQ28" i="8"/>
  <c r="AY39" i="14"/>
  <c r="AY39" i="10"/>
  <c r="AY51" i="1"/>
  <c r="AY21" i="1"/>
  <c r="AV75" i="14"/>
  <c r="AV75" i="10"/>
  <c r="S28" i="8"/>
  <c r="AO79" i="14"/>
  <c r="AO79" i="10"/>
  <c r="AL63" i="14"/>
  <c r="AL63" i="10"/>
  <c r="AL83" i="1"/>
  <c r="L64" i="10"/>
  <c r="L64" i="14"/>
  <c r="N57" i="14"/>
  <c r="N57" i="10"/>
  <c r="K41" i="8"/>
  <c r="K20" i="8"/>
  <c r="K50" i="8"/>
  <c r="I11" i="8"/>
  <c r="BR70" i="8"/>
  <c r="AU51" i="8"/>
  <c r="AU21" i="8"/>
  <c r="AS40" i="14"/>
  <c r="AS22" i="1"/>
  <c r="AS52" i="1"/>
  <c r="AS40" i="10"/>
  <c r="U50" i="8"/>
  <c r="U41" i="8"/>
  <c r="U20" i="8"/>
  <c r="AR77" i="14"/>
  <c r="AR77" i="10"/>
  <c r="P77" i="14"/>
  <c r="P77" i="10"/>
  <c r="BS77" i="1"/>
  <c r="AG8" i="10"/>
  <c r="AG8" i="14"/>
  <c r="AG11" i="1"/>
  <c r="U47" i="8"/>
  <c r="U26" i="8"/>
  <c r="AL87" i="10"/>
  <c r="AL87" i="14"/>
  <c r="BR71" i="9"/>
  <c r="BS74" i="8"/>
  <c r="J17" i="9"/>
  <c r="J23" i="9" s="1"/>
  <c r="AH96" i="9"/>
  <c r="P51" i="1"/>
  <c r="P39" i="14"/>
  <c r="P21" i="1"/>
  <c r="P39" i="10"/>
  <c r="BS39" i="1"/>
  <c r="AL44" i="10"/>
  <c r="AL26" i="1"/>
  <c r="AL47" i="1"/>
  <c r="AL44" i="14"/>
  <c r="L83" i="9"/>
  <c r="BS74" i="9"/>
  <c r="AW22" i="9"/>
  <c r="AW52" i="9"/>
  <c r="AM26" i="8"/>
  <c r="AM47" i="8"/>
  <c r="Z82" i="14"/>
  <c r="Z82" i="10"/>
  <c r="AW50" i="8"/>
  <c r="AW41" i="8"/>
  <c r="AW20" i="8"/>
  <c r="AL45" i="14"/>
  <c r="AL27" i="1"/>
  <c r="AL45" i="10"/>
  <c r="AE47" i="8"/>
  <c r="AE26" i="8"/>
  <c r="AT20" i="8"/>
  <c r="AT41" i="8"/>
  <c r="AT50" i="8"/>
  <c r="AQ9" i="10"/>
  <c r="AQ9" i="14"/>
  <c r="BQ9" i="14" s="1"/>
  <c r="BQ9" i="1"/>
  <c r="BS76" i="9"/>
  <c r="AH8" i="14"/>
  <c r="AH11" i="1"/>
  <c r="AH8" i="10"/>
  <c r="AK78" i="14"/>
  <c r="AK78" i="10"/>
  <c r="AS89" i="9"/>
  <c r="BR88" i="8"/>
  <c r="AN28" i="9"/>
  <c r="BO46" i="9"/>
  <c r="BQ46" i="9"/>
  <c r="AP10" i="10"/>
  <c r="AP10" i="14"/>
  <c r="AD9" i="10"/>
  <c r="AD9" i="14"/>
  <c r="AM82" i="14"/>
  <c r="AM82" i="10"/>
  <c r="U69" i="10"/>
  <c r="U69" i="14"/>
  <c r="AR82" i="14"/>
  <c r="AR82" i="10"/>
  <c r="R96" i="9"/>
  <c r="AB15" i="10"/>
  <c r="AB15" i="14"/>
  <c r="BZ15" i="1"/>
  <c r="BR15" i="1"/>
  <c r="AY46" i="14"/>
  <c r="AY46" i="10"/>
  <c r="AY28" i="1"/>
  <c r="I96" i="8"/>
  <c r="R80" i="10"/>
  <c r="R80" i="14"/>
  <c r="AL89" i="8"/>
  <c r="I28" i="8"/>
  <c r="AA27" i="9"/>
  <c r="AV17" i="8"/>
  <c r="AV29" i="8" s="1"/>
  <c r="X11" i="9"/>
  <c r="X102" i="9" s="1"/>
  <c r="Z83" i="8"/>
  <c r="BQ8" i="9"/>
  <c r="AQ11" i="9"/>
  <c r="AR102" i="9" s="1"/>
  <c r="N51" i="9"/>
  <c r="N21" i="9"/>
  <c r="N33" i="9" s="1"/>
  <c r="AU78" i="14"/>
  <c r="AU78" i="10"/>
  <c r="AU69" i="14"/>
  <c r="AU69" i="10"/>
  <c r="L38" i="14"/>
  <c r="L20" i="1"/>
  <c r="L38" i="10"/>
  <c r="L50" i="1"/>
  <c r="L41" i="1"/>
  <c r="T9" i="10"/>
  <c r="BS9" i="1"/>
  <c r="T9" i="14"/>
  <c r="BS9" i="14" s="1"/>
  <c r="P28" i="1"/>
  <c r="P46" i="10"/>
  <c r="P28" i="10" s="1"/>
  <c r="P46" i="14"/>
  <c r="BS46" i="1"/>
  <c r="AO26" i="1"/>
  <c r="AO44" i="14"/>
  <c r="AO47" i="1"/>
  <c r="AO29" i="1" s="1"/>
  <c r="AO44" i="10"/>
  <c r="AC71" i="14"/>
  <c r="AC71" i="10"/>
  <c r="E17" i="9"/>
  <c r="L83" i="8"/>
  <c r="BS69" i="8"/>
  <c r="AM63" i="14"/>
  <c r="AM63" i="10"/>
  <c r="AM83" i="1"/>
  <c r="M65" i="14"/>
  <c r="M65" i="10"/>
  <c r="T70" i="14"/>
  <c r="T70" i="10"/>
  <c r="E26" i="8"/>
  <c r="E47" i="8"/>
  <c r="AE28" i="8"/>
  <c r="I93" i="8"/>
  <c r="AW73" i="14"/>
  <c r="AW73" i="10"/>
  <c r="Y22" i="9"/>
  <c r="Y52" i="9"/>
  <c r="AP86" i="14"/>
  <c r="AP86" i="10"/>
  <c r="AP89" i="1"/>
  <c r="O58" i="8"/>
  <c r="T64" i="14"/>
  <c r="T64" i="10"/>
  <c r="AG83" i="9"/>
  <c r="S63" i="14"/>
  <c r="S63" i="10"/>
  <c r="S83" i="1"/>
  <c r="D72" i="14"/>
  <c r="D72" i="10"/>
  <c r="BT72" i="1"/>
  <c r="Z50" i="8"/>
  <c r="Z41" i="8"/>
  <c r="Z20" i="8"/>
  <c r="AP93" i="8"/>
  <c r="AG69" i="10"/>
  <c r="AG69" i="14"/>
  <c r="J89" i="9"/>
  <c r="AT45" i="10"/>
  <c r="AT45" i="14"/>
  <c r="AT27" i="1"/>
  <c r="X26" i="9"/>
  <c r="X47" i="9"/>
  <c r="X29" i="9" s="1"/>
  <c r="AQ89" i="9"/>
  <c r="BS70" i="9"/>
  <c r="AR88" i="10"/>
  <c r="AR88" i="14"/>
  <c r="AG77" i="14"/>
  <c r="AG77" i="10"/>
  <c r="BS77" i="8"/>
  <c r="AR89" i="1"/>
  <c r="AR86" i="14"/>
  <c r="AR86" i="10"/>
  <c r="D47" i="8"/>
  <c r="D29" i="8" s="1"/>
  <c r="D26" i="8"/>
  <c r="BT44" i="8"/>
  <c r="K28" i="8"/>
  <c r="F81" i="14"/>
  <c r="F81" i="10"/>
  <c r="Y63" i="14"/>
  <c r="Y83" i="1"/>
  <c r="Y63" i="10"/>
  <c r="BS65" i="8"/>
  <c r="AS21" i="9"/>
  <c r="AS33" i="9" s="1"/>
  <c r="AS51" i="9"/>
  <c r="AF17" i="8"/>
  <c r="BS88" i="8"/>
  <c r="AD78" i="14"/>
  <c r="AD78" i="10"/>
  <c r="AC83" i="8"/>
  <c r="P64" i="10"/>
  <c r="P64" i="14"/>
  <c r="BS64" i="1"/>
  <c r="BS57" i="8"/>
  <c r="O46" i="10"/>
  <c r="O46" i="14"/>
  <c r="O28" i="1"/>
  <c r="D96" i="8"/>
  <c r="BT95" i="8"/>
  <c r="BT96" i="8" s="1"/>
  <c r="G50" i="8"/>
  <c r="G20" i="8"/>
  <c r="G41" i="8"/>
  <c r="X52" i="9"/>
  <c r="X22" i="9"/>
  <c r="AU89" i="9"/>
  <c r="L74" i="10"/>
  <c r="L74" i="14"/>
  <c r="AG63" i="14"/>
  <c r="AG63" i="10"/>
  <c r="AG83" i="1"/>
  <c r="J89" i="8"/>
  <c r="J67" i="14"/>
  <c r="J67" i="10"/>
  <c r="AR93" i="8"/>
  <c r="AE69" i="10"/>
  <c r="AE69" i="14"/>
  <c r="P89" i="8"/>
  <c r="BS86" i="8"/>
  <c r="N91" i="10"/>
  <c r="N91" i="14"/>
  <c r="N93" i="1"/>
  <c r="AN56" i="10"/>
  <c r="BO56" i="1"/>
  <c r="AN56" i="14"/>
  <c r="AN58" i="1"/>
  <c r="BQ56" i="1"/>
  <c r="D92" i="14"/>
  <c r="D92" i="10"/>
  <c r="BT92" i="1"/>
  <c r="Z77" i="14"/>
  <c r="Z77" i="10"/>
  <c r="BR65" i="9"/>
  <c r="R65" i="14"/>
  <c r="R65" i="10"/>
  <c r="Q26" i="8"/>
  <c r="Q47" i="8"/>
  <c r="Y88" i="14"/>
  <c r="Y88" i="10"/>
  <c r="E70" i="10"/>
  <c r="E70" i="14"/>
  <c r="O76" i="14"/>
  <c r="O76" i="10"/>
  <c r="Z68" i="10"/>
  <c r="Z68" i="14"/>
  <c r="BO67" i="8"/>
  <c r="BQ67" i="8"/>
  <c r="T57" i="10"/>
  <c r="T57" i="14"/>
  <c r="AW71" i="10"/>
  <c r="AW71" i="14"/>
  <c r="D63" i="14"/>
  <c r="D63" i="10"/>
  <c r="D83" i="1"/>
  <c r="BT63" i="1"/>
  <c r="AL78" i="10"/>
  <c r="AL78" i="14"/>
  <c r="J46" i="14"/>
  <c r="J28" i="1"/>
  <c r="J46" i="10"/>
  <c r="S45" i="14"/>
  <c r="S27" i="1"/>
  <c r="S45" i="10"/>
  <c r="O83" i="8"/>
  <c r="AK81" i="14"/>
  <c r="AK81" i="10"/>
  <c r="AY65" i="14"/>
  <c r="AY65" i="10"/>
  <c r="N11" i="8"/>
  <c r="AV28" i="8"/>
  <c r="Z66" i="10"/>
  <c r="Z66" i="14"/>
  <c r="AW50" i="1"/>
  <c r="AW38" i="10"/>
  <c r="AW20" i="1"/>
  <c r="AW38" i="14"/>
  <c r="AW41" i="1"/>
  <c r="AK95" i="14"/>
  <c r="AK96" i="14" s="1"/>
  <c r="AK95" i="10"/>
  <c r="AK96" i="10" s="1"/>
  <c r="AK96" i="1"/>
  <c r="AS66" i="14"/>
  <c r="AS66" i="10"/>
  <c r="I96" i="1"/>
  <c r="I95" i="14"/>
  <c r="I96" i="14" s="1"/>
  <c r="I95" i="10"/>
  <c r="I96" i="10" s="1"/>
  <c r="BO15" i="8"/>
  <c r="BW15" i="8"/>
  <c r="BQ15" i="8"/>
  <c r="BY15" i="8"/>
  <c r="AO38" i="14"/>
  <c r="AO38" i="10"/>
  <c r="AO20" i="1"/>
  <c r="AO41" i="1"/>
  <c r="AO50" i="1"/>
  <c r="AL11" i="8"/>
  <c r="R96" i="8"/>
  <c r="AN50" i="1"/>
  <c r="BO38" i="1"/>
  <c r="BO20" i="1" s="1"/>
  <c r="AN38" i="14"/>
  <c r="AN20" i="1"/>
  <c r="AN41" i="1"/>
  <c r="AN38" i="10"/>
  <c r="BQ38" i="1"/>
  <c r="AF72" i="14"/>
  <c r="AF72" i="10"/>
  <c r="AL39" i="14"/>
  <c r="AL39" i="10"/>
  <c r="AL21" i="1"/>
  <c r="AL33" i="1" s="1"/>
  <c r="AL51" i="1"/>
  <c r="AE93" i="8"/>
  <c r="AR80" i="14"/>
  <c r="AR80" i="10"/>
  <c r="T39" i="14"/>
  <c r="T51" i="1"/>
  <c r="T39" i="10"/>
  <c r="T21" i="1"/>
  <c r="D88" i="14"/>
  <c r="D88" i="10"/>
  <c r="BT88" i="1"/>
  <c r="BS79" i="8"/>
  <c r="M73" i="14"/>
  <c r="M73" i="10"/>
  <c r="R58" i="9"/>
  <c r="AE58" i="8"/>
  <c r="BW14" i="1"/>
  <c r="AN17" i="1"/>
  <c r="BO14" i="1"/>
  <c r="AN14" i="14"/>
  <c r="AN14" i="10"/>
  <c r="BQ14" i="1"/>
  <c r="BY14" i="1"/>
  <c r="AA92" i="14"/>
  <c r="AA92" i="10"/>
  <c r="AE8" i="14"/>
  <c r="AE11" i="1"/>
  <c r="AE8" i="10"/>
  <c r="AE91" i="10"/>
  <c r="AE91" i="14"/>
  <c r="AE93" i="1"/>
  <c r="AE27" i="1"/>
  <c r="AE45" i="14"/>
  <c r="AE45" i="10"/>
  <c r="T69" i="10"/>
  <c r="T69" i="14"/>
  <c r="AX28" i="8"/>
  <c r="K80" i="14"/>
  <c r="K80" i="10"/>
  <c r="M26" i="9"/>
  <c r="M47" i="9"/>
  <c r="AG52" i="8"/>
  <c r="AG22" i="8"/>
  <c r="AG34" i="8" s="1"/>
  <c r="M21" i="8"/>
  <c r="M51" i="8"/>
  <c r="H27" i="1"/>
  <c r="H45" i="14"/>
  <c r="H45" i="10"/>
  <c r="W74" i="14"/>
  <c r="W74" i="10"/>
  <c r="P83" i="8"/>
  <c r="BS63" i="8"/>
  <c r="H79" i="14"/>
  <c r="H79" i="10"/>
  <c r="BO95" i="8"/>
  <c r="BO96" i="8" s="1"/>
  <c r="AN96" i="8"/>
  <c r="BQ95" i="8"/>
  <c r="BQ96" i="8" s="1"/>
  <c r="AW9" i="14"/>
  <c r="AW9" i="10"/>
  <c r="I57" i="10"/>
  <c r="I57" i="14"/>
  <c r="T11" i="9"/>
  <c r="U102" i="9" s="1"/>
  <c r="BS8" i="9"/>
  <c r="AF96" i="8"/>
  <c r="AY44" i="14"/>
  <c r="AY44" i="10"/>
  <c r="AY26" i="1"/>
  <c r="AY47" i="1"/>
  <c r="AC88" i="14"/>
  <c r="AC88" i="10"/>
  <c r="F96" i="1"/>
  <c r="F95" i="10"/>
  <c r="F96" i="10" s="1"/>
  <c r="F95" i="14"/>
  <c r="F96" i="14" s="1"/>
  <c r="AJ15" i="14"/>
  <c r="AJ15" i="10"/>
  <c r="N11" i="9"/>
  <c r="O102" i="9" s="1"/>
  <c r="AW66" i="10"/>
  <c r="AW66" i="14"/>
  <c r="AW92" i="10"/>
  <c r="AW92" i="14"/>
  <c r="BT71" i="8"/>
  <c r="H66" i="10"/>
  <c r="H66" i="14"/>
  <c r="AQ93" i="1"/>
  <c r="AQ91" i="14"/>
  <c r="AQ91" i="10"/>
  <c r="Y70" i="14"/>
  <c r="Y70" i="10"/>
  <c r="F83" i="8"/>
  <c r="BR64" i="8"/>
  <c r="Y44" i="14"/>
  <c r="Y26" i="1"/>
  <c r="Y44" i="10"/>
  <c r="Y47" i="1"/>
  <c r="AF82" i="14"/>
  <c r="AF82" i="10"/>
  <c r="AT88" i="14"/>
  <c r="AT88" i="10"/>
  <c r="AE79" i="14"/>
  <c r="AE79" i="10"/>
  <c r="AY58" i="9"/>
  <c r="E52" i="9"/>
  <c r="E22" i="9"/>
  <c r="Z27" i="8"/>
  <c r="AQ74" i="10"/>
  <c r="AQ74" i="14"/>
  <c r="U17" i="8"/>
  <c r="BR81" i="8"/>
  <c r="AU58" i="8"/>
  <c r="AD52" i="8"/>
  <c r="AD22" i="8"/>
  <c r="BO71" i="1"/>
  <c r="AN71" i="10"/>
  <c r="AN71" i="14"/>
  <c r="BQ71" i="1"/>
  <c r="AD91" i="14"/>
  <c r="AD93" i="1"/>
  <c r="AD91" i="10"/>
  <c r="L93" i="8"/>
  <c r="U71" i="10"/>
  <c r="U71" i="14"/>
  <c r="P93" i="8"/>
  <c r="BS91" i="8"/>
  <c r="G39" i="14"/>
  <c r="G21" i="14" s="1"/>
  <c r="G51" i="1"/>
  <c r="G21" i="1"/>
  <c r="G39" i="10"/>
  <c r="T46" i="14"/>
  <c r="T28" i="1"/>
  <c r="T46" i="10"/>
  <c r="H14" i="10"/>
  <c r="H14" i="14"/>
  <c r="H17" i="1"/>
  <c r="AG16" i="10"/>
  <c r="AG16" i="14"/>
  <c r="AU45" i="10"/>
  <c r="AU45" i="14"/>
  <c r="AU27" i="1"/>
  <c r="AU16" i="14"/>
  <c r="AU16" i="10"/>
  <c r="AB16" i="14"/>
  <c r="AB16" i="10"/>
  <c r="BZ16" i="1"/>
  <c r="BR16" i="1"/>
  <c r="AT39" i="10"/>
  <c r="AT21" i="1"/>
  <c r="AT33" i="1" s="1"/>
  <c r="AT51" i="1"/>
  <c r="AT39" i="14"/>
  <c r="K78" i="14"/>
  <c r="K78" i="10"/>
  <c r="AS81" i="14"/>
  <c r="AS81" i="10"/>
  <c r="AH39" i="14"/>
  <c r="AH39" i="10"/>
  <c r="AH51" i="1"/>
  <c r="AH21" i="1"/>
  <c r="L17" i="9"/>
  <c r="L29" i="9" s="1"/>
  <c r="AE89" i="1"/>
  <c r="AE86" i="14"/>
  <c r="AE86" i="10"/>
  <c r="AE51" i="8"/>
  <c r="AE21" i="8"/>
  <c r="P58" i="8"/>
  <c r="BS56" i="8"/>
  <c r="AD10" i="14"/>
  <c r="AD10" i="10"/>
  <c r="AY63" i="14"/>
  <c r="AY83" i="1"/>
  <c r="AY63" i="10"/>
  <c r="G21" i="8"/>
  <c r="G51" i="8"/>
  <c r="W45" i="14"/>
  <c r="W27" i="14" s="1"/>
  <c r="W45" i="10"/>
  <c r="W27" i="1"/>
  <c r="AY57" i="14"/>
  <c r="AY57" i="10"/>
  <c r="AM11" i="8"/>
  <c r="K8" i="14"/>
  <c r="K8" i="10"/>
  <c r="K11" i="1"/>
  <c r="AM89" i="8"/>
  <c r="N88" i="14"/>
  <c r="N88" i="10"/>
  <c r="F41" i="9"/>
  <c r="F20" i="9"/>
  <c r="F50" i="9"/>
  <c r="R79" i="14"/>
  <c r="R79" i="10"/>
  <c r="AK63" i="14"/>
  <c r="AK83" i="1"/>
  <c r="AK63" i="10"/>
  <c r="AE16" i="10"/>
  <c r="AE16" i="14"/>
  <c r="P28" i="8"/>
  <c r="BS46" i="8"/>
  <c r="N64" i="14"/>
  <c r="N64" i="10"/>
  <c r="D65" i="10"/>
  <c r="D65" i="14"/>
  <c r="BT65" i="1"/>
  <c r="Q63" i="14"/>
  <c r="Q83" i="1"/>
  <c r="Q63" i="10"/>
  <c r="R69" i="14"/>
  <c r="R69" i="10"/>
  <c r="BT82" i="9"/>
  <c r="E41" i="8"/>
  <c r="E50" i="8"/>
  <c r="E20" i="8"/>
  <c r="AR70" i="14"/>
  <c r="AR70" i="10"/>
  <c r="H82" i="14"/>
  <c r="H82" i="10"/>
  <c r="K44" i="10"/>
  <c r="K26" i="1"/>
  <c r="K44" i="14"/>
  <c r="K47" i="1"/>
  <c r="U87" i="14"/>
  <c r="U87" i="10"/>
  <c r="X41" i="8"/>
  <c r="X50" i="8"/>
  <c r="X20" i="8"/>
  <c r="O16" i="14"/>
  <c r="O16" i="10"/>
  <c r="M17" i="8"/>
  <c r="AU73" i="14"/>
  <c r="AU73" i="10"/>
  <c r="AY69" i="14"/>
  <c r="AY69" i="10"/>
  <c r="F58" i="1"/>
  <c r="F56" i="14"/>
  <c r="F56" i="10"/>
  <c r="AO58" i="1"/>
  <c r="AO56" i="10"/>
  <c r="AO56" i="14"/>
  <c r="AV72" i="10"/>
  <c r="AV72" i="14"/>
  <c r="H92" i="10"/>
  <c r="H92" i="14"/>
  <c r="AH92" i="14"/>
  <c r="AH92" i="10"/>
  <c r="AO92" i="10"/>
  <c r="AO92" i="14"/>
  <c r="V58" i="8"/>
  <c r="BO81" i="8"/>
  <c r="BQ81" i="8"/>
  <c r="H65" i="14"/>
  <c r="H65" i="10"/>
  <c r="AT78" i="14"/>
  <c r="AT78" i="10"/>
  <c r="AF91" i="14"/>
  <c r="AF93" i="1"/>
  <c r="AF91" i="10"/>
  <c r="P71" i="10"/>
  <c r="P71" i="14"/>
  <c r="BS71" i="1"/>
  <c r="AT87" i="14"/>
  <c r="AT87" i="10"/>
  <c r="AX83" i="9"/>
  <c r="AI57" i="14"/>
  <c r="AI57" i="10"/>
  <c r="AV79" i="10"/>
  <c r="AV79" i="14"/>
  <c r="L28" i="8"/>
  <c r="V28" i="9"/>
  <c r="BO67" i="9"/>
  <c r="BQ67" i="9"/>
  <c r="P73" i="10"/>
  <c r="P73" i="14"/>
  <c r="BS73" i="1"/>
  <c r="Z93" i="8"/>
  <c r="M78" i="10"/>
  <c r="M78" i="14"/>
  <c r="Z41" i="9"/>
  <c r="Z50" i="9"/>
  <c r="Z20" i="9"/>
  <c r="R83" i="8"/>
  <c r="AJ96" i="8"/>
  <c r="AW58" i="8"/>
  <c r="X67" i="10"/>
  <c r="X67" i="14"/>
  <c r="AU65" i="10"/>
  <c r="AU65" i="14"/>
  <c r="AD70" i="14"/>
  <c r="AD70" i="10"/>
  <c r="AA89" i="9"/>
  <c r="W28" i="8"/>
  <c r="X46" i="10"/>
  <c r="X28" i="10" s="1"/>
  <c r="X46" i="14"/>
  <c r="X28" i="14" s="1"/>
  <c r="X28" i="1"/>
  <c r="T65" i="14"/>
  <c r="T65" i="10"/>
  <c r="X65" i="14"/>
  <c r="X65" i="10"/>
  <c r="V96" i="8"/>
  <c r="J20" i="8"/>
  <c r="J50" i="8"/>
  <c r="J41" i="8"/>
  <c r="AV88" i="14"/>
  <c r="AV88" i="10"/>
  <c r="AS65" i="14"/>
  <c r="AS65" i="10"/>
  <c r="N77" i="14"/>
  <c r="N77" i="10"/>
  <c r="E58" i="8"/>
  <c r="D78" i="14"/>
  <c r="D78" i="10"/>
  <c r="BT78" i="1"/>
  <c r="AN11" i="8"/>
  <c r="K17" i="8"/>
  <c r="X71" i="10"/>
  <c r="X71" i="14"/>
  <c r="V66" i="10"/>
  <c r="V66" i="14"/>
  <c r="BO87" i="8"/>
  <c r="BQ87" i="8"/>
  <c r="L69" i="14"/>
  <c r="L69" i="10"/>
  <c r="P21" i="8"/>
  <c r="P51" i="8"/>
  <c r="BS39" i="8"/>
  <c r="AG66" i="14"/>
  <c r="AG66" i="10"/>
  <c r="I86" i="14"/>
  <c r="I89" i="1"/>
  <c r="I86" i="10"/>
  <c r="Q88" i="10"/>
  <c r="Q88" i="14"/>
  <c r="AA68" i="14"/>
  <c r="AA68" i="10"/>
  <c r="J83" i="8"/>
  <c r="X64" i="10"/>
  <c r="X64" i="14"/>
  <c r="AH17" i="8"/>
  <c r="BS72" i="8"/>
  <c r="S41" i="1"/>
  <c r="S50" i="1"/>
  <c r="S20" i="1"/>
  <c r="S38" i="14"/>
  <c r="S50" i="14" s="1"/>
  <c r="S38" i="10"/>
  <c r="AF75" i="10"/>
  <c r="AF75" i="14"/>
  <c r="N87" i="10"/>
  <c r="N87" i="14"/>
  <c r="D96" i="9"/>
  <c r="BT95" i="9"/>
  <c r="BT96" i="9" s="1"/>
  <c r="J75" i="10"/>
  <c r="J75" i="14"/>
  <c r="R9" i="10"/>
  <c r="R9" i="14"/>
  <c r="H89" i="8"/>
  <c r="W15" i="10"/>
  <c r="W15" i="14"/>
  <c r="AS70" i="10"/>
  <c r="AS70" i="14"/>
  <c r="BO80" i="8"/>
  <c r="BQ80" i="8"/>
  <c r="AH74" i="14"/>
  <c r="AH74" i="10"/>
  <c r="AD73" i="14"/>
  <c r="AD73" i="10"/>
  <c r="D69" i="14"/>
  <c r="D69" i="10"/>
  <c r="BT69" i="1"/>
  <c r="W93" i="8"/>
  <c r="AA79" i="14"/>
  <c r="AA79" i="10"/>
  <c r="AB47" i="1"/>
  <c r="AB44" i="10"/>
  <c r="AB44" i="14"/>
  <c r="AB26" i="1"/>
  <c r="BR44" i="1"/>
  <c r="O20" i="1"/>
  <c r="O41" i="1"/>
  <c r="O50" i="1"/>
  <c r="O38" i="14"/>
  <c r="O38" i="10"/>
  <c r="AC92" i="10"/>
  <c r="AC92" i="14"/>
  <c r="AU39" i="14"/>
  <c r="AU21" i="1"/>
  <c r="AU39" i="10"/>
  <c r="AU51" i="1"/>
  <c r="Y93" i="8"/>
  <c r="H74" i="14"/>
  <c r="H74" i="10"/>
  <c r="AQ67" i="10"/>
  <c r="AQ67" i="14"/>
  <c r="Z51" i="8"/>
  <c r="Z21" i="8"/>
  <c r="AL28" i="8"/>
  <c r="BS87" i="8"/>
  <c r="AB86" i="14"/>
  <c r="AB89" i="1"/>
  <c r="AB86" i="10"/>
  <c r="BR86" i="1"/>
  <c r="AX27" i="8"/>
  <c r="Y80" i="14"/>
  <c r="Y80" i="10"/>
  <c r="AR65" i="10"/>
  <c r="AR65" i="14"/>
  <c r="Y41" i="9"/>
  <c r="Y50" i="9"/>
  <c r="Y20" i="9"/>
  <c r="AM20" i="1"/>
  <c r="AM41" i="1"/>
  <c r="AM38" i="14"/>
  <c r="AM38" i="10"/>
  <c r="AM50" i="1"/>
  <c r="AY67" i="10"/>
  <c r="AY67" i="14"/>
  <c r="O11" i="1"/>
  <c r="O8" i="14"/>
  <c r="O8" i="10"/>
  <c r="P63" i="14"/>
  <c r="P63" i="10"/>
  <c r="P83" i="1"/>
  <c r="BS63" i="1"/>
  <c r="J10" i="14"/>
  <c r="J10" i="10"/>
  <c r="BO70" i="8"/>
  <c r="BQ70" i="8"/>
  <c r="AG71" i="14"/>
  <c r="AG71" i="10"/>
  <c r="T75" i="10"/>
  <c r="T75" i="14"/>
  <c r="Q65" i="14"/>
  <c r="Q65" i="10"/>
  <c r="AT74" i="14"/>
  <c r="AT74" i="10"/>
  <c r="AA72" i="14"/>
  <c r="AA72" i="10"/>
  <c r="D28" i="1"/>
  <c r="D46" i="10"/>
  <c r="D46" i="14"/>
  <c r="BT46" i="1"/>
  <c r="AH58" i="9"/>
  <c r="P47" i="9"/>
  <c r="P26" i="9"/>
  <c r="BS44" i="9"/>
  <c r="U58" i="1"/>
  <c r="U56" i="14"/>
  <c r="U56" i="10"/>
  <c r="AY10" i="14"/>
  <c r="AY10" i="10"/>
  <c r="AX76" i="14"/>
  <c r="AX76" i="10"/>
  <c r="AH96" i="1"/>
  <c r="AH95" i="10"/>
  <c r="AH96" i="10" s="1"/>
  <c r="AH95" i="14"/>
  <c r="AH96" i="14" s="1"/>
  <c r="AF80" i="14"/>
  <c r="AF80" i="10"/>
  <c r="AP28" i="9"/>
  <c r="AP34" i="9" s="1"/>
  <c r="AX77" i="14"/>
  <c r="AX77" i="10"/>
  <c r="T10" i="14"/>
  <c r="BS10" i="14" s="1"/>
  <c r="T10" i="10"/>
  <c r="BS10" i="1"/>
  <c r="N76" i="10"/>
  <c r="N76" i="14"/>
  <c r="AY68" i="14"/>
  <c r="AY68" i="10"/>
  <c r="Z70" i="14"/>
  <c r="Z70" i="10"/>
  <c r="V58" i="9"/>
  <c r="AK96" i="9"/>
  <c r="AE74" i="10"/>
  <c r="AE74" i="14"/>
  <c r="W40" i="14"/>
  <c r="W52" i="14" s="1"/>
  <c r="W22" i="1"/>
  <c r="W34" i="1" s="1"/>
  <c r="W52" i="1"/>
  <c r="W40" i="10"/>
  <c r="W52" i="10" s="1"/>
  <c r="AY52" i="9"/>
  <c r="AY22" i="9"/>
  <c r="AY34" i="9" s="1"/>
  <c r="O14" i="14"/>
  <c r="O14" i="10"/>
  <c r="O17" i="1"/>
  <c r="R44" i="14"/>
  <c r="R47" i="1"/>
  <c r="R26" i="1"/>
  <c r="R44" i="10"/>
  <c r="V96" i="9"/>
  <c r="Z58" i="9"/>
  <c r="L65" i="10"/>
  <c r="L65" i="14"/>
  <c r="AH93" i="8"/>
  <c r="H40" i="10"/>
  <c r="H40" i="14"/>
  <c r="H52" i="1"/>
  <c r="H22" i="1"/>
  <c r="AN11" i="9"/>
  <c r="I91" i="14"/>
  <c r="I93" i="1"/>
  <c r="I91" i="10"/>
  <c r="AI92" i="14"/>
  <c r="AI92" i="10"/>
  <c r="AP51" i="8"/>
  <c r="AP21" i="8"/>
  <c r="AB88" i="14"/>
  <c r="AB88" i="10"/>
  <c r="BR88" i="1"/>
  <c r="Z73" i="14"/>
  <c r="Z73" i="10"/>
  <c r="T67" i="10"/>
  <c r="T67" i="14"/>
  <c r="AS27" i="8"/>
  <c r="O44" i="14"/>
  <c r="O47" i="14" s="1"/>
  <c r="O44" i="10"/>
  <c r="O47" i="1"/>
  <c r="O26" i="1"/>
  <c r="AG27" i="8"/>
  <c r="F72" i="10"/>
  <c r="F72" i="14"/>
  <c r="S9" i="14"/>
  <c r="S9" i="10"/>
  <c r="AI88" i="10"/>
  <c r="AI88" i="14"/>
  <c r="T8" i="10"/>
  <c r="T11" i="1"/>
  <c r="T8" i="14"/>
  <c r="BS8" i="14" s="1"/>
  <c r="BS8" i="1"/>
  <c r="R28" i="8"/>
  <c r="G11" i="8"/>
  <c r="X96" i="1"/>
  <c r="X95" i="10"/>
  <c r="X96" i="10" s="1"/>
  <c r="X95" i="14"/>
  <c r="X96" i="14" s="1"/>
  <c r="AE83" i="8"/>
  <c r="AR21" i="1"/>
  <c r="AR51" i="1"/>
  <c r="AR39" i="14"/>
  <c r="AR39" i="10"/>
  <c r="Q15" i="10"/>
  <c r="Q15" i="14"/>
  <c r="AI67" i="14"/>
  <c r="AI67" i="10"/>
  <c r="V21" i="8"/>
  <c r="V51" i="8"/>
  <c r="V27" i="9"/>
  <c r="AU82" i="14"/>
  <c r="AU82" i="10"/>
  <c r="AP70" i="10"/>
  <c r="AP70" i="14"/>
  <c r="K82" i="14"/>
  <c r="K82" i="10"/>
  <c r="AX72" i="14"/>
  <c r="AX72" i="10"/>
  <c r="AJ58" i="8"/>
  <c r="N8" i="14"/>
  <c r="N11" i="1"/>
  <c r="N8" i="10"/>
  <c r="T83" i="1"/>
  <c r="T63" i="14"/>
  <c r="T63" i="10"/>
  <c r="AL92" i="14"/>
  <c r="AL92" i="10"/>
  <c r="AN47" i="8"/>
  <c r="BO44" i="8"/>
  <c r="AN26" i="8"/>
  <c r="BQ44" i="8"/>
  <c r="H16" i="10"/>
  <c r="H16" i="14"/>
  <c r="O73" i="14"/>
  <c r="O73" i="10"/>
  <c r="AD57" i="14"/>
  <c r="AD57" i="10"/>
  <c r="Z17" i="8"/>
  <c r="E46" i="14"/>
  <c r="E46" i="10"/>
  <c r="E28" i="1"/>
  <c r="AM57" i="10"/>
  <c r="AM57" i="14"/>
  <c r="AY17" i="9"/>
  <c r="S16" i="10"/>
  <c r="S16" i="14"/>
  <c r="Q14" i="10"/>
  <c r="Q14" i="14"/>
  <c r="Q17" i="1"/>
  <c r="V46" i="10"/>
  <c r="V28" i="1"/>
  <c r="V46" i="14"/>
  <c r="V28" i="14" s="1"/>
  <c r="AI69" i="10"/>
  <c r="AI69" i="14"/>
  <c r="AH71" i="10"/>
  <c r="AH71" i="14"/>
  <c r="AQ21" i="8"/>
  <c r="AQ51" i="8"/>
  <c r="P56" i="10"/>
  <c r="P58" i="1"/>
  <c r="P56" i="14"/>
  <c r="BS56" i="1"/>
  <c r="AY95" i="14"/>
  <c r="AY96" i="14" s="1"/>
  <c r="AY96" i="1"/>
  <c r="AY95" i="10"/>
  <c r="AY96" i="10" s="1"/>
  <c r="AE39" i="10"/>
  <c r="AE21" i="1"/>
  <c r="AE33" i="1" s="1"/>
  <c r="AE51" i="1"/>
  <c r="AE39" i="14"/>
  <c r="AE51" i="14" s="1"/>
  <c r="AH67" i="10"/>
  <c r="AH67" i="14"/>
  <c r="J82" i="14"/>
  <c r="J82" i="10"/>
  <c r="AS74" i="10"/>
  <c r="AS74" i="14"/>
  <c r="G38" i="14"/>
  <c r="G20" i="1"/>
  <c r="G41" i="1"/>
  <c r="G50" i="1"/>
  <c r="G38" i="10"/>
  <c r="S83" i="8"/>
  <c r="W57" i="14"/>
  <c r="W57" i="10"/>
  <c r="Y81" i="14"/>
  <c r="Y81" i="10"/>
  <c r="AJ76" i="10"/>
  <c r="AJ76" i="14"/>
  <c r="BO72" i="9"/>
  <c r="BQ72" i="9"/>
  <c r="H83" i="8"/>
  <c r="Z56" i="10"/>
  <c r="Z56" i="14"/>
  <c r="Z58" i="1"/>
  <c r="AK88" i="14"/>
  <c r="AK88" i="10"/>
  <c r="AD52" i="9"/>
  <c r="AD22" i="9"/>
  <c r="D41" i="1"/>
  <c r="D38" i="14"/>
  <c r="D38" i="10"/>
  <c r="D50" i="1"/>
  <c r="D20" i="1"/>
  <c r="BT38" i="1"/>
  <c r="R11" i="1"/>
  <c r="R8" i="10"/>
  <c r="R8" i="14"/>
  <c r="AA20" i="8"/>
  <c r="AA50" i="8"/>
  <c r="AA41" i="8"/>
  <c r="CA15" i="8"/>
  <c r="BS15" i="8"/>
  <c r="M20" i="8"/>
  <c r="M50" i="8"/>
  <c r="M41" i="8"/>
  <c r="AN70" i="14"/>
  <c r="BO70" i="1"/>
  <c r="AN70" i="10"/>
  <c r="BQ70" i="1"/>
  <c r="BS92" i="8"/>
  <c r="AR78" i="10"/>
  <c r="AR78" i="14"/>
  <c r="AF79" i="14"/>
  <c r="AF79" i="10"/>
  <c r="S88" i="10"/>
  <c r="S88" i="14"/>
  <c r="AJ57" i="10"/>
  <c r="AJ57" i="14"/>
  <c r="S87" i="14"/>
  <c r="S87" i="10"/>
  <c r="W56" i="14"/>
  <c r="W56" i="10"/>
  <c r="W58" i="10" s="1"/>
  <c r="W58" i="1"/>
  <c r="M20" i="9"/>
  <c r="M32" i="9" s="1"/>
  <c r="M50" i="9"/>
  <c r="M41" i="9"/>
  <c r="V77" i="14"/>
  <c r="V77" i="10"/>
  <c r="X89" i="9"/>
  <c r="BO88" i="8"/>
  <c r="BQ88" i="8"/>
  <c r="S50" i="9"/>
  <c r="S20" i="9"/>
  <c r="S32" i="9" s="1"/>
  <c r="S41" i="9"/>
  <c r="AV16" i="14"/>
  <c r="AV16" i="10"/>
  <c r="BS66" i="8"/>
  <c r="AU57" i="10"/>
  <c r="AU57" i="14"/>
  <c r="M86" i="14"/>
  <c r="M86" i="10"/>
  <c r="M89" i="1"/>
  <c r="N28" i="8"/>
  <c r="U93" i="1"/>
  <c r="U91" i="14"/>
  <c r="U91" i="10"/>
  <c r="I27" i="8"/>
  <c r="U92" i="14"/>
  <c r="U92" i="10"/>
  <c r="L9" i="14"/>
  <c r="L9" i="10"/>
  <c r="AM77" i="10"/>
  <c r="AM77" i="14"/>
  <c r="AJ44" i="10"/>
  <c r="AJ47" i="1"/>
  <c r="AJ26" i="1"/>
  <c r="AJ44" i="14"/>
  <c r="Z58" i="8"/>
  <c r="K96" i="8"/>
  <c r="K70" i="14"/>
  <c r="K70" i="10"/>
  <c r="L21" i="1"/>
  <c r="L39" i="10"/>
  <c r="L39" i="14"/>
  <c r="L51" i="1"/>
  <c r="Q71" i="14"/>
  <c r="Q71" i="10"/>
  <c r="P80" i="10"/>
  <c r="P80" i="14"/>
  <c r="BS80" i="1"/>
  <c r="V9" i="14"/>
  <c r="V9" i="10"/>
  <c r="H73" i="10"/>
  <c r="H73" i="14"/>
  <c r="N40" i="14"/>
  <c r="N40" i="10"/>
  <c r="N22" i="1"/>
  <c r="N52" i="1"/>
  <c r="AF71" i="14"/>
  <c r="AF71" i="10"/>
  <c r="M14" i="10"/>
  <c r="M17" i="1"/>
  <c r="M14" i="14"/>
  <c r="BO73" i="9"/>
  <c r="BQ73" i="9"/>
  <c r="E86" i="14"/>
  <c r="E89" i="1"/>
  <c r="E86" i="10"/>
  <c r="AJ72" i="14"/>
  <c r="AJ72" i="10"/>
  <c r="P9" i="14"/>
  <c r="P9" i="10"/>
  <c r="Z26" i="8"/>
  <c r="Z47" i="8"/>
  <c r="AO63" i="14"/>
  <c r="AO63" i="10"/>
  <c r="AO83" i="1"/>
  <c r="U15" i="14"/>
  <c r="U15" i="10"/>
  <c r="AD88" i="14"/>
  <c r="AD88" i="10"/>
  <c r="I72" i="14"/>
  <c r="I72" i="10"/>
  <c r="AX83" i="8"/>
  <c r="AC17" i="8"/>
  <c r="AP79" i="10"/>
  <c r="AP79" i="14"/>
  <c r="AU95" i="14"/>
  <c r="AU96" i="14" s="1"/>
  <c r="AU96" i="1"/>
  <c r="AU95" i="10"/>
  <c r="AU96" i="10" s="1"/>
  <c r="F28" i="8"/>
  <c r="AP73" i="10"/>
  <c r="AP73" i="14"/>
  <c r="AY89" i="1"/>
  <c r="AY86" i="14"/>
  <c r="AY86" i="10"/>
  <c r="M46" i="10"/>
  <c r="M28" i="1"/>
  <c r="M46" i="14"/>
  <c r="AN10" i="14"/>
  <c r="AN10" i="10"/>
  <c r="D9" i="14"/>
  <c r="D9" i="10"/>
  <c r="AW75" i="14"/>
  <c r="AW75" i="10"/>
  <c r="AD93" i="8"/>
  <c r="AM52" i="1"/>
  <c r="AM40" i="10"/>
  <c r="AM40" i="14"/>
  <c r="AM22" i="1"/>
  <c r="W17" i="8"/>
  <c r="AP58" i="8"/>
  <c r="P93" i="1"/>
  <c r="P91" i="10"/>
  <c r="P91" i="14"/>
  <c r="BS91" i="1"/>
  <c r="AX96" i="8"/>
  <c r="AT91" i="14"/>
  <c r="AT93" i="1"/>
  <c r="AT91" i="10"/>
  <c r="AC14" i="14"/>
  <c r="AC17" i="1"/>
  <c r="AC14" i="10"/>
  <c r="J64" i="14"/>
  <c r="J64" i="10"/>
  <c r="V71" i="10"/>
  <c r="V71" i="14"/>
  <c r="K88" i="10"/>
  <c r="K88" i="14"/>
  <c r="I47" i="8"/>
  <c r="I29" i="8" s="1"/>
  <c r="I26" i="8"/>
  <c r="AQ15" i="14"/>
  <c r="AQ15" i="10"/>
  <c r="AS16" i="14"/>
  <c r="AS16" i="10"/>
  <c r="AO73" i="10"/>
  <c r="AO73" i="14"/>
  <c r="K67" i="14"/>
  <c r="K67" i="10"/>
  <c r="U96" i="8"/>
  <c r="AF95" i="10"/>
  <c r="AF96" i="1"/>
  <c r="AF95" i="14"/>
  <c r="AF96" i="14" s="1"/>
  <c r="E78" i="14"/>
  <c r="E78" i="10"/>
  <c r="AH80" i="14"/>
  <c r="AH80" i="10"/>
  <c r="BT74" i="8"/>
  <c r="AT9" i="10"/>
  <c r="AT9" i="14"/>
  <c r="AO28" i="8"/>
  <c r="AI10" i="10"/>
  <c r="AI10" i="14"/>
  <c r="BS67" i="8"/>
  <c r="AQ81" i="10"/>
  <c r="AQ81" i="14"/>
  <c r="J56" i="14"/>
  <c r="J56" i="10"/>
  <c r="J58" i="1"/>
  <c r="AH64" i="14"/>
  <c r="AH64" i="10"/>
  <c r="D64" i="14"/>
  <c r="D64" i="10"/>
  <c r="BT64" i="1"/>
  <c r="Q93" i="9"/>
  <c r="Q38" i="10"/>
  <c r="Q20" i="1"/>
  <c r="Q50" i="1"/>
  <c r="Q41" i="1"/>
  <c r="Q38" i="14"/>
  <c r="AV96" i="9"/>
  <c r="G8" i="10"/>
  <c r="G11" i="1"/>
  <c r="G8" i="14"/>
  <c r="AU76" i="14"/>
  <c r="AU76" i="10"/>
  <c r="AS26" i="1"/>
  <c r="AS44" i="10"/>
  <c r="AS47" i="1"/>
  <c r="AS44" i="14"/>
  <c r="Q69" i="14"/>
  <c r="Q69" i="10"/>
  <c r="AB78" i="14"/>
  <c r="AB78" i="10"/>
  <c r="BR78" i="1"/>
  <c r="U95" i="14"/>
  <c r="U96" i="14" s="1"/>
  <c r="U95" i="10"/>
  <c r="U96" i="10" s="1"/>
  <c r="U96" i="1"/>
  <c r="AG17" i="8"/>
  <c r="AO66" i="14"/>
  <c r="AO66" i="10"/>
  <c r="U88" i="14"/>
  <c r="U88" i="10"/>
  <c r="X15" i="14"/>
  <c r="X15" i="10"/>
  <c r="AM93" i="1"/>
  <c r="AM91" i="10"/>
  <c r="AM93" i="10" s="1"/>
  <c r="AM91" i="14"/>
  <c r="BO76" i="8"/>
  <c r="BQ76" i="8"/>
  <c r="Y68" i="14"/>
  <c r="Y68" i="10"/>
  <c r="AK27" i="8"/>
  <c r="AA95" i="10"/>
  <c r="AA96" i="10" s="1"/>
  <c r="AA95" i="14"/>
  <c r="AA96" i="14" s="1"/>
  <c r="AA96" i="1"/>
  <c r="W26" i="8"/>
  <c r="W47" i="8"/>
  <c r="T74" i="10"/>
  <c r="T74" i="14"/>
  <c r="AB10" i="10"/>
  <c r="AB10" i="14"/>
  <c r="AB75" i="10"/>
  <c r="AB75" i="14"/>
  <c r="BR75" i="1"/>
  <c r="AQ75" i="10"/>
  <c r="AQ75" i="14"/>
  <c r="AW89" i="8"/>
  <c r="AK79" i="14"/>
  <c r="AK79" i="10"/>
  <c r="AG9" i="14"/>
  <c r="AG9" i="10"/>
  <c r="O83" i="9"/>
  <c r="AV66" i="14"/>
  <c r="AV66" i="10"/>
  <c r="P82" i="14"/>
  <c r="P82" i="10"/>
  <c r="BS82" i="1"/>
  <c r="AP87" i="14"/>
  <c r="AP87" i="10"/>
  <c r="AF16" i="10"/>
  <c r="AF16" i="14"/>
  <c r="AI9" i="10"/>
  <c r="AI9" i="14"/>
  <c r="J40" i="10"/>
  <c r="J52" i="1"/>
  <c r="J40" i="14"/>
  <c r="J22" i="1"/>
  <c r="AO96" i="8"/>
  <c r="V92" i="14"/>
  <c r="V92" i="10"/>
  <c r="BS16" i="8"/>
  <c r="CA16" i="8"/>
  <c r="AX82" i="10"/>
  <c r="AX82" i="14"/>
  <c r="AJ64" i="14"/>
  <c r="AJ64" i="10"/>
  <c r="L93" i="1"/>
  <c r="L91" i="10"/>
  <c r="L91" i="14"/>
  <c r="F65" i="10"/>
  <c r="F65" i="14"/>
  <c r="X68" i="14"/>
  <c r="X68" i="10"/>
  <c r="D80" i="10"/>
  <c r="D80" i="14"/>
  <c r="BT80" i="1"/>
  <c r="Q58" i="1"/>
  <c r="Q56" i="14"/>
  <c r="Q56" i="10"/>
  <c r="Y10" i="14"/>
  <c r="Y10" i="10"/>
  <c r="E87" i="14"/>
  <c r="E87" i="10"/>
  <c r="T92" i="14"/>
  <c r="T92" i="10"/>
  <c r="BR10" i="9"/>
  <c r="AV69" i="14"/>
  <c r="AV69" i="10"/>
  <c r="H58" i="1"/>
  <c r="H56" i="10"/>
  <c r="H56" i="14"/>
  <c r="AE9" i="14"/>
  <c r="AE9" i="10"/>
  <c r="J91" i="10"/>
  <c r="J93" i="1"/>
  <c r="J91" i="14"/>
  <c r="BO45" i="1"/>
  <c r="AN45" i="14"/>
  <c r="AN27" i="1"/>
  <c r="AN45" i="10"/>
  <c r="BQ45" i="1"/>
  <c r="AN9" i="14"/>
  <c r="AN9" i="10"/>
  <c r="AF86" i="14"/>
  <c r="AF89" i="1"/>
  <c r="AF86" i="10"/>
  <c r="T93" i="8"/>
  <c r="P66" i="14"/>
  <c r="P66" i="10"/>
  <c r="BS66" i="1"/>
  <c r="W14" i="14"/>
  <c r="W17" i="1"/>
  <c r="W14" i="10"/>
  <c r="AX91" i="10"/>
  <c r="AX91" i="14"/>
  <c r="AX93" i="1"/>
  <c r="AD82" i="10"/>
  <c r="AD82" i="14"/>
  <c r="AK92" i="14"/>
  <c r="AK92" i="10"/>
  <c r="AM65" i="14"/>
  <c r="AM65" i="10"/>
  <c r="AD11" i="8"/>
  <c r="AC56" i="14"/>
  <c r="AC58" i="1"/>
  <c r="AC56" i="10"/>
  <c r="I69" i="14"/>
  <c r="I69" i="10"/>
  <c r="U79" i="14"/>
  <c r="U79" i="10"/>
  <c r="S47" i="8"/>
  <c r="S26" i="8"/>
  <c r="AY26" i="8"/>
  <c r="AY47" i="8"/>
  <c r="Z74" i="14"/>
  <c r="Z74" i="10"/>
  <c r="Y77" i="14"/>
  <c r="Y77" i="10"/>
  <c r="P87" i="10"/>
  <c r="P87" i="14"/>
  <c r="BS87" i="1"/>
  <c r="W52" i="8"/>
  <c r="W22" i="8"/>
  <c r="W34" i="8" s="1"/>
  <c r="AA26" i="9"/>
  <c r="AA47" i="9"/>
  <c r="AU93" i="8"/>
  <c r="S28" i="1"/>
  <c r="S46" i="14"/>
  <c r="S46" i="10"/>
  <c r="AF76" i="10"/>
  <c r="AF76" i="14"/>
  <c r="AI70" i="10"/>
  <c r="AI70" i="14"/>
  <c r="K57" i="14"/>
  <c r="K57" i="10"/>
  <c r="F71" i="10"/>
  <c r="F71" i="14"/>
  <c r="N70" i="14"/>
  <c r="N70" i="10"/>
  <c r="AB92" i="10"/>
  <c r="AB92" i="14"/>
  <c r="BR92" i="1"/>
  <c r="W95" i="10"/>
  <c r="W96" i="10" s="1"/>
  <c r="W96" i="1"/>
  <c r="W95" i="14"/>
  <c r="W96" i="14" s="1"/>
  <c r="AS83" i="8"/>
  <c r="M58" i="8"/>
  <c r="F58" i="8"/>
  <c r="I21" i="8"/>
  <c r="I51" i="8"/>
  <c r="AY11" i="8"/>
  <c r="AY102" i="8" s="1"/>
  <c r="M87" i="10"/>
  <c r="M87" i="14"/>
  <c r="P92" i="14"/>
  <c r="P92" i="10"/>
  <c r="BS92" i="1"/>
  <c r="AB46" i="14"/>
  <c r="AB46" i="10"/>
  <c r="AB28" i="1"/>
  <c r="BR46" i="1"/>
  <c r="AQ27" i="8"/>
  <c r="AC68" i="14"/>
  <c r="AC68" i="10"/>
  <c r="T96" i="8"/>
  <c r="AT76" i="14"/>
  <c r="AT76" i="10"/>
  <c r="K79" i="14"/>
  <c r="K79" i="10"/>
  <c r="R63" i="10"/>
  <c r="R83" i="1"/>
  <c r="R63" i="14"/>
  <c r="S27" i="8"/>
  <c r="AS77" i="14"/>
  <c r="AS77" i="10"/>
  <c r="AA93" i="8"/>
  <c r="AN8" i="14"/>
  <c r="AN8" i="10"/>
  <c r="AN11" i="1"/>
  <c r="AT63" i="14"/>
  <c r="AT63" i="10"/>
  <c r="AT83" i="1"/>
  <c r="E73" i="14"/>
  <c r="E73" i="10"/>
  <c r="AS80" i="10"/>
  <c r="AS80" i="14"/>
  <c r="T89" i="8"/>
  <c r="AJ38" i="10"/>
  <c r="AJ50" i="10" s="1"/>
  <c r="AJ50" i="1"/>
  <c r="AJ38" i="14"/>
  <c r="AJ41" i="1"/>
  <c r="AJ20" i="1"/>
  <c r="AP26" i="8"/>
  <c r="AP47" i="8"/>
  <c r="AE52" i="1"/>
  <c r="AE22" i="1"/>
  <c r="AE34" i="1" s="1"/>
  <c r="AE40" i="14"/>
  <c r="AE40" i="10"/>
  <c r="AE22" i="10" s="1"/>
  <c r="Z40" i="10"/>
  <c r="Z52" i="1"/>
  <c r="Z22" i="1"/>
  <c r="Z40" i="14"/>
  <c r="W10" i="10"/>
  <c r="W10" i="14"/>
  <c r="AK10" i="14"/>
  <c r="AK10" i="10"/>
  <c r="Y96" i="8"/>
  <c r="AL96" i="1"/>
  <c r="AL95" i="14"/>
  <c r="AL96" i="14" s="1"/>
  <c r="AL95" i="10"/>
  <c r="AL96" i="10" s="1"/>
  <c r="X72" i="14"/>
  <c r="X72" i="10"/>
  <c r="F58" i="9"/>
  <c r="AI96" i="8"/>
  <c r="AE65" i="10"/>
  <c r="AE65" i="14"/>
  <c r="G16" i="14"/>
  <c r="G16" i="10"/>
  <c r="AH75" i="10"/>
  <c r="AH75" i="14"/>
  <c r="AS45" i="14"/>
  <c r="AS45" i="10"/>
  <c r="AS27" i="1"/>
  <c r="U45" i="14"/>
  <c r="U27" i="1"/>
  <c r="U45" i="10"/>
  <c r="Y17" i="9"/>
  <c r="AA17" i="8"/>
  <c r="AA29" i="8" s="1"/>
  <c r="E91" i="14"/>
  <c r="E93" i="1"/>
  <c r="E91" i="10"/>
  <c r="P45" i="10"/>
  <c r="P27" i="1"/>
  <c r="P45" i="14"/>
  <c r="BS45" i="1"/>
  <c r="AD21" i="8"/>
  <c r="AD33" i="8" s="1"/>
  <c r="AD51" i="8"/>
  <c r="W67" i="14"/>
  <c r="W67" i="10"/>
  <c r="AI83" i="8"/>
  <c r="O51" i="8"/>
  <c r="O21" i="8"/>
  <c r="O33" i="8" s="1"/>
  <c r="AI52" i="1"/>
  <c r="AI22" i="1"/>
  <c r="AI34" i="1" s="1"/>
  <c r="AI40" i="14"/>
  <c r="AI40" i="10"/>
  <c r="AJ80" i="14"/>
  <c r="AJ80" i="10"/>
  <c r="AQ66" i="14"/>
  <c r="AQ66" i="10"/>
  <c r="L41" i="8"/>
  <c r="L53" i="8" s="1"/>
  <c r="L60" i="8" s="1"/>
  <c r="L50" i="8"/>
  <c r="L20" i="8"/>
  <c r="L32" i="8" s="1"/>
  <c r="S69" i="10"/>
  <c r="S69" i="14"/>
  <c r="AT68" i="14"/>
  <c r="AT68" i="10"/>
  <c r="V91" i="14"/>
  <c r="V91" i="10"/>
  <c r="V93" i="1"/>
  <c r="AY88" i="10"/>
  <c r="AY88" i="14"/>
  <c r="AF28" i="8"/>
  <c r="AB9" i="14"/>
  <c r="AB9" i="10"/>
  <c r="S73" i="14"/>
  <c r="S73" i="10"/>
  <c r="H52" i="8"/>
  <c r="H22" i="8"/>
  <c r="AA39" i="10"/>
  <c r="AA39" i="14"/>
  <c r="AA21" i="1"/>
  <c r="AA51" i="1"/>
  <c r="I68" i="14"/>
  <c r="I68" i="10"/>
  <c r="S71" i="14"/>
  <c r="S71" i="10"/>
  <c r="L77" i="14"/>
  <c r="L77" i="10"/>
  <c r="AL81" i="14"/>
  <c r="AL81" i="10"/>
  <c r="AS76" i="14"/>
  <c r="AS76" i="10"/>
  <c r="E16" i="14"/>
  <c r="E16" i="10"/>
  <c r="G74" i="10"/>
  <c r="G74" i="14"/>
  <c r="AR83" i="1"/>
  <c r="AR63" i="10"/>
  <c r="AR63" i="14"/>
  <c r="X77" i="14"/>
  <c r="X77" i="10"/>
  <c r="AT96" i="8"/>
  <c r="E9" i="10"/>
  <c r="E9" i="14"/>
  <c r="AJ10" i="10"/>
  <c r="AJ10" i="14"/>
  <c r="AC75" i="10"/>
  <c r="AC75" i="14"/>
  <c r="AK28" i="1"/>
  <c r="AK46" i="10"/>
  <c r="AK46" i="14"/>
  <c r="Q78" i="14"/>
  <c r="Q78" i="10"/>
  <c r="AA70" i="14"/>
  <c r="AA70" i="10"/>
  <c r="X9" i="14"/>
  <c r="X9" i="10"/>
  <c r="AG96" i="8"/>
  <c r="N96" i="1"/>
  <c r="N95" i="10"/>
  <c r="N96" i="10" s="1"/>
  <c r="N95" i="14"/>
  <c r="N96" i="14" s="1"/>
  <c r="I77" i="14"/>
  <c r="I77" i="10"/>
  <c r="N45" i="10"/>
  <c r="N45" i="14"/>
  <c r="N27" i="1"/>
  <c r="AS69" i="14"/>
  <c r="AS69" i="10"/>
  <c r="AV8" i="14"/>
  <c r="AV8" i="10"/>
  <c r="AV11" i="1"/>
  <c r="AO67" i="14"/>
  <c r="AO67" i="10"/>
  <c r="AU64" i="14"/>
  <c r="AU64" i="10"/>
  <c r="AU83" i="1"/>
  <c r="AU63" i="10"/>
  <c r="AU63" i="14"/>
  <c r="L72" i="10"/>
  <c r="L72" i="14"/>
  <c r="AA78" i="10"/>
  <c r="AA78" i="14"/>
  <c r="AM28" i="8"/>
  <c r="AC16" i="14"/>
  <c r="AC16" i="10"/>
  <c r="O88" i="14"/>
  <c r="O88" i="10"/>
  <c r="AS58" i="8"/>
  <c r="AQ89" i="1"/>
  <c r="AQ86" i="10"/>
  <c r="AQ86" i="14"/>
  <c r="AI63" i="14"/>
  <c r="AI83" i="1"/>
  <c r="AI63" i="10"/>
  <c r="AO75" i="14"/>
  <c r="AO75" i="10"/>
  <c r="G10" i="10"/>
  <c r="G10" i="14"/>
  <c r="AD75" i="14"/>
  <c r="AD75" i="10"/>
  <c r="Z10" i="14"/>
  <c r="Z10" i="10"/>
  <c r="AI16" i="10"/>
  <c r="AI16" i="14"/>
  <c r="AW15" i="14"/>
  <c r="AW15" i="10"/>
  <c r="AV58" i="8"/>
  <c r="AY75" i="14"/>
  <c r="AY75" i="10"/>
  <c r="G27" i="8"/>
  <c r="AF87" i="10"/>
  <c r="AF87" i="14"/>
  <c r="AG20" i="8"/>
  <c r="AG32" i="8" s="1"/>
  <c r="AG50" i="8"/>
  <c r="AG41" i="8"/>
  <c r="N68" i="10"/>
  <c r="N68" i="14"/>
  <c r="AO72" i="14"/>
  <c r="AO72" i="10"/>
  <c r="AX51" i="1"/>
  <c r="AX39" i="14"/>
  <c r="AX21" i="14" s="1"/>
  <c r="AX21" i="1"/>
  <c r="AX39" i="10"/>
  <c r="AX21" i="10" s="1"/>
  <c r="AD69" i="14"/>
  <c r="AD69" i="10"/>
  <c r="R14" i="14"/>
  <c r="R14" i="10"/>
  <c r="R17" i="1"/>
  <c r="S67" i="14"/>
  <c r="S67" i="10"/>
  <c r="AM88" i="10"/>
  <c r="AM88" i="14"/>
  <c r="AG78" i="10"/>
  <c r="AG78" i="14"/>
  <c r="I65" i="14"/>
  <c r="I65" i="10"/>
  <c r="O83" i="1"/>
  <c r="O63" i="10"/>
  <c r="O63" i="14"/>
  <c r="U52" i="1"/>
  <c r="U40" i="14"/>
  <c r="U40" i="10"/>
  <c r="U22" i="1"/>
  <c r="L27" i="1"/>
  <c r="L45" i="14"/>
  <c r="L51" i="14" s="1"/>
  <c r="L45" i="10"/>
  <c r="AU86" i="14"/>
  <c r="AU86" i="10"/>
  <c r="AU89" i="1"/>
  <c r="D70" i="14"/>
  <c r="D70" i="10"/>
  <c r="BT70" i="1"/>
  <c r="J73" i="10"/>
  <c r="J73" i="14"/>
  <c r="M16" i="14"/>
  <c r="M16" i="10"/>
  <c r="AP82" i="10"/>
  <c r="AP82" i="14"/>
  <c r="AR56" i="10"/>
  <c r="AR58" i="1"/>
  <c r="AR56" i="14"/>
  <c r="AX79" i="10"/>
  <c r="AX79" i="14"/>
  <c r="S21" i="8"/>
  <c r="S51" i="8"/>
  <c r="H91" i="14"/>
  <c r="H93" i="1"/>
  <c r="H91" i="10"/>
  <c r="T26" i="1"/>
  <c r="T44" i="10"/>
  <c r="T47" i="1"/>
  <c r="T44" i="14"/>
  <c r="M67" i="14"/>
  <c r="M67" i="10"/>
  <c r="AG83" i="8"/>
  <c r="P78" i="14"/>
  <c r="P78" i="10"/>
  <c r="BS78" i="1"/>
  <c r="Z78" i="10"/>
  <c r="Z78" i="14"/>
  <c r="AV74" i="14"/>
  <c r="AV74" i="10"/>
  <c r="D47" i="1"/>
  <c r="D44" i="14"/>
  <c r="D47" i="14" s="1"/>
  <c r="D26" i="1"/>
  <c r="D44" i="10"/>
  <c r="BT44" i="1"/>
  <c r="K81" i="14"/>
  <c r="K81" i="10"/>
  <c r="Y64" i="14"/>
  <c r="Y64" i="10"/>
  <c r="F47" i="1"/>
  <c r="F44" i="14"/>
  <c r="F26" i="1"/>
  <c r="F44" i="10"/>
  <c r="AU15" i="14"/>
  <c r="AU15" i="10"/>
  <c r="AU27" i="10" s="1"/>
  <c r="AT57" i="10"/>
  <c r="AT57" i="14"/>
  <c r="X75" i="14"/>
  <c r="X75" i="10"/>
  <c r="AC64" i="10"/>
  <c r="AC64" i="14"/>
  <c r="O68" i="14"/>
  <c r="O68" i="10"/>
  <c r="Y27" i="1"/>
  <c r="Y45" i="10"/>
  <c r="Y45" i="14"/>
  <c r="K73" i="14"/>
  <c r="K73" i="10"/>
  <c r="W50" i="9"/>
  <c r="W41" i="9"/>
  <c r="W20" i="9"/>
  <c r="W32" i="9" s="1"/>
  <c r="AQ40" i="10"/>
  <c r="AQ52" i="1"/>
  <c r="AQ40" i="14"/>
  <c r="AQ22" i="1"/>
  <c r="AW89" i="9"/>
  <c r="I83" i="8"/>
  <c r="AS96" i="8"/>
  <c r="AD86" i="10"/>
  <c r="AD89" i="1"/>
  <c r="AD86" i="14"/>
  <c r="AN79" i="14"/>
  <c r="BO79" i="1"/>
  <c r="AN79" i="10"/>
  <c r="BQ79" i="1"/>
  <c r="K76" i="14"/>
  <c r="K76" i="10"/>
  <c r="Q95" i="14"/>
  <c r="Q96" i="14" s="1"/>
  <c r="Q95" i="10"/>
  <c r="Q96" i="10" s="1"/>
  <c r="Q96" i="1"/>
  <c r="H11" i="8"/>
  <c r="BT102" i="8" s="1"/>
  <c r="BT8" i="8"/>
  <c r="AX73" i="10"/>
  <c r="AX73" i="14"/>
  <c r="BS81" i="8"/>
  <c r="AA76" i="10"/>
  <c r="AA76" i="14"/>
  <c r="AW64" i="10"/>
  <c r="AW64" i="14"/>
  <c r="AE64" i="14"/>
  <c r="AE64" i="10"/>
  <c r="AA46" i="10"/>
  <c r="AA52" i="10" s="1"/>
  <c r="AA46" i="14"/>
  <c r="AA28" i="1"/>
  <c r="AU87" i="14"/>
  <c r="AU87" i="10"/>
  <c r="AH76" i="14"/>
  <c r="AH76" i="10"/>
  <c r="E17" i="8"/>
  <c r="AL91" i="10"/>
  <c r="AL93" i="1"/>
  <c r="AL91" i="14"/>
  <c r="AS68" i="14"/>
  <c r="AS68" i="10"/>
  <c r="AR15" i="14"/>
  <c r="AR15" i="10"/>
  <c r="Q81" i="14"/>
  <c r="Q81" i="10"/>
  <c r="I82" i="14"/>
  <c r="I82" i="10"/>
  <c r="AI79" i="10"/>
  <c r="AI79" i="14"/>
  <c r="F87" i="14"/>
  <c r="F87" i="10"/>
  <c r="AH46" i="14"/>
  <c r="AH28" i="1"/>
  <c r="AH46" i="10"/>
  <c r="E88" i="14"/>
  <c r="E88" i="10"/>
  <c r="BR67" i="8"/>
  <c r="M51" i="1"/>
  <c r="M21" i="1"/>
  <c r="M39" i="14"/>
  <c r="M39" i="10"/>
  <c r="AJ86" i="10"/>
  <c r="AJ86" i="14"/>
  <c r="AJ89" i="1"/>
  <c r="W9" i="10"/>
  <c r="W9" i="14"/>
  <c r="T15" i="10"/>
  <c r="T15" i="14"/>
  <c r="Y73" i="10"/>
  <c r="Y73" i="14"/>
  <c r="AC95" i="14"/>
  <c r="AC96" i="14" s="1"/>
  <c r="AC95" i="10"/>
  <c r="AC96" i="10" s="1"/>
  <c r="AC96" i="1"/>
  <c r="K14" i="14"/>
  <c r="K26" i="14" s="1"/>
  <c r="K14" i="10"/>
  <c r="K17" i="1"/>
  <c r="V16" i="10"/>
  <c r="V16" i="14"/>
  <c r="Y76" i="14"/>
  <c r="Y76" i="10"/>
  <c r="AM26" i="1"/>
  <c r="AM44" i="14"/>
  <c r="AM47" i="1"/>
  <c r="AM44" i="10"/>
  <c r="AM66" i="14"/>
  <c r="AM66" i="10"/>
  <c r="F14" i="10"/>
  <c r="F14" i="14"/>
  <c r="F17" i="1"/>
  <c r="R73" i="14"/>
  <c r="R73" i="10"/>
  <c r="AQ82" i="10"/>
  <c r="AQ82" i="14"/>
  <c r="AK65" i="14"/>
  <c r="AK65" i="10"/>
  <c r="T82" i="14"/>
  <c r="T82" i="10"/>
  <c r="AW10" i="14"/>
  <c r="AW10" i="10"/>
  <c r="V95" i="14"/>
  <c r="V96" i="14" s="1"/>
  <c r="V96" i="1"/>
  <c r="V95" i="10"/>
  <c r="V96" i="10" s="1"/>
  <c r="K10" i="14"/>
  <c r="K10" i="10"/>
  <c r="F27" i="8"/>
  <c r="E82" i="10"/>
  <c r="E82" i="14"/>
  <c r="F76" i="14"/>
  <c r="F76" i="10"/>
  <c r="G96" i="8"/>
  <c r="X96" i="8"/>
  <c r="AA82" i="14"/>
  <c r="AA82" i="10"/>
  <c r="P79" i="10"/>
  <c r="P79" i="14"/>
  <c r="BS79" i="1"/>
  <c r="AY52" i="1"/>
  <c r="AY40" i="10"/>
  <c r="AY40" i="14"/>
  <c r="AY22" i="1"/>
  <c r="L95" i="10"/>
  <c r="L96" i="10" s="1"/>
  <c r="L95" i="14"/>
  <c r="L96" i="14" s="1"/>
  <c r="L96" i="1"/>
  <c r="AX74" i="10"/>
  <c r="AX74" i="14"/>
  <c r="AN78" i="10"/>
  <c r="AN78" i="14"/>
  <c r="BO78" i="1"/>
  <c r="BQ78" i="1"/>
  <c r="AL10" i="10"/>
  <c r="AL10" i="14"/>
  <c r="AB73" i="10"/>
  <c r="AB73" i="14"/>
  <c r="BR73" i="1"/>
  <c r="O95" i="14"/>
  <c r="O96" i="14" s="1"/>
  <c r="O95" i="10"/>
  <c r="O96" i="10" s="1"/>
  <c r="O96" i="1"/>
  <c r="AK87" i="14"/>
  <c r="AK87" i="10"/>
  <c r="P95" i="14"/>
  <c r="P96" i="14" s="1"/>
  <c r="P96" i="1"/>
  <c r="P95" i="10"/>
  <c r="P96" i="10" s="1"/>
  <c r="BS95" i="1"/>
  <c r="BS96" i="1" s="1"/>
  <c r="AT71" i="10"/>
  <c r="AT71" i="14"/>
  <c r="E44" i="10"/>
  <c r="E47" i="10" s="1"/>
  <c r="E26" i="1"/>
  <c r="E47" i="1"/>
  <c r="E44" i="14"/>
  <c r="AR57" i="10"/>
  <c r="AR57" i="14"/>
  <c r="L73" i="14"/>
  <c r="L73" i="10"/>
  <c r="BR66" i="9"/>
  <c r="V63" i="10"/>
  <c r="V83" i="1"/>
  <c r="V63" i="14"/>
  <c r="AO69" i="10"/>
  <c r="AO69" i="14"/>
  <c r="S56" i="14"/>
  <c r="S56" i="10"/>
  <c r="S58" i="1"/>
  <c r="G66" i="14"/>
  <c r="G66" i="10"/>
  <c r="AG39" i="14"/>
  <c r="AG51" i="1"/>
  <c r="AG21" i="1"/>
  <c r="AG39" i="10"/>
  <c r="M70" i="14"/>
  <c r="M70" i="10"/>
  <c r="W68" i="14"/>
  <c r="W68" i="10"/>
  <c r="L44" i="10"/>
  <c r="L47" i="1"/>
  <c r="L26" i="1"/>
  <c r="L44" i="14"/>
  <c r="AB69" i="10"/>
  <c r="AB69" i="14"/>
  <c r="BR69" i="1"/>
  <c r="AN88" i="14"/>
  <c r="BO88" i="1"/>
  <c r="BQ88" i="1"/>
  <c r="AN88" i="10"/>
  <c r="AU28" i="8"/>
  <c r="H88" i="14"/>
  <c r="H88" i="10"/>
  <c r="AB67" i="14"/>
  <c r="BR67" i="1"/>
  <c r="AB67" i="10"/>
  <c r="G64" i="14"/>
  <c r="G64" i="10"/>
  <c r="AQ95" i="10"/>
  <c r="AQ95" i="14"/>
  <c r="AQ96" i="14" s="1"/>
  <c r="AQ96" i="1"/>
  <c r="AR14" i="10"/>
  <c r="AR14" i="14"/>
  <c r="AR17" i="1"/>
  <c r="AQ70" i="14"/>
  <c r="AQ70" i="10"/>
  <c r="N63" i="10"/>
  <c r="N83" i="1"/>
  <c r="N63" i="14"/>
  <c r="F8" i="10"/>
  <c r="F11" i="1"/>
  <c r="F8" i="14"/>
  <c r="AO16" i="14"/>
  <c r="AO16" i="10"/>
  <c r="AJ74" i="10"/>
  <c r="AJ74" i="14"/>
  <c r="N81" i="14"/>
  <c r="N81" i="10"/>
  <c r="AJ14" i="14"/>
  <c r="AJ17" i="1"/>
  <c r="AJ14" i="10"/>
  <c r="AV38" i="14"/>
  <c r="AV20" i="1"/>
  <c r="AV38" i="10"/>
  <c r="AV50" i="1"/>
  <c r="AV41" i="1"/>
  <c r="H78" i="14"/>
  <c r="H78" i="10"/>
  <c r="J70" i="10"/>
  <c r="J70" i="14"/>
  <c r="AP40" i="10"/>
  <c r="AP52" i="1"/>
  <c r="AP40" i="14"/>
  <c r="AP22" i="1"/>
  <c r="P44" i="14"/>
  <c r="P26" i="1"/>
  <c r="P44" i="10"/>
  <c r="P47" i="1"/>
  <c r="BS44" i="1"/>
  <c r="H81" i="14"/>
  <c r="H81" i="10"/>
  <c r="E14" i="14"/>
  <c r="E17" i="1"/>
  <c r="E14" i="10"/>
  <c r="V69" i="14"/>
  <c r="V69" i="10"/>
  <c r="AM58" i="8"/>
  <c r="J52" i="8"/>
  <c r="J22" i="8"/>
  <c r="D58" i="1"/>
  <c r="D56" i="10"/>
  <c r="D56" i="14"/>
  <c r="BT56" i="1"/>
  <c r="Q96" i="8"/>
  <c r="AC87" i="10"/>
  <c r="AC87" i="14"/>
  <c r="AR38" i="14"/>
  <c r="AR50" i="1"/>
  <c r="AR20" i="1"/>
  <c r="AR38" i="10"/>
  <c r="AR41" i="1"/>
  <c r="AS78" i="14"/>
  <c r="AS78" i="10"/>
  <c r="AS9" i="14"/>
  <c r="AS9" i="10"/>
  <c r="AA83" i="1"/>
  <c r="AA63" i="10"/>
  <c r="AA63" i="14"/>
  <c r="AF88" i="10"/>
  <c r="AF88" i="14"/>
  <c r="AA86" i="14"/>
  <c r="AA86" i="10"/>
  <c r="AA89" i="1"/>
  <c r="AA52" i="1"/>
  <c r="AA40" i="14"/>
  <c r="AA22" i="1"/>
  <c r="AA40" i="10"/>
  <c r="AX69" i="10"/>
  <c r="AX69" i="14"/>
  <c r="S76" i="14"/>
  <c r="S76" i="10"/>
  <c r="D40" i="10"/>
  <c r="D52" i="1"/>
  <c r="D40" i="14"/>
  <c r="D22" i="1"/>
  <c r="BT40" i="1"/>
  <c r="L67" i="10"/>
  <c r="L67" i="14"/>
  <c r="N38" i="10"/>
  <c r="N20" i="1"/>
  <c r="N50" i="1"/>
  <c r="N41" i="1"/>
  <c r="N38" i="14"/>
  <c r="AY89" i="9"/>
  <c r="Q45" i="14"/>
  <c r="Q45" i="10"/>
  <c r="Q51" i="10" s="1"/>
  <c r="Q27" i="1"/>
  <c r="Q33" i="1" s="1"/>
  <c r="AE76" i="10"/>
  <c r="AE76" i="14"/>
  <c r="K46" i="10"/>
  <c r="K46" i="14"/>
  <c r="K28" i="1"/>
  <c r="AO8" i="10"/>
  <c r="AO11" i="1"/>
  <c r="AP102" i="1" s="1"/>
  <c r="AO8" i="14"/>
  <c r="Z87" i="10"/>
  <c r="Z87" i="14"/>
  <c r="I56" i="14"/>
  <c r="I58" i="1"/>
  <c r="I56" i="10"/>
  <c r="AS64" i="14"/>
  <c r="AS64" i="10"/>
  <c r="AX92" i="14"/>
  <c r="AX92" i="10"/>
  <c r="T73" i="10"/>
  <c r="T73" i="14"/>
  <c r="AR64" i="14"/>
  <c r="AR64" i="10"/>
  <c r="D57" i="14"/>
  <c r="D57" i="10"/>
  <c r="BT57" i="1"/>
  <c r="AW65" i="14"/>
  <c r="AW65" i="10"/>
  <c r="S93" i="8"/>
  <c r="AA89" i="8"/>
  <c r="AB57" i="10"/>
  <c r="AB57" i="14"/>
  <c r="BR57" i="1"/>
  <c r="AS28" i="1"/>
  <c r="AS46" i="10"/>
  <c r="AS28" i="10" s="1"/>
  <c r="AS46" i="14"/>
  <c r="AS28" i="14" s="1"/>
  <c r="G79" i="14"/>
  <c r="G79" i="10"/>
  <c r="AT79" i="14"/>
  <c r="AT79" i="10"/>
  <c r="AQ80" i="14"/>
  <c r="AQ80" i="10"/>
  <c r="L71" i="14"/>
  <c r="L71" i="10"/>
  <c r="E96" i="9"/>
  <c r="AJ68" i="14"/>
  <c r="AJ68" i="10"/>
  <c r="AX22" i="8"/>
  <c r="AX52" i="8"/>
  <c r="AX75" i="10"/>
  <c r="AX75" i="14"/>
  <c r="AV80" i="10"/>
  <c r="AV80" i="14"/>
  <c r="AW46" i="14"/>
  <c r="AW28" i="1"/>
  <c r="AW46" i="10"/>
  <c r="AO10" i="14"/>
  <c r="AO10" i="10"/>
  <c r="AW27" i="1"/>
  <c r="AW45" i="14"/>
  <c r="AW45" i="10"/>
  <c r="N73" i="10"/>
  <c r="N73" i="14"/>
  <c r="Q79" i="10"/>
  <c r="Q79" i="14"/>
  <c r="H80" i="14"/>
  <c r="H80" i="10"/>
  <c r="AN92" i="14"/>
  <c r="BQ92" i="1"/>
  <c r="AN92" i="10"/>
  <c r="BO92" i="1"/>
  <c r="AE95" i="10"/>
  <c r="AE96" i="10" s="1"/>
  <c r="AE95" i="14"/>
  <c r="AE96" i="14" s="1"/>
  <c r="AE96" i="1"/>
  <c r="BT87" i="1"/>
  <c r="D87" i="14"/>
  <c r="D87" i="10"/>
  <c r="AL76" i="14"/>
  <c r="AL76" i="10"/>
  <c r="AK89" i="1"/>
  <c r="AK86" i="10"/>
  <c r="AK86" i="14"/>
  <c r="AK89" i="14" s="1"/>
  <c r="AO40" i="14"/>
  <c r="AO52" i="1"/>
  <c r="AO22" i="1"/>
  <c r="AO40" i="10"/>
  <c r="O75" i="14"/>
  <c r="O75" i="10"/>
  <c r="M75" i="10"/>
  <c r="M75" i="14"/>
  <c r="BT16" i="8"/>
  <c r="CB16" i="8"/>
  <c r="M38" i="10"/>
  <c r="M38" i="14"/>
  <c r="M20" i="1"/>
  <c r="M50" i="1"/>
  <c r="M41" i="1"/>
  <c r="Y87" i="10"/>
  <c r="Y87" i="14"/>
  <c r="AG72" i="10"/>
  <c r="AG72" i="14"/>
  <c r="O56" i="10"/>
  <c r="O56" i="14"/>
  <c r="O58" i="1"/>
  <c r="AQ68" i="14"/>
  <c r="AQ68" i="10"/>
  <c r="O65" i="14"/>
  <c r="O65" i="10"/>
  <c r="AB87" i="14"/>
  <c r="AB87" i="10"/>
  <c r="BR87" i="1"/>
  <c r="AH45" i="14"/>
  <c r="AH27" i="14" s="1"/>
  <c r="AH45" i="10"/>
  <c r="AH27" i="1"/>
  <c r="AP14" i="10"/>
  <c r="AP17" i="1"/>
  <c r="AP14" i="14"/>
  <c r="AG40" i="14"/>
  <c r="AG22" i="14" s="1"/>
  <c r="AG40" i="10"/>
  <c r="AG22" i="1"/>
  <c r="AG52" i="1"/>
  <c r="AM68" i="14"/>
  <c r="AM68" i="10"/>
  <c r="P41" i="8"/>
  <c r="P50" i="8"/>
  <c r="P20" i="8"/>
  <c r="BS38" i="8"/>
  <c r="AW51" i="8"/>
  <c r="AW21" i="8"/>
  <c r="AW33" i="8" s="1"/>
  <c r="AY15" i="14"/>
  <c r="AY15" i="10"/>
  <c r="AE52" i="8"/>
  <c r="AE22" i="8"/>
  <c r="AE34" i="8" s="1"/>
  <c r="G78" i="10"/>
  <c r="G78" i="14"/>
  <c r="AO87" i="10"/>
  <c r="AO87" i="14"/>
  <c r="Q9" i="10"/>
  <c r="Q9" i="14"/>
  <c r="V79" i="14"/>
  <c r="V79" i="10"/>
  <c r="T56" i="14"/>
  <c r="T56" i="10"/>
  <c r="T58" i="1"/>
  <c r="M44" i="14"/>
  <c r="M26" i="1"/>
  <c r="M32" i="1" s="1"/>
  <c r="M44" i="10"/>
  <c r="M47" i="1"/>
  <c r="AI95" i="14"/>
  <c r="AI96" i="14" s="1"/>
  <c r="AI95" i="10"/>
  <c r="AI96" i="10" s="1"/>
  <c r="AI96" i="1"/>
  <c r="E68" i="10"/>
  <c r="E68" i="14"/>
  <c r="AK74" i="14"/>
  <c r="AK74" i="10"/>
  <c r="AK47" i="8"/>
  <c r="AK29" i="8" s="1"/>
  <c r="AK26" i="8"/>
  <c r="AG20" i="1"/>
  <c r="AG38" i="10"/>
  <c r="AG50" i="1"/>
  <c r="AG41" i="1"/>
  <c r="AG38" i="14"/>
  <c r="AG50" i="14" s="1"/>
  <c r="F26" i="8"/>
  <c r="F47" i="8"/>
  <c r="AN22" i="1"/>
  <c r="AN40" i="10"/>
  <c r="AN52" i="1"/>
  <c r="BO40" i="1"/>
  <c r="AN40" i="14"/>
  <c r="BQ40" i="1"/>
  <c r="L70" i="14"/>
  <c r="L70" i="10"/>
  <c r="L88" i="14"/>
  <c r="L88" i="10"/>
  <c r="E56" i="14"/>
  <c r="E56" i="10"/>
  <c r="E58" i="1"/>
  <c r="AP64" i="10"/>
  <c r="AP64" i="14"/>
  <c r="AO89" i="1"/>
  <c r="AO86" i="10"/>
  <c r="AO86" i="14"/>
  <c r="P70" i="14"/>
  <c r="P70" i="10"/>
  <c r="BS70" i="1"/>
  <c r="T71" i="10"/>
  <c r="T71" i="14"/>
  <c r="AJ51" i="1"/>
  <c r="AJ39" i="14"/>
  <c r="AJ21" i="14" s="1"/>
  <c r="AJ39" i="10"/>
  <c r="AJ21" i="1"/>
  <c r="S57" i="14"/>
  <c r="S57" i="10"/>
  <c r="Z50" i="1"/>
  <c r="Z20" i="1"/>
  <c r="Z41" i="1"/>
  <c r="Z38" i="14"/>
  <c r="Z38" i="10"/>
  <c r="AY77" i="10"/>
  <c r="AY77" i="14"/>
  <c r="W21" i="8"/>
  <c r="W51" i="8"/>
  <c r="N66" i="10"/>
  <c r="N66" i="14"/>
  <c r="U86" i="10"/>
  <c r="U86" i="14"/>
  <c r="U89" i="1"/>
  <c r="AM95" i="14"/>
  <c r="AM96" i="14" s="1"/>
  <c r="AM96" i="1"/>
  <c r="AM95" i="10"/>
  <c r="AM96" i="10" s="1"/>
  <c r="R75" i="14"/>
  <c r="R75" i="10"/>
  <c r="AO15" i="14"/>
  <c r="AO15" i="10"/>
  <c r="AQ65" i="14"/>
  <c r="AQ65" i="10"/>
  <c r="AM58" i="9"/>
  <c r="AV95" i="14"/>
  <c r="AV96" i="14" s="1"/>
  <c r="AV95" i="10"/>
  <c r="AV96" i="10" s="1"/>
  <c r="AV96" i="1"/>
  <c r="Q91" i="14"/>
  <c r="Q93" i="1"/>
  <c r="Q91" i="10"/>
  <c r="Q74" i="14"/>
  <c r="Q74" i="10"/>
  <c r="AT72" i="10"/>
  <c r="AT72" i="14"/>
  <c r="BS64" i="8"/>
  <c r="D8" i="10"/>
  <c r="D8" i="14"/>
  <c r="D11" i="1"/>
  <c r="AV87" i="10"/>
  <c r="AV87" i="14"/>
  <c r="AR83" i="8"/>
  <c r="G58" i="8"/>
  <c r="AX83" i="1"/>
  <c r="AX63" i="10"/>
  <c r="AX63" i="14"/>
  <c r="U22" i="8"/>
  <c r="U52" i="8"/>
  <c r="AJ28" i="8"/>
  <c r="AA71" i="14"/>
  <c r="AA71" i="10"/>
  <c r="AD92" i="14"/>
  <c r="AD93" i="14" s="1"/>
  <c r="AD92" i="10"/>
  <c r="AD93" i="10" s="1"/>
  <c r="AC51" i="8"/>
  <c r="AC21" i="8"/>
  <c r="AC33" i="8" s="1"/>
  <c r="AL22" i="1"/>
  <c r="AL52" i="1"/>
  <c r="AL40" i="14"/>
  <c r="AL40" i="10"/>
  <c r="AU77" i="14"/>
  <c r="AU77" i="10"/>
  <c r="AH63" i="14"/>
  <c r="AH63" i="10"/>
  <c r="AH83" i="1"/>
  <c r="I66" i="10"/>
  <c r="I66" i="14"/>
  <c r="AC77" i="14"/>
  <c r="AC77" i="10"/>
  <c r="AK96" i="8"/>
  <c r="AL64" i="14"/>
  <c r="AL64" i="10"/>
  <c r="G73" i="14"/>
  <c r="G73" i="10"/>
  <c r="BO87" i="1"/>
  <c r="BQ87" i="1"/>
  <c r="AN87" i="14"/>
  <c r="AN87" i="10"/>
  <c r="M79" i="10"/>
  <c r="M79" i="14"/>
  <c r="AN68" i="14"/>
  <c r="AN68" i="10"/>
  <c r="BO68" i="1"/>
  <c r="BQ68" i="1"/>
  <c r="Q75" i="10"/>
  <c r="Q75" i="14"/>
  <c r="AI81" i="14"/>
  <c r="AI81" i="10"/>
  <c r="AH96" i="8"/>
  <c r="AP81" i="14"/>
  <c r="AP81" i="10"/>
  <c r="AM9" i="14"/>
  <c r="AM9" i="10"/>
  <c r="AI68" i="10"/>
  <c r="AI68" i="14"/>
  <c r="F10" i="14"/>
  <c r="F10" i="10"/>
  <c r="W89" i="1"/>
  <c r="W86" i="10"/>
  <c r="W86" i="14"/>
  <c r="AP78" i="14"/>
  <c r="AP78" i="10"/>
  <c r="AW8" i="14"/>
  <c r="AW11" i="1"/>
  <c r="AW8" i="10"/>
  <c r="AB91" i="14"/>
  <c r="AB91" i="10"/>
  <c r="AB93" i="10" s="1"/>
  <c r="AB93" i="1"/>
  <c r="BR91" i="1"/>
  <c r="AQ57" i="14"/>
  <c r="AQ57" i="10"/>
  <c r="AF58" i="1"/>
  <c r="AF56" i="14"/>
  <c r="AF56" i="10"/>
  <c r="AL72" i="14"/>
  <c r="AL72" i="10"/>
  <c r="AT28" i="8"/>
  <c r="H75" i="10"/>
  <c r="H75" i="14"/>
  <c r="O80" i="10"/>
  <c r="O80" i="14"/>
  <c r="AV93" i="8"/>
  <c r="AH10" i="14"/>
  <c r="AH10" i="10"/>
  <c r="AV14" i="10"/>
  <c r="AV26" i="10" s="1"/>
  <c r="AV17" i="1"/>
  <c r="AV14" i="14"/>
  <c r="AJ17" i="8"/>
  <c r="S79" i="14"/>
  <c r="S79" i="10"/>
  <c r="U75" i="10"/>
  <c r="U75" i="14"/>
  <c r="L79" i="14"/>
  <c r="L79" i="10"/>
  <c r="AY9" i="14"/>
  <c r="AY9" i="10"/>
  <c r="AY78" i="10"/>
  <c r="AY78" i="14"/>
  <c r="AH57" i="14"/>
  <c r="AH57" i="10"/>
  <c r="N67" i="10"/>
  <c r="N67" i="14"/>
  <c r="D68" i="14"/>
  <c r="D68" i="10"/>
  <c r="BT68" i="1"/>
  <c r="AD77" i="14"/>
  <c r="AD77" i="10"/>
  <c r="Z16" i="10"/>
  <c r="Z16" i="14"/>
  <c r="X78" i="14"/>
  <c r="X78" i="10"/>
  <c r="BT75" i="8"/>
  <c r="AX11" i="1"/>
  <c r="AX8" i="10"/>
  <c r="AX8" i="14"/>
  <c r="Y56" i="10"/>
  <c r="Y58" i="10" s="1"/>
  <c r="Y58" i="1"/>
  <c r="Y56" i="14"/>
  <c r="J72" i="14"/>
  <c r="J72" i="10"/>
  <c r="S17" i="1"/>
  <c r="S14" i="10"/>
  <c r="S14" i="14"/>
  <c r="AA73" i="14"/>
  <c r="AA73" i="10"/>
  <c r="AF10" i="10"/>
  <c r="AF10" i="14"/>
  <c r="BR10" i="14" s="1"/>
  <c r="BR10" i="1"/>
  <c r="Z72" i="14"/>
  <c r="Z72" i="10"/>
  <c r="AL86" i="10"/>
  <c r="AL86" i="14"/>
  <c r="AL89" i="1"/>
  <c r="AG14" i="14"/>
  <c r="AG17" i="1"/>
  <c r="AG14" i="10"/>
  <c r="AU67" i="14"/>
  <c r="AU67" i="10"/>
  <c r="AN93" i="1"/>
  <c r="AN91" i="10"/>
  <c r="AN91" i="14"/>
  <c r="BO91" i="1"/>
  <c r="BQ91" i="1"/>
  <c r="AD72" i="14"/>
  <c r="AD72" i="10"/>
  <c r="AC67" i="14"/>
  <c r="AC67" i="10"/>
  <c r="AA38" i="14"/>
  <c r="AA50" i="1"/>
  <c r="AA41" i="1"/>
  <c r="AA20" i="1"/>
  <c r="AA38" i="10"/>
  <c r="V74" i="10"/>
  <c r="V74" i="14"/>
  <c r="G46" i="10"/>
  <c r="G46" i="14"/>
  <c r="G28" i="1"/>
  <c r="AC82" i="14"/>
  <c r="AC82" i="10"/>
  <c r="AR81" i="14"/>
  <c r="AR81" i="10"/>
  <c r="P8" i="10"/>
  <c r="P11" i="1"/>
  <c r="P8" i="14"/>
  <c r="S95" i="10"/>
  <c r="S96" i="10" s="1"/>
  <c r="S95" i="14"/>
  <c r="S96" i="14" s="1"/>
  <c r="S96" i="1"/>
  <c r="AB70" i="14"/>
  <c r="AB70" i="10"/>
  <c r="BR70" i="1"/>
  <c r="J96" i="1"/>
  <c r="J95" i="14"/>
  <c r="J96" i="14" s="1"/>
  <c r="J95" i="10"/>
  <c r="J96" i="10" s="1"/>
  <c r="AK70" i="10"/>
  <c r="AK70" i="14"/>
  <c r="D93" i="1"/>
  <c r="D91" i="10"/>
  <c r="BT91" i="1"/>
  <c r="D91" i="14"/>
  <c r="V47" i="8"/>
  <c r="V26" i="8"/>
  <c r="F45" i="10"/>
  <c r="F45" i="14"/>
  <c r="F27" i="1"/>
  <c r="AU28" i="1"/>
  <c r="AU46" i="14"/>
  <c r="AU46" i="10"/>
  <c r="AU47" i="10" s="1"/>
  <c r="Z46" i="14"/>
  <c r="Z46" i="10"/>
  <c r="Z28" i="1"/>
  <c r="F79" i="14"/>
  <c r="F79" i="10"/>
  <c r="AO57" i="14"/>
  <c r="AO57" i="10"/>
  <c r="BR8" i="1"/>
  <c r="AF8" i="10"/>
  <c r="AF8" i="14"/>
  <c r="AF11" i="1"/>
  <c r="AN74" i="10"/>
  <c r="AN74" i="14"/>
  <c r="BO74" i="1"/>
  <c r="BQ74" i="1"/>
  <c r="K89" i="8"/>
  <c r="AI17" i="8"/>
  <c r="AF77" i="10"/>
  <c r="AF77" i="14"/>
  <c r="D86" i="14"/>
  <c r="D86" i="10"/>
  <c r="D89" i="1"/>
  <c r="BT86" i="1"/>
  <c r="AC28" i="8"/>
  <c r="AS11" i="8"/>
  <c r="AP8" i="10"/>
  <c r="AP8" i="14"/>
  <c r="AP11" i="1"/>
  <c r="G9" i="14"/>
  <c r="G9" i="10"/>
  <c r="AY64" i="14"/>
  <c r="AY64" i="10"/>
  <c r="K69" i="10"/>
  <c r="K69" i="14"/>
  <c r="AD50" i="1"/>
  <c r="AD41" i="1"/>
  <c r="AD38" i="14"/>
  <c r="AD38" i="10"/>
  <c r="AD20" i="1"/>
  <c r="AQ76" i="14"/>
  <c r="AQ76" i="10"/>
  <c r="V83" i="8"/>
  <c r="BO73" i="8"/>
  <c r="BQ73" i="8"/>
  <c r="AP16" i="14"/>
  <c r="AP16" i="10"/>
  <c r="H64" i="14"/>
  <c r="H64" i="10"/>
  <c r="S58" i="8"/>
  <c r="AF68" i="10"/>
  <c r="AF68" i="14"/>
  <c r="N69" i="14"/>
  <c r="N69" i="10"/>
  <c r="U64" i="14"/>
  <c r="U64" i="10"/>
  <c r="AX57" i="14"/>
  <c r="AX58" i="14" s="1"/>
  <c r="AX57" i="10"/>
  <c r="AP51" i="1"/>
  <c r="AP39" i="14"/>
  <c r="AP21" i="1"/>
  <c r="AP39" i="10"/>
  <c r="D81" i="10"/>
  <c r="D81" i="14"/>
  <c r="BT81" i="1"/>
  <c r="AT66" i="10"/>
  <c r="AT66" i="14"/>
  <c r="AN96" i="1"/>
  <c r="AN95" i="10"/>
  <c r="AN95" i="14"/>
  <c r="AN96" i="14" s="1"/>
  <c r="BO95" i="1"/>
  <c r="BO96" i="1" s="1"/>
  <c r="BQ95" i="1"/>
  <c r="BQ96" i="1" s="1"/>
  <c r="AC47" i="8"/>
  <c r="AC29" i="8" s="1"/>
  <c r="AC26" i="8"/>
  <c r="D74" i="14"/>
  <c r="D74" i="10"/>
  <c r="BT74" i="1"/>
  <c r="AW70" i="14"/>
  <c r="AW70" i="10"/>
  <c r="AY14" i="14"/>
  <c r="AY17" i="1"/>
  <c r="AY14" i="10"/>
  <c r="BT74" i="9"/>
  <c r="AW91" i="10"/>
  <c r="AW93" i="1"/>
  <c r="AW91" i="14"/>
  <c r="AW93" i="14" s="1"/>
  <c r="R77" i="14"/>
  <c r="R77" i="10"/>
  <c r="AY74" i="14"/>
  <c r="AY74" i="10"/>
  <c r="M92" i="10"/>
  <c r="M92" i="14"/>
  <c r="AD40" i="14"/>
  <c r="AD22" i="1"/>
  <c r="AD52" i="1"/>
  <c r="AD40" i="10"/>
  <c r="AP74" i="10"/>
  <c r="BQ74" i="10" s="1"/>
  <c r="AP74" i="14"/>
  <c r="AG15" i="14"/>
  <c r="AG15" i="10"/>
  <c r="AV15" i="14"/>
  <c r="AV15" i="10"/>
  <c r="BO8" i="8"/>
  <c r="AR11" i="8"/>
  <c r="Z44" i="14"/>
  <c r="Z26" i="1"/>
  <c r="Z44" i="10"/>
  <c r="Z47" i="1"/>
  <c r="X86" i="10"/>
  <c r="X86" i="14"/>
  <c r="X89" i="1"/>
  <c r="O22" i="1"/>
  <c r="O40" i="10"/>
  <c r="O22" i="10" s="1"/>
  <c r="O52" i="1"/>
  <c r="O40" i="14"/>
  <c r="O52" i="14" s="1"/>
  <c r="AF65" i="10"/>
  <c r="AF65" i="14"/>
  <c r="J8" i="10"/>
  <c r="J8" i="14"/>
  <c r="J11" i="1"/>
  <c r="AU91" i="14"/>
  <c r="AU93" i="1"/>
  <c r="AU91" i="10"/>
  <c r="N65" i="10"/>
  <c r="N65" i="14"/>
  <c r="AP77" i="10"/>
  <c r="AP77" i="14"/>
  <c r="N58" i="8"/>
  <c r="AJ95" i="14"/>
  <c r="AJ96" i="14" s="1"/>
  <c r="AJ95" i="10"/>
  <c r="AJ96" i="10" s="1"/>
  <c r="AJ96" i="1"/>
  <c r="Y16" i="14"/>
  <c r="Y16" i="10"/>
  <c r="AJ87" i="14"/>
  <c r="AJ87" i="10"/>
  <c r="AL9" i="14"/>
  <c r="AL9" i="10"/>
  <c r="BO79" i="8"/>
  <c r="BQ79" i="8"/>
  <c r="AN93" i="8"/>
  <c r="BO91" i="8"/>
  <c r="BQ91" i="8"/>
  <c r="F75" i="14"/>
  <c r="F75" i="10"/>
  <c r="AH58" i="1"/>
  <c r="AH56" i="14"/>
  <c r="AH56" i="10"/>
  <c r="AN77" i="10"/>
  <c r="BO77" i="1"/>
  <c r="AN77" i="14"/>
  <c r="BQ77" i="1"/>
  <c r="P68" i="14"/>
  <c r="P68" i="10"/>
  <c r="BS68" i="1"/>
  <c r="AQ63" i="10"/>
  <c r="AQ83" i="1"/>
  <c r="AQ63" i="14"/>
  <c r="AG58" i="1"/>
  <c r="AG56" i="10"/>
  <c r="AG56" i="14"/>
  <c r="AG58" i="14" s="1"/>
  <c r="AD80" i="10"/>
  <c r="AD80" i="14"/>
  <c r="M68" i="10"/>
  <c r="M68" i="14"/>
  <c r="R45" i="14"/>
  <c r="R45" i="10"/>
  <c r="R27" i="1"/>
  <c r="AI66" i="14"/>
  <c r="AI66" i="10"/>
  <c r="T14" i="14"/>
  <c r="T17" i="1"/>
  <c r="T14" i="10"/>
  <c r="R50" i="8"/>
  <c r="R20" i="8"/>
  <c r="R41" i="8"/>
  <c r="R53" i="8" s="1"/>
  <c r="R60" i="8" s="1"/>
  <c r="K93" i="8"/>
  <c r="P75" i="10"/>
  <c r="P75" i="14"/>
  <c r="BS75" i="1"/>
  <c r="AB82" i="10"/>
  <c r="AB82" i="14"/>
  <c r="BR82" i="1"/>
  <c r="AE72" i="14"/>
  <c r="AE72" i="10"/>
  <c r="R68" i="10"/>
  <c r="R68" i="14"/>
  <c r="L63" i="14"/>
  <c r="L83" i="1"/>
  <c r="L63" i="10"/>
  <c r="AS71" i="14"/>
  <c r="AS71" i="10"/>
  <c r="AB81" i="14"/>
  <c r="AB81" i="10"/>
  <c r="BR81" i="1"/>
  <c r="M95" i="10"/>
  <c r="M96" i="10" s="1"/>
  <c r="M96" i="1"/>
  <c r="M95" i="14"/>
  <c r="M96" i="14" s="1"/>
  <c r="I64" i="10"/>
  <c r="I64" i="14"/>
  <c r="AH69" i="14"/>
  <c r="AH69" i="10"/>
  <c r="K95" i="14"/>
  <c r="K96" i="14" s="1"/>
  <c r="K96" i="1"/>
  <c r="K95" i="10"/>
  <c r="K96" i="10" s="1"/>
  <c r="F91" i="14"/>
  <c r="F91" i="10"/>
  <c r="F93" i="1"/>
  <c r="AT58" i="1"/>
  <c r="AT56" i="10"/>
  <c r="AT56" i="14"/>
  <c r="AT52" i="8"/>
  <c r="AT22" i="8"/>
  <c r="AA93" i="1"/>
  <c r="AA91" i="10"/>
  <c r="AA91" i="14"/>
  <c r="U28" i="1"/>
  <c r="U46" i="14"/>
  <c r="U46" i="10"/>
  <c r="AF78" i="10"/>
  <c r="AF78" i="14"/>
  <c r="AT67" i="14"/>
  <c r="AT67" i="10"/>
  <c r="V87" i="10"/>
  <c r="V87" i="14"/>
  <c r="AC80" i="14"/>
  <c r="AC80" i="10"/>
  <c r="AR67" i="14"/>
  <c r="AR67" i="10"/>
  <c r="Y14" i="14"/>
  <c r="Y17" i="1"/>
  <c r="Y23" i="1" s="1"/>
  <c r="Y14" i="10"/>
  <c r="AL66" i="10"/>
  <c r="AL66" i="14"/>
  <c r="Q46" i="14"/>
  <c r="Q46" i="10"/>
  <c r="Q28" i="1"/>
  <c r="U70" i="14"/>
  <c r="U70" i="10"/>
  <c r="AM27" i="8"/>
  <c r="AK39" i="14"/>
  <c r="AK39" i="10"/>
  <c r="AK21" i="10" s="1"/>
  <c r="AK51" i="1"/>
  <c r="AK21" i="1"/>
  <c r="AI56" i="14"/>
  <c r="AI56" i="10"/>
  <c r="AI58" i="1"/>
  <c r="AE11" i="8"/>
  <c r="AR50" i="8"/>
  <c r="AR41" i="8"/>
  <c r="AR53" i="8" s="1"/>
  <c r="AR60" i="8" s="1"/>
  <c r="AR98" i="8" s="1"/>
  <c r="AR20" i="8"/>
  <c r="M9" i="14"/>
  <c r="M9" i="10"/>
  <c r="AC70" i="10"/>
  <c r="AC70" i="14"/>
  <c r="AG92" i="10"/>
  <c r="AG92" i="14"/>
  <c r="AD45" i="14"/>
  <c r="AD27" i="1"/>
  <c r="AD45" i="10"/>
  <c r="V40" i="14"/>
  <c r="V22" i="1"/>
  <c r="V40" i="10"/>
  <c r="V22" i="10" s="1"/>
  <c r="V52" i="1"/>
  <c r="O81" i="14"/>
  <c r="O81" i="10"/>
  <c r="J78" i="14"/>
  <c r="J78" i="10"/>
  <c r="J79" i="10"/>
  <c r="J79" i="14"/>
  <c r="Y39" i="14"/>
  <c r="Y39" i="10"/>
  <c r="Y21" i="1"/>
  <c r="Y51" i="1"/>
  <c r="Q68" i="10"/>
  <c r="Q68" i="14"/>
  <c r="V72" i="10"/>
  <c r="V72" i="14"/>
  <c r="AC9" i="10"/>
  <c r="AC9" i="14"/>
  <c r="X81" i="10"/>
  <c r="X81" i="14"/>
  <c r="V57" i="10"/>
  <c r="V57" i="14"/>
  <c r="AH51" i="8"/>
  <c r="AH21" i="8"/>
  <c r="U39" i="14"/>
  <c r="U39" i="10"/>
  <c r="U21" i="1"/>
  <c r="U51" i="1"/>
  <c r="R57" i="14"/>
  <c r="R57" i="10"/>
  <c r="AX71" i="10"/>
  <c r="AX71" i="14"/>
  <c r="AG75" i="14"/>
  <c r="AG75" i="10"/>
  <c r="AN39" i="14"/>
  <c r="AN21" i="1"/>
  <c r="BO39" i="1"/>
  <c r="AN39" i="10"/>
  <c r="BQ39" i="1"/>
  <c r="AN51" i="1"/>
  <c r="S15" i="14"/>
  <c r="S15" i="10"/>
  <c r="G68" i="10"/>
  <c r="G68" i="14"/>
  <c r="N79" i="10"/>
  <c r="N79" i="14"/>
  <c r="D58" i="8"/>
  <c r="BT56" i="8"/>
  <c r="K74" i="10"/>
  <c r="K74" i="14"/>
  <c r="AC58" i="9"/>
  <c r="AW58" i="1"/>
  <c r="AW56" i="10"/>
  <c r="AW56" i="14"/>
  <c r="W65" i="10"/>
  <c r="W65" i="14"/>
  <c r="AF9" i="14"/>
  <c r="BR9" i="14" s="1"/>
  <c r="BR9" i="1"/>
  <c r="AF9" i="10"/>
  <c r="Z57" i="14"/>
  <c r="Z58" i="14" s="1"/>
  <c r="Z57" i="10"/>
  <c r="BT92" i="8"/>
  <c r="E76" i="14"/>
  <c r="E76" i="10"/>
  <c r="AA44" i="10"/>
  <c r="AA26" i="1"/>
  <c r="AA47" i="1"/>
  <c r="AA44" i="14"/>
  <c r="AA50" i="14" s="1"/>
  <c r="AR26" i="1"/>
  <c r="AR44" i="14"/>
  <c r="AR47" i="1"/>
  <c r="AR29" i="1" s="1"/>
  <c r="AR44" i="10"/>
  <c r="BR65" i="8"/>
  <c r="N9" i="10"/>
  <c r="N9" i="14"/>
  <c r="AM78" i="14"/>
  <c r="AM78" i="10"/>
  <c r="H28" i="8"/>
  <c r="AG80" i="14"/>
  <c r="AG80" i="10"/>
  <c r="Q8" i="10"/>
  <c r="Q11" i="1"/>
  <c r="R102" i="1" s="1"/>
  <c r="Q8" i="14"/>
  <c r="S65" i="10"/>
  <c r="S65" i="14"/>
  <c r="AM64" i="14"/>
  <c r="AM64" i="10"/>
  <c r="BW16" i="8"/>
  <c r="BO16" i="8"/>
  <c r="BQ16" i="8"/>
  <c r="BY16" i="8"/>
  <c r="J47" i="1"/>
  <c r="J44" i="14"/>
  <c r="J26" i="1"/>
  <c r="J44" i="10"/>
  <c r="I87" i="10"/>
  <c r="I87" i="14"/>
  <c r="L80" i="10"/>
  <c r="L80" i="14"/>
  <c r="AF63" i="10"/>
  <c r="AF83" i="1"/>
  <c r="AF63" i="14"/>
  <c r="M76" i="14"/>
  <c r="M76" i="10"/>
  <c r="AC51" i="9"/>
  <c r="AC21" i="9"/>
  <c r="AQ87" i="14"/>
  <c r="AQ87" i="10"/>
  <c r="Q92" i="14"/>
  <c r="Q92" i="10"/>
  <c r="AL70" i="14"/>
  <c r="AL70" i="10"/>
  <c r="J92" i="14"/>
  <c r="J92" i="10"/>
  <c r="M71" i="10"/>
  <c r="M71" i="14"/>
  <c r="F68" i="14"/>
  <c r="F68" i="10"/>
  <c r="AF22" i="1"/>
  <c r="AF40" i="10"/>
  <c r="AF40" i="14"/>
  <c r="AF22" i="14" s="1"/>
  <c r="AF52" i="1"/>
  <c r="AA57" i="14"/>
  <c r="AA57" i="10"/>
  <c r="W92" i="14"/>
  <c r="W92" i="10"/>
  <c r="W93" i="10" s="1"/>
  <c r="AM69" i="10"/>
  <c r="AM69" i="14"/>
  <c r="R40" i="14"/>
  <c r="R22" i="1"/>
  <c r="R40" i="10"/>
  <c r="R52" i="1"/>
  <c r="S11" i="1"/>
  <c r="T102" i="1" s="1"/>
  <c r="S8" i="10"/>
  <c r="S8" i="14"/>
  <c r="R89" i="1"/>
  <c r="R86" i="14"/>
  <c r="R86" i="10"/>
  <c r="K65" i="14"/>
  <c r="K65" i="10"/>
  <c r="AE87" i="14"/>
  <c r="AE87" i="10"/>
  <c r="AH28" i="8"/>
  <c r="W81" i="10"/>
  <c r="W81" i="14"/>
  <c r="P15" i="10"/>
  <c r="P15" i="14"/>
  <c r="BS15" i="1"/>
  <c r="BS17" i="1" s="1"/>
  <c r="CA15" i="1"/>
  <c r="I38" i="14"/>
  <c r="I50" i="1"/>
  <c r="I20" i="1"/>
  <c r="I41" i="1"/>
  <c r="I38" i="10"/>
  <c r="G63" i="10"/>
  <c r="G63" i="14"/>
  <c r="G83" i="1"/>
  <c r="O64" i="14"/>
  <c r="O64" i="10"/>
  <c r="Q72" i="10"/>
  <c r="Q72" i="14"/>
  <c r="J14" i="14"/>
  <c r="J17" i="1"/>
  <c r="J14" i="10"/>
  <c r="I70" i="14"/>
  <c r="I70" i="10"/>
  <c r="AP93" i="1"/>
  <c r="AP91" i="10"/>
  <c r="AP91" i="14"/>
  <c r="X8" i="10"/>
  <c r="X8" i="14"/>
  <c r="X11" i="1"/>
  <c r="X102" i="1" s="1"/>
  <c r="AH83" i="8"/>
  <c r="AL56" i="14"/>
  <c r="AL58" i="1"/>
  <c r="AL56" i="10"/>
  <c r="M45" i="14"/>
  <c r="M27" i="1"/>
  <c r="M45" i="10"/>
  <c r="AE78" i="10"/>
  <c r="AE78" i="14"/>
  <c r="E26" i="9"/>
  <c r="E47" i="9"/>
  <c r="E29" i="9" s="1"/>
  <c r="AF74" i="14"/>
  <c r="AF74" i="10"/>
  <c r="AQ71" i="10"/>
  <c r="AQ71" i="14"/>
  <c r="T81" i="10"/>
  <c r="T81" i="14"/>
  <c r="F21" i="8"/>
  <c r="F33" i="8" s="1"/>
  <c r="F51" i="8"/>
  <c r="AX65" i="10"/>
  <c r="AX65" i="14"/>
  <c r="AN89" i="9"/>
  <c r="BO86" i="9"/>
  <c r="BQ86" i="9"/>
  <c r="Q58" i="8"/>
  <c r="AV86" i="14"/>
  <c r="AV89" i="1"/>
  <c r="AV86" i="10"/>
  <c r="E83" i="8"/>
  <c r="P86" i="10"/>
  <c r="P86" i="14"/>
  <c r="P89" i="1"/>
  <c r="BS86" i="1"/>
  <c r="X87" i="14"/>
  <c r="X87" i="10"/>
  <c r="AC40" i="14"/>
  <c r="AC40" i="10"/>
  <c r="AC52" i="1"/>
  <c r="AC22" i="1"/>
  <c r="AC34" i="1" s="1"/>
  <c r="AI73" i="10"/>
  <c r="AI73" i="14"/>
  <c r="AH89" i="8"/>
  <c r="AQ10" i="10"/>
  <c r="BQ10" i="1"/>
  <c r="AQ10" i="14"/>
  <c r="BQ10" i="14" s="1"/>
  <c r="AX17" i="8"/>
  <c r="AJ11" i="1"/>
  <c r="AJ8" i="14"/>
  <c r="AJ8" i="10"/>
  <c r="AL79" i="14"/>
  <c r="AL79" i="10"/>
  <c r="AI72" i="10"/>
  <c r="AI72" i="14"/>
  <c r="AB64" i="10"/>
  <c r="AB64" i="14"/>
  <c r="BR64" i="1"/>
  <c r="AN44" i="10"/>
  <c r="AN47" i="10" s="1"/>
  <c r="AN47" i="1"/>
  <c r="BO44" i="1"/>
  <c r="BQ44" i="1"/>
  <c r="AN26" i="1"/>
  <c r="AN44" i="14"/>
  <c r="AH9" i="10"/>
  <c r="AH9" i="14"/>
  <c r="AH11" i="14" s="1"/>
  <c r="X79" i="10"/>
  <c r="X79" i="14"/>
  <c r="AY66" i="14"/>
  <c r="AY66" i="10"/>
  <c r="X38" i="14"/>
  <c r="X20" i="1"/>
  <c r="X41" i="1"/>
  <c r="X50" i="1"/>
  <c r="X38" i="10"/>
  <c r="AJ78" i="14"/>
  <c r="AJ78" i="10"/>
  <c r="F86" i="14"/>
  <c r="F86" i="10"/>
  <c r="F89" i="1"/>
  <c r="T91" i="14"/>
  <c r="T93" i="14" s="1"/>
  <c r="T93" i="1"/>
  <c r="T91" i="10"/>
  <c r="U74" i="14"/>
  <c r="U74" i="10"/>
  <c r="Z9" i="10"/>
  <c r="Z9" i="14"/>
  <c r="T45" i="10"/>
  <c r="T45" i="14"/>
  <c r="T27" i="1"/>
  <c r="AT80" i="10"/>
  <c r="AT80" i="14"/>
  <c r="AO88" i="14"/>
  <c r="AO88" i="10"/>
  <c r="AP58" i="9"/>
  <c r="AG91" i="14"/>
  <c r="AG93" i="1"/>
  <c r="AG91" i="10"/>
  <c r="AG93" i="10" s="1"/>
  <c r="I17" i="1"/>
  <c r="I14" i="14"/>
  <c r="I14" i="10"/>
  <c r="AT14" i="14"/>
  <c r="AT14" i="10"/>
  <c r="AT17" i="1"/>
  <c r="AU80" i="14"/>
  <c r="AU80" i="10"/>
  <c r="T68" i="14"/>
  <c r="T68" i="10"/>
  <c r="AJ70" i="10"/>
  <c r="AJ70" i="14"/>
  <c r="S74" i="14"/>
  <c r="S74" i="10"/>
  <c r="AL8" i="14"/>
  <c r="AL8" i="10"/>
  <c r="AL11" i="10" s="1"/>
  <c r="AL11" i="1"/>
  <c r="AY45" i="14"/>
  <c r="AY45" i="10"/>
  <c r="AY47" i="10" s="1"/>
  <c r="AY27" i="1"/>
  <c r="AV45" i="10"/>
  <c r="AV27" i="1"/>
  <c r="AV45" i="14"/>
  <c r="BR82" i="8"/>
  <c r="AO80" i="14"/>
  <c r="AO80" i="10"/>
  <c r="AV70" i="14"/>
  <c r="AV70" i="10"/>
  <c r="AJ11" i="8"/>
  <c r="AK102" i="8" s="1"/>
  <c r="O89" i="1"/>
  <c r="O86" i="14"/>
  <c r="O86" i="10"/>
  <c r="O89" i="10" s="1"/>
  <c r="AP57" i="14"/>
  <c r="AP57" i="10"/>
  <c r="H67" i="14"/>
  <c r="H67" i="10"/>
  <c r="W73" i="10"/>
  <c r="W73" i="14"/>
  <c r="G91" i="14"/>
  <c r="G93" i="14" s="1"/>
  <c r="G93" i="1"/>
  <c r="G91" i="10"/>
  <c r="AL82" i="14"/>
  <c r="AL82" i="10"/>
  <c r="AI41" i="1"/>
  <c r="AI38" i="14"/>
  <c r="AI20" i="1"/>
  <c r="AI32" i="1" s="1"/>
  <c r="AI50" i="1"/>
  <c r="AI38" i="10"/>
  <c r="AY81" i="10"/>
  <c r="AY81" i="14"/>
  <c r="Z14" i="14"/>
  <c r="Z17" i="1"/>
  <c r="Z14" i="10"/>
  <c r="AG73" i="14"/>
  <c r="AG73" i="10"/>
  <c r="AT95" i="10"/>
  <c r="AT96" i="10" s="1"/>
  <c r="AT95" i="14"/>
  <c r="AT96" i="14" s="1"/>
  <c r="AT96" i="1"/>
  <c r="K47" i="8"/>
  <c r="K26" i="8"/>
  <c r="H46" i="14"/>
  <c r="H46" i="10"/>
  <c r="H28" i="1"/>
  <c r="AX66" i="14"/>
  <c r="AX66" i="10"/>
  <c r="AK77" i="10"/>
  <c r="AK77" i="14"/>
  <c r="X21" i="1"/>
  <c r="X39" i="10"/>
  <c r="X51" i="1"/>
  <c r="X39" i="14"/>
  <c r="L86" i="14"/>
  <c r="L89" i="1"/>
  <c r="L86" i="10"/>
  <c r="AW67" i="10"/>
  <c r="AW67" i="14"/>
  <c r="J38" i="10"/>
  <c r="J20" i="1"/>
  <c r="J41" i="1"/>
  <c r="J38" i="14"/>
  <c r="J41" i="14" s="1"/>
  <c r="J50" i="1"/>
  <c r="L40" i="14"/>
  <c r="L40" i="10"/>
  <c r="L22" i="1"/>
  <c r="L52" i="1"/>
  <c r="R66" i="14"/>
  <c r="R66" i="10"/>
  <c r="P76" i="14"/>
  <c r="BS76" i="14" s="1"/>
  <c r="P76" i="10"/>
  <c r="BS76" i="1"/>
  <c r="Z67" i="10"/>
  <c r="Z67" i="14"/>
  <c r="AD87" i="10"/>
  <c r="AD87" i="14"/>
  <c r="AQ8" i="10"/>
  <c r="BQ8" i="1"/>
  <c r="BQ11" i="1" s="1"/>
  <c r="AQ8" i="14"/>
  <c r="BQ8" i="14" s="1"/>
  <c r="AQ11" i="1"/>
  <c r="Y72" i="10"/>
  <c r="Y72" i="14"/>
  <c r="S66" i="10"/>
  <c r="S66" i="14"/>
  <c r="K21" i="8"/>
  <c r="K51" i="8"/>
  <c r="AD64" i="14"/>
  <c r="AD64" i="10"/>
  <c r="AD15" i="14"/>
  <c r="AD15" i="10"/>
  <c r="AX88" i="10"/>
  <c r="AX88" i="14"/>
  <c r="AH88" i="14"/>
  <c r="AH88" i="10"/>
  <c r="AH89" i="10" s="1"/>
  <c r="AS11" i="1"/>
  <c r="AS8" i="14"/>
  <c r="AS8" i="10"/>
  <c r="AJ66" i="14"/>
  <c r="AJ66" i="10"/>
  <c r="AP92" i="10"/>
  <c r="AP92" i="14"/>
  <c r="J76" i="10"/>
  <c r="J76" i="14"/>
  <c r="D14" i="14"/>
  <c r="BT14" i="1"/>
  <c r="D17" i="1"/>
  <c r="D29" i="1" s="1"/>
  <c r="D14" i="10"/>
  <c r="D20" i="10" s="1"/>
  <c r="CB14" i="1"/>
  <c r="AI64" i="14"/>
  <c r="AI64" i="10"/>
  <c r="V45" i="10"/>
  <c r="V45" i="14"/>
  <c r="V27" i="1"/>
  <c r="V80" i="10"/>
  <c r="V80" i="14"/>
  <c r="I73" i="14"/>
  <c r="I73" i="10"/>
  <c r="O71" i="14"/>
  <c r="O71" i="10"/>
  <c r="AG81" i="14"/>
  <c r="AG81" i="10"/>
  <c r="Y89" i="8"/>
  <c r="AE88" i="14"/>
  <c r="AE88" i="10"/>
  <c r="AQ27" i="1"/>
  <c r="AQ45" i="10"/>
  <c r="AQ47" i="10" s="1"/>
  <c r="AQ45" i="14"/>
  <c r="AV92" i="14"/>
  <c r="AV92" i="10"/>
  <c r="AC10" i="10"/>
  <c r="AC10" i="14"/>
  <c r="AP68" i="14"/>
  <c r="AP68" i="10"/>
  <c r="AQ77" i="14"/>
  <c r="BO77" i="14" s="1"/>
  <c r="AQ77" i="10"/>
  <c r="AC72" i="14"/>
  <c r="AC72" i="10"/>
  <c r="G80" i="14"/>
  <c r="G80" i="10"/>
  <c r="P72" i="14"/>
  <c r="P72" i="10"/>
  <c r="BS72" i="1"/>
  <c r="J39" i="14"/>
  <c r="J39" i="10"/>
  <c r="J51" i="1"/>
  <c r="J21" i="1"/>
  <c r="AW88" i="14"/>
  <c r="AW88" i="10"/>
  <c r="AU81" i="14"/>
  <c r="AU81" i="10"/>
  <c r="G44" i="10"/>
  <c r="G26" i="1"/>
  <c r="G47" i="1"/>
  <c r="G44" i="14"/>
  <c r="AY58" i="8"/>
  <c r="AG11" i="8"/>
  <c r="Y66" i="10"/>
  <c r="Y66" i="14"/>
  <c r="AE27" i="8"/>
  <c r="J87" i="10"/>
  <c r="J87" i="14"/>
  <c r="AT10" i="14"/>
  <c r="AT10" i="10"/>
  <c r="AT73" i="14"/>
  <c r="AT73" i="10"/>
  <c r="AX9" i="14"/>
  <c r="AX9" i="10"/>
  <c r="Q67" i="10"/>
  <c r="Q67" i="14"/>
  <c r="AH40" i="10"/>
  <c r="AH52" i="1"/>
  <c r="AH22" i="1"/>
  <c r="AH40" i="14"/>
  <c r="AH52" i="14" s="1"/>
  <c r="U10" i="14"/>
  <c r="U10" i="10"/>
  <c r="V67" i="10"/>
  <c r="V67" i="14"/>
  <c r="O9" i="14"/>
  <c r="O9" i="10"/>
  <c r="AH44" i="10"/>
  <c r="AH44" i="14"/>
  <c r="AH26" i="1"/>
  <c r="AH47" i="1"/>
  <c r="O28" i="8"/>
  <c r="O78" i="10"/>
  <c r="O78" i="14"/>
  <c r="T66" i="14"/>
  <c r="T66" i="10"/>
  <c r="Z88" i="14"/>
  <c r="Z88" i="10"/>
  <c r="Z89" i="10" s="1"/>
  <c r="AC79" i="10"/>
  <c r="AC79" i="14"/>
  <c r="E66" i="14"/>
  <c r="E66" i="10"/>
  <c r="AD95" i="10"/>
  <c r="AD96" i="10" s="1"/>
  <c r="AD96" i="1"/>
  <c r="AD95" i="14"/>
  <c r="AD96" i="14" s="1"/>
  <c r="R71" i="14"/>
  <c r="BS71" i="14" s="1"/>
  <c r="R71" i="10"/>
  <c r="V8" i="14"/>
  <c r="V11" i="1"/>
  <c r="V8" i="10"/>
  <c r="AY72" i="14"/>
  <c r="AY72" i="10"/>
  <c r="H68" i="10"/>
  <c r="H68" i="14"/>
  <c r="W82" i="14"/>
  <c r="W82" i="10"/>
  <c r="S51" i="1"/>
  <c r="S39" i="14"/>
  <c r="S39" i="10"/>
  <c r="S21" i="1"/>
  <c r="AU20" i="1"/>
  <c r="AU50" i="1"/>
  <c r="AU41" i="1"/>
  <c r="AU38" i="14"/>
  <c r="AU38" i="10"/>
  <c r="AG76" i="14"/>
  <c r="AG76" i="10"/>
  <c r="AE44" i="10"/>
  <c r="AE47" i="1"/>
  <c r="AE26" i="1"/>
  <c r="AE32" i="1" s="1"/>
  <c r="AE44" i="14"/>
  <c r="V44" i="14"/>
  <c r="V50" i="14" s="1"/>
  <c r="V26" i="1"/>
  <c r="V44" i="10"/>
  <c r="V47" i="1"/>
  <c r="N39" i="14"/>
  <c r="N39" i="10"/>
  <c r="N51" i="10" s="1"/>
  <c r="N51" i="1"/>
  <c r="N21" i="1"/>
  <c r="AD46" i="14"/>
  <c r="AD28" i="14" s="1"/>
  <c r="AD28" i="1"/>
  <c r="AD34" i="1" s="1"/>
  <c r="AD46" i="10"/>
  <c r="L17" i="1"/>
  <c r="L14" i="10"/>
  <c r="L14" i="14"/>
  <c r="Q93" i="8"/>
  <c r="X88" i="10"/>
  <c r="X88" i="14"/>
  <c r="AP96" i="1"/>
  <c r="AP95" i="10"/>
  <c r="AP96" i="10" s="1"/>
  <c r="AP95" i="14"/>
  <c r="AP96" i="14" s="1"/>
  <c r="Y75" i="14"/>
  <c r="Y75" i="10"/>
  <c r="AX86" i="14"/>
  <c r="AX86" i="10"/>
  <c r="AX89" i="1"/>
  <c r="L92" i="10"/>
  <c r="L92" i="14"/>
  <c r="AF66" i="14"/>
  <c r="AF66" i="10"/>
  <c r="W16" i="10"/>
  <c r="W16" i="14"/>
  <c r="W28" i="14" s="1"/>
  <c r="F64" i="14"/>
  <c r="F64" i="10"/>
  <c r="AF73" i="14"/>
  <c r="AF73" i="10"/>
  <c r="W69" i="14"/>
  <c r="W69" i="10"/>
  <c r="AS92" i="10"/>
  <c r="AS92" i="14"/>
  <c r="AS93" i="14" s="1"/>
  <c r="AL68" i="10"/>
  <c r="AL68" i="14"/>
  <c r="AF57" i="10"/>
  <c r="AF58" i="10" s="1"/>
  <c r="AF57" i="14"/>
  <c r="F15" i="14"/>
  <c r="F15" i="10"/>
  <c r="AH77" i="14"/>
  <c r="AH77" i="10"/>
  <c r="AB39" i="10"/>
  <c r="AB39" i="14"/>
  <c r="AB21" i="1"/>
  <c r="AB33" i="1" s="1"/>
  <c r="AB51" i="1"/>
  <c r="BR39" i="1"/>
  <c r="S77" i="14"/>
  <c r="S77" i="10"/>
  <c r="AP15" i="10"/>
  <c r="AP17" i="10" s="1"/>
  <c r="AP15" i="14"/>
  <c r="U81" i="14"/>
  <c r="U81" i="10"/>
  <c r="Y71" i="14"/>
  <c r="Y71" i="10"/>
  <c r="O57" i="14"/>
  <c r="O57" i="10"/>
  <c r="H95" i="14"/>
  <c r="H96" i="14" s="1"/>
  <c r="H96" i="1"/>
  <c r="H95" i="10"/>
  <c r="AN69" i="14"/>
  <c r="AN69" i="10"/>
  <c r="BO69" i="1"/>
  <c r="BQ69" i="1"/>
  <c r="F73" i="14"/>
  <c r="F73" i="10"/>
  <c r="S81" i="14"/>
  <c r="S81" i="10"/>
  <c r="AT77" i="10"/>
  <c r="AT77" i="14"/>
  <c r="AE71" i="10"/>
  <c r="AE71" i="14"/>
  <c r="T77" i="14"/>
  <c r="T77" i="10"/>
  <c r="S75" i="14"/>
  <c r="S75" i="10"/>
  <c r="D75" i="10"/>
  <c r="D75" i="14"/>
  <c r="BT75" i="1"/>
  <c r="J9" i="14"/>
  <c r="J9" i="10"/>
  <c r="BO64" i="1"/>
  <c r="AN64" i="10"/>
  <c r="AN64" i="14"/>
  <c r="BQ64" i="1"/>
  <c r="G77" i="10"/>
  <c r="G77" i="14"/>
  <c r="AV63" i="14"/>
  <c r="AV63" i="10"/>
  <c r="AV83" i="1"/>
  <c r="AN46" i="14"/>
  <c r="AN28" i="1"/>
  <c r="BO46" i="1"/>
  <c r="AN46" i="10"/>
  <c r="BQ46" i="1"/>
  <c r="D39" i="10"/>
  <c r="D51" i="1"/>
  <c r="D39" i="14"/>
  <c r="D41" i="14" s="1"/>
  <c r="D21" i="1"/>
  <c r="BT39" i="1"/>
  <c r="AU71" i="14"/>
  <c r="AU71" i="10"/>
  <c r="W71" i="14"/>
  <c r="W71" i="10"/>
  <c r="AX46" i="14"/>
  <c r="AX28" i="1"/>
  <c r="AX46" i="10"/>
  <c r="AX28" i="10" s="1"/>
  <c r="L57" i="10"/>
  <c r="L57" i="14"/>
  <c r="AT92" i="14"/>
  <c r="AT92" i="10"/>
  <c r="AT93" i="10" s="1"/>
  <c r="AD8" i="10"/>
  <c r="AD8" i="14"/>
  <c r="AD11" i="1"/>
  <c r="AD102" i="1" s="1"/>
  <c r="AV89" i="8"/>
  <c r="AV91" i="10"/>
  <c r="AV91" i="14"/>
  <c r="AV93" i="1"/>
  <c r="AK93" i="1"/>
  <c r="AK91" i="10"/>
  <c r="AK93" i="10" s="1"/>
  <c r="AK91" i="14"/>
  <c r="W79" i="14"/>
  <c r="W79" i="10"/>
  <c r="J65" i="14"/>
  <c r="J65" i="10"/>
  <c r="AC66" i="10"/>
  <c r="AC66" i="14"/>
  <c r="Q82" i="10"/>
  <c r="Q82" i="14"/>
  <c r="E74" i="14"/>
  <c r="E74" i="10"/>
  <c r="AI77" i="14"/>
  <c r="AI77" i="10"/>
  <c r="V65" i="14"/>
  <c r="V65" i="10"/>
  <c r="AU8" i="14"/>
  <c r="AU11" i="1"/>
  <c r="AU8" i="10"/>
  <c r="AV67" i="14"/>
  <c r="AV67" i="10"/>
  <c r="AN16" i="14"/>
  <c r="AN28" i="14" s="1"/>
  <c r="AN16" i="10"/>
  <c r="BW16" i="1"/>
  <c r="BY16" i="1"/>
  <c r="BO16" i="1"/>
  <c r="BQ16" i="1"/>
  <c r="O10" i="10"/>
  <c r="O10" i="14"/>
  <c r="M82" i="14"/>
  <c r="M82" i="10"/>
  <c r="U73" i="14"/>
  <c r="U73" i="10"/>
  <c r="AM72" i="14"/>
  <c r="AM72" i="10"/>
  <c r="F70" i="14"/>
  <c r="F70" i="10"/>
  <c r="AK67" i="14"/>
  <c r="AK67" i="10"/>
  <c r="G89" i="1"/>
  <c r="G86" i="10"/>
  <c r="G86" i="14"/>
  <c r="I45" i="14"/>
  <c r="I27" i="14" s="1"/>
  <c r="I27" i="1"/>
  <c r="I45" i="10"/>
  <c r="AY73" i="10"/>
  <c r="AY73" i="14"/>
  <c r="AQ46" i="10"/>
  <c r="AQ46" i="14"/>
  <c r="AQ28" i="1"/>
  <c r="S91" i="10"/>
  <c r="BS91" i="10" s="1"/>
  <c r="S91" i="14"/>
  <c r="S93" i="1"/>
  <c r="U44" i="14"/>
  <c r="U26" i="1"/>
  <c r="U44" i="10"/>
  <c r="U47" i="10" s="1"/>
  <c r="U47" i="1"/>
  <c r="G57" i="10"/>
  <c r="G57" i="14"/>
  <c r="G58" i="14" s="1"/>
  <c r="G72" i="14"/>
  <c r="G72" i="10"/>
  <c r="T16" i="14"/>
  <c r="T28" i="14" s="1"/>
  <c r="T16" i="10"/>
  <c r="M57" i="14"/>
  <c r="M57" i="10"/>
  <c r="AV56" i="10"/>
  <c r="AV56" i="14"/>
  <c r="AV58" i="14" s="1"/>
  <c r="AV58" i="1"/>
  <c r="N15" i="14"/>
  <c r="N15" i="10"/>
  <c r="N27" i="10" s="1"/>
  <c r="AV51" i="1"/>
  <c r="AV39" i="14"/>
  <c r="AV39" i="10"/>
  <c r="AV21" i="1"/>
  <c r="K87" i="14"/>
  <c r="K89" i="14" s="1"/>
  <c r="K87" i="10"/>
  <c r="AJ69" i="10"/>
  <c r="AJ69" i="14"/>
  <c r="F88" i="14"/>
  <c r="F88" i="10"/>
  <c r="Z28" i="8"/>
  <c r="F50" i="8"/>
  <c r="F41" i="8"/>
  <c r="F23" i="8" s="1"/>
  <c r="F20" i="8"/>
  <c r="Q66" i="14"/>
  <c r="Q66" i="10"/>
  <c r="BS66" i="10" s="1"/>
  <c r="AE70" i="10"/>
  <c r="AE70" i="14"/>
  <c r="AO77" i="14"/>
  <c r="AO77" i="10"/>
  <c r="AN57" i="10"/>
  <c r="BO57" i="1"/>
  <c r="BO58" i="1" s="1"/>
  <c r="AN57" i="14"/>
  <c r="BQ57" i="1"/>
  <c r="W50" i="8"/>
  <c r="W20" i="8"/>
  <c r="W41" i="8"/>
  <c r="W23" i="8" s="1"/>
  <c r="AM86" i="14"/>
  <c r="AM86" i="10"/>
  <c r="AM89" i="1"/>
  <c r="Z91" i="14"/>
  <c r="Z91" i="10"/>
  <c r="Z93" i="1"/>
  <c r="AM10" i="14"/>
  <c r="AM10" i="10"/>
  <c r="AR68" i="10"/>
  <c r="AR68" i="14"/>
  <c r="BO68" i="14" s="1"/>
  <c r="AC74" i="10"/>
  <c r="AC74" i="14"/>
  <c r="AR72" i="14"/>
  <c r="AR72" i="10"/>
  <c r="AJ52" i="1"/>
  <c r="AJ40" i="14"/>
  <c r="AJ40" i="10"/>
  <c r="AJ22" i="1"/>
  <c r="AJ34" i="1" s="1"/>
  <c r="P65" i="10"/>
  <c r="BS65" i="1"/>
  <c r="P65" i="14"/>
  <c r="AS73" i="14"/>
  <c r="AS73" i="10"/>
  <c r="AI91" i="14"/>
  <c r="AI93" i="1"/>
  <c r="AI91" i="10"/>
  <c r="AI93" i="10" s="1"/>
  <c r="U78" i="10"/>
  <c r="U78" i="14"/>
  <c r="M81" i="14"/>
  <c r="M81" i="10"/>
  <c r="W11" i="8"/>
  <c r="E96" i="1"/>
  <c r="E95" i="14"/>
  <c r="E96" i="14" s="1"/>
  <c r="E95" i="10"/>
  <c r="E96" i="10" s="1"/>
  <c r="AY38" i="10"/>
  <c r="AY20" i="1"/>
  <c r="AY41" i="1"/>
  <c r="AY53" i="1" s="1"/>
  <c r="AY38" i="14"/>
  <c r="AY50" i="1"/>
  <c r="AQ64" i="14"/>
  <c r="AQ64" i="10"/>
  <c r="AO65" i="14"/>
  <c r="BQ65" i="14" s="1"/>
  <c r="AO65" i="10"/>
  <c r="U80" i="14"/>
  <c r="U80" i="10"/>
  <c r="R81" i="14"/>
  <c r="R81" i="10"/>
  <c r="AX68" i="10"/>
  <c r="AX68" i="14"/>
  <c r="AQ50" i="1"/>
  <c r="AQ41" i="1"/>
  <c r="AQ38" i="14"/>
  <c r="BQ38" i="14" s="1"/>
  <c r="AQ38" i="10"/>
  <c r="BO38" i="10" s="1"/>
  <c r="AQ20" i="1"/>
  <c r="AN63" i="14"/>
  <c r="AN63" i="10"/>
  <c r="AN83" i="1"/>
  <c r="BO63" i="1"/>
  <c r="BQ63" i="1"/>
  <c r="E15" i="10"/>
  <c r="E27" i="10" s="1"/>
  <c r="E15" i="14"/>
  <c r="AV46" i="10"/>
  <c r="AV46" i="14"/>
  <c r="AV52" i="14" s="1"/>
  <c r="AV28" i="1"/>
  <c r="K27" i="1"/>
  <c r="K45" i="10"/>
  <c r="K45" i="14"/>
  <c r="AI74" i="14"/>
  <c r="AI74" i="10"/>
  <c r="AD20" i="8"/>
  <c r="AD41" i="8"/>
  <c r="AD50" i="8"/>
  <c r="E77" i="10"/>
  <c r="E77" i="14"/>
  <c r="P10" i="10"/>
  <c r="P10" i="14"/>
  <c r="S68" i="10"/>
  <c r="S68" i="14"/>
  <c r="AM56" i="10"/>
  <c r="AM58" i="10" s="1"/>
  <c r="AM56" i="14"/>
  <c r="AM58" i="1"/>
  <c r="AG88" i="14"/>
  <c r="AG88" i="10"/>
  <c r="AC76" i="14"/>
  <c r="AC76" i="10"/>
  <c r="AI26" i="1"/>
  <c r="AI44" i="14"/>
  <c r="AI44" i="10"/>
  <c r="AI47" i="1"/>
  <c r="AW39" i="10"/>
  <c r="AW51" i="10" s="1"/>
  <c r="AW21" i="1"/>
  <c r="AW51" i="1"/>
  <c r="AW39" i="14"/>
  <c r="AW51" i="14" s="1"/>
  <c r="J69" i="14"/>
  <c r="J69" i="10"/>
  <c r="AB50" i="1"/>
  <c r="AB38" i="14"/>
  <c r="AB20" i="1"/>
  <c r="AB32" i="1" s="1"/>
  <c r="AB38" i="10"/>
  <c r="AB50" i="10" s="1"/>
  <c r="AB41" i="1"/>
  <c r="BR38" i="1"/>
  <c r="AG95" i="14"/>
  <c r="AG96" i="14" s="1"/>
  <c r="AG95" i="10"/>
  <c r="AG96" i="10" s="1"/>
  <c r="AG96" i="1"/>
  <c r="D71" i="14"/>
  <c r="D71" i="10"/>
  <c r="BT71" i="1"/>
  <c r="AI76" i="14"/>
  <c r="AI76" i="10"/>
  <c r="AO68" i="14"/>
  <c r="AO68" i="10"/>
  <c r="AH78" i="10"/>
  <c r="AH78" i="14"/>
  <c r="X80" i="10"/>
  <c r="X80" i="14"/>
  <c r="AV64" i="10"/>
  <c r="AV64" i="14"/>
  <c r="AS95" i="10"/>
  <c r="AS96" i="10" s="1"/>
  <c r="AS96" i="1"/>
  <c r="AS95" i="14"/>
  <c r="AS96" i="14" s="1"/>
  <c r="J74" i="10"/>
  <c r="J74" i="14"/>
  <c r="H69" i="10"/>
  <c r="H69" i="14"/>
  <c r="AK71" i="10"/>
  <c r="AK71" i="14"/>
  <c r="U76" i="10"/>
  <c r="U76" i="14"/>
  <c r="Q16" i="10"/>
  <c r="Q16" i="14"/>
  <c r="Q28" i="14" s="1"/>
  <c r="H38" i="10"/>
  <c r="H41" i="1"/>
  <c r="H50" i="1"/>
  <c r="H38" i="14"/>
  <c r="H20" i="1"/>
  <c r="AE15" i="14"/>
  <c r="AE15" i="10"/>
  <c r="I88" i="10"/>
  <c r="I89" i="10" s="1"/>
  <c r="I88" i="14"/>
  <c r="AB8" i="14"/>
  <c r="AB11" i="1"/>
  <c r="AC102" i="1" s="1"/>
  <c r="AB8" i="10"/>
  <c r="AR69" i="14"/>
  <c r="AR69" i="10"/>
  <c r="V68" i="14"/>
  <c r="V68" i="10"/>
  <c r="AL15" i="10"/>
  <c r="AL15" i="14"/>
  <c r="O92" i="10"/>
  <c r="O92" i="14"/>
  <c r="J83" i="1"/>
  <c r="J63" i="10"/>
  <c r="J63" i="14"/>
  <c r="Z92" i="10"/>
  <c r="Z92" i="14"/>
  <c r="F92" i="10"/>
  <c r="F92" i="14"/>
  <c r="AF15" i="14"/>
  <c r="AF27" i="14" s="1"/>
  <c r="AF15" i="10"/>
  <c r="AA81" i="14"/>
  <c r="AA81" i="10"/>
  <c r="N80" i="10"/>
  <c r="N80" i="14"/>
  <c r="AH68" i="14"/>
  <c r="AH68" i="10"/>
  <c r="D79" i="10"/>
  <c r="D79" i="14"/>
  <c r="BT79" i="1"/>
  <c r="H17" i="8"/>
  <c r="P40" i="14"/>
  <c r="P22" i="1"/>
  <c r="P52" i="1"/>
  <c r="P40" i="10"/>
  <c r="P41" i="10" s="1"/>
  <c r="BS40" i="1"/>
  <c r="U65" i="14"/>
  <c r="U65" i="10"/>
  <c r="U8" i="10"/>
  <c r="U8" i="14"/>
  <c r="U11" i="1"/>
  <c r="I16" i="14"/>
  <c r="I16" i="10"/>
  <c r="I17" i="10" s="1"/>
  <c r="K64" i="14"/>
  <c r="K64" i="10"/>
  <c r="AF64" i="10"/>
  <c r="AF64" i="14"/>
  <c r="AP80" i="10"/>
  <c r="BO80" i="10" s="1"/>
  <c r="AP80" i="14"/>
  <c r="F74" i="14"/>
  <c r="F74" i="10"/>
  <c r="BT74" i="10" s="1"/>
  <c r="AY80" i="14"/>
  <c r="AY80" i="10"/>
  <c r="Z95" i="10"/>
  <c r="Z96" i="10" s="1"/>
  <c r="Z95" i="14"/>
  <c r="Z96" i="14" s="1"/>
  <c r="Z96" i="1"/>
  <c r="M64" i="10"/>
  <c r="M64" i="14"/>
  <c r="Z89" i="1"/>
  <c r="Z86" i="14"/>
  <c r="Z86" i="10"/>
  <c r="W21" i="1"/>
  <c r="W51" i="1"/>
  <c r="W39" i="14"/>
  <c r="W21" i="14" s="1"/>
  <c r="W33" i="14" s="1"/>
  <c r="W39" i="10"/>
  <c r="AQ26" i="1"/>
  <c r="AQ44" i="14"/>
  <c r="AQ26" i="14" s="1"/>
  <c r="AQ44" i="10"/>
  <c r="AQ47" i="1"/>
  <c r="R39" i="14"/>
  <c r="R39" i="10"/>
  <c r="R21" i="10" s="1"/>
  <c r="R21" i="1"/>
  <c r="R33" i="1" s="1"/>
  <c r="R51" i="1"/>
  <c r="U14" i="14"/>
  <c r="U14" i="10"/>
  <c r="U26" i="10" s="1"/>
  <c r="U17" i="1"/>
  <c r="F22" i="1"/>
  <c r="F40" i="14"/>
  <c r="F40" i="10"/>
  <c r="F52" i="1"/>
  <c r="AF67" i="14"/>
  <c r="AF67" i="10"/>
  <c r="V64" i="14"/>
  <c r="V64" i="10"/>
  <c r="I8" i="14"/>
  <c r="I11" i="14" s="1"/>
  <c r="I11" i="1"/>
  <c r="J102" i="1" s="1"/>
  <c r="I8" i="10"/>
  <c r="X96" i="9"/>
  <c r="AG70" i="14"/>
  <c r="AG70" i="10"/>
  <c r="AP65" i="10"/>
  <c r="BQ65" i="10" s="1"/>
  <c r="AP65" i="14"/>
  <c r="AL80" i="14"/>
  <c r="AL80" i="10"/>
  <c r="AP45" i="10"/>
  <c r="AP45" i="14"/>
  <c r="AP27" i="14" s="1"/>
  <c r="AP27" i="1"/>
  <c r="AR45" i="14"/>
  <c r="AR45" i="10"/>
  <c r="AR51" i="10" s="1"/>
  <c r="AR27" i="1"/>
  <c r="AM16" i="14"/>
  <c r="AM16" i="10"/>
  <c r="AU10" i="14"/>
  <c r="AU10" i="10"/>
  <c r="Y67" i="14"/>
  <c r="Y67" i="10"/>
  <c r="V86" i="14"/>
  <c r="V86" i="10"/>
  <c r="V89" i="1"/>
  <c r="V88" i="10"/>
  <c r="V88" i="14"/>
  <c r="E57" i="14"/>
  <c r="BT57" i="14" s="1"/>
  <c r="E57" i="10"/>
  <c r="K11" i="8"/>
  <c r="AR27" i="8"/>
  <c r="AR33" i="8" s="1"/>
  <c r="AJ67" i="14"/>
  <c r="AJ67" i="10"/>
  <c r="AQ73" i="10"/>
  <c r="AQ73" i="14"/>
  <c r="AW80" i="14"/>
  <c r="AW80" i="10"/>
  <c r="BR15" i="8"/>
  <c r="BZ15" i="8"/>
  <c r="BR27" i="8" s="1"/>
  <c r="AA64" i="14"/>
  <c r="AA64" i="10"/>
  <c r="R11" i="8"/>
  <c r="AA74" i="10"/>
  <c r="AA74" i="14"/>
  <c r="AD68" i="10"/>
  <c r="AD68" i="14"/>
  <c r="AK73" i="14"/>
  <c r="AK73" i="10"/>
  <c r="W63" i="14"/>
  <c r="W63" i="10"/>
  <c r="W83" i="1"/>
  <c r="P74" i="14"/>
  <c r="P74" i="10"/>
  <c r="BS74" i="1"/>
  <c r="T80" i="14"/>
  <c r="BS80" i="14" s="1"/>
  <c r="T80" i="10"/>
  <c r="AB14" i="14"/>
  <c r="AB14" i="10"/>
  <c r="AB17" i="1"/>
  <c r="BZ14" i="1"/>
  <c r="BR26" i="1" s="1"/>
  <c r="BR14" i="1"/>
  <c r="AX78" i="10"/>
  <c r="AX78" i="14"/>
  <c r="E65" i="14"/>
  <c r="E65" i="10"/>
  <c r="AL71" i="14"/>
  <c r="AL71" i="10"/>
  <c r="Q21" i="8"/>
  <c r="Q33" i="8" s="1"/>
  <c r="Q51" i="8"/>
  <c r="P27" i="8"/>
  <c r="P33" i="8" s="1"/>
  <c r="BS45" i="8"/>
  <c r="M93" i="8"/>
  <c r="S10" i="10"/>
  <c r="S10" i="14"/>
  <c r="AI27" i="1"/>
  <c r="AI33" i="1" s="1"/>
  <c r="AI45" i="10"/>
  <c r="AI27" i="10" s="1"/>
  <c r="AI45" i="14"/>
  <c r="G82" i="10"/>
  <c r="G82" i="14"/>
  <c r="BT82" i="14" s="1"/>
  <c r="BR79" i="1"/>
  <c r="AB79" i="14"/>
  <c r="AB79" i="10"/>
  <c r="AR8" i="14"/>
  <c r="AR8" i="10"/>
  <c r="BO8" i="1"/>
  <c r="AR11" i="1"/>
  <c r="AS102" i="1" s="1"/>
  <c r="AQ88" i="10"/>
  <c r="AQ88" i="14"/>
  <c r="AB40" i="14"/>
  <c r="AB22" i="14" s="1"/>
  <c r="AB22" i="1"/>
  <c r="AB40" i="10"/>
  <c r="AB52" i="1"/>
  <c r="BR40" i="1"/>
  <c r="Y28" i="1"/>
  <c r="Y46" i="14"/>
  <c r="Y28" i="14" s="1"/>
  <c r="Y46" i="10"/>
  <c r="AW82" i="14"/>
  <c r="AW82" i="10"/>
  <c r="H86" i="10"/>
  <c r="H89" i="1"/>
  <c r="H86" i="14"/>
  <c r="H89" i="14" s="1"/>
  <c r="AY79" i="14"/>
  <c r="AY79" i="10"/>
  <c r="P67" i="10"/>
  <c r="P67" i="14"/>
  <c r="BS67" i="1"/>
  <c r="AR73" i="14"/>
  <c r="AR73" i="10"/>
  <c r="U66" i="10"/>
  <c r="U66" i="14"/>
  <c r="AB80" i="10"/>
  <c r="BR80" i="10" s="1"/>
  <c r="AB80" i="14"/>
  <c r="BR80" i="1"/>
  <c r="AI11" i="1"/>
  <c r="AJ102" i="1" s="1"/>
  <c r="AI8" i="10"/>
  <c r="AI8" i="14"/>
  <c r="AI11" i="14" s="1"/>
  <c r="W64" i="14"/>
  <c r="W64" i="10"/>
  <c r="AQ78" i="14"/>
  <c r="AQ78" i="10"/>
  <c r="AA56" i="14"/>
  <c r="AA58" i="14" s="1"/>
  <c r="AA58" i="1"/>
  <c r="AA56" i="10"/>
  <c r="K15" i="10"/>
  <c r="K17" i="10" s="1"/>
  <c r="K15" i="14"/>
  <c r="AW72" i="14"/>
  <c r="AW72" i="10"/>
  <c r="AW69" i="10"/>
  <c r="AW69" i="14"/>
  <c r="U38" i="14"/>
  <c r="U20" i="1"/>
  <c r="U32" i="1" s="1"/>
  <c r="U38" i="10"/>
  <c r="U41" i="10" s="1"/>
  <c r="U50" i="1"/>
  <c r="U41" i="1"/>
  <c r="AY76" i="14"/>
  <c r="AY76" i="10"/>
  <c r="AI14" i="14"/>
  <c r="AI14" i="10"/>
  <c r="AI17" i="10" s="1"/>
  <c r="AI17" i="1"/>
  <c r="R74" i="14"/>
  <c r="R74" i="10"/>
  <c r="E72" i="10"/>
  <c r="E72" i="14"/>
  <c r="S82" i="10"/>
  <c r="S82" i="14"/>
  <c r="E71" i="14"/>
  <c r="E71" i="10"/>
  <c r="W66" i="14"/>
  <c r="W83" i="14" s="1"/>
  <c r="W66" i="10"/>
  <c r="AB45" i="10"/>
  <c r="AB27" i="10" s="1"/>
  <c r="AB45" i="14"/>
  <c r="AB51" i="14" s="1"/>
  <c r="AB27" i="1"/>
  <c r="BR45" i="1"/>
  <c r="Q87" i="14"/>
  <c r="Q87" i="10"/>
  <c r="AM73" i="14"/>
  <c r="AM73" i="10"/>
  <c r="AJ65" i="10"/>
  <c r="AJ65" i="14"/>
  <c r="I92" i="14"/>
  <c r="I93" i="14" s="1"/>
  <c r="I92" i="10"/>
  <c r="AY71" i="14"/>
  <c r="AY71" i="10"/>
  <c r="R41" i="1"/>
  <c r="R53" i="1" s="1"/>
  <c r="R38" i="14"/>
  <c r="R38" i="10"/>
  <c r="R41" i="10" s="1"/>
  <c r="R50" i="1"/>
  <c r="R20" i="1"/>
  <c r="AP75" i="14"/>
  <c r="AP75" i="10"/>
  <c r="AH20" i="1"/>
  <c r="AH41" i="1"/>
  <c r="AH50" i="1"/>
  <c r="AH38" i="10"/>
  <c r="AH50" i="10" s="1"/>
  <c r="AH38" i="14"/>
  <c r="AH41" i="14" s="1"/>
  <c r="AO9" i="14"/>
  <c r="AO9" i="10"/>
  <c r="W77" i="14"/>
  <c r="W77" i="10"/>
  <c r="Y95" i="14"/>
  <c r="Y96" i="14" s="1"/>
  <c r="Y95" i="10"/>
  <c r="Y96" i="10" s="1"/>
  <c r="Y96" i="1"/>
  <c r="G92" i="10"/>
  <c r="G92" i="14"/>
  <c r="AU22" i="1"/>
  <c r="AU40" i="10"/>
  <c r="AU40" i="14"/>
  <c r="AU52" i="1"/>
  <c r="G45" i="10"/>
  <c r="G27" i="10" s="1"/>
  <c r="G45" i="14"/>
  <c r="G27" i="1"/>
  <c r="AI82" i="10"/>
  <c r="AI82" i="14"/>
  <c r="AX64" i="10"/>
  <c r="AX64" i="14"/>
  <c r="X76" i="14"/>
  <c r="X76" i="10"/>
  <c r="AC15" i="14"/>
  <c r="AC15" i="10"/>
  <c r="AC21" i="10" s="1"/>
  <c r="H93" i="8"/>
  <c r="AX27" i="1"/>
  <c r="AX45" i="10"/>
  <c r="AX27" i="10" s="1"/>
  <c r="AX45" i="14"/>
  <c r="AC38" i="14"/>
  <c r="AC50" i="14" s="1"/>
  <c r="AC20" i="1"/>
  <c r="AC41" i="1"/>
  <c r="AC50" i="1"/>
  <c r="AC38" i="10"/>
  <c r="AV78" i="10"/>
  <c r="AV78" i="14"/>
  <c r="BO64" i="8"/>
  <c r="BQ64" i="8"/>
  <c r="AN66" i="10"/>
  <c r="AN66" i="14"/>
  <c r="BO66" i="1"/>
  <c r="BQ66" i="1"/>
  <c r="V52" i="8"/>
  <c r="V22" i="8"/>
  <c r="V34" i="8" s="1"/>
  <c r="AB71" i="14"/>
  <c r="AB71" i="10"/>
  <c r="BR71" i="10" s="1"/>
  <c r="BR71" i="1"/>
  <c r="AK80" i="14"/>
  <c r="AK80" i="10"/>
  <c r="Y78" i="10"/>
  <c r="Y78" i="14"/>
  <c r="AI21" i="1"/>
  <c r="AI51" i="1"/>
  <c r="AI39" i="14"/>
  <c r="AI41" i="14" s="1"/>
  <c r="AI39" i="10"/>
  <c r="D66" i="10"/>
  <c r="D66" i="14"/>
  <c r="BT66" i="1"/>
  <c r="AR40" i="10"/>
  <c r="AR52" i="1"/>
  <c r="AR40" i="14"/>
  <c r="AR22" i="1"/>
  <c r="AR34" i="1" s="1"/>
  <c r="O72" i="14"/>
  <c r="O72" i="10"/>
  <c r="P81" i="14"/>
  <c r="BS81" i="14" s="1"/>
  <c r="P81" i="10"/>
  <c r="BS81" i="1"/>
  <c r="V10" i="10"/>
  <c r="V10" i="14"/>
  <c r="K77" i="14"/>
  <c r="K77" i="10"/>
  <c r="D95" i="14"/>
  <c r="D96" i="14" s="1"/>
  <c r="D96" i="1"/>
  <c r="D95" i="10"/>
  <c r="D96" i="10" s="1"/>
  <c r="BT95" i="1"/>
  <c r="BT96" i="1" s="1"/>
  <c r="AN73" i="14"/>
  <c r="AN73" i="10"/>
  <c r="BO73" i="1"/>
  <c r="BQ73" i="1"/>
  <c r="X10" i="10"/>
  <c r="X10" i="14"/>
  <c r="H77" i="14"/>
  <c r="H77" i="10"/>
  <c r="O93" i="8"/>
  <c r="AX14" i="14"/>
  <c r="AX14" i="10"/>
  <c r="AX26" i="10" s="1"/>
  <c r="AX17" i="1"/>
  <c r="AJ16" i="14"/>
  <c r="AJ16" i="10"/>
  <c r="AJ17" i="10" s="1"/>
  <c r="AJ93" i="1"/>
  <c r="AJ91" i="10"/>
  <c r="AJ91" i="14"/>
  <c r="Z80" i="14"/>
  <c r="Z80" i="10"/>
  <c r="I80" i="14"/>
  <c r="I80" i="10"/>
  <c r="AM11" i="1"/>
  <c r="AN102" i="1" s="1"/>
  <c r="AM8" i="14"/>
  <c r="AM8" i="10"/>
  <c r="AK52" i="1"/>
  <c r="AK40" i="14"/>
  <c r="AK40" i="10"/>
  <c r="AK52" i="10" s="1"/>
  <c r="AK22" i="1"/>
  <c r="T88" i="14"/>
  <c r="T88" i="10"/>
  <c r="M15" i="10"/>
  <c r="M15" i="14"/>
  <c r="AW57" i="14"/>
  <c r="AW57" i="10"/>
  <c r="AK9" i="14"/>
  <c r="AK9" i="10"/>
  <c r="AW78" i="10"/>
  <c r="AW78" i="14"/>
  <c r="AY58" i="1"/>
  <c r="AY56" i="10"/>
  <c r="AY56" i="14"/>
  <c r="Z64" i="10"/>
  <c r="Z64" i="14"/>
  <c r="AD17" i="8"/>
  <c r="X92" i="14"/>
  <c r="X92" i="10"/>
  <c r="X93" i="10" s="1"/>
  <c r="AU83" i="8"/>
  <c r="V81" i="14"/>
  <c r="V81" i="10"/>
  <c r="AA14" i="14"/>
  <c r="AA14" i="10"/>
  <c r="AA17" i="10" s="1"/>
  <c r="AA29" i="10" s="1"/>
  <c r="AA17" i="1"/>
  <c r="M63" i="14"/>
  <c r="M63" i="10"/>
  <c r="M83" i="1"/>
  <c r="M88" i="14"/>
  <c r="M88" i="10"/>
  <c r="AR28" i="1"/>
  <c r="AR46" i="10"/>
  <c r="AR52" i="10" s="1"/>
  <c r="AR46" i="14"/>
  <c r="AR28" i="14" s="1"/>
  <c r="AO81" i="14"/>
  <c r="AO81" i="10"/>
  <c r="L46" i="14"/>
  <c r="L28" i="1"/>
  <c r="L46" i="10"/>
  <c r="AN82" i="10"/>
  <c r="BO82" i="1"/>
  <c r="AN82" i="14"/>
  <c r="BQ82" i="1"/>
  <c r="M72" i="14"/>
  <c r="M72" i="10"/>
  <c r="Z45" i="14"/>
  <c r="Z45" i="10"/>
  <c r="Z27" i="1"/>
  <c r="AS67" i="10"/>
  <c r="AS83" i="10" s="1"/>
  <c r="AS67" i="14"/>
  <c r="AV93" i="9"/>
  <c r="G88" i="14"/>
  <c r="BT88" i="14" s="1"/>
  <c r="G88" i="10"/>
  <c r="V82" i="10"/>
  <c r="V82" i="14"/>
  <c r="R88" i="14"/>
  <c r="R88" i="10"/>
  <c r="BS88" i="10" s="1"/>
  <c r="AW14" i="10"/>
  <c r="AW14" i="14"/>
  <c r="AW17" i="1"/>
  <c r="AW23" i="1" s="1"/>
  <c r="G95" i="14"/>
  <c r="G96" i="14" s="1"/>
  <c r="G95" i="10"/>
  <c r="G96" i="10" s="1"/>
  <c r="G96" i="1"/>
  <c r="AX10" i="14"/>
  <c r="AX10" i="10"/>
  <c r="AX11" i="10" s="1"/>
  <c r="E67" i="10"/>
  <c r="E67" i="14"/>
  <c r="R67" i="14"/>
  <c r="R67" i="10"/>
  <c r="I71" i="10"/>
  <c r="I71" i="14"/>
  <c r="L75" i="10"/>
  <c r="L75" i="14"/>
  <c r="E8" i="10"/>
  <c r="E8" i="14"/>
  <c r="E11" i="1"/>
  <c r="F102" i="1" s="1"/>
  <c r="X66" i="10"/>
  <c r="X66" i="14"/>
  <c r="AR75" i="10"/>
  <c r="AR75" i="14"/>
  <c r="AM81" i="14"/>
  <c r="AM81" i="10"/>
  <c r="Z81" i="14"/>
  <c r="Z81" i="10"/>
  <c r="AD26" i="1"/>
  <c r="AD47" i="1"/>
  <c r="AD44" i="14"/>
  <c r="AD44" i="10"/>
  <c r="AD26" i="10" s="1"/>
  <c r="K68" i="14"/>
  <c r="K83" i="14" s="1"/>
  <c r="K68" i="10"/>
  <c r="AC69" i="10"/>
  <c r="AC69" i="14"/>
  <c r="K40" i="10"/>
  <c r="K52" i="1"/>
  <c r="K40" i="14"/>
  <c r="K22" i="1"/>
  <c r="K34" i="1" s="1"/>
  <c r="AA66" i="10"/>
  <c r="AA83" i="10" s="1"/>
  <c r="AA66" i="14"/>
  <c r="N16" i="10"/>
  <c r="N16" i="14"/>
  <c r="N22" i="14" s="1"/>
  <c r="G71" i="14"/>
  <c r="G71" i="10"/>
  <c r="AW95" i="14"/>
  <c r="AW96" i="14" s="1"/>
  <c r="AW95" i="10"/>
  <c r="AW96" i="10" s="1"/>
  <c r="AW96" i="1"/>
  <c r="AP47" i="1"/>
  <c r="AP29" i="1" s="1"/>
  <c r="AP44" i="14"/>
  <c r="AP26" i="14" s="1"/>
  <c r="AP26" i="1"/>
  <c r="AP32" i="1" s="1"/>
  <c r="AP44" i="10"/>
  <c r="AP26" i="10" s="1"/>
  <c r="W72" i="14"/>
  <c r="W72" i="10"/>
  <c r="L16" i="14"/>
  <c r="L16" i="10"/>
  <c r="L22" i="10" s="1"/>
  <c r="AT44" i="14"/>
  <c r="AT26" i="1"/>
  <c r="AT44" i="10"/>
  <c r="AT26" i="10" s="1"/>
  <c r="AT47" i="1"/>
  <c r="AS72" i="14"/>
  <c r="AS72" i="10"/>
  <c r="N26" i="1"/>
  <c r="N44" i="10"/>
  <c r="N47" i="10" s="1"/>
  <c r="N44" i="14"/>
  <c r="N47" i="1"/>
  <c r="J16" i="14"/>
  <c r="J22" i="14" s="1"/>
  <c r="J16" i="10"/>
  <c r="AA80" i="14"/>
  <c r="AA80" i="10"/>
  <c r="AO51" i="1"/>
  <c r="AO39" i="10"/>
  <c r="AO21" i="10" s="1"/>
  <c r="AO21" i="1"/>
  <c r="AO39" i="14"/>
  <c r="AG28" i="1"/>
  <c r="AG34" i="1" s="1"/>
  <c r="AG46" i="14"/>
  <c r="AG46" i="10"/>
  <c r="L10" i="14"/>
  <c r="L10" i="10"/>
  <c r="Y82" i="14"/>
  <c r="Y82" i="10"/>
  <c r="AU74" i="10"/>
  <c r="AU74" i="14"/>
  <c r="AK82" i="10"/>
  <c r="AK82" i="14"/>
  <c r="K56" i="14"/>
  <c r="K58" i="1"/>
  <c r="K56" i="10"/>
  <c r="K58" i="10" s="1"/>
  <c r="H71" i="14"/>
  <c r="H71" i="10"/>
  <c r="AV10" i="10"/>
  <c r="AV10" i="14"/>
  <c r="AB66" i="14"/>
  <c r="AB66" i="10"/>
  <c r="BR66" i="1"/>
  <c r="AT86" i="10"/>
  <c r="AT89" i="10" s="1"/>
  <c r="AT86" i="14"/>
  <c r="AT89" i="1"/>
  <c r="X47" i="1"/>
  <c r="X53" i="1" s="1"/>
  <c r="X26" i="1"/>
  <c r="X44" i="10"/>
  <c r="X44" i="14"/>
  <c r="AI89" i="1"/>
  <c r="AI86" i="14"/>
  <c r="AI89" i="14" s="1"/>
  <c r="AI86" i="10"/>
  <c r="AJ79" i="10"/>
  <c r="AJ79" i="14"/>
  <c r="AH73" i="14"/>
  <c r="AH73" i="10"/>
  <c r="AA69" i="14"/>
  <c r="AA69" i="10"/>
  <c r="W20" i="1"/>
  <c r="W38" i="10"/>
  <c r="W41" i="1"/>
  <c r="W38" i="14"/>
  <c r="W20" i="14" s="1"/>
  <c r="W50" i="1"/>
  <c r="I79" i="14"/>
  <c r="I79" i="10"/>
  <c r="AE92" i="14"/>
  <c r="AE92" i="10"/>
  <c r="AE93" i="10" s="1"/>
  <c r="AE57" i="14"/>
  <c r="AE57" i="10"/>
  <c r="AE66" i="14"/>
  <c r="BR66" i="14" s="1"/>
  <c r="AE66" i="10"/>
  <c r="W70" i="10"/>
  <c r="W70" i="14"/>
  <c r="E10" i="14"/>
  <c r="E10" i="10"/>
  <c r="E11" i="10" s="1"/>
  <c r="E102" i="10" s="1"/>
  <c r="AA87" i="14"/>
  <c r="AA87" i="10"/>
  <c r="AT16" i="14"/>
  <c r="AT16" i="10"/>
  <c r="G69" i="14"/>
  <c r="G69" i="10"/>
  <c r="O26" i="8"/>
  <c r="O47" i="8"/>
  <c r="O29" i="8" s="1"/>
  <c r="AM45" i="14"/>
  <c r="AM27" i="1"/>
  <c r="AM45" i="10"/>
  <c r="AM51" i="10" s="1"/>
  <c r="AV68" i="14"/>
  <c r="AV68" i="10"/>
  <c r="R72" i="14"/>
  <c r="R72" i="10"/>
  <c r="AS87" i="14"/>
  <c r="AS89" i="14" s="1"/>
  <c r="AS87" i="10"/>
  <c r="AM46" i="14"/>
  <c r="AM28" i="1"/>
  <c r="AM34" i="1" s="1"/>
  <c r="AM46" i="10"/>
  <c r="AP76" i="14"/>
  <c r="AP76" i="10"/>
  <c r="S80" i="14"/>
  <c r="S80" i="10"/>
  <c r="R64" i="10"/>
  <c r="R64" i="14"/>
  <c r="V75" i="14"/>
  <c r="V75" i="10"/>
  <c r="AD66" i="14"/>
  <c r="AD66" i="10"/>
  <c r="AJ73" i="14"/>
  <c r="AJ73" i="10"/>
  <c r="AJ83" i="10" s="1"/>
  <c r="AG65" i="10"/>
  <c r="AG65" i="14"/>
  <c r="AM74" i="10"/>
  <c r="AM74" i="14"/>
  <c r="AB74" i="10"/>
  <c r="BR74" i="10" s="1"/>
  <c r="AB74" i="14"/>
  <c r="BR74" i="1"/>
  <c r="X56" i="14"/>
  <c r="X58" i="14" s="1"/>
  <c r="X56" i="10"/>
  <c r="X58" i="1"/>
  <c r="AS10" i="10"/>
  <c r="AS10" i="14"/>
  <c r="D15" i="14"/>
  <c r="D15" i="10"/>
  <c r="CB15" i="1"/>
  <c r="BT15" i="1"/>
  <c r="AE73" i="10"/>
  <c r="AE73" i="14"/>
  <c r="F51" i="1"/>
  <c r="F21" i="1"/>
  <c r="F39" i="14"/>
  <c r="F39" i="10"/>
  <c r="BT39" i="10" s="1"/>
  <c r="AQ69" i="10"/>
  <c r="AQ69" i="14"/>
  <c r="BO69" i="14" s="1"/>
  <c r="AS88" i="10"/>
  <c r="AS88" i="14"/>
  <c r="AC57" i="10"/>
  <c r="AC58" i="10" s="1"/>
  <c r="AC57" i="14"/>
  <c r="AN15" i="10"/>
  <c r="BW15" i="1"/>
  <c r="AN15" i="14"/>
  <c r="BO15" i="1"/>
  <c r="BO17" i="1" s="1"/>
  <c r="BY15" i="1"/>
  <c r="BQ15" i="1"/>
  <c r="AN72" i="10"/>
  <c r="BO72" i="10" s="1"/>
  <c r="AN72" i="14"/>
  <c r="BO72" i="1"/>
  <c r="BQ72" i="1"/>
  <c r="AR79" i="10"/>
  <c r="AR79" i="14"/>
  <c r="BO79" i="14" s="1"/>
  <c r="AP20" i="8"/>
  <c r="AP41" i="8"/>
  <c r="AP23" i="8" s="1"/>
  <c r="AP50" i="8"/>
  <c r="AV73" i="10"/>
  <c r="AV73" i="14"/>
  <c r="H9" i="10"/>
  <c r="H9" i="14"/>
  <c r="BT9" i="14" s="1"/>
  <c r="BT9" i="1"/>
  <c r="X28" i="8"/>
  <c r="AT22" i="1"/>
  <c r="AT40" i="10"/>
  <c r="AT52" i="10" s="1"/>
  <c r="AT52" i="1"/>
  <c r="AT40" i="14"/>
  <c r="AY28" i="8"/>
  <c r="Q89" i="8"/>
  <c r="U67" i="14"/>
  <c r="U67" i="10"/>
  <c r="J68" i="14"/>
  <c r="J68" i="10"/>
  <c r="M27" i="8"/>
  <c r="N14" i="10"/>
  <c r="N14" i="14"/>
  <c r="N17" i="1"/>
  <c r="AO76" i="14"/>
  <c r="BQ76" i="14" s="1"/>
  <c r="AO76" i="10"/>
  <c r="AE75" i="14"/>
  <c r="AE75" i="10"/>
  <c r="BR75" i="10" s="1"/>
  <c r="AA9" i="14"/>
  <c r="AA9" i="10"/>
  <c r="AS75" i="10"/>
  <c r="AS75" i="14"/>
  <c r="AU70" i="10"/>
  <c r="AU70" i="14"/>
  <c r="L96" i="8"/>
  <c r="AV82" i="14"/>
  <c r="AV82" i="10"/>
  <c r="AA67" i="10"/>
  <c r="AA67" i="14"/>
  <c r="X45" i="14"/>
  <c r="X45" i="10"/>
  <c r="X27" i="10" s="1"/>
  <c r="X33" i="10" s="1"/>
  <c r="X27" i="1"/>
  <c r="AE17" i="1"/>
  <c r="AE29" i="1" s="1"/>
  <c r="AE14" i="10"/>
  <c r="BR14" i="10" s="1"/>
  <c r="AE14" i="14"/>
  <c r="Z21" i="1"/>
  <c r="Z51" i="1"/>
  <c r="Z39" i="14"/>
  <c r="Z39" i="10"/>
  <c r="Z41" i="10" s="1"/>
  <c r="E89" i="8"/>
  <c r="I28" i="1"/>
  <c r="I46" i="14"/>
  <c r="I52" i="14" s="1"/>
  <c r="I46" i="10"/>
  <c r="Y40" i="10"/>
  <c r="Y22" i="1"/>
  <c r="Y40" i="14"/>
  <c r="Y52" i="1"/>
  <c r="Z79" i="14"/>
  <c r="Z79" i="10"/>
  <c r="V73" i="10"/>
  <c r="V73" i="14"/>
  <c r="J81" i="10"/>
  <c r="J81" i="14"/>
  <c r="T41" i="8"/>
  <c r="T20" i="8"/>
  <c r="T32" i="8" s="1"/>
  <c r="T50" i="8"/>
  <c r="AN81" i="10"/>
  <c r="AN81" i="14"/>
  <c r="BO81" i="14" s="1"/>
  <c r="BO81" i="1"/>
  <c r="BQ81" i="1"/>
  <c r="O77" i="14"/>
  <c r="O77" i="10"/>
  <c r="W78" i="10"/>
  <c r="W83" i="10" s="1"/>
  <c r="W78" i="14"/>
  <c r="AF50" i="1"/>
  <c r="AF38" i="10"/>
  <c r="AF50" i="10" s="1"/>
  <c r="AF41" i="1"/>
  <c r="AF20" i="1"/>
  <c r="AF38" i="14"/>
  <c r="AG45" i="14"/>
  <c r="AG27" i="1"/>
  <c r="AG33" i="1" s="1"/>
  <c r="AG45" i="10"/>
  <c r="L82" i="10"/>
  <c r="L82" i="14"/>
  <c r="J57" i="14"/>
  <c r="J57" i="10"/>
  <c r="AK72" i="10"/>
  <c r="AK72" i="14"/>
  <c r="AN86" i="14"/>
  <c r="AN89" i="14" s="1"/>
  <c r="AN89" i="1"/>
  <c r="BO86" i="1"/>
  <c r="AN86" i="10"/>
  <c r="AN89" i="10" s="1"/>
  <c r="BQ86" i="1"/>
  <c r="W87" i="10"/>
  <c r="W87" i="14"/>
  <c r="AO95" i="10"/>
  <c r="AO96" i="10" s="1"/>
  <c r="AO96" i="1"/>
  <c r="AO95" i="14"/>
  <c r="N75" i="14"/>
  <c r="N75" i="10"/>
  <c r="AR16" i="14"/>
  <c r="AR16" i="10"/>
  <c r="Z83" i="1"/>
  <c r="Z63" i="10"/>
  <c r="Z63" i="14"/>
  <c r="K91" i="10"/>
  <c r="K93" i="10" s="1"/>
  <c r="K93" i="1"/>
  <c r="K91" i="14"/>
  <c r="K93" i="14" s="1"/>
  <c r="AS82" i="14"/>
  <c r="AS82" i="10"/>
  <c r="AY82" i="14"/>
  <c r="AY82" i="10"/>
  <c r="AB89" i="8"/>
  <c r="BR86" i="8"/>
  <c r="AK44" i="14"/>
  <c r="AK26" i="14" s="1"/>
  <c r="AK26" i="1"/>
  <c r="AK32" i="1" s="1"/>
  <c r="AK44" i="10"/>
  <c r="AK47" i="1"/>
  <c r="AE67" i="10"/>
  <c r="AE67" i="14"/>
  <c r="AA77" i="14"/>
  <c r="AA77" i="10"/>
  <c r="AB63" i="14"/>
  <c r="AB63" i="10"/>
  <c r="AB83" i="1"/>
  <c r="BR63" i="1"/>
  <c r="G75" i="14"/>
  <c r="G75" i="10"/>
  <c r="AK16" i="14"/>
  <c r="AK28" i="14" s="1"/>
  <c r="AK16" i="10"/>
  <c r="R16" i="14"/>
  <c r="R16" i="10"/>
  <c r="BS16" i="10" s="1"/>
  <c r="AO26" i="8"/>
  <c r="AO47" i="8"/>
  <c r="AO29" i="8" s="1"/>
  <c r="AA10" i="14"/>
  <c r="AA10" i="10"/>
  <c r="Q77" i="14"/>
  <c r="Q83" i="14" s="1"/>
  <c r="Q77" i="10"/>
  <c r="D73" i="14"/>
  <c r="BT73" i="14" s="1"/>
  <c r="BT73" i="1"/>
  <c r="D73" i="10"/>
  <c r="AD76" i="14"/>
  <c r="AD76" i="10"/>
  <c r="P88" i="10"/>
  <c r="P88" i="14"/>
  <c r="P89" i="14" s="1"/>
  <c r="BS88" i="1"/>
  <c r="AG82" i="14"/>
  <c r="AG82" i="10"/>
  <c r="AF46" i="14"/>
  <c r="AF28" i="1"/>
  <c r="AF46" i="10"/>
  <c r="AQ92" i="14"/>
  <c r="AQ92" i="10"/>
  <c r="BQ92" i="10" s="1"/>
  <c r="BO45" i="8"/>
  <c r="BO47" i="8" s="1"/>
  <c r="AN27" i="8"/>
  <c r="AN33" i="8" s="1"/>
  <c r="BQ45" i="8"/>
  <c r="BQ51" i="8" s="1"/>
  <c r="AB65" i="10"/>
  <c r="AB65" i="14"/>
  <c r="BR65" i="1"/>
  <c r="E52" i="1"/>
  <c r="E22" i="1"/>
  <c r="E34" i="1" s="1"/>
  <c r="E40" i="14"/>
  <c r="E40" i="10"/>
  <c r="G56" i="10"/>
  <c r="BT56" i="10" s="1"/>
  <c r="G58" i="1"/>
  <c r="G56" i="14"/>
  <c r="AL73" i="14"/>
  <c r="AL73" i="10"/>
  <c r="Z75" i="10"/>
  <c r="Z75" i="14"/>
  <c r="O66" i="14"/>
  <c r="O66" i="10"/>
  <c r="P69" i="14"/>
  <c r="P69" i="10"/>
  <c r="BS69" i="1"/>
  <c r="I67" i="14"/>
  <c r="I67" i="10"/>
  <c r="I83" i="10" s="1"/>
  <c r="O51" i="1"/>
  <c r="O39" i="14"/>
  <c r="O39" i="10"/>
  <c r="O51" i="10" s="1"/>
  <c r="O21" i="1"/>
  <c r="AD65" i="10"/>
  <c r="AD65" i="14"/>
  <c r="AH79" i="10"/>
  <c r="AH79" i="14"/>
  <c r="AH83" i="14" s="1"/>
  <c r="L87" i="10"/>
  <c r="L89" i="10" s="1"/>
  <c r="L87" i="14"/>
  <c r="AU92" i="14"/>
  <c r="AU92" i="10"/>
  <c r="AJ47" i="8"/>
  <c r="AJ29" i="8" s="1"/>
  <c r="AJ26" i="8"/>
  <c r="AT81" i="10"/>
  <c r="AT81" i="14"/>
  <c r="AH82" i="14"/>
  <c r="AH82" i="10"/>
  <c r="AC93" i="1"/>
  <c r="AC91" i="10"/>
  <c r="AC93" i="10" s="1"/>
  <c r="AC91" i="14"/>
  <c r="S89" i="1"/>
  <c r="S86" i="10"/>
  <c r="S86" i="14"/>
  <c r="BS86" i="14" s="1"/>
  <c r="I21" i="1"/>
  <c r="I39" i="14"/>
  <c r="I39" i="10"/>
  <c r="I21" i="10" s="1"/>
  <c r="I51" i="1"/>
  <c r="AV71" i="14"/>
  <c r="AV71" i="10"/>
  <c r="D82" i="14"/>
  <c r="D82" i="10"/>
  <c r="BT82" i="10" s="1"/>
  <c r="BT82" i="1"/>
  <c r="AO45" i="10"/>
  <c r="AO27" i="1"/>
  <c r="AO45" i="14"/>
  <c r="T78" i="14"/>
  <c r="T78" i="10"/>
  <c r="U16" i="10"/>
  <c r="U16" i="14"/>
  <c r="U22" i="14" s="1"/>
  <c r="K50" i="1"/>
  <c r="K38" i="10"/>
  <c r="K20" i="10" s="1"/>
  <c r="K41" i="1"/>
  <c r="K53" i="1" s="1"/>
  <c r="K60" i="1" s="1"/>
  <c r="K98" i="1" s="1"/>
  <c r="K38" i="14"/>
  <c r="K20" i="1"/>
  <c r="W44" i="14"/>
  <c r="W44" i="10"/>
  <c r="W26" i="1"/>
  <c r="W47" i="1"/>
  <c r="W29" i="1" s="1"/>
  <c r="AP63" i="10"/>
  <c r="AP83" i="1"/>
  <c r="AP63" i="14"/>
  <c r="AC89" i="1"/>
  <c r="AC86" i="14"/>
  <c r="AC86" i="10"/>
  <c r="Q64" i="10"/>
  <c r="BS64" i="10" s="1"/>
  <c r="Q64" i="14"/>
  <c r="F78" i="10"/>
  <c r="BT78" i="10" s="1"/>
  <c r="F78" i="14"/>
  <c r="BT78" i="14" s="1"/>
  <c r="E80" i="10"/>
  <c r="E80" i="14"/>
  <c r="AA8" i="14"/>
  <c r="AA11" i="1"/>
  <c r="AB102" i="1" s="1"/>
  <c r="AA8" i="10"/>
  <c r="AA11" i="10" s="1"/>
  <c r="F38" i="14"/>
  <c r="F20" i="14" s="1"/>
  <c r="F38" i="10"/>
  <c r="F50" i="10" s="1"/>
  <c r="F41" i="1"/>
  <c r="F53" i="1" s="1"/>
  <c r="F60" i="1" s="1"/>
  <c r="F98" i="1" s="1"/>
  <c r="F20" i="1"/>
  <c r="F50" i="1"/>
  <c r="K9" i="10"/>
  <c r="K9" i="14"/>
  <c r="K11" i="14" s="1"/>
  <c r="AA16" i="14"/>
  <c r="AA28" i="14" s="1"/>
  <c r="AA16" i="10"/>
  <c r="AU68" i="14"/>
  <c r="AU68" i="10"/>
  <c r="AH72" i="14"/>
  <c r="AH72" i="10"/>
  <c r="AH14" i="10"/>
  <c r="AH14" i="14"/>
  <c r="AH17" i="1"/>
  <c r="AH29" i="1" s="1"/>
  <c r="AX70" i="14"/>
  <c r="AX70" i="10"/>
  <c r="Y79" i="10"/>
  <c r="Y83" i="10" s="1"/>
  <c r="Y79" i="14"/>
  <c r="AJ88" i="14"/>
  <c r="AJ88" i="10"/>
  <c r="E92" i="14"/>
  <c r="E92" i="10"/>
  <c r="E93" i="10" s="1"/>
  <c r="E64" i="14"/>
  <c r="E64" i="10"/>
  <c r="U57" i="14"/>
  <c r="U57" i="10"/>
  <c r="AJ92" i="10"/>
  <c r="AJ92" i="14"/>
  <c r="AV83" i="8"/>
  <c r="J93" i="8"/>
  <c r="R56" i="10"/>
  <c r="R58" i="10" s="1"/>
  <c r="R58" i="1"/>
  <c r="R56" i="14"/>
  <c r="BS56" i="14" s="1"/>
  <c r="BS58" i="14" s="1"/>
  <c r="K63" i="14"/>
  <c r="K63" i="10"/>
  <c r="K83" i="1"/>
  <c r="AI80" i="10"/>
  <c r="AI80" i="14"/>
  <c r="AI83" i="14" s="1"/>
  <c r="I74" i="10"/>
  <c r="I74" i="14"/>
  <c r="H63" i="10"/>
  <c r="BT63" i="10" s="1"/>
  <c r="H83" i="1"/>
  <c r="H63" i="14"/>
  <c r="AK57" i="14"/>
  <c r="AK57" i="10"/>
  <c r="AC81" i="14"/>
  <c r="BR81" i="14" s="1"/>
  <c r="AC81" i="10"/>
  <c r="D77" i="10"/>
  <c r="BT77" i="1"/>
  <c r="D77" i="14"/>
  <c r="AR71" i="14"/>
  <c r="AR71" i="10"/>
  <c r="O93" i="1"/>
  <c r="O91" i="14"/>
  <c r="O93" i="14" s="1"/>
  <c r="O91" i="10"/>
  <c r="S78" i="10"/>
  <c r="S78" i="14"/>
  <c r="BS78" i="14" s="1"/>
  <c r="AK93" i="8"/>
  <c r="AM76" i="14"/>
  <c r="AM76" i="10"/>
  <c r="Q10" i="10"/>
  <c r="Q10" i="14"/>
  <c r="AE56" i="14"/>
  <c r="AE58" i="1"/>
  <c r="AE56" i="10"/>
  <c r="AE58" i="10" s="1"/>
  <c r="L66" i="10"/>
  <c r="L66" i="14"/>
  <c r="AJ9" i="14"/>
  <c r="AJ9" i="10"/>
  <c r="J80" i="14"/>
  <c r="J80" i="10"/>
  <c r="AF69" i="10"/>
  <c r="BR69" i="10" s="1"/>
  <c r="AF69" i="14"/>
  <c r="AF83" i="14" s="1"/>
  <c r="R46" i="14"/>
  <c r="R28" i="1"/>
  <c r="R34" i="1" s="1"/>
  <c r="R46" i="10"/>
  <c r="E79" i="14"/>
  <c r="E79" i="10"/>
  <c r="BT79" i="10" s="1"/>
  <c r="H72" i="10"/>
  <c r="H72" i="14"/>
  <c r="AC65" i="14"/>
  <c r="BR65" i="14" s="1"/>
  <c r="AC65" i="10"/>
  <c r="AT75" i="10"/>
  <c r="AT75" i="14"/>
  <c r="F66" i="14"/>
  <c r="F66" i="10"/>
  <c r="BT66" i="10" s="1"/>
  <c r="AM14" i="14"/>
  <c r="AM17" i="1"/>
  <c r="AM29" i="1" s="1"/>
  <c r="AM14" i="10"/>
  <c r="AM20" i="10" s="1"/>
  <c r="K71" i="14"/>
  <c r="K71" i="10"/>
  <c r="AM87" i="14"/>
  <c r="AM87" i="10"/>
  <c r="AW93" i="8"/>
  <c r="J71" i="14"/>
  <c r="J71" i="10"/>
  <c r="AC51" i="1"/>
  <c r="AC39" i="14"/>
  <c r="AC39" i="10"/>
  <c r="AC41" i="10" s="1"/>
  <c r="AC21" i="1"/>
  <c r="Q52" i="1"/>
  <c r="Q40" i="10"/>
  <c r="Q52" i="10" s="1"/>
  <c r="Q40" i="14"/>
  <c r="Q52" i="14" s="1"/>
  <c r="Q22" i="1"/>
  <c r="AX40" i="10"/>
  <c r="AX52" i="10" s="1"/>
  <c r="AX52" i="1"/>
  <c r="AX40" i="14"/>
  <c r="AX22" i="1"/>
  <c r="T79" i="10"/>
  <c r="T79" i="14"/>
  <c r="BS79" i="14" s="1"/>
  <c r="J27" i="1"/>
  <c r="J33" i="1" s="1"/>
  <c r="J45" i="10"/>
  <c r="J45" i="14"/>
  <c r="J51" i="14" s="1"/>
  <c r="AU75" i="10"/>
  <c r="AU75" i="14"/>
  <c r="X74" i="14"/>
  <c r="X74" i="10"/>
  <c r="H44" i="14"/>
  <c r="H50" i="14" s="1"/>
  <c r="H26" i="1"/>
  <c r="H47" i="1"/>
  <c r="H53" i="1" s="1"/>
  <c r="H60" i="1" s="1"/>
  <c r="H44" i="10"/>
  <c r="H47" i="10" s="1"/>
  <c r="BO10" i="1"/>
  <c r="AR10" i="14"/>
  <c r="BO10" i="14" s="1"/>
  <c r="AR10" i="10"/>
  <c r="AH70" i="14"/>
  <c r="AH70" i="10"/>
  <c r="AN75" i="14"/>
  <c r="AN75" i="10"/>
  <c r="BQ75" i="10" s="1"/>
  <c r="BO75" i="1"/>
  <c r="BQ75" i="1"/>
  <c r="AY70" i="14"/>
  <c r="AY70" i="10"/>
  <c r="AI27" i="8"/>
  <c r="M80" i="14"/>
  <c r="M80" i="10"/>
  <c r="V76" i="10"/>
  <c r="V76" i="14"/>
  <c r="O67" i="14"/>
  <c r="O67" i="10"/>
  <c r="Q47" i="1"/>
  <c r="Q44" i="10"/>
  <c r="Q50" i="10" s="1"/>
  <c r="Q44" i="14"/>
  <c r="BS44" i="14" s="1"/>
  <c r="Q26" i="1"/>
  <c r="Q32" i="1" s="1"/>
  <c r="R78" i="14"/>
  <c r="R78" i="10"/>
  <c r="AL65" i="10"/>
  <c r="AL65" i="14"/>
  <c r="AK76" i="14"/>
  <c r="AK76" i="10"/>
  <c r="Y9" i="14"/>
  <c r="Y11" i="14" s="1"/>
  <c r="Y9" i="10"/>
  <c r="M8" i="10"/>
  <c r="M8" i="14"/>
  <c r="M11" i="14" s="1"/>
  <c r="M11" i="1"/>
  <c r="AY8" i="14"/>
  <c r="AY8" i="10"/>
  <c r="AY11" i="1"/>
  <c r="AG93" i="8"/>
  <c r="AG74" i="14"/>
  <c r="AG74" i="10"/>
  <c r="J28" i="8"/>
  <c r="AA15" i="10"/>
  <c r="AA15" i="14"/>
  <c r="AX26" i="1"/>
  <c r="AX44" i="10"/>
  <c r="AX47" i="1"/>
  <c r="AX53" i="1" s="1"/>
  <c r="AX60" i="1" s="1"/>
  <c r="AX98" i="1" s="1"/>
  <c r="AX44" i="14"/>
  <c r="AG86" i="10"/>
  <c r="AG86" i="14"/>
  <c r="AG89" i="1"/>
  <c r="M91" i="14"/>
  <c r="M93" i="1"/>
  <c r="M91" i="10"/>
  <c r="AK68" i="10"/>
  <c r="AK83" i="10" s="1"/>
  <c r="AK68" i="14"/>
  <c r="AX87" i="10"/>
  <c r="AX89" i="10" s="1"/>
  <c r="AX87" i="14"/>
  <c r="L8" i="14"/>
  <c r="L8" i="10"/>
  <c r="L11" i="1"/>
  <c r="AX38" i="14"/>
  <c r="AX38" i="10"/>
  <c r="AX20" i="10" s="1"/>
  <c r="AX20" i="1"/>
  <c r="AX50" i="1"/>
  <c r="AX41" i="1"/>
  <c r="AT69" i="10"/>
  <c r="AT69" i="14"/>
  <c r="AW87" i="14"/>
  <c r="AW87" i="10"/>
  <c r="O74" i="10"/>
  <c r="O83" i="10" s="1"/>
  <c r="O74" i="14"/>
  <c r="BO63" i="8"/>
  <c r="AN83" i="8"/>
  <c r="BQ63" i="8"/>
  <c r="AL46" i="14"/>
  <c r="AL28" i="1"/>
  <c r="AL46" i="10"/>
  <c r="I75" i="14"/>
  <c r="I75" i="10"/>
  <c r="G76" i="14"/>
  <c r="G76" i="10"/>
  <c r="BT76" i="10" s="1"/>
  <c r="BR16" i="8"/>
  <c r="BZ16" i="8"/>
  <c r="AU56" i="14"/>
  <c r="AU56" i="10"/>
  <c r="AU58" i="10" s="1"/>
  <c r="AU58" i="1"/>
  <c r="F80" i="14"/>
  <c r="F80" i="10"/>
  <c r="BT80" i="10" s="1"/>
  <c r="X63" i="10"/>
  <c r="X83" i="1"/>
  <c r="X63" i="14"/>
  <c r="AQ79" i="14"/>
  <c r="AQ79" i="10"/>
  <c r="AM75" i="14"/>
  <c r="AM75" i="10"/>
  <c r="AK27" i="1"/>
  <c r="AK45" i="10"/>
  <c r="AK27" i="10" s="1"/>
  <c r="AK45" i="14"/>
  <c r="AY92" i="10"/>
  <c r="AY92" i="14"/>
  <c r="AD63" i="14"/>
  <c r="AD83" i="1"/>
  <c r="AD63" i="10"/>
  <c r="X93" i="1"/>
  <c r="X91" i="14"/>
  <c r="X93" i="14" s="1"/>
  <c r="X91" i="10"/>
  <c r="S40" i="10"/>
  <c r="S40" i="14"/>
  <c r="S22" i="1"/>
  <c r="S52" i="1"/>
  <c r="G22" i="1"/>
  <c r="G34" i="1" s="1"/>
  <c r="G40" i="14"/>
  <c r="G41" i="14" s="1"/>
  <c r="G52" i="1"/>
  <c r="G40" i="10"/>
  <c r="AR76" i="14"/>
  <c r="AR76" i="10"/>
  <c r="BO82" i="8"/>
  <c r="BQ82" i="8"/>
  <c r="BQ83" i="8" s="1"/>
  <c r="I44" i="14"/>
  <c r="I44" i="10"/>
  <c r="I47" i="1"/>
  <c r="I29" i="1" s="1"/>
  <c r="I26" i="1"/>
  <c r="AF70" i="10"/>
  <c r="AF70" i="14"/>
  <c r="E75" i="14"/>
  <c r="E75" i="10"/>
  <c r="E83" i="10" s="1"/>
  <c r="N92" i="14"/>
  <c r="N92" i="10"/>
  <c r="N93" i="10" s="1"/>
  <c r="AO41" i="8"/>
  <c r="AO53" i="8" s="1"/>
  <c r="AO60" i="8" s="1"/>
  <c r="AO98" i="8" s="1"/>
  <c r="AO50" i="8"/>
  <c r="AO20" i="8"/>
  <c r="AM67" i="10"/>
  <c r="AM67" i="14"/>
  <c r="AD51" i="1"/>
  <c r="AD39" i="14"/>
  <c r="AD39" i="10"/>
  <c r="AD51" i="10" s="1"/>
  <c r="AD21" i="1"/>
  <c r="AD33" i="1" s="1"/>
  <c r="W27" i="8"/>
  <c r="N74" i="14"/>
  <c r="N74" i="10"/>
  <c r="BT82" i="8"/>
  <c r="AY87" i="14"/>
  <c r="AY89" i="14" s="1"/>
  <c r="AY87" i="10"/>
  <c r="Z76" i="14"/>
  <c r="Z76" i="10"/>
  <c r="X57" i="10"/>
  <c r="X57" i="14"/>
  <c r="AR87" i="10"/>
  <c r="AR87" i="14"/>
  <c r="AR89" i="14" s="1"/>
  <c r="BT8" i="1"/>
  <c r="BT11" i="1" s="1"/>
  <c r="H8" i="10"/>
  <c r="H11" i="1"/>
  <c r="H8" i="14"/>
  <c r="BT8" i="14" s="1"/>
  <c r="R95" i="10"/>
  <c r="R96" i="10" s="1"/>
  <c r="R95" i="14"/>
  <c r="R96" i="14" s="1"/>
  <c r="R96" i="1"/>
  <c r="L56" i="14"/>
  <c r="L58" i="1"/>
  <c r="L56" i="10"/>
  <c r="U77" i="10"/>
  <c r="U77" i="14"/>
  <c r="T50" i="1"/>
  <c r="T38" i="10"/>
  <c r="T41" i="10" s="1"/>
  <c r="T38" i="14"/>
  <c r="T20" i="1"/>
  <c r="T41" i="1"/>
  <c r="T23" i="1" s="1"/>
  <c r="AV76" i="14"/>
  <c r="AV76" i="10"/>
  <c r="G14" i="14"/>
  <c r="CB14" i="14" s="1"/>
  <c r="G14" i="10"/>
  <c r="G17" i="1"/>
  <c r="AL17" i="1"/>
  <c r="AL14" i="10"/>
  <c r="AL14" i="14"/>
  <c r="AL26" i="14" s="1"/>
  <c r="AE68" i="14"/>
  <c r="AE68" i="10"/>
  <c r="BR68" i="10" s="1"/>
  <c r="AL38" i="14"/>
  <c r="AL41" i="14" s="1"/>
  <c r="AL38" i="10"/>
  <c r="AL50" i="1"/>
  <c r="AL20" i="1"/>
  <c r="AL32" i="1" s="1"/>
  <c r="AL41" i="1"/>
  <c r="S96" i="8"/>
  <c r="AB72" i="10"/>
  <c r="BR72" i="1"/>
  <c r="AB72" i="14"/>
  <c r="BR72" i="14" s="1"/>
  <c r="AY17" i="8"/>
  <c r="AL16" i="14"/>
  <c r="AL16" i="10"/>
  <c r="M66" i="14"/>
  <c r="M66" i="10"/>
  <c r="M83" i="10" s="1"/>
  <c r="R89" i="8"/>
  <c r="AT82" i="10"/>
  <c r="AT82" i="14"/>
  <c r="D67" i="14"/>
  <c r="D67" i="10"/>
  <c r="BT67" i="1"/>
  <c r="Y8" i="14"/>
  <c r="Y11" i="1"/>
  <c r="Y8" i="10"/>
  <c r="X70" i="14"/>
  <c r="X70" i="10"/>
  <c r="R82" i="14"/>
  <c r="R82" i="10"/>
  <c r="BS82" i="10" s="1"/>
  <c r="Z8" i="14"/>
  <c r="Z8" i="10"/>
  <c r="Z11" i="10" s="1"/>
  <c r="Z11" i="1"/>
  <c r="AA102" i="1" s="1"/>
  <c r="AI71" i="10"/>
  <c r="AI71" i="14"/>
  <c r="AW22" i="8"/>
  <c r="AW52" i="8"/>
  <c r="E69" i="14"/>
  <c r="E69" i="10"/>
  <c r="I40" i="10"/>
  <c r="I22" i="1"/>
  <c r="I40" i="14"/>
  <c r="I22" i="14" s="1"/>
  <c r="I52" i="1"/>
  <c r="Z69" i="14"/>
  <c r="Z69" i="10"/>
  <c r="K72" i="10"/>
  <c r="K72" i="14"/>
  <c r="AX95" i="10"/>
  <c r="AX96" i="10" s="1"/>
  <c r="AX95" i="14"/>
  <c r="AX96" i="14" s="1"/>
  <c r="AX96" i="1"/>
  <c r="AD79" i="14"/>
  <c r="AD79" i="10"/>
  <c r="BR79" i="10" s="1"/>
  <c r="AU72" i="14"/>
  <c r="AU72" i="10"/>
  <c r="D76" i="14"/>
  <c r="D76" i="10"/>
  <c r="BT76" i="1"/>
  <c r="BT83" i="1" s="1"/>
  <c r="U9" i="10"/>
  <c r="U9" i="14"/>
  <c r="H70" i="10"/>
  <c r="BT70" i="10" s="1"/>
  <c r="H70" i="14"/>
  <c r="AP69" i="14"/>
  <c r="AP69" i="10"/>
  <c r="AT46" i="10"/>
  <c r="AT28" i="10" s="1"/>
  <c r="AT46" i="14"/>
  <c r="AT28" i="14" s="1"/>
  <c r="AT28" i="1"/>
  <c r="G67" i="14"/>
  <c r="G67" i="10"/>
  <c r="G83" i="10" s="1"/>
  <c r="AW26" i="1"/>
  <c r="AW44" i="10"/>
  <c r="AW26" i="10" s="1"/>
  <c r="AW44" i="14"/>
  <c r="AW47" i="1"/>
  <c r="E50" i="1"/>
  <c r="E41" i="1"/>
  <c r="E53" i="1" s="1"/>
  <c r="E38" i="14"/>
  <c r="E50" i="14" s="1"/>
  <c r="E20" i="1"/>
  <c r="E38" i="10"/>
  <c r="F69" i="10"/>
  <c r="BT69" i="10" s="1"/>
  <c r="F69" i="14"/>
  <c r="AW74" i="10"/>
  <c r="AW74" i="14"/>
  <c r="AW83" i="14" s="1"/>
  <c r="AT64" i="14"/>
  <c r="AT64" i="10"/>
  <c r="AW81" i="14"/>
  <c r="AW81" i="10"/>
  <c r="AS58" i="1"/>
  <c r="AS56" i="10"/>
  <c r="AS56" i="14"/>
  <c r="AW96" i="8"/>
  <c r="AU17" i="1"/>
  <c r="AU14" i="10"/>
  <c r="AU17" i="10" s="1"/>
  <c r="AU14" i="14"/>
  <c r="AU26" i="14" s="1"/>
  <c r="X73" i="14"/>
  <c r="X73" i="10"/>
  <c r="AF81" i="14"/>
  <c r="AF81" i="10"/>
  <c r="F77" i="10"/>
  <c r="BT77" i="10" s="1"/>
  <c r="F77" i="14"/>
  <c r="AV9" i="14"/>
  <c r="AV11" i="14" s="1"/>
  <c r="AV9" i="10"/>
  <c r="AV11" i="10" s="1"/>
  <c r="AW102" i="10" s="1"/>
  <c r="S72" i="14"/>
  <c r="S72" i="10"/>
  <c r="BS72" i="10" s="1"/>
  <c r="E57" i="12"/>
  <c r="E63" i="12"/>
  <c r="E69" i="12"/>
  <c r="E86" i="12"/>
  <c r="E66" i="12"/>
  <c r="E56" i="12"/>
  <c r="E87" i="12"/>
  <c r="E40" i="12"/>
  <c r="E80" i="12"/>
  <c r="E81" i="12"/>
  <c r="E79" i="12"/>
  <c r="E46" i="12"/>
  <c r="E44" i="12"/>
  <c r="E15" i="12"/>
  <c r="E9" i="12"/>
  <c r="E73" i="12"/>
  <c r="E92" i="12"/>
  <c r="E67" i="12"/>
  <c r="E88" i="12"/>
  <c r="E75" i="12"/>
  <c r="E76" i="12"/>
  <c r="E16" i="12"/>
  <c r="E22" i="12" s="1"/>
  <c r="E65" i="12"/>
  <c r="E64" i="12"/>
  <c r="E95" i="12"/>
  <c r="E96" i="12" s="1"/>
  <c r="E45" i="12"/>
  <c r="E10" i="12"/>
  <c r="E74" i="12"/>
  <c r="E72" i="12"/>
  <c r="E68" i="12"/>
  <c r="E38" i="12"/>
  <c r="E39" i="12"/>
  <c r="E77" i="12"/>
  <c r="E14" i="12"/>
  <c r="E78" i="12"/>
  <c r="E70" i="12"/>
  <c r="E8" i="12"/>
  <c r="E91" i="12"/>
  <c r="E82" i="12"/>
  <c r="E71" i="12"/>
  <c r="BF102" i="10"/>
  <c r="BD20" i="14"/>
  <c r="BD32" i="14" s="1"/>
  <c r="BJ23" i="8"/>
  <c r="BJ35" i="8" s="1"/>
  <c r="BA34" i="1"/>
  <c r="AZ29" i="9"/>
  <c r="BI23" i="8"/>
  <c r="BI35" i="8" s="1"/>
  <c r="BF41" i="10"/>
  <c r="BD93" i="14"/>
  <c r="BH34" i="9"/>
  <c r="BJ47" i="10"/>
  <c r="BJ29" i="10" s="1"/>
  <c r="BJ89" i="14"/>
  <c r="BC50" i="14"/>
  <c r="AZ20" i="14"/>
  <c r="AZ32" i="14" s="1"/>
  <c r="BI51" i="14"/>
  <c r="BI21" i="14"/>
  <c r="BJ27" i="10"/>
  <c r="BH11" i="14"/>
  <c r="BH102" i="14" s="1"/>
  <c r="BH21" i="14"/>
  <c r="BH33" i="14" s="1"/>
  <c r="BD53" i="9"/>
  <c r="BD60" i="9" s="1"/>
  <c r="BD98" i="9" s="1"/>
  <c r="BF102" i="1"/>
  <c r="BF21" i="14"/>
  <c r="BB23" i="9"/>
  <c r="BJ102" i="10"/>
  <c r="AZ35" i="9"/>
  <c r="BI89" i="14"/>
  <c r="AZ32" i="8"/>
  <c r="BK33" i="8"/>
  <c r="AZ21" i="10"/>
  <c r="AZ33" i="10" s="1"/>
  <c r="BJ29" i="1"/>
  <c r="BK20" i="10"/>
  <c r="BK17" i="10"/>
  <c r="BD22" i="10"/>
  <c r="BD34" i="10" s="1"/>
  <c r="BE17" i="10"/>
  <c r="BE29" i="10" s="1"/>
  <c r="AZ34" i="9"/>
  <c r="BJ23" i="1"/>
  <c r="BJ35" i="1" s="1"/>
  <c r="AZ58" i="10"/>
  <c r="BD32" i="9"/>
  <c r="BD29" i="10"/>
  <c r="BH102" i="10"/>
  <c r="BB29" i="1"/>
  <c r="BA35" i="8"/>
  <c r="BJ102" i="1"/>
  <c r="BK93" i="14"/>
  <c r="BH23" i="1"/>
  <c r="BF22" i="10"/>
  <c r="BF34" i="10" s="1"/>
  <c r="BA22" i="14"/>
  <c r="BD33" i="9"/>
  <c r="BF32" i="1"/>
  <c r="AZ17" i="14"/>
  <c r="AZ23" i="14" s="1"/>
  <c r="BK34" i="9"/>
  <c r="BB32" i="8"/>
  <c r="BC34" i="9"/>
  <c r="BC32" i="8"/>
  <c r="BE50" i="14"/>
  <c r="BC22" i="14"/>
  <c r="BC34" i="14" s="1"/>
  <c r="BB26" i="10"/>
  <c r="BB32" i="10" s="1"/>
  <c r="BB47" i="10"/>
  <c r="BB29" i="10" s="1"/>
  <c r="BK32" i="1"/>
  <c r="BH22" i="10"/>
  <c r="BH34" i="10" s="1"/>
  <c r="BH20" i="14"/>
  <c r="BC23" i="9"/>
  <c r="BE34" i="9"/>
  <c r="BF47" i="10"/>
  <c r="BC33" i="8"/>
  <c r="BD29" i="9"/>
  <c r="BD35" i="9" s="1"/>
  <c r="BC41" i="10"/>
  <c r="BC53" i="10" s="1"/>
  <c r="BC60" i="10" s="1"/>
  <c r="BC98" i="10" s="1"/>
  <c r="BG93" i="10"/>
  <c r="BJ34" i="9"/>
  <c r="BK53" i="8"/>
  <c r="BK60" i="8" s="1"/>
  <c r="BK98" i="8" s="1"/>
  <c r="BA17" i="10"/>
  <c r="BC29" i="9"/>
  <c r="BG28" i="10"/>
  <c r="BG34" i="10" s="1"/>
  <c r="BA20" i="14"/>
  <c r="BA32" i="14" s="1"/>
  <c r="BP9" i="10"/>
  <c r="BG23" i="10"/>
  <c r="BG83" i="14"/>
  <c r="BK33" i="1"/>
  <c r="BK22" i="14"/>
  <c r="BK34" i="14" s="1"/>
  <c r="BI50" i="14"/>
  <c r="BI20" i="14"/>
  <c r="BI32" i="14" s="1"/>
  <c r="BI41" i="14"/>
  <c r="BI53" i="14" s="1"/>
  <c r="BI60" i="14" s="1"/>
  <c r="BJ21" i="10"/>
  <c r="BJ33" i="10" s="1"/>
  <c r="BD102" i="1"/>
  <c r="BI26" i="10"/>
  <c r="BI32" i="10" s="1"/>
  <c r="BC20" i="14"/>
  <c r="BC32" i="14" s="1"/>
  <c r="BK32" i="8"/>
  <c r="BE21" i="10"/>
  <c r="BE33" i="10" s="1"/>
  <c r="BH83" i="10"/>
  <c r="BH98" i="10" s="1"/>
  <c r="BC32" i="9"/>
  <c r="BE23" i="9"/>
  <c r="BE35" i="9" s="1"/>
  <c r="BJ11" i="14"/>
  <c r="BK102" i="14" s="1"/>
  <c r="BF33" i="14"/>
  <c r="BG35" i="8"/>
  <c r="BB35" i="9"/>
  <c r="BK32" i="10"/>
  <c r="BF29" i="10"/>
  <c r="BK53" i="14"/>
  <c r="BB50" i="14"/>
  <c r="BK83" i="14"/>
  <c r="BC102" i="8"/>
  <c r="BD102" i="8"/>
  <c r="AZ28" i="10"/>
  <c r="AZ34" i="10" s="1"/>
  <c r="BB28" i="10"/>
  <c r="BB34" i="10" s="1"/>
  <c r="BG33" i="9"/>
  <c r="BB27" i="14"/>
  <c r="BB33" i="14" s="1"/>
  <c r="BF11" i="10"/>
  <c r="BG102" i="10" s="1"/>
  <c r="BG20" i="14"/>
  <c r="BI32" i="9"/>
  <c r="BJ32" i="1"/>
  <c r="BF29" i="9"/>
  <c r="BF35" i="9" s="1"/>
  <c r="BE53" i="1"/>
  <c r="BE60" i="1" s="1"/>
  <c r="BE98" i="1" s="1"/>
  <c r="BF102" i="8"/>
  <c r="BC89" i="10"/>
  <c r="BA34" i="14"/>
  <c r="BK29" i="10"/>
  <c r="BI27" i="14"/>
  <c r="BJ32" i="8"/>
  <c r="BD23" i="8"/>
  <c r="BD35" i="8" s="1"/>
  <c r="BE33" i="1"/>
  <c r="BK11" i="10"/>
  <c r="BE11" i="14"/>
  <c r="BH33" i="8"/>
  <c r="BH35" i="1"/>
  <c r="BD53" i="10"/>
  <c r="BJ29" i="14"/>
  <c r="BO50" i="9"/>
  <c r="BH26" i="14"/>
  <c r="BF93" i="14"/>
  <c r="BP8" i="10"/>
  <c r="BI32" i="8"/>
  <c r="AZ33" i="1"/>
  <c r="BK17" i="14"/>
  <c r="BK29" i="14" s="1"/>
  <c r="BG26" i="14"/>
  <c r="BC53" i="1"/>
  <c r="BC60" i="1" s="1"/>
  <c r="BC98" i="1" s="1"/>
  <c r="AZ53" i="9"/>
  <c r="AZ60" i="9" s="1"/>
  <c r="AZ98" i="9" s="1"/>
  <c r="X21" i="10"/>
  <c r="U102" i="1"/>
  <c r="K28" i="10"/>
  <c r="X34" i="8"/>
  <c r="AK102" i="9"/>
  <c r="E34" i="9"/>
  <c r="R29" i="9"/>
  <c r="AM102" i="9"/>
  <c r="BT11" i="9"/>
  <c r="AU29" i="9"/>
  <c r="AV32" i="8"/>
  <c r="W29" i="9"/>
  <c r="BB33" i="10"/>
  <c r="BH32" i="10"/>
  <c r="BD33" i="10"/>
  <c r="BG35" i="1"/>
  <c r="BG32" i="10"/>
  <c r="BE29" i="14"/>
  <c r="BJ102" i="14"/>
  <c r="BI53" i="10"/>
  <c r="BI60" i="10" s="1"/>
  <c r="BI98" i="10" s="1"/>
  <c r="BB32" i="14"/>
  <c r="BJ32" i="14"/>
  <c r="BO17" i="9"/>
  <c r="I23" i="9"/>
  <c r="AE89" i="10"/>
  <c r="AT58" i="14"/>
  <c r="AD58" i="10"/>
  <c r="Q29" i="8"/>
  <c r="BQ40" i="10"/>
  <c r="AU21" i="14"/>
  <c r="AT21" i="10"/>
  <c r="Z22" i="10"/>
  <c r="BT91" i="10"/>
  <c r="AX28" i="14"/>
  <c r="AC50" i="10"/>
  <c r="E22" i="10"/>
  <c r="AP93" i="10"/>
  <c r="AL20" i="10"/>
  <c r="AD58" i="14"/>
  <c r="AH27" i="10"/>
  <c r="Q51" i="14"/>
  <c r="AT26" i="14"/>
  <c r="BO58" i="8"/>
  <c r="BT102" i="9"/>
  <c r="X21" i="14"/>
  <c r="X47" i="14"/>
  <c r="X29" i="14" s="1"/>
  <c r="AF23" i="8"/>
  <c r="AZ34" i="14"/>
  <c r="BR11" i="8"/>
  <c r="BJ53" i="10"/>
  <c r="BJ60" i="10" s="1"/>
  <c r="BJ98" i="10" s="1"/>
  <c r="BB35" i="1"/>
  <c r="BO51" i="9"/>
  <c r="BD34" i="14"/>
  <c r="BD33" i="14"/>
  <c r="BD102" i="10"/>
  <c r="BJ34" i="14"/>
  <c r="BC23" i="14"/>
  <c r="BC29" i="10"/>
  <c r="BK60" i="14"/>
  <c r="BK98" i="14" s="1"/>
  <c r="BG29" i="10"/>
  <c r="BI29" i="14"/>
  <c r="BI29" i="10"/>
  <c r="BE102" i="10"/>
  <c r="BO22" i="8"/>
  <c r="AV28" i="10"/>
  <c r="BO80" i="14"/>
  <c r="BQ63" i="14"/>
  <c r="U34" i="1"/>
  <c r="AP34" i="1"/>
  <c r="AC93" i="14"/>
  <c r="BO93" i="1"/>
  <c r="AM23" i="1"/>
  <c r="AM35" i="1" s="1"/>
  <c r="AT51" i="10"/>
  <c r="AO58" i="14"/>
  <c r="AO59" i="14" s="1"/>
  <c r="P26" i="14"/>
  <c r="AE20" i="14"/>
  <c r="AB17" i="10"/>
  <c r="AS58" i="14"/>
  <c r="AV17" i="14"/>
  <c r="N28" i="10"/>
  <c r="CA15" i="10"/>
  <c r="BS91" i="14"/>
  <c r="T27" i="10"/>
  <c r="AF41" i="14"/>
  <c r="Y58" i="14"/>
  <c r="O22" i="14"/>
  <c r="J41" i="10"/>
  <c r="AD27" i="10"/>
  <c r="AH102" i="1"/>
  <c r="AI27" i="14"/>
  <c r="AS32" i="1"/>
  <c r="H34" i="8"/>
  <c r="AH102" i="8"/>
  <c r="AR102" i="1"/>
  <c r="AL52" i="10"/>
  <c r="AD32" i="8"/>
  <c r="AW33" i="9"/>
  <c r="BO26" i="8"/>
  <c r="AK33" i="8"/>
  <c r="M34" i="9"/>
  <c r="V29" i="9"/>
  <c r="X102" i="8"/>
  <c r="F34" i="9"/>
  <c r="S23" i="9"/>
  <c r="AW11" i="10"/>
  <c r="BR64" i="10"/>
  <c r="S33" i="1"/>
  <c r="G41" i="10"/>
  <c r="G23" i="10" s="1"/>
  <c r="BQ66" i="14"/>
  <c r="BT76" i="14"/>
  <c r="AE11" i="10"/>
  <c r="G33" i="1"/>
  <c r="AG58" i="10"/>
  <c r="X32" i="1"/>
  <c r="Y34" i="1"/>
  <c r="BS14" i="10"/>
  <c r="BR67" i="14"/>
  <c r="BR82" i="10"/>
  <c r="R50" i="14"/>
  <c r="BQ88" i="14"/>
  <c r="AA47" i="10"/>
  <c r="F28" i="10"/>
  <c r="M89" i="10"/>
  <c r="X89" i="10"/>
  <c r="Y89" i="14"/>
  <c r="T21" i="14"/>
  <c r="BS82" i="14"/>
  <c r="BQ77" i="10"/>
  <c r="AK11" i="10"/>
  <c r="AW102" i="1"/>
  <c r="AT89" i="14"/>
  <c r="AO17" i="14"/>
  <c r="AO19" i="14" s="1"/>
  <c r="M23" i="1"/>
  <c r="BS69" i="14"/>
  <c r="AI11" i="10"/>
  <c r="AF32" i="1"/>
  <c r="BY14" i="10"/>
  <c r="BS63" i="10"/>
  <c r="AI26" i="10"/>
  <c r="F11" i="14"/>
  <c r="V17" i="14"/>
  <c r="AA32" i="1"/>
  <c r="AQ29" i="1"/>
  <c r="BT68" i="10"/>
  <c r="T34" i="1"/>
  <c r="AU89" i="14"/>
  <c r="AG11" i="14"/>
  <c r="W93" i="14"/>
  <c r="AN58" i="14"/>
  <c r="N89" i="14"/>
  <c r="AL34" i="1"/>
  <c r="AF34" i="8"/>
  <c r="AI28" i="10"/>
  <c r="S26" i="10"/>
  <c r="K33" i="1"/>
  <c r="AS33" i="8"/>
  <c r="Z27" i="10"/>
  <c r="M33" i="8"/>
  <c r="K34" i="8"/>
  <c r="AM21" i="14"/>
  <c r="M34" i="8"/>
  <c r="AI23" i="8"/>
  <c r="E34" i="8"/>
  <c r="AJ32" i="8"/>
  <c r="AD32" i="9"/>
  <c r="AK32" i="8"/>
  <c r="Z32" i="9"/>
  <c r="V32" i="9"/>
  <c r="AH33" i="9"/>
  <c r="Y102" i="9"/>
  <c r="AP53" i="9"/>
  <c r="AA28" i="10"/>
  <c r="S58" i="10"/>
  <c r="AW93" i="10"/>
  <c r="AU34" i="1"/>
  <c r="BR87" i="10"/>
  <c r="AE26" i="14"/>
  <c r="T27" i="14"/>
  <c r="BT16" i="10"/>
  <c r="D11" i="10"/>
  <c r="D102" i="10" s="1"/>
  <c r="AI93" i="14"/>
  <c r="AC33" i="9"/>
  <c r="Z29" i="8"/>
  <c r="L27" i="10"/>
  <c r="AE33" i="9"/>
  <c r="AK33" i="9"/>
  <c r="AY29" i="9"/>
  <c r="AW32" i="9"/>
  <c r="AG47" i="14"/>
  <c r="Y41" i="14"/>
  <c r="BT65" i="10"/>
  <c r="Q28" i="10"/>
  <c r="AW20" i="10"/>
  <c r="F32" i="1"/>
  <c r="Q29" i="1"/>
  <c r="R89" i="14"/>
  <c r="R93" i="14"/>
  <c r="L17" i="14"/>
  <c r="O58" i="14"/>
  <c r="BT81" i="10"/>
  <c r="AO34" i="1"/>
  <c r="AY102" i="1"/>
  <c r="G17" i="10"/>
  <c r="I32" i="1"/>
  <c r="BQ76" i="10"/>
  <c r="AX17" i="14"/>
  <c r="U51" i="10"/>
  <c r="AL102" i="1"/>
  <c r="V22" i="14"/>
  <c r="AF47" i="14"/>
  <c r="J34" i="1"/>
  <c r="V102" i="8"/>
  <c r="K29" i="1"/>
  <c r="AQ33" i="1"/>
  <c r="AI58" i="14"/>
  <c r="AW22" i="14"/>
  <c r="X17" i="14"/>
  <c r="V21" i="10"/>
  <c r="F32" i="8"/>
  <c r="H28" i="14"/>
  <c r="L51" i="10"/>
  <c r="M32" i="8"/>
  <c r="AP29" i="8"/>
  <c r="AP35" i="8" s="1"/>
  <c r="AT29" i="8"/>
  <c r="G34" i="8"/>
  <c r="AE33" i="8"/>
  <c r="T102" i="8"/>
  <c r="L34" i="8"/>
  <c r="AX102" i="8"/>
  <c r="AJ33" i="8"/>
  <c r="I32" i="8"/>
  <c r="AC29" i="9"/>
  <c r="AQ33" i="9"/>
  <c r="AA32" i="9"/>
  <c r="Z102" i="8"/>
  <c r="AK34" i="9"/>
  <c r="AB32" i="8"/>
  <c r="P34" i="9"/>
  <c r="AS32" i="9"/>
  <c r="K102" i="8"/>
  <c r="AW29" i="9"/>
  <c r="AH34" i="9"/>
  <c r="N29" i="9"/>
  <c r="AD34" i="9"/>
  <c r="AA20" i="14"/>
  <c r="AB52" i="14"/>
  <c r="AJ22" i="14"/>
  <c r="AS102" i="8"/>
  <c r="J52" i="14"/>
  <c r="AP53" i="1"/>
  <c r="AP60" i="1" s="1"/>
  <c r="AQ21" i="10"/>
  <c r="AJ21" i="10"/>
  <c r="AA23" i="8"/>
  <c r="U29" i="1"/>
  <c r="O50" i="10"/>
  <c r="O27" i="14"/>
  <c r="AE29" i="8"/>
  <c r="AE35" i="8" s="1"/>
  <c r="U32" i="9"/>
  <c r="AL34" i="8"/>
  <c r="Y34" i="9"/>
  <c r="AG33" i="8"/>
  <c r="AO33" i="9"/>
  <c r="AM33" i="9"/>
  <c r="AU53" i="9"/>
  <c r="Q41" i="14"/>
  <c r="X51" i="14"/>
  <c r="AJ52" i="14"/>
  <c r="S27" i="14"/>
  <c r="AJ33" i="1"/>
  <c r="AB41" i="10"/>
  <c r="M50" i="14"/>
  <c r="U28" i="10"/>
  <c r="AJ22" i="10"/>
  <c r="E26" i="14"/>
  <c r="Q93" i="14"/>
  <c r="BT87" i="14"/>
  <c r="J32" i="8"/>
  <c r="AT22" i="14"/>
  <c r="Y34" i="8"/>
  <c r="AT102" i="9"/>
  <c r="AD29" i="9"/>
  <c r="AM50" i="10"/>
  <c r="X34" i="1"/>
  <c r="S53" i="9"/>
  <c r="AV23" i="9"/>
  <c r="AX33" i="9"/>
  <c r="BJ53" i="14"/>
  <c r="BG53" i="10"/>
  <c r="BG60" i="10" s="1"/>
  <c r="BW17" i="9"/>
  <c r="BO41" i="9"/>
  <c r="BB53" i="14"/>
  <c r="BB60" i="14" s="1"/>
  <c r="BB98" i="14" s="1"/>
  <c r="BE34" i="14"/>
  <c r="BE35" i="14"/>
  <c r="BI23" i="10"/>
  <c r="BI35" i="10" s="1"/>
  <c r="BH23" i="14"/>
  <c r="BK32" i="14"/>
  <c r="BG53" i="14"/>
  <c r="BG60" i="14" s="1"/>
  <c r="BG98" i="14" s="1"/>
  <c r="BC29" i="14"/>
  <c r="BS11" i="9"/>
  <c r="BF23" i="10"/>
  <c r="BB102" i="10"/>
  <c r="BJ32" i="10"/>
  <c r="BF53" i="14"/>
  <c r="BF60" i="14" s="1"/>
  <c r="BF98" i="14" s="1"/>
  <c r="BK35" i="1"/>
  <c r="BW17" i="1"/>
  <c r="BK102" i="10"/>
  <c r="BK53" i="10"/>
  <c r="BK60" i="10" s="1"/>
  <c r="BA60" i="14"/>
  <c r="BA98" i="14" s="1"/>
  <c r="BF32" i="14"/>
  <c r="BF23" i="14"/>
  <c r="BF35" i="14" s="1"/>
  <c r="BK23" i="10"/>
  <c r="BK35" i="10" s="1"/>
  <c r="BS73" i="10"/>
  <c r="BT79" i="14"/>
  <c r="H93" i="14"/>
  <c r="BQ69" i="10"/>
  <c r="BR92" i="10"/>
  <c r="BT40" i="14"/>
  <c r="BR76" i="14"/>
  <c r="AD17" i="10"/>
  <c r="BS57" i="14"/>
  <c r="U33" i="9"/>
  <c r="R34" i="9"/>
  <c r="BT16" i="14"/>
  <c r="E60" i="1"/>
  <c r="E98" i="1" s="1"/>
  <c r="P50" i="10"/>
  <c r="P17" i="14"/>
  <c r="AK52" i="14"/>
  <c r="Y26" i="14"/>
  <c r="R27" i="14"/>
  <c r="L52" i="10"/>
  <c r="Y20" i="10"/>
  <c r="BO72" i="14"/>
  <c r="AM93" i="14"/>
  <c r="AF20" i="14"/>
  <c r="O27" i="10"/>
  <c r="Z32" i="8"/>
  <c r="G33" i="8"/>
  <c r="AD29" i="8"/>
  <c r="AV102" i="8"/>
  <c r="X32" i="8"/>
  <c r="BQ11" i="8"/>
  <c r="Z33" i="8"/>
  <c r="AV32" i="9"/>
  <c r="I34" i="9"/>
  <c r="BS67" i="10"/>
  <c r="BO71" i="14"/>
  <c r="BO67" i="10"/>
  <c r="X11" i="10"/>
  <c r="AK89" i="10"/>
  <c r="AK17" i="10"/>
  <c r="Y17" i="10"/>
  <c r="AN102" i="8"/>
  <c r="AC34" i="9"/>
  <c r="AE41" i="14"/>
  <c r="T11" i="14"/>
  <c r="AU89" i="10"/>
  <c r="BR73" i="10"/>
  <c r="BQ71" i="14"/>
  <c r="BS70" i="10"/>
  <c r="BR40" i="10"/>
  <c r="BT65" i="14"/>
  <c r="AT53" i="1"/>
  <c r="AT60" i="1" s="1"/>
  <c r="AG27" i="10"/>
  <c r="AY28" i="14"/>
  <c r="AY93" i="14"/>
  <c r="Y28" i="10"/>
  <c r="BS15" i="10"/>
  <c r="BQ73" i="10"/>
  <c r="BQ44" i="10"/>
  <c r="AJ93" i="14"/>
  <c r="AM11" i="14"/>
  <c r="K33" i="8"/>
  <c r="V58" i="10"/>
  <c r="AV47" i="14"/>
  <c r="K21" i="14"/>
  <c r="H29" i="8"/>
  <c r="AL33" i="8"/>
  <c r="AL29" i="9"/>
  <c r="AM33" i="8"/>
  <c r="AS34" i="8"/>
  <c r="AB33" i="9"/>
  <c r="J29" i="9"/>
  <c r="J35" i="9" s="1"/>
  <c r="AV51" i="14"/>
  <c r="BT71" i="14"/>
  <c r="AB17" i="14"/>
  <c r="BT86" i="10"/>
  <c r="BZ15" i="14"/>
  <c r="I60" i="9"/>
  <c r="I98" i="9" s="1"/>
  <c r="BQ102" i="1"/>
  <c r="S58" i="14"/>
  <c r="Q89" i="10"/>
  <c r="BS11" i="1"/>
  <c r="AV102" i="1"/>
  <c r="T89" i="14"/>
  <c r="R32" i="1"/>
  <c r="AQ34" i="1"/>
  <c r="AY32" i="8"/>
  <c r="AB33" i="8"/>
  <c r="G32" i="8"/>
  <c r="AQ32" i="9"/>
  <c r="D33" i="8"/>
  <c r="AE34" i="9"/>
  <c r="L32" i="9"/>
  <c r="AS47" i="10"/>
  <c r="F33" i="1"/>
  <c r="BS69" i="10"/>
  <c r="BQ91" i="14"/>
  <c r="BR86" i="14"/>
  <c r="K50" i="10"/>
  <c r="AO27" i="10"/>
  <c r="U23" i="1"/>
  <c r="P58" i="10"/>
  <c r="BS75" i="14"/>
  <c r="J58" i="10"/>
  <c r="AG102" i="1"/>
  <c r="AJ58" i="14"/>
  <c r="M21" i="10"/>
  <c r="BR71" i="14"/>
  <c r="CB15" i="10"/>
  <c r="AB34" i="8"/>
  <c r="E47" i="14"/>
  <c r="BS57" i="10"/>
  <c r="BQ78" i="10"/>
  <c r="J34" i="9"/>
  <c r="BY16" i="10"/>
  <c r="AB26" i="10"/>
  <c r="AA93" i="14"/>
  <c r="AT23" i="1"/>
  <c r="AL22" i="10"/>
  <c r="S32" i="1"/>
  <c r="BQ16" i="10"/>
  <c r="CB16" i="10"/>
  <c r="W53" i="8"/>
  <c r="W60" i="8" s="1"/>
  <c r="W98" i="8" s="1"/>
  <c r="K50" i="14"/>
  <c r="BQ80" i="14"/>
  <c r="AG93" i="14"/>
  <c r="I26" i="14"/>
  <c r="AW89" i="14"/>
  <c r="X89" i="14"/>
  <c r="M33" i="1"/>
  <c r="V11" i="10"/>
  <c r="AV27" i="14"/>
  <c r="AF29" i="1"/>
  <c r="H33" i="1"/>
  <c r="AL11" i="14"/>
  <c r="J11" i="10"/>
  <c r="P32" i="1"/>
  <c r="W28" i="10"/>
  <c r="U34" i="8"/>
  <c r="AY32" i="1"/>
  <c r="AI29" i="9"/>
  <c r="L33" i="9"/>
  <c r="BO82" i="10"/>
  <c r="AA52" i="14"/>
  <c r="AM21" i="10"/>
  <c r="BT45" i="14"/>
  <c r="AA51" i="14"/>
  <c r="AQ53" i="9"/>
  <c r="AQ60" i="9" s="1"/>
  <c r="AQ98" i="9" s="1"/>
  <c r="AO29" i="9"/>
  <c r="BR72" i="10"/>
  <c r="N29" i="1"/>
  <c r="Y93" i="10"/>
  <c r="BT14" i="10"/>
  <c r="AX41" i="14"/>
  <c r="AV58" i="10"/>
  <c r="BQ64" i="10"/>
  <c r="AN27" i="14"/>
  <c r="BQ71" i="10"/>
  <c r="T50" i="10"/>
  <c r="K22" i="14"/>
  <c r="AT17" i="14"/>
  <c r="AG102" i="8"/>
  <c r="AL93" i="10"/>
  <c r="BT87" i="10"/>
  <c r="AY20" i="14"/>
  <c r="AX33" i="8"/>
  <c r="Z33" i="9"/>
  <c r="AO28" i="10"/>
  <c r="AI17" i="14"/>
  <c r="AV47" i="10"/>
  <c r="J28" i="10"/>
  <c r="N33" i="1"/>
  <c r="AA29" i="1"/>
  <c r="L32" i="1"/>
  <c r="BO93" i="8"/>
  <c r="Y102" i="8"/>
  <c r="AV33" i="9"/>
  <c r="D26" i="10"/>
  <c r="D32" i="10" s="1"/>
  <c r="G102" i="9"/>
  <c r="AS102" i="9"/>
  <c r="AV28" i="14"/>
  <c r="AN21" i="14"/>
  <c r="AI23" i="1"/>
  <c r="AJ52" i="10"/>
  <c r="AM50" i="14"/>
  <c r="K27" i="14"/>
  <c r="V29" i="8"/>
  <c r="V35" i="8" s="1"/>
  <c r="AJ51" i="10"/>
  <c r="K102" i="1"/>
  <c r="AS51" i="10"/>
  <c r="AQ102" i="1"/>
  <c r="S29" i="9"/>
  <c r="S35" i="9" s="1"/>
  <c r="M29" i="9"/>
  <c r="O34" i="9"/>
  <c r="BH35" i="8"/>
  <c r="BG23" i="14"/>
  <c r="BG35" i="14" s="1"/>
  <c r="BO93" i="9"/>
  <c r="BI23" i="14"/>
  <c r="BE60" i="10"/>
  <c r="BE98" i="10" s="1"/>
  <c r="BI98" i="14"/>
  <c r="BB23" i="14"/>
  <c r="BH29" i="14"/>
  <c r="BH23" i="10"/>
  <c r="BH35" i="10" s="1"/>
  <c r="BB29" i="14"/>
  <c r="AS29" i="9"/>
  <c r="R33" i="9"/>
  <c r="D29" i="9"/>
  <c r="BR11" i="9"/>
  <c r="AB83" i="14"/>
  <c r="BT69" i="14"/>
  <c r="BS70" i="14"/>
  <c r="AJ20" i="14"/>
  <c r="BO26" i="1"/>
  <c r="BO32" i="1" s="1"/>
  <c r="D28" i="10"/>
  <c r="AF47" i="10"/>
  <c r="AG28" i="10"/>
  <c r="BS74" i="10"/>
  <c r="AU93" i="10"/>
  <c r="Z17" i="10"/>
  <c r="BQ66" i="10"/>
  <c r="AA89" i="10"/>
  <c r="M17" i="10"/>
  <c r="BR70" i="14"/>
  <c r="BS87" i="14"/>
  <c r="D51" i="10"/>
  <c r="BS68" i="14"/>
  <c r="Q47" i="10"/>
  <c r="AM58" i="14"/>
  <c r="BS92" i="10"/>
  <c r="AD89" i="10"/>
  <c r="O58" i="10"/>
  <c r="AE23" i="1"/>
  <c r="AE35" i="1" s="1"/>
  <c r="BT81" i="14"/>
  <c r="BO47" i="1"/>
  <c r="M34" i="1"/>
  <c r="AG52" i="14"/>
  <c r="AD52" i="14"/>
  <c r="AK11" i="14"/>
  <c r="W33" i="1"/>
  <c r="N28" i="14"/>
  <c r="AD26" i="14"/>
  <c r="AM52" i="14"/>
  <c r="AG11" i="10"/>
  <c r="AK33" i="1"/>
  <c r="AB58" i="10"/>
  <c r="BO14" i="14"/>
  <c r="AR17" i="14"/>
  <c r="AT93" i="14"/>
  <c r="Z11" i="14"/>
  <c r="BS64" i="14"/>
  <c r="AP32" i="8"/>
  <c r="Z58" i="10"/>
  <c r="AN32" i="1"/>
  <c r="U33" i="1"/>
  <c r="V17" i="10"/>
  <c r="AH11" i="10"/>
  <c r="AI102" i="10" s="1"/>
  <c r="AH20" i="10"/>
  <c r="BT64" i="14"/>
  <c r="AX93" i="10"/>
  <c r="AL47" i="10"/>
  <c r="AX29" i="8"/>
  <c r="AS17" i="14"/>
  <c r="AM29" i="8"/>
  <c r="V32" i="8"/>
  <c r="Q23" i="1"/>
  <c r="Q35" i="1" s="1"/>
  <c r="AO93" i="10"/>
  <c r="Z28" i="10"/>
  <c r="M102" i="1"/>
  <c r="BS39" i="10"/>
  <c r="AS20" i="14"/>
  <c r="AM11" i="10"/>
  <c r="AL93" i="14"/>
  <c r="AV52" i="10"/>
  <c r="AX51" i="14"/>
  <c r="U93" i="10"/>
  <c r="AI58" i="10"/>
  <c r="Y21" i="14"/>
  <c r="BT11" i="8"/>
  <c r="BQ11" i="14"/>
  <c r="AX32" i="8"/>
  <c r="J102" i="8"/>
  <c r="R33" i="8"/>
  <c r="F32" i="9"/>
  <c r="Z17" i="14"/>
  <c r="AB23" i="8"/>
  <c r="AR32" i="8"/>
  <c r="BS11" i="8"/>
  <c r="N102" i="8"/>
  <c r="S34" i="8"/>
  <c r="AM32" i="8"/>
  <c r="AR34" i="8"/>
  <c r="AI32" i="8"/>
  <c r="AG33" i="9"/>
  <c r="AJ34" i="9"/>
  <c r="L33" i="8"/>
  <c r="AC34" i="8"/>
  <c r="U29" i="8"/>
  <c r="M33" i="9"/>
  <c r="T34" i="9"/>
  <c r="BQ11" i="9"/>
  <c r="R32" i="9"/>
  <c r="T33" i="9"/>
  <c r="AC23" i="9"/>
  <c r="AB32" i="9"/>
  <c r="BR66" i="10"/>
  <c r="BQ79" i="10"/>
  <c r="BR88" i="10"/>
  <c r="BS75" i="10"/>
  <c r="AW17" i="14"/>
  <c r="W17" i="10"/>
  <c r="Q58" i="10"/>
  <c r="D34" i="1"/>
  <c r="Q58" i="14"/>
  <c r="K28" i="14"/>
  <c r="BS65" i="14"/>
  <c r="O32" i="1"/>
  <c r="V33" i="8"/>
  <c r="AA11" i="14"/>
  <c r="AL29" i="8"/>
  <c r="Q32" i="8"/>
  <c r="AO33" i="8"/>
  <c r="AG83" i="14"/>
  <c r="BQ95" i="10"/>
  <c r="BQ96" i="10" s="1"/>
  <c r="G51" i="14"/>
  <c r="R47" i="14"/>
  <c r="BO16" i="10"/>
  <c r="AC20" i="10"/>
  <c r="AL102" i="9"/>
  <c r="AG53" i="9"/>
  <c r="AG60" i="9" s="1"/>
  <c r="AG98" i="9" s="1"/>
  <c r="AV17" i="10"/>
  <c r="AV29" i="10" s="1"/>
  <c r="AE52" i="10"/>
  <c r="N11" i="14"/>
  <c r="W22" i="10"/>
  <c r="AW28" i="10"/>
  <c r="BO11" i="9"/>
  <c r="BQ91" i="10"/>
  <c r="BS66" i="14"/>
  <c r="BW15" i="14"/>
  <c r="R51" i="10"/>
  <c r="V52" i="10"/>
  <c r="L22" i="14"/>
  <c r="AN51" i="14"/>
  <c r="W47" i="14"/>
  <c r="AK58" i="10"/>
  <c r="BO75" i="10"/>
  <c r="O34" i="1"/>
  <c r="AL33" i="9"/>
  <c r="BS95" i="10"/>
  <c r="BS96" i="10" s="1"/>
  <c r="AF51" i="10"/>
  <c r="AC51" i="14"/>
  <c r="L23" i="8"/>
  <c r="AT53" i="8"/>
  <c r="AT60" i="8" s="1"/>
  <c r="AT98" i="8" s="1"/>
  <c r="AJ27" i="10"/>
  <c r="AB28" i="14"/>
  <c r="AB34" i="14" s="1"/>
  <c r="AV93" i="10"/>
  <c r="AY28" i="10"/>
  <c r="N102" i="1"/>
  <c r="AW34" i="1"/>
  <c r="H51" i="14"/>
  <c r="AM102" i="1"/>
  <c r="AJ28" i="14"/>
  <c r="AR32" i="9"/>
  <c r="AT34" i="9"/>
  <c r="Q102" i="9"/>
  <c r="N32" i="9"/>
  <c r="J32" i="9"/>
  <c r="BT70" i="14"/>
  <c r="BT72" i="10"/>
  <c r="BT46" i="14"/>
  <c r="AW53" i="9"/>
  <c r="AW60" i="9" s="1"/>
  <c r="AX20" i="14"/>
  <c r="AW50" i="14"/>
  <c r="G27" i="14"/>
  <c r="G33" i="14" s="1"/>
  <c r="AV20" i="10"/>
  <c r="AV32" i="10" s="1"/>
  <c r="P11" i="14"/>
  <c r="M51" i="10"/>
  <c r="AC11" i="14"/>
  <c r="W29" i="8"/>
  <c r="W35" i="8" s="1"/>
  <c r="V23" i="9"/>
  <c r="V35" i="9" s="1"/>
  <c r="BO89" i="9"/>
  <c r="AW32" i="8"/>
  <c r="W33" i="8"/>
  <c r="AM34" i="9"/>
  <c r="AX33" i="10"/>
  <c r="BQ73" i="14"/>
  <c r="BO73" i="14"/>
  <c r="BW17" i="8"/>
  <c r="Q89" i="14"/>
  <c r="AV21" i="14"/>
  <c r="AV33" i="14" s="1"/>
  <c r="AW41" i="14"/>
  <c r="Z47" i="10"/>
  <c r="Z26" i="10"/>
  <c r="S21" i="10"/>
  <c r="S51" i="10"/>
  <c r="D20" i="14"/>
  <c r="D17" i="14"/>
  <c r="D29" i="14" s="1"/>
  <c r="AQ22" i="14"/>
  <c r="BR75" i="14"/>
  <c r="AO28" i="14"/>
  <c r="AO52" i="14"/>
  <c r="BO46" i="14"/>
  <c r="S17" i="10"/>
  <c r="AQ50" i="14"/>
  <c r="AQ20" i="14"/>
  <c r="BR10" i="10"/>
  <c r="AV83" i="10"/>
  <c r="Y27" i="10"/>
  <c r="Y47" i="10"/>
  <c r="Y29" i="10" s="1"/>
  <c r="AK53" i="9"/>
  <c r="AK60" i="9" s="1"/>
  <c r="AK98" i="9" s="1"/>
  <c r="AK23" i="9"/>
  <c r="BQ82" i="10"/>
  <c r="BQ72" i="10"/>
  <c r="BR86" i="10"/>
  <c r="BO22" i="1"/>
  <c r="BT56" i="14"/>
  <c r="BS39" i="14"/>
  <c r="BO102" i="8"/>
  <c r="E28" i="10"/>
  <c r="N52" i="14"/>
  <c r="R102" i="9"/>
  <c r="AD22" i="14"/>
  <c r="AD34" i="14" s="1"/>
  <c r="AL26" i="10"/>
  <c r="BR15" i="14"/>
  <c r="F41" i="14"/>
  <c r="V26" i="14"/>
  <c r="R98" i="8"/>
  <c r="AH53" i="8"/>
  <c r="AH60" i="8" s="1"/>
  <c r="AH98" i="8" s="1"/>
  <c r="AO17" i="10"/>
  <c r="BO57" i="14"/>
  <c r="AW47" i="14"/>
  <c r="AK83" i="14"/>
  <c r="R41" i="14"/>
  <c r="R20" i="14"/>
  <c r="S51" i="14"/>
  <c r="S21" i="14"/>
  <c r="Z32" i="1"/>
  <c r="AD21" i="14"/>
  <c r="AY83" i="10"/>
  <c r="AO22" i="14"/>
  <c r="M17" i="14"/>
  <c r="M20" i="14"/>
  <c r="AM28" i="10"/>
  <c r="AB93" i="14"/>
  <c r="BR92" i="14"/>
  <c r="AO47" i="14"/>
  <c r="AO26" i="14"/>
  <c r="AO50" i="14"/>
  <c r="AC83" i="14"/>
  <c r="D33" i="1"/>
  <c r="G51" i="10"/>
  <c r="G21" i="10"/>
  <c r="G33" i="10" s="1"/>
  <c r="AC29" i="1"/>
  <c r="AI52" i="14"/>
  <c r="Y22" i="14"/>
  <c r="BS72" i="14"/>
  <c r="AO96" i="14"/>
  <c r="BQ95" i="14"/>
  <c r="BQ96" i="14" s="1"/>
  <c r="AN93" i="14"/>
  <c r="BO91" i="14"/>
  <c r="W89" i="14"/>
  <c r="AM26" i="10"/>
  <c r="AO89" i="14"/>
  <c r="I47" i="14"/>
  <c r="AE27" i="10"/>
  <c r="AE51" i="10"/>
  <c r="BO65" i="10"/>
  <c r="H96" i="10"/>
  <c r="D23" i="1"/>
  <c r="D35" i="1" s="1"/>
  <c r="D53" i="1"/>
  <c r="D60" i="1" s="1"/>
  <c r="AW58" i="10"/>
  <c r="H41" i="14"/>
  <c r="H20" i="14"/>
  <c r="Z21" i="14"/>
  <c r="AU52" i="14"/>
  <c r="AU22" i="14"/>
  <c r="AD89" i="14"/>
  <c r="BR87" i="14"/>
  <c r="AE17" i="10"/>
  <c r="F28" i="14"/>
  <c r="F47" i="14"/>
  <c r="H34" i="1"/>
  <c r="M52" i="10"/>
  <c r="M22" i="10"/>
  <c r="X26" i="10"/>
  <c r="AA93" i="10"/>
  <c r="AD41" i="10"/>
  <c r="AD52" i="10"/>
  <c r="I17" i="14"/>
  <c r="T47" i="14"/>
  <c r="T50" i="14"/>
  <c r="T26" i="14"/>
  <c r="S47" i="10"/>
  <c r="S27" i="10"/>
  <c r="AR26" i="10"/>
  <c r="AC23" i="1"/>
  <c r="AC53" i="1"/>
  <c r="AC60" i="1" s="1"/>
  <c r="W21" i="10"/>
  <c r="W51" i="10"/>
  <c r="AT98" i="1"/>
  <c r="AD29" i="1"/>
  <c r="AG47" i="10"/>
  <c r="T20" i="14"/>
  <c r="AE47" i="10"/>
  <c r="M20" i="10"/>
  <c r="M50" i="10"/>
  <c r="AK51" i="14"/>
  <c r="AK21" i="14"/>
  <c r="AF20" i="10"/>
  <c r="BZ14" i="14"/>
  <c r="AC41" i="14"/>
  <c r="AC22" i="14"/>
  <c r="AT20" i="10"/>
  <c r="AT17" i="10"/>
  <c r="AR20" i="10"/>
  <c r="AR50" i="10"/>
  <c r="AR41" i="10"/>
  <c r="AN50" i="14"/>
  <c r="AN20" i="14"/>
  <c r="AC28" i="14"/>
  <c r="BR46" i="14"/>
  <c r="AL21" i="10"/>
  <c r="AL51" i="10"/>
  <c r="AL41" i="10"/>
  <c r="AQ53" i="1"/>
  <c r="AQ60" i="1" s="1"/>
  <c r="AQ98" i="1" s="1"/>
  <c r="AQ23" i="1"/>
  <c r="AB28" i="10"/>
  <c r="AB47" i="10"/>
  <c r="AQ26" i="10"/>
  <c r="V34" i="14"/>
  <c r="D47" i="10"/>
  <c r="AF28" i="14"/>
  <c r="AF34" i="14" s="1"/>
  <c r="AF52" i="14"/>
  <c r="H58" i="10"/>
  <c r="AT41" i="14"/>
  <c r="AT50" i="14"/>
  <c r="AT20" i="14"/>
  <c r="H27" i="10"/>
  <c r="H51" i="10"/>
  <c r="BO11" i="8"/>
  <c r="AS51" i="14"/>
  <c r="AS21" i="14"/>
  <c r="AP102" i="8"/>
  <c r="AQ102" i="8"/>
  <c r="I93" i="10"/>
  <c r="Q20" i="14"/>
  <c r="L11" i="10"/>
  <c r="AD23" i="1"/>
  <c r="AD53" i="1"/>
  <c r="AD60" i="1" s="1"/>
  <c r="AV83" i="14"/>
  <c r="AT83" i="10"/>
  <c r="Y33" i="1"/>
  <c r="AO20" i="10"/>
  <c r="AO50" i="10"/>
  <c r="N89" i="10"/>
  <c r="N29" i="8"/>
  <c r="N53" i="8"/>
  <c r="N60" i="8" s="1"/>
  <c r="N98" i="8" s="1"/>
  <c r="U26" i="14"/>
  <c r="Q102" i="8"/>
  <c r="R102" i="8"/>
  <c r="AF89" i="14"/>
  <c r="O28" i="10"/>
  <c r="O52" i="10"/>
  <c r="BO28" i="8"/>
  <c r="BO34" i="8" s="1"/>
  <c r="BO52" i="8"/>
  <c r="AN53" i="8"/>
  <c r="AN60" i="8" s="1"/>
  <c r="AN98" i="8" s="1"/>
  <c r="AN23" i="8"/>
  <c r="D53" i="8"/>
  <c r="D60" i="8" s="1"/>
  <c r="D98" i="8" s="1"/>
  <c r="AY26" i="14"/>
  <c r="AY47" i="14"/>
  <c r="AO34" i="8"/>
  <c r="AA21" i="10"/>
  <c r="AA51" i="10"/>
  <c r="AA41" i="10"/>
  <c r="AR93" i="10"/>
  <c r="AX23" i="8"/>
  <c r="AX53" i="8"/>
  <c r="AX60" i="8" s="1"/>
  <c r="AX98" i="8" s="1"/>
  <c r="F53" i="9"/>
  <c r="F60" i="9" s="1"/>
  <c r="F98" i="9" s="1"/>
  <c r="F23" i="9"/>
  <c r="F35" i="9" s="1"/>
  <c r="AS29" i="8"/>
  <c r="AB102" i="9"/>
  <c r="W34" i="9"/>
  <c r="AC53" i="9"/>
  <c r="AC60" i="9" s="1"/>
  <c r="AC98" i="9" s="1"/>
  <c r="AA34" i="9"/>
  <c r="AA102" i="8"/>
  <c r="E29" i="8"/>
  <c r="AJ23" i="8"/>
  <c r="AJ35" i="8" s="1"/>
  <c r="AJ53" i="8"/>
  <c r="AJ60" i="8" s="1"/>
  <c r="AJ98" i="8" s="1"/>
  <c r="AV29" i="9"/>
  <c r="AV53" i="9"/>
  <c r="AV60" i="9" s="1"/>
  <c r="AV98" i="9" s="1"/>
  <c r="AJ102" i="8"/>
  <c r="X33" i="9"/>
  <c r="W53" i="9"/>
  <c r="W60" i="9" s="1"/>
  <c r="W98" i="9" s="1"/>
  <c r="W23" i="9"/>
  <c r="AT53" i="9"/>
  <c r="AT60" i="9" s="1"/>
  <c r="AT98" i="9" s="1"/>
  <c r="AT23" i="9"/>
  <c r="Z102" i="9"/>
  <c r="AO34" i="9"/>
  <c r="AI102" i="9"/>
  <c r="AJ102" i="9"/>
  <c r="AF29" i="9"/>
  <c r="AF35" i="9" s="1"/>
  <c r="L34" i="9"/>
  <c r="D33" i="9"/>
  <c r="AB34" i="9"/>
  <c r="T29" i="9"/>
  <c r="P53" i="9"/>
  <c r="P60" i="9" s="1"/>
  <c r="P98" i="9" s="1"/>
  <c r="P23" i="9"/>
  <c r="AI23" i="9"/>
  <c r="AI35" i="9" s="1"/>
  <c r="AI53" i="9"/>
  <c r="AI60" i="9" s="1"/>
  <c r="AI98" i="9" s="1"/>
  <c r="AF53" i="9"/>
  <c r="AF60" i="9" s="1"/>
  <c r="AF98" i="9" s="1"/>
  <c r="BO83" i="9"/>
  <c r="AK32" i="9"/>
  <c r="AX47" i="14"/>
  <c r="AX29" i="14" s="1"/>
  <c r="AX26" i="14"/>
  <c r="AF22" i="10"/>
  <c r="G29" i="1"/>
  <c r="G53" i="1"/>
  <c r="G60" i="1" s="1"/>
  <c r="W47" i="10"/>
  <c r="W27" i="10"/>
  <c r="N52" i="10"/>
  <c r="N41" i="10"/>
  <c r="AU102" i="1"/>
  <c r="AT102" i="1"/>
  <c r="Y11" i="10"/>
  <c r="AR21" i="10"/>
  <c r="AJ26" i="14"/>
  <c r="AJ47" i="14"/>
  <c r="AQ28" i="14"/>
  <c r="AQ51" i="14"/>
  <c r="AQ21" i="14"/>
  <c r="AR22" i="14"/>
  <c r="AR34" i="14" s="1"/>
  <c r="AR52" i="14"/>
  <c r="AW53" i="8"/>
  <c r="AW60" i="8" s="1"/>
  <c r="AW23" i="8"/>
  <c r="AA33" i="8"/>
  <c r="Q23" i="8"/>
  <c r="Q53" i="8"/>
  <c r="Q60" i="8" s="1"/>
  <c r="AH53" i="9"/>
  <c r="AH60" i="9" s="1"/>
  <c r="AH98" i="9" s="1"/>
  <c r="AH23" i="9"/>
  <c r="AB53" i="9"/>
  <c r="AB60" i="9" s="1"/>
  <c r="AB98" i="9" s="1"/>
  <c r="AB23" i="9"/>
  <c r="AB35" i="9" s="1"/>
  <c r="AH47" i="14"/>
  <c r="Y21" i="10"/>
  <c r="Y51" i="10"/>
  <c r="R52" i="10"/>
  <c r="AU23" i="1"/>
  <c r="AU53" i="1"/>
  <c r="AK20" i="14"/>
  <c r="AK32" i="14" s="1"/>
  <c r="AK50" i="14"/>
  <c r="X41" i="14"/>
  <c r="X50" i="14"/>
  <c r="AP27" i="10"/>
  <c r="AP47" i="10"/>
  <c r="K26" i="10"/>
  <c r="K32" i="10" s="1"/>
  <c r="H52" i="10"/>
  <c r="H22" i="10"/>
  <c r="F34" i="1"/>
  <c r="AM27" i="14"/>
  <c r="S89" i="10"/>
  <c r="AC52" i="10"/>
  <c r="AC22" i="10"/>
  <c r="BQ10" i="10"/>
  <c r="H102" i="1"/>
  <c r="O17" i="10"/>
  <c r="O20" i="10"/>
  <c r="P53" i="8"/>
  <c r="P60" i="8" s="1"/>
  <c r="P98" i="8" s="1"/>
  <c r="P23" i="8"/>
  <c r="BO56" i="14"/>
  <c r="M53" i="8"/>
  <c r="M60" i="8" s="1"/>
  <c r="M98" i="8" s="1"/>
  <c r="M23" i="8"/>
  <c r="I23" i="8"/>
  <c r="I35" i="8" s="1"/>
  <c r="I53" i="8"/>
  <c r="I60" i="8" s="1"/>
  <c r="I98" i="8" s="1"/>
  <c r="X23" i="9"/>
  <c r="X35" i="9" s="1"/>
  <c r="X53" i="9"/>
  <c r="X60" i="9" s="1"/>
  <c r="D53" i="9"/>
  <c r="D60" i="9" s="1"/>
  <c r="D98" i="9" s="1"/>
  <c r="D23" i="9"/>
  <c r="D35" i="9" s="1"/>
  <c r="BR56" i="10"/>
  <c r="BZ14" i="10"/>
  <c r="BT15" i="10"/>
  <c r="CA14" i="10"/>
  <c r="BS87" i="10"/>
  <c r="BS95" i="14"/>
  <c r="BS96" i="14" s="1"/>
  <c r="BS46" i="14"/>
  <c r="CA15" i="14"/>
  <c r="AP29" i="9"/>
  <c r="AP35" i="9" s="1"/>
  <c r="AW98" i="9"/>
  <c r="D23" i="8"/>
  <c r="D35" i="8" s="1"/>
  <c r="D28" i="14"/>
  <c r="K51" i="14"/>
  <c r="AQ58" i="14"/>
  <c r="BQ44" i="14"/>
  <c r="BQ50" i="14" s="1"/>
  <c r="T51" i="14"/>
  <c r="AX50" i="14"/>
  <c r="BR39" i="14"/>
  <c r="K52" i="14"/>
  <c r="N27" i="14"/>
  <c r="AT29" i="1"/>
  <c r="V52" i="14"/>
  <c r="L52" i="14"/>
  <c r="AN83" i="14"/>
  <c r="D27" i="10"/>
  <c r="BO22" i="9"/>
  <c r="Q21" i="14"/>
  <c r="L26" i="14"/>
  <c r="AA21" i="14"/>
  <c r="BR63" i="14"/>
  <c r="AX27" i="14"/>
  <c r="AA102" i="9"/>
  <c r="BQ46" i="14"/>
  <c r="AC20" i="14"/>
  <c r="AB23" i="1"/>
  <c r="AB53" i="1"/>
  <c r="AB60" i="1" s="1"/>
  <c r="AB98" i="1" s="1"/>
  <c r="BY15" i="14"/>
  <c r="AN17" i="10"/>
  <c r="AN29" i="10" s="1"/>
  <c r="BW14" i="10"/>
  <c r="AS52" i="10"/>
  <c r="AS22" i="10"/>
  <c r="AS34" i="10" s="1"/>
  <c r="AD20" i="10"/>
  <c r="AD32" i="10" s="1"/>
  <c r="AD50" i="10"/>
  <c r="Y23" i="9"/>
  <c r="Y29" i="9"/>
  <c r="P50" i="14"/>
  <c r="P20" i="14"/>
  <c r="P32" i="14" s="1"/>
  <c r="AR33" i="9"/>
  <c r="BS38" i="14"/>
  <c r="T58" i="10"/>
  <c r="AD83" i="14"/>
  <c r="R20" i="10"/>
  <c r="R50" i="10"/>
  <c r="AV41" i="14"/>
  <c r="AV50" i="14"/>
  <c r="AV20" i="14"/>
  <c r="Y52" i="10"/>
  <c r="Y22" i="10"/>
  <c r="AX83" i="10"/>
  <c r="AR26" i="14"/>
  <c r="AR47" i="14"/>
  <c r="H11" i="10"/>
  <c r="AH89" i="14"/>
  <c r="BQ39" i="14"/>
  <c r="AP21" i="14"/>
  <c r="BO39" i="14"/>
  <c r="P21" i="10"/>
  <c r="P51" i="10"/>
  <c r="BO50" i="8"/>
  <c r="BO41" i="8"/>
  <c r="AJ23" i="1"/>
  <c r="AJ53" i="1"/>
  <c r="AJ60" i="1" s="1"/>
  <c r="AJ98" i="1" s="1"/>
  <c r="S47" i="14"/>
  <c r="AG53" i="8"/>
  <c r="AG60" i="8" s="1"/>
  <c r="AG23" i="8"/>
  <c r="P102" i="8"/>
  <c r="Q23" i="9"/>
  <c r="AS53" i="9"/>
  <c r="AS60" i="9" s="1"/>
  <c r="AS98" i="9" s="1"/>
  <c r="AS23" i="9"/>
  <c r="AS35" i="9" s="1"/>
  <c r="BO51" i="1"/>
  <c r="BQ14" i="10"/>
  <c r="BQ67" i="10"/>
  <c r="BR44" i="10"/>
  <c r="BR46" i="10"/>
  <c r="BS56" i="10"/>
  <c r="G102" i="1"/>
  <c r="I21" i="14"/>
  <c r="V26" i="10"/>
  <c r="BS102" i="8"/>
  <c r="BR102" i="8"/>
  <c r="BO88" i="14"/>
  <c r="BQ56" i="14"/>
  <c r="BO66" i="14"/>
  <c r="AM22" i="14"/>
  <c r="F52" i="10"/>
  <c r="AA27" i="10"/>
  <c r="Q53" i="1"/>
  <c r="Q60" i="1" s="1"/>
  <c r="Q98" i="1" s="1"/>
  <c r="Y20" i="14"/>
  <c r="AQ11" i="14"/>
  <c r="R26" i="14"/>
  <c r="AQ52" i="14"/>
  <c r="AC47" i="14"/>
  <c r="AH17" i="10"/>
  <c r="D27" i="14"/>
  <c r="AP53" i="8"/>
  <c r="AP60" i="8" s="1"/>
  <c r="AP98" i="8" s="1"/>
  <c r="AC52" i="14"/>
  <c r="AB47" i="14"/>
  <c r="BO20" i="8"/>
  <c r="BO32" i="8" s="1"/>
  <c r="J26" i="14"/>
  <c r="AW27" i="10"/>
  <c r="AW47" i="10"/>
  <c r="BQ87" i="14"/>
  <c r="BO87" i="14"/>
  <c r="G50" i="10"/>
  <c r="G20" i="10"/>
  <c r="AU50" i="14"/>
  <c r="AU41" i="14"/>
  <c r="AU20" i="14"/>
  <c r="BQ68" i="14"/>
  <c r="BO81" i="10"/>
  <c r="BO91" i="10"/>
  <c r="AN93" i="10"/>
  <c r="AK26" i="10"/>
  <c r="AK50" i="10"/>
  <c r="AR11" i="10"/>
  <c r="AG52" i="10"/>
  <c r="AG22" i="10"/>
  <c r="O11" i="14"/>
  <c r="AB58" i="14"/>
  <c r="BR56" i="14"/>
  <c r="AE28" i="14"/>
  <c r="AE17" i="14"/>
  <c r="L83" i="10"/>
  <c r="E102" i="1"/>
  <c r="D102" i="1"/>
  <c r="S41" i="14"/>
  <c r="AP41" i="10"/>
  <c r="AP51" i="10"/>
  <c r="AS20" i="10"/>
  <c r="AS50" i="10"/>
  <c r="AS41" i="10"/>
  <c r="K11" i="10"/>
  <c r="AU51" i="14"/>
  <c r="AU27" i="14"/>
  <c r="AU33" i="14" s="1"/>
  <c r="AX51" i="10"/>
  <c r="Y51" i="14"/>
  <c r="AO23" i="1"/>
  <c r="AO35" i="1" s="1"/>
  <c r="AO53" i="1"/>
  <c r="AO60" i="1" s="1"/>
  <c r="Z53" i="8"/>
  <c r="Z60" i="8" s="1"/>
  <c r="Z98" i="8" s="1"/>
  <c r="Z23" i="8"/>
  <c r="AM41" i="14"/>
  <c r="AM51" i="14"/>
  <c r="M53" i="9"/>
  <c r="M60" i="9" s="1"/>
  <c r="M98" i="9" s="1"/>
  <c r="M23" i="9"/>
  <c r="BO52" i="9"/>
  <c r="BT102" i="1"/>
  <c r="G22" i="10"/>
  <c r="BQ67" i="14"/>
  <c r="BO67" i="14"/>
  <c r="I47" i="10"/>
  <c r="I28" i="10"/>
  <c r="I52" i="10"/>
  <c r="AH41" i="10"/>
  <c r="AH22" i="10"/>
  <c r="AH52" i="10"/>
  <c r="AS89" i="10"/>
  <c r="H41" i="10"/>
  <c r="H20" i="10"/>
  <c r="J47" i="10"/>
  <c r="J27" i="10"/>
  <c r="AR21" i="14"/>
  <c r="AR51" i="14"/>
  <c r="P83" i="14"/>
  <c r="AF96" i="10"/>
  <c r="AG20" i="10"/>
  <c r="AG50" i="10"/>
  <c r="BQ72" i="14"/>
  <c r="E53" i="8"/>
  <c r="E60" i="8" s="1"/>
  <c r="E98" i="8" s="1"/>
  <c r="E23" i="8"/>
  <c r="X29" i="1"/>
  <c r="K41" i="10"/>
  <c r="BO28" i="9"/>
  <c r="T29" i="8"/>
  <c r="AA29" i="9"/>
  <c r="AV53" i="8"/>
  <c r="AV60" i="8" s="1"/>
  <c r="AV98" i="8" s="1"/>
  <c r="AV23" i="8"/>
  <c r="AV35" i="8" s="1"/>
  <c r="AK53" i="8"/>
  <c r="AK60" i="8" s="1"/>
  <c r="AK98" i="8" s="1"/>
  <c r="AK23" i="8"/>
  <c r="AK35" i="8" s="1"/>
  <c r="BO41" i="1"/>
  <c r="BQ56" i="10"/>
  <c r="BR39" i="10"/>
  <c r="BR45" i="10"/>
  <c r="BT38" i="10"/>
  <c r="BT40" i="10"/>
  <c r="BS46" i="10"/>
  <c r="BT95" i="14"/>
  <c r="BT96" i="14" s="1"/>
  <c r="BS92" i="14"/>
  <c r="AP28" i="14"/>
  <c r="BZ16" i="14"/>
  <c r="Y41" i="10"/>
  <c r="AO21" i="14"/>
  <c r="Y17" i="14"/>
  <c r="AC26" i="14"/>
  <c r="AY50" i="14"/>
  <c r="U21" i="10"/>
  <c r="AF17" i="14"/>
  <c r="D26" i="14"/>
  <c r="X26" i="14"/>
  <c r="N51" i="14"/>
  <c r="AM17" i="14"/>
  <c r="V51" i="10"/>
  <c r="AX47" i="10"/>
  <c r="Z20" i="14"/>
  <c r="Z50" i="14"/>
  <c r="Z41" i="14"/>
  <c r="F51" i="10"/>
  <c r="F41" i="10"/>
  <c r="F21" i="10"/>
  <c r="L34" i="1"/>
  <c r="AJ20" i="10"/>
  <c r="AR27" i="10"/>
  <c r="AQ58" i="10"/>
  <c r="AP50" i="14"/>
  <c r="Q17" i="10"/>
  <c r="Q20" i="10"/>
  <c r="AF93" i="10"/>
  <c r="M52" i="14"/>
  <c r="M22" i="14"/>
  <c r="AC26" i="10"/>
  <c r="BQ79" i="14"/>
  <c r="BO82" i="14"/>
  <c r="BQ82" i="14"/>
  <c r="BQ8" i="10"/>
  <c r="T23" i="8"/>
  <c r="T53" i="8"/>
  <c r="T60" i="8" s="1"/>
  <c r="T98" i="8" s="1"/>
  <c r="AY23" i="8"/>
  <c r="AY53" i="8"/>
  <c r="AY60" i="8" s="1"/>
  <c r="AY98" i="8" s="1"/>
  <c r="BQ102" i="8"/>
  <c r="Z53" i="1"/>
  <c r="Z60" i="1" s="1"/>
  <c r="Z23" i="1"/>
  <c r="AN83" i="10"/>
  <c r="R17" i="14"/>
  <c r="AF83" i="10"/>
  <c r="AH26" i="10"/>
  <c r="AH47" i="10"/>
  <c r="AK17" i="14"/>
  <c r="U11" i="10"/>
  <c r="V102" i="10" s="1"/>
  <c r="AI47" i="14"/>
  <c r="AI26" i="14"/>
  <c r="AI50" i="14"/>
  <c r="AA23" i="1"/>
  <c r="AA53" i="1"/>
  <c r="AA60" i="1" s="1"/>
  <c r="AA98" i="1" s="1"/>
  <c r="D22" i="10"/>
  <c r="D17" i="10"/>
  <c r="AT50" i="10"/>
  <c r="AS22" i="14"/>
  <c r="AS34" i="14" s="1"/>
  <c r="AS52" i="14"/>
  <c r="AS41" i="14"/>
  <c r="AV41" i="10"/>
  <c r="AV22" i="10"/>
  <c r="O23" i="1"/>
  <c r="O53" i="1"/>
  <c r="O60" i="1" s="1"/>
  <c r="O98" i="1" s="1"/>
  <c r="AU83" i="14"/>
  <c r="G23" i="8"/>
  <c r="G35" i="8" s="1"/>
  <c r="G53" i="8"/>
  <c r="G60" i="8" s="1"/>
  <c r="G98" i="8" s="1"/>
  <c r="AC32" i="9"/>
  <c r="AI29" i="8"/>
  <c r="AI35" i="8" s="1"/>
  <c r="BQ46" i="10"/>
  <c r="BR95" i="10"/>
  <c r="BZ16" i="10"/>
  <c r="BT46" i="10"/>
  <c r="BS86" i="10"/>
  <c r="BS45" i="10"/>
  <c r="BO27" i="1"/>
  <c r="U102" i="8"/>
  <c r="BR102" i="9"/>
  <c r="E27" i="14"/>
  <c r="BR40" i="14"/>
  <c r="F26" i="10"/>
  <c r="E102" i="9"/>
  <c r="M41" i="10"/>
  <c r="AG21" i="14"/>
  <c r="O47" i="10"/>
  <c r="AC17" i="14"/>
  <c r="Y50" i="10"/>
  <c r="AO27" i="14"/>
  <c r="AK41" i="14"/>
  <c r="M102" i="8"/>
  <c r="L21" i="10"/>
  <c r="L33" i="10" s="1"/>
  <c r="BT8" i="10"/>
  <c r="AR50" i="14"/>
  <c r="Y27" i="14"/>
  <c r="AE53" i="1"/>
  <c r="AE60" i="1" s="1"/>
  <c r="AE98" i="1" s="1"/>
  <c r="AJ50" i="14"/>
  <c r="N102" i="9"/>
  <c r="X20" i="14"/>
  <c r="M21" i="14"/>
  <c r="M51" i="14"/>
  <c r="AU22" i="10"/>
  <c r="Q41" i="10"/>
  <c r="F22" i="14"/>
  <c r="F52" i="14"/>
  <c r="G11" i="14"/>
  <c r="AN20" i="10"/>
  <c r="AN50" i="10"/>
  <c r="AQ41" i="10"/>
  <c r="AY21" i="10"/>
  <c r="AY27" i="10"/>
  <c r="AY17" i="10"/>
  <c r="AY29" i="10" s="1"/>
  <c r="H28" i="10"/>
  <c r="AI53" i="8"/>
  <c r="AI60" i="8" s="1"/>
  <c r="AI98" i="8" s="1"/>
  <c r="H23" i="9"/>
  <c r="BO14" i="10"/>
  <c r="P58" i="14"/>
  <c r="F21" i="14"/>
  <c r="F51" i="14"/>
  <c r="V27" i="14"/>
  <c r="V47" i="14"/>
  <c r="BO74" i="10"/>
  <c r="Q26" i="10"/>
  <c r="L23" i="1"/>
  <c r="L53" i="1"/>
  <c r="BO8" i="14"/>
  <c r="BO11" i="14" s="1"/>
  <c r="AR11" i="14"/>
  <c r="Y93" i="14"/>
  <c r="AS21" i="10"/>
  <c r="AS27" i="10"/>
  <c r="AF23" i="1"/>
  <c r="AF53" i="1"/>
  <c r="AF60" i="1" s="1"/>
  <c r="AF98" i="1" s="1"/>
  <c r="I23" i="1"/>
  <c r="BW14" i="14"/>
  <c r="BQ14" i="14"/>
  <c r="AN26" i="14"/>
  <c r="AN32" i="14" s="1"/>
  <c r="BY14" i="14"/>
  <c r="N20" i="10"/>
  <c r="BR45" i="14"/>
  <c r="AD20" i="14"/>
  <c r="AD41" i="14"/>
  <c r="AD50" i="14"/>
  <c r="V33" i="1"/>
  <c r="BO17" i="8"/>
  <c r="BO26" i="9"/>
  <c r="BO47" i="9"/>
  <c r="Z53" i="9"/>
  <c r="Z60" i="9" s="1"/>
  <c r="Z98" i="9" s="1"/>
  <c r="Z23" i="9"/>
  <c r="Z35" i="9" s="1"/>
  <c r="L23" i="9"/>
  <c r="L53" i="9"/>
  <c r="L60" i="9" s="1"/>
  <c r="L98" i="9" s="1"/>
  <c r="BR16" i="10"/>
  <c r="BT45" i="10"/>
  <c r="BT51" i="10" s="1"/>
  <c r="BS38" i="10"/>
  <c r="BT86" i="14"/>
  <c r="BS45" i="14"/>
  <c r="AG51" i="14"/>
  <c r="AQ60" i="8"/>
  <c r="AQ98" i="8" s="1"/>
  <c r="F47" i="10"/>
  <c r="AA53" i="9"/>
  <c r="AA60" i="9" s="1"/>
  <c r="AA98" i="9" s="1"/>
  <c r="BO56" i="10"/>
  <c r="BY16" i="14"/>
  <c r="AQ41" i="14"/>
  <c r="AH17" i="14"/>
  <c r="BR14" i="14"/>
  <c r="BO38" i="14"/>
  <c r="W41" i="10"/>
  <c r="BQ15" i="14"/>
  <c r="BO44" i="10"/>
  <c r="AN41" i="14"/>
  <c r="AJ41" i="14"/>
  <c r="AD21" i="10"/>
  <c r="AF52" i="10"/>
  <c r="BO66" i="10"/>
  <c r="X23" i="1"/>
  <c r="V53" i="1"/>
  <c r="V60" i="1" s="1"/>
  <c r="V98" i="1" s="1"/>
  <c r="AG41" i="10"/>
  <c r="BR95" i="14"/>
  <c r="BR96" i="14" s="1"/>
  <c r="U20" i="14"/>
  <c r="N22" i="10"/>
  <c r="AN34" i="1"/>
  <c r="U27" i="14"/>
  <c r="BR80" i="14"/>
  <c r="J23" i="1"/>
  <c r="I26" i="10"/>
  <c r="R22" i="14"/>
  <c r="R52" i="14"/>
  <c r="AQ22" i="10"/>
  <c r="AQ52" i="10"/>
  <c r="BR77" i="14"/>
  <c r="Z93" i="14"/>
  <c r="Q27" i="10"/>
  <c r="G89" i="14"/>
  <c r="T41" i="14"/>
  <c r="E21" i="14"/>
  <c r="D51" i="14"/>
  <c r="AX22" i="14"/>
  <c r="AX34" i="14" s="1"/>
  <c r="AX52" i="14"/>
  <c r="AC47" i="10"/>
  <c r="BR88" i="14"/>
  <c r="AL83" i="10"/>
  <c r="V47" i="10"/>
  <c r="V29" i="10" s="1"/>
  <c r="V28" i="10"/>
  <c r="V34" i="10" s="1"/>
  <c r="AU47" i="14"/>
  <c r="W89" i="10"/>
  <c r="V29" i="1"/>
  <c r="BO74" i="14"/>
  <c r="L41" i="10"/>
  <c r="L20" i="10"/>
  <c r="AO89" i="10"/>
  <c r="W26" i="10"/>
  <c r="AE47" i="14"/>
  <c r="AE27" i="14"/>
  <c r="AW58" i="14"/>
  <c r="AS11" i="10"/>
  <c r="AV89" i="14"/>
  <c r="AJ89" i="10"/>
  <c r="AF58" i="14"/>
  <c r="AE41" i="10"/>
  <c r="AE50" i="10"/>
  <c r="N58" i="14"/>
  <c r="U58" i="14"/>
  <c r="L93" i="10"/>
  <c r="O32" i="8"/>
  <c r="BO9" i="10"/>
  <c r="AA89" i="14"/>
  <c r="T47" i="10"/>
  <c r="T26" i="10"/>
  <c r="BR64" i="14"/>
  <c r="AW50" i="10"/>
  <c r="U89" i="14"/>
  <c r="AJ51" i="14"/>
  <c r="AT47" i="10"/>
  <c r="AT29" i="10" s="1"/>
  <c r="AM89" i="14"/>
  <c r="AG27" i="14"/>
  <c r="E52" i="10"/>
  <c r="AE28" i="10"/>
  <c r="AE34" i="10" s="1"/>
  <c r="V32" i="1"/>
  <c r="E21" i="10"/>
  <c r="E33" i="10" s="1"/>
  <c r="O102" i="1"/>
  <c r="AL17" i="10"/>
  <c r="AP58" i="10"/>
  <c r="AW17" i="10"/>
  <c r="AY51" i="10"/>
  <c r="AR32" i="1"/>
  <c r="J89" i="10"/>
  <c r="AQ11" i="10"/>
  <c r="M28" i="10"/>
  <c r="U21" i="14"/>
  <c r="U51" i="14"/>
  <c r="AD11" i="10"/>
  <c r="AL51" i="14"/>
  <c r="AL21" i="14"/>
  <c r="AR58" i="10"/>
  <c r="AA41" i="14"/>
  <c r="E29" i="1"/>
  <c r="M27" i="10"/>
  <c r="M33" i="10" s="1"/>
  <c r="AB89" i="10"/>
  <c r="AO11" i="14"/>
  <c r="AF28" i="10"/>
  <c r="BS10" i="10"/>
  <c r="L11" i="14"/>
  <c r="AT32" i="1"/>
  <c r="Z89" i="14"/>
  <c r="AG28" i="14"/>
  <c r="AG34" i="14" s="1"/>
  <c r="AP33" i="8"/>
  <c r="AR102" i="8"/>
  <c r="AL47" i="14"/>
  <c r="AS33" i="1"/>
  <c r="T28" i="10"/>
  <c r="J93" i="14"/>
  <c r="AP23" i="1"/>
  <c r="AP35" i="1" s="1"/>
  <c r="T22" i="10"/>
  <c r="K20" i="14"/>
  <c r="S28" i="14"/>
  <c r="O17" i="14"/>
  <c r="O29" i="14" s="1"/>
  <c r="V53" i="8"/>
  <c r="V60" i="8" s="1"/>
  <c r="V98" i="8" s="1"/>
  <c r="X29" i="8"/>
  <c r="E28" i="14"/>
  <c r="Z28" i="14"/>
  <c r="P51" i="14"/>
  <c r="P21" i="14"/>
  <c r="AI34" i="8"/>
  <c r="AA53" i="8"/>
  <c r="AA60" i="8" s="1"/>
  <c r="AA98" i="8" s="1"/>
  <c r="S34" i="1"/>
  <c r="D22" i="14"/>
  <c r="D52" i="14"/>
  <c r="AU28" i="14"/>
  <c r="F89" i="10"/>
  <c r="K52" i="10"/>
  <c r="AY41" i="14"/>
  <c r="AO20" i="14"/>
  <c r="AO41" i="14"/>
  <c r="AH93" i="10"/>
  <c r="U53" i="1"/>
  <c r="U60" i="1" s="1"/>
  <c r="U98" i="1" s="1"/>
  <c r="AH33" i="8"/>
  <c r="AF89" i="10"/>
  <c r="U93" i="14"/>
  <c r="V21" i="14"/>
  <c r="V51" i="14"/>
  <c r="F29" i="8"/>
  <c r="F35" i="8" s="1"/>
  <c r="BQ64" i="14"/>
  <c r="V58" i="14"/>
  <c r="AC32" i="8"/>
  <c r="L98" i="8"/>
  <c r="L33" i="1"/>
  <c r="AT34" i="1"/>
  <c r="AV29" i="1"/>
  <c r="AN29" i="8"/>
  <c r="AI33" i="9"/>
  <c r="W11" i="10"/>
  <c r="AP34" i="8"/>
  <c r="X23" i="8"/>
  <c r="X53" i="8"/>
  <c r="X60" i="8" s="1"/>
  <c r="X98" i="8" s="1"/>
  <c r="AM53" i="8"/>
  <c r="AM60" i="8" s="1"/>
  <c r="AM98" i="8" s="1"/>
  <c r="AM23" i="8"/>
  <c r="Y32" i="8"/>
  <c r="N34" i="8"/>
  <c r="AE29" i="9"/>
  <c r="S32" i="8"/>
  <c r="AF102" i="9"/>
  <c r="AG102" i="9"/>
  <c r="R32" i="8"/>
  <c r="AB60" i="8"/>
  <c r="E32" i="8"/>
  <c r="T53" i="9"/>
  <c r="T60" i="9" s="1"/>
  <c r="T98" i="9" s="1"/>
  <c r="T23" i="9"/>
  <c r="T35" i="9" s="1"/>
  <c r="AL53" i="9"/>
  <c r="AL60" i="9" s="1"/>
  <c r="AL98" i="9" s="1"/>
  <c r="AL23" i="9"/>
  <c r="AN32" i="9"/>
  <c r="AB29" i="8"/>
  <c r="AT32" i="9"/>
  <c r="BO21" i="9"/>
  <c r="H29" i="9"/>
  <c r="AY53" i="9"/>
  <c r="AY60" i="9" s="1"/>
  <c r="AY98" i="9" s="1"/>
  <c r="K29" i="9"/>
  <c r="AF32" i="9"/>
  <c r="Y32" i="9"/>
  <c r="P102" i="9"/>
  <c r="N34" i="9"/>
  <c r="O29" i="9"/>
  <c r="T32" i="9"/>
  <c r="F33" i="9"/>
  <c r="O23" i="9"/>
  <c r="O53" i="9"/>
  <c r="O60" i="9" s="1"/>
  <c r="O98" i="9" s="1"/>
  <c r="AY33" i="9"/>
  <c r="AI32" i="9"/>
  <c r="AU60" i="8"/>
  <c r="AU98" i="8" s="1"/>
  <c r="AQ96" i="10"/>
  <c r="R21" i="14"/>
  <c r="R33" i="14" s="1"/>
  <c r="R51" i="14"/>
  <c r="AN29" i="1"/>
  <c r="M53" i="1"/>
  <c r="M60" i="1" s="1"/>
  <c r="M98" i="1" s="1"/>
  <c r="M29" i="1"/>
  <c r="AN52" i="14"/>
  <c r="BQ40" i="14"/>
  <c r="U27" i="10"/>
  <c r="AC33" i="1"/>
  <c r="Z29" i="1"/>
  <c r="Z52" i="14"/>
  <c r="Z22" i="14"/>
  <c r="AN41" i="10"/>
  <c r="BR68" i="14"/>
  <c r="D93" i="14"/>
  <c r="AU58" i="14"/>
  <c r="Q34" i="1"/>
  <c r="AU21" i="10"/>
  <c r="AU33" i="10" s="1"/>
  <c r="AN52" i="10"/>
  <c r="BR74" i="14"/>
  <c r="AI41" i="10"/>
  <c r="BQ92" i="14"/>
  <c r="BO92" i="14"/>
  <c r="D89" i="14"/>
  <c r="AY34" i="1"/>
  <c r="AT58" i="10"/>
  <c r="J58" i="14"/>
  <c r="AU29" i="1"/>
  <c r="AW33" i="1"/>
  <c r="AU11" i="14"/>
  <c r="O33" i="1"/>
  <c r="AF26" i="14"/>
  <c r="AF32" i="14" s="1"/>
  <c r="AF11" i="14"/>
  <c r="AG102" i="14" s="1"/>
  <c r="BR8" i="14"/>
  <c r="BR11" i="14" s="1"/>
  <c r="AJ58" i="10"/>
  <c r="AS11" i="14"/>
  <c r="AX23" i="1"/>
  <c r="Y29" i="1"/>
  <c r="Y35" i="1" s="1"/>
  <c r="H21" i="10"/>
  <c r="I89" i="14"/>
  <c r="BO70" i="10"/>
  <c r="V89" i="14"/>
  <c r="BO40" i="10"/>
  <c r="BO79" i="10"/>
  <c r="X33" i="1"/>
  <c r="L93" i="14"/>
  <c r="AI28" i="14"/>
  <c r="T32" i="1"/>
  <c r="AW32" i="1"/>
  <c r="AC32" i="1"/>
  <c r="AO51" i="14"/>
  <c r="AY11" i="14"/>
  <c r="Q11" i="14"/>
  <c r="F26" i="14"/>
  <c r="AB20" i="10"/>
  <c r="P29" i="1"/>
  <c r="E22" i="14"/>
  <c r="E52" i="14"/>
  <c r="AT22" i="10"/>
  <c r="I20" i="10"/>
  <c r="I50" i="10"/>
  <c r="AS93" i="10"/>
  <c r="O93" i="10"/>
  <c r="AX58" i="10"/>
  <c r="AY33" i="1"/>
  <c r="AH33" i="1"/>
  <c r="AR23" i="1"/>
  <c r="AR35" i="1" s="1"/>
  <c r="AR53" i="1"/>
  <c r="AR60" i="1" s="1"/>
  <c r="AR98" i="1" s="1"/>
  <c r="J89" i="14"/>
  <c r="T93" i="10"/>
  <c r="BO86" i="10"/>
  <c r="I58" i="10"/>
  <c r="AL27" i="10"/>
  <c r="AD11" i="14"/>
  <c r="M93" i="10"/>
  <c r="AB34" i="1"/>
  <c r="AV26" i="14"/>
  <c r="BO64" i="10"/>
  <c r="AL58" i="10"/>
  <c r="AM102" i="8"/>
  <c r="AL29" i="1"/>
  <c r="Q102" i="1"/>
  <c r="AB26" i="14"/>
  <c r="BR9" i="10"/>
  <c r="S28" i="10"/>
  <c r="L47" i="14"/>
  <c r="L29" i="14" s="1"/>
  <c r="AJ27" i="14"/>
  <c r="AJ33" i="14" s="1"/>
  <c r="S52" i="14"/>
  <c r="S22" i="14"/>
  <c r="I34" i="8"/>
  <c r="G28" i="10"/>
  <c r="AK27" i="14"/>
  <c r="AS29" i="1"/>
  <c r="AK58" i="14"/>
  <c r="AH93" i="14"/>
  <c r="O29" i="1"/>
  <c r="O41" i="14"/>
  <c r="O20" i="14"/>
  <c r="Y53" i="8"/>
  <c r="Y60" i="8" s="1"/>
  <c r="Y98" i="8" s="1"/>
  <c r="Y23" i="8"/>
  <c r="W32" i="8"/>
  <c r="AH34" i="8"/>
  <c r="O28" i="14"/>
  <c r="O34" i="14" s="1"/>
  <c r="O34" i="8"/>
  <c r="AJ34" i="8"/>
  <c r="AU23" i="8"/>
  <c r="BT10" i="10"/>
  <c r="P27" i="14"/>
  <c r="D58" i="14"/>
  <c r="L21" i="14"/>
  <c r="AR93" i="14"/>
  <c r="AV50" i="10"/>
  <c r="W11" i="14"/>
  <c r="J53" i="8"/>
  <c r="J60" i="8" s="1"/>
  <c r="J23" i="8"/>
  <c r="J35" i="8" s="1"/>
  <c r="O33" i="9"/>
  <c r="AE53" i="8"/>
  <c r="AE60" i="8" s="1"/>
  <c r="AE98" i="8" s="1"/>
  <c r="Y29" i="8"/>
  <c r="S23" i="8"/>
  <c r="S53" i="8"/>
  <c r="S60" i="8" s="1"/>
  <c r="AC102" i="8"/>
  <c r="AM34" i="8"/>
  <c r="Q34" i="8"/>
  <c r="K33" i="9"/>
  <c r="AL102" i="8"/>
  <c r="L29" i="8"/>
  <c r="L102" i="8"/>
  <c r="AO102" i="9"/>
  <c r="AX34" i="9"/>
  <c r="AR29" i="8"/>
  <c r="G102" i="8"/>
  <c r="AH102" i="9"/>
  <c r="N53" i="9"/>
  <c r="N60" i="9" s="1"/>
  <c r="N98" i="9" s="1"/>
  <c r="AG34" i="9"/>
  <c r="AR29" i="9"/>
  <c r="AD23" i="9"/>
  <c r="V102" i="9"/>
  <c r="BO27" i="9"/>
  <c r="AF34" i="9"/>
  <c r="Y53" i="9"/>
  <c r="Y60" i="9" s="1"/>
  <c r="Y98" i="9" s="1"/>
  <c r="AJ32" i="9"/>
  <c r="AS34" i="9"/>
  <c r="W33" i="9"/>
  <c r="I29" i="9"/>
  <c r="I35" i="9" s="1"/>
  <c r="T102" i="9"/>
  <c r="AE32" i="14"/>
  <c r="AN22" i="14"/>
  <c r="AN26" i="10"/>
  <c r="M47" i="10"/>
  <c r="M26" i="10"/>
  <c r="BR57" i="14"/>
  <c r="J32" i="1"/>
  <c r="AN33" i="1"/>
  <c r="AL50" i="10"/>
  <c r="BR78" i="14"/>
  <c r="AF21" i="10"/>
  <c r="AN22" i="10"/>
  <c r="BW16" i="10"/>
  <c r="D93" i="10"/>
  <c r="F17" i="14"/>
  <c r="N21" i="10"/>
  <c r="N33" i="10" s="1"/>
  <c r="M58" i="10"/>
  <c r="AF33" i="1"/>
  <c r="AI20" i="14"/>
  <c r="AN11" i="10"/>
  <c r="Q27" i="14"/>
  <c r="F20" i="10"/>
  <c r="AK23" i="1"/>
  <c r="AK53" i="1"/>
  <c r="AK60" i="1" s="1"/>
  <c r="AK98" i="1" s="1"/>
  <c r="BQ74" i="14"/>
  <c r="BS9" i="10"/>
  <c r="N50" i="14"/>
  <c r="N41" i="14"/>
  <c r="N20" i="14"/>
  <c r="I27" i="10"/>
  <c r="AY52" i="14"/>
  <c r="BO10" i="10"/>
  <c r="AP52" i="10"/>
  <c r="K32" i="1"/>
  <c r="AV53" i="1"/>
  <c r="AV60" i="1" s="1"/>
  <c r="AV98" i="1" s="1"/>
  <c r="AV23" i="1"/>
  <c r="AB52" i="10"/>
  <c r="AB22" i="10"/>
  <c r="AU83" i="10"/>
  <c r="F58" i="10"/>
  <c r="N26" i="14"/>
  <c r="AW41" i="10"/>
  <c r="E23" i="1"/>
  <c r="E35" i="1" s="1"/>
  <c r="L50" i="14"/>
  <c r="L20" i="14"/>
  <c r="W26" i="14"/>
  <c r="BR91" i="14"/>
  <c r="AE93" i="14"/>
  <c r="W20" i="10"/>
  <c r="W50" i="10"/>
  <c r="BR8" i="10"/>
  <c r="AP89" i="10"/>
  <c r="D41" i="10"/>
  <c r="AE52" i="14"/>
  <c r="AE22" i="14"/>
  <c r="R26" i="10"/>
  <c r="BO76" i="10"/>
  <c r="AX32" i="1"/>
  <c r="Y26" i="10"/>
  <c r="Y32" i="10" s="1"/>
  <c r="J17" i="14"/>
  <c r="J23" i="14" s="1"/>
  <c r="H23" i="1"/>
  <c r="N58" i="10"/>
  <c r="BO70" i="14"/>
  <c r="BQ70" i="14"/>
  <c r="V89" i="10"/>
  <c r="T33" i="1"/>
  <c r="AH28" i="10"/>
  <c r="AI22" i="10"/>
  <c r="AI34" i="10" s="1"/>
  <c r="V27" i="10"/>
  <c r="V33" i="10" s="1"/>
  <c r="T17" i="10"/>
  <c r="S11" i="14"/>
  <c r="R93" i="10"/>
  <c r="I33" i="1"/>
  <c r="P34" i="1"/>
  <c r="AG89" i="10"/>
  <c r="F29" i="1"/>
  <c r="AB50" i="14"/>
  <c r="AB41" i="14"/>
  <c r="AB20" i="14"/>
  <c r="AO83" i="10"/>
  <c r="BO78" i="14"/>
  <c r="BQ78" i="14"/>
  <c r="V20" i="10"/>
  <c r="V41" i="10"/>
  <c r="AB11" i="14"/>
  <c r="AH21" i="10"/>
  <c r="N11" i="10"/>
  <c r="I20" i="14"/>
  <c r="I50" i="14"/>
  <c r="AJ29" i="1"/>
  <c r="AY51" i="14"/>
  <c r="AH51" i="14"/>
  <c r="AN96" i="10"/>
  <c r="BO95" i="10"/>
  <c r="Q21" i="10"/>
  <c r="X22" i="10"/>
  <c r="X34" i="10" s="1"/>
  <c r="X52" i="10"/>
  <c r="I58" i="14"/>
  <c r="AJ93" i="10"/>
  <c r="AR17" i="10"/>
  <c r="E26" i="10"/>
  <c r="M27" i="14"/>
  <c r="BO64" i="14"/>
  <c r="Z47" i="14"/>
  <c r="Z27" i="14"/>
  <c r="AK102" i="1"/>
  <c r="J21" i="14"/>
  <c r="AW28" i="14"/>
  <c r="AL89" i="10"/>
  <c r="AS27" i="14"/>
  <c r="AL58" i="14"/>
  <c r="AC11" i="10"/>
  <c r="AP11" i="10"/>
  <c r="J22" i="10"/>
  <c r="J52" i="10"/>
  <c r="J93" i="10"/>
  <c r="AP50" i="10"/>
  <c r="AP20" i="10"/>
  <c r="AP32" i="10" s="1"/>
  <c r="P11" i="10"/>
  <c r="AG32" i="1"/>
  <c r="G93" i="10"/>
  <c r="AB29" i="1"/>
  <c r="P89" i="10"/>
  <c r="BR16" i="14"/>
  <c r="L29" i="1"/>
  <c r="AS53" i="1"/>
  <c r="AS60" i="1" s="1"/>
  <c r="AS98" i="1" s="1"/>
  <c r="AS23" i="1"/>
  <c r="AA32" i="8"/>
  <c r="S52" i="10"/>
  <c r="S22" i="10"/>
  <c r="AV33" i="1"/>
  <c r="AS26" i="10"/>
  <c r="O26" i="10"/>
  <c r="K29" i="8"/>
  <c r="AD22" i="10"/>
  <c r="R11" i="10"/>
  <c r="AD102" i="8"/>
  <c r="E89" i="10"/>
  <c r="D58" i="10"/>
  <c r="AV32" i="1"/>
  <c r="BO51" i="8"/>
  <c r="BO21" i="8"/>
  <c r="AL32" i="8"/>
  <c r="E102" i="8"/>
  <c r="D102" i="8"/>
  <c r="W102" i="8"/>
  <c r="H33" i="8"/>
  <c r="S60" i="9"/>
  <c r="S98" i="9" s="1"/>
  <c r="AT23" i="8"/>
  <c r="AT35" i="8" s="1"/>
  <c r="D34" i="8"/>
  <c r="S102" i="8"/>
  <c r="AI33" i="8"/>
  <c r="AV33" i="8"/>
  <c r="AT102" i="8"/>
  <c r="AU102" i="8"/>
  <c r="AU29" i="8"/>
  <c r="P20" i="10"/>
  <c r="H34" i="9"/>
  <c r="AR34" i="9"/>
  <c r="BO102" i="9"/>
  <c r="P34" i="8"/>
  <c r="AG29" i="8"/>
  <c r="AL32" i="9"/>
  <c r="BO20" i="9"/>
  <c r="AD102" i="9"/>
  <c r="AX53" i="9"/>
  <c r="AX60" i="9" s="1"/>
  <c r="AX98" i="9" s="1"/>
  <c r="AX23" i="9"/>
  <c r="AF33" i="9"/>
  <c r="Z34" i="9"/>
  <c r="F102" i="9"/>
  <c r="AQ102" i="9"/>
  <c r="AW23" i="9"/>
  <c r="AW35" i="9" s="1"/>
  <c r="AW34" i="9"/>
  <c r="AQ29" i="9"/>
  <c r="K102" i="9"/>
  <c r="AO32" i="9"/>
  <c r="AE23" i="9"/>
  <c r="K53" i="9"/>
  <c r="K60" i="9" s="1"/>
  <c r="K98" i="9" s="1"/>
  <c r="K23" i="9"/>
  <c r="K35" i="9" s="1"/>
  <c r="E33" i="9"/>
  <c r="U41" i="14"/>
  <c r="T89" i="10"/>
  <c r="BQ77" i="14"/>
  <c r="Z52" i="10"/>
  <c r="J50" i="10"/>
  <c r="AX102" i="1"/>
  <c r="H89" i="10"/>
  <c r="G50" i="14"/>
  <c r="BO16" i="14"/>
  <c r="F17" i="10"/>
  <c r="BO77" i="10"/>
  <c r="AU32" i="1"/>
  <c r="N21" i="14"/>
  <c r="M58" i="14"/>
  <c r="G47" i="10"/>
  <c r="G29" i="10" s="1"/>
  <c r="G26" i="10"/>
  <c r="AN11" i="14"/>
  <c r="W58" i="14"/>
  <c r="U22" i="10"/>
  <c r="N53" i="1"/>
  <c r="N60" i="1" s="1"/>
  <c r="N98" i="1" s="1"/>
  <c r="N23" i="1"/>
  <c r="N35" i="1" s="1"/>
  <c r="AY22" i="10"/>
  <c r="AY34" i="10" s="1"/>
  <c r="AY52" i="10"/>
  <c r="H93" i="10"/>
  <c r="F58" i="14"/>
  <c r="X50" i="10"/>
  <c r="X41" i="10"/>
  <c r="X20" i="10"/>
  <c r="AV51" i="10"/>
  <c r="AV21" i="10"/>
  <c r="W53" i="1"/>
  <c r="W60" i="1" s="1"/>
  <c r="W98" i="1" s="1"/>
  <c r="AY58" i="14"/>
  <c r="AR96" i="10"/>
  <c r="AW21" i="14"/>
  <c r="AT27" i="14"/>
  <c r="BR82" i="14"/>
  <c r="O51" i="14"/>
  <c r="O21" i="14"/>
  <c r="O33" i="14" s="1"/>
  <c r="W102" i="1"/>
  <c r="AF26" i="10"/>
  <c r="D50" i="14"/>
  <c r="R29" i="1"/>
  <c r="I11" i="10"/>
  <c r="AX41" i="10"/>
  <c r="BT9" i="10"/>
  <c r="Y32" i="1"/>
  <c r="S83" i="14"/>
  <c r="AC89" i="10"/>
  <c r="AB21" i="14"/>
  <c r="Y89" i="10"/>
  <c r="T51" i="10"/>
  <c r="T21" i="10"/>
  <c r="T33" i="10" s="1"/>
  <c r="AW89" i="10"/>
  <c r="X27" i="14"/>
  <c r="X33" i="14" s="1"/>
  <c r="AH34" i="1"/>
  <c r="D89" i="10"/>
  <c r="S11" i="10"/>
  <c r="I51" i="10"/>
  <c r="AO33" i="1"/>
  <c r="K22" i="10"/>
  <c r="K34" i="10" s="1"/>
  <c r="P47" i="14"/>
  <c r="AR33" i="1"/>
  <c r="BO78" i="10"/>
  <c r="P93" i="14"/>
  <c r="V20" i="14"/>
  <c r="D11" i="14"/>
  <c r="BQ75" i="14"/>
  <c r="AJ47" i="10"/>
  <c r="AJ26" i="10"/>
  <c r="L28" i="14"/>
  <c r="AP58" i="14"/>
  <c r="L58" i="10"/>
  <c r="AQ28" i="10"/>
  <c r="AQ89" i="10"/>
  <c r="BS8" i="10"/>
  <c r="T11" i="10"/>
  <c r="F11" i="10"/>
  <c r="AL27" i="14"/>
  <c r="E32" i="1"/>
  <c r="AY93" i="10"/>
  <c r="AJ11" i="10"/>
  <c r="AK102" i="10" s="1"/>
  <c r="AA22" i="10"/>
  <c r="AA34" i="10" s="1"/>
  <c r="AK28" i="10"/>
  <c r="AQ17" i="10"/>
  <c r="AL89" i="14"/>
  <c r="H22" i="14"/>
  <c r="H34" i="14" s="1"/>
  <c r="AP20" i="14"/>
  <c r="AP32" i="14" s="1"/>
  <c r="AG20" i="14"/>
  <c r="L50" i="10"/>
  <c r="L26" i="10"/>
  <c r="AI21" i="10"/>
  <c r="S23" i="1"/>
  <c r="S53" i="1"/>
  <c r="S60" i="1" s="1"/>
  <c r="S98" i="1" s="1"/>
  <c r="F93" i="14"/>
  <c r="AJ89" i="14"/>
  <c r="P17" i="10"/>
  <c r="AR22" i="10"/>
  <c r="AP89" i="14"/>
  <c r="AV34" i="1"/>
  <c r="AU51" i="10"/>
  <c r="AG17" i="14"/>
  <c r="AV27" i="10"/>
  <c r="AY41" i="10"/>
  <c r="AF102" i="8"/>
  <c r="O26" i="14"/>
  <c r="V93" i="10"/>
  <c r="U33" i="8"/>
  <c r="H102" i="8"/>
  <c r="AD17" i="14"/>
  <c r="BO83" i="8"/>
  <c r="S102" i="1"/>
  <c r="AO32" i="8"/>
  <c r="H53" i="8"/>
  <c r="H60" i="8" s="1"/>
  <c r="H98" i="8" s="1"/>
  <c r="H23" i="8"/>
  <c r="K89" i="10"/>
  <c r="AI102" i="8"/>
  <c r="K58" i="14"/>
  <c r="AD53" i="8"/>
  <c r="AD60" i="8" s="1"/>
  <c r="AD98" i="8" s="1"/>
  <c r="AD23" i="8"/>
  <c r="AD35" i="8" s="1"/>
  <c r="P27" i="10"/>
  <c r="AD34" i="8"/>
  <c r="S29" i="1"/>
  <c r="AL53" i="8"/>
  <c r="AL60" i="8" s="1"/>
  <c r="AL98" i="8" s="1"/>
  <c r="AL23" i="8"/>
  <c r="K32" i="8"/>
  <c r="AQ23" i="8"/>
  <c r="Z34" i="8"/>
  <c r="R34" i="8"/>
  <c r="AY34" i="8"/>
  <c r="AS23" i="8"/>
  <c r="AE32" i="8"/>
  <c r="AM33" i="1"/>
  <c r="AT29" i="9"/>
  <c r="P29" i="8"/>
  <c r="N32" i="8"/>
  <c r="AK34" i="8"/>
  <c r="P53" i="1"/>
  <c r="P60" i="1" s="1"/>
  <c r="P23" i="1"/>
  <c r="S29" i="8"/>
  <c r="U32" i="8"/>
  <c r="O23" i="8"/>
  <c r="P32" i="9"/>
  <c r="E33" i="8"/>
  <c r="AM23" i="9"/>
  <c r="AM53" i="9"/>
  <c r="AM60" i="9" s="1"/>
  <c r="AM98" i="9" s="1"/>
  <c r="AW34" i="8"/>
  <c r="AP33" i="9"/>
  <c r="AN23" i="9"/>
  <c r="AN35" i="9" s="1"/>
  <c r="AN53" i="9"/>
  <c r="AN60" i="9" s="1"/>
  <c r="AN98" i="9" s="1"/>
  <c r="Q32" i="9"/>
  <c r="G53" i="9"/>
  <c r="G60" i="9" s="1"/>
  <c r="G98" i="9" s="1"/>
  <c r="G23" i="9"/>
  <c r="G35" i="9" s="1"/>
  <c r="AG32" i="9"/>
  <c r="AX32" i="9"/>
  <c r="I33" i="9"/>
  <c r="AJ33" i="9"/>
  <c r="H33" i="9"/>
  <c r="AH32" i="9"/>
  <c r="S33" i="9"/>
  <c r="AV34" i="9"/>
  <c r="AU33" i="9"/>
  <c r="AU33" i="8"/>
  <c r="E32" i="9"/>
  <c r="AJ53" i="9"/>
  <c r="AJ60" i="9" s="1"/>
  <c r="AJ98" i="9" s="1"/>
  <c r="AJ23" i="9"/>
  <c r="AJ35" i="9" s="1"/>
  <c r="AA33" i="9"/>
  <c r="AO23" i="9"/>
  <c r="AO53" i="9"/>
  <c r="AO60" i="9" s="1"/>
  <c r="AO98" i="9" s="1"/>
  <c r="U34" i="9"/>
  <c r="AU102" i="9"/>
  <c r="AU60" i="9"/>
  <c r="AU98" i="9" s="1"/>
  <c r="BO44" i="14"/>
  <c r="AN47" i="14"/>
  <c r="G52" i="14"/>
  <c r="G22" i="14"/>
  <c r="M26" i="14"/>
  <c r="AD47" i="10"/>
  <c r="AD28" i="10"/>
  <c r="O11" i="10"/>
  <c r="Z34" i="1"/>
  <c r="AT21" i="14"/>
  <c r="AT51" i="14"/>
  <c r="Z20" i="10"/>
  <c r="Z50" i="10"/>
  <c r="BO87" i="10"/>
  <c r="AL53" i="1"/>
  <c r="AL60" i="1" s="1"/>
  <c r="AL98" i="1" s="1"/>
  <c r="AL23" i="1"/>
  <c r="AC58" i="14"/>
  <c r="R47" i="10"/>
  <c r="R27" i="10"/>
  <c r="R33" i="10" s="1"/>
  <c r="AU50" i="10"/>
  <c r="AU20" i="10"/>
  <c r="AU41" i="10"/>
  <c r="AW53" i="1"/>
  <c r="G47" i="14"/>
  <c r="AF102" i="1"/>
  <c r="F83" i="10"/>
  <c r="AH50" i="14"/>
  <c r="T20" i="10"/>
  <c r="AO26" i="10"/>
  <c r="AO47" i="10"/>
  <c r="AQ93" i="14"/>
  <c r="N34" i="1"/>
  <c r="AM27" i="10"/>
  <c r="BO68" i="10"/>
  <c r="AG21" i="10"/>
  <c r="AG33" i="10" s="1"/>
  <c r="AG51" i="10"/>
  <c r="AI52" i="10"/>
  <c r="AT11" i="10"/>
  <c r="AY58" i="10"/>
  <c r="AK29" i="1"/>
  <c r="E41" i="10"/>
  <c r="E20" i="10"/>
  <c r="AA47" i="14"/>
  <c r="AT27" i="10"/>
  <c r="AT33" i="10" s="1"/>
  <c r="AB83" i="10"/>
  <c r="L83" i="14"/>
  <c r="AH22" i="14"/>
  <c r="V11" i="14"/>
  <c r="AG17" i="10"/>
  <c r="BO69" i="10"/>
  <c r="K47" i="14"/>
  <c r="AF93" i="14"/>
  <c r="H32" i="1"/>
  <c r="BO88" i="10"/>
  <c r="AE50" i="14"/>
  <c r="I102" i="1"/>
  <c r="H17" i="10"/>
  <c r="AC89" i="14"/>
  <c r="AB51" i="10"/>
  <c r="AB21" i="10"/>
  <c r="AB33" i="10" s="1"/>
  <c r="AE58" i="14"/>
  <c r="F22" i="10"/>
  <c r="F34" i="10" s="1"/>
  <c r="AM83" i="10"/>
  <c r="AH28" i="14"/>
  <c r="U58" i="10"/>
  <c r="AH32" i="1"/>
  <c r="X11" i="14"/>
  <c r="AE11" i="14"/>
  <c r="I41" i="14"/>
  <c r="I51" i="14"/>
  <c r="AM26" i="14"/>
  <c r="AM47" i="14"/>
  <c r="D32" i="1"/>
  <c r="J11" i="14"/>
  <c r="P26" i="10"/>
  <c r="P47" i="10"/>
  <c r="AP83" i="14"/>
  <c r="AM52" i="10"/>
  <c r="AM22" i="10"/>
  <c r="AM34" i="10" s="1"/>
  <c r="AK20" i="10"/>
  <c r="AQ83" i="10"/>
  <c r="AF50" i="14"/>
  <c r="AI29" i="1"/>
  <c r="AU28" i="10"/>
  <c r="BO95" i="14"/>
  <c r="BO96" i="14" s="1"/>
  <c r="X52" i="14"/>
  <c r="X22" i="14"/>
  <c r="X34" i="14" s="1"/>
  <c r="AN23" i="1"/>
  <c r="AN53" i="1"/>
  <c r="AN60" i="1" s="1"/>
  <c r="AN98" i="1" s="1"/>
  <c r="D21" i="10"/>
  <c r="AQ32" i="1"/>
  <c r="AA20" i="10"/>
  <c r="AA50" i="10"/>
  <c r="AB11" i="10"/>
  <c r="J21" i="10"/>
  <c r="J51" i="10"/>
  <c r="AQ17" i="14"/>
  <c r="T96" i="10"/>
  <c r="AX93" i="14"/>
  <c r="AP11" i="14"/>
  <c r="AP17" i="14"/>
  <c r="AG53" i="1"/>
  <c r="AG60" i="1" s="1"/>
  <c r="AG98" i="1" s="1"/>
  <c r="AG23" i="1"/>
  <c r="O89" i="14"/>
  <c r="AS17" i="10"/>
  <c r="AS29" i="10" s="1"/>
  <c r="AI21" i="14"/>
  <c r="AI33" i="14" s="1"/>
  <c r="S20" i="10"/>
  <c r="S32" i="10" s="1"/>
  <c r="S50" i="10"/>
  <c r="AS34" i="1"/>
  <c r="P28" i="14"/>
  <c r="AP33" i="1"/>
  <c r="AD32" i="1"/>
  <c r="AR89" i="10"/>
  <c r="L102" i="1"/>
  <c r="AV22" i="14"/>
  <c r="AV34" i="14" s="1"/>
  <c r="AU33" i="1"/>
  <c r="N93" i="14"/>
  <c r="O102" i="8"/>
  <c r="AY29" i="8"/>
  <c r="AX33" i="1"/>
  <c r="AS47" i="14"/>
  <c r="AS26" i="14"/>
  <c r="V93" i="14"/>
  <c r="AS58" i="10"/>
  <c r="R23" i="8"/>
  <c r="AH32" i="8"/>
  <c r="X17" i="10"/>
  <c r="R11" i="14"/>
  <c r="E51" i="14"/>
  <c r="BO71" i="10"/>
  <c r="AA33" i="1"/>
  <c r="L27" i="14"/>
  <c r="AI89" i="10"/>
  <c r="K53" i="8"/>
  <c r="K60" i="8" s="1"/>
  <c r="K98" i="8" s="1"/>
  <c r="K23" i="8"/>
  <c r="G34" i="9"/>
  <c r="AF53" i="8"/>
  <c r="AF60" i="8" s="1"/>
  <c r="AF98" i="8" s="1"/>
  <c r="M29" i="8"/>
  <c r="AY33" i="8"/>
  <c r="AO102" i="8"/>
  <c r="D32" i="8"/>
  <c r="AM41" i="10"/>
  <c r="F34" i="8"/>
  <c r="AW102" i="8"/>
  <c r="U23" i="8"/>
  <c r="U53" i="8"/>
  <c r="U60" i="8" s="1"/>
  <c r="U98" i="8" s="1"/>
  <c r="AT33" i="8"/>
  <c r="J33" i="9"/>
  <c r="H32" i="9"/>
  <c r="P29" i="9"/>
  <c r="U53" i="9"/>
  <c r="U60" i="9" s="1"/>
  <c r="U98" i="9" s="1"/>
  <c r="Q53" i="9"/>
  <c r="Q60" i="9" s="1"/>
  <c r="Q98" i="9" s="1"/>
  <c r="Q29" i="9"/>
  <c r="G32" i="9"/>
  <c r="R23" i="9"/>
  <c r="R53" i="9"/>
  <c r="R60" i="9" s="1"/>
  <c r="R98" i="9" s="1"/>
  <c r="AD53" i="9"/>
  <c r="AD60" i="9" s="1"/>
  <c r="AD98" i="9" s="1"/>
  <c r="Y33" i="9"/>
  <c r="AA23" i="9"/>
  <c r="V53" i="9"/>
  <c r="V60" i="9" s="1"/>
  <c r="V98" i="9" s="1"/>
  <c r="AU34" i="9"/>
  <c r="L102" i="9"/>
  <c r="D32" i="9"/>
  <c r="Q34" i="9"/>
  <c r="AP32" i="9"/>
  <c r="J53" i="9"/>
  <c r="J60" i="9" s="1"/>
  <c r="J98" i="9" s="1"/>
  <c r="AN34" i="9"/>
  <c r="V33" i="9"/>
  <c r="X10" i="12"/>
  <c r="BP102" i="14"/>
  <c r="BC53" i="14"/>
  <c r="BC60" i="14" s="1"/>
  <c r="BC98" i="14" s="1"/>
  <c r="BD53" i="14"/>
  <c r="BD60" i="14" s="1"/>
  <c r="BD98" i="14" s="1"/>
  <c r="BK35" i="8"/>
  <c r="AZ53" i="14"/>
  <c r="AZ60" i="14" s="1"/>
  <c r="AZ98" i="14" s="1"/>
  <c r="BE23" i="10"/>
  <c r="BE35" i="10" s="1"/>
  <c r="BD60" i="10"/>
  <c r="BD98" i="10" s="1"/>
  <c r="BA102" i="14"/>
  <c r="BF35" i="10"/>
  <c r="BK98" i="10"/>
  <c r="BD23" i="10"/>
  <c r="BD35" i="10" s="1"/>
  <c r="BA23" i="14"/>
  <c r="BA102" i="10"/>
  <c r="BP102" i="10"/>
  <c r="AZ53" i="10"/>
  <c r="AZ60" i="10" s="1"/>
  <c r="AZ98" i="10" s="1"/>
  <c r="BJ60" i="14"/>
  <c r="BJ98" i="14" s="1"/>
  <c r="BC35" i="14"/>
  <c r="AZ35" i="10"/>
  <c r="AL23" i="10"/>
  <c r="X53" i="14"/>
  <c r="BI35" i="14"/>
  <c r="BD35" i="14"/>
  <c r="BJ35" i="14"/>
  <c r="BH35" i="14"/>
  <c r="BJ35" i="10"/>
  <c r="BB35" i="10"/>
  <c r="BQ93" i="1"/>
  <c r="BS58" i="9"/>
  <c r="X88" i="12"/>
  <c r="X73" i="12"/>
  <c r="X72" i="12"/>
  <c r="X46" i="12"/>
  <c r="X56" i="12"/>
  <c r="X68" i="12"/>
  <c r="X70" i="12"/>
  <c r="X45" i="12"/>
  <c r="X67" i="12"/>
  <c r="X40" i="12"/>
  <c r="X92" i="12"/>
  <c r="X82" i="12"/>
  <c r="X86" i="12"/>
  <c r="X81" i="12"/>
  <c r="X74" i="12"/>
  <c r="X15" i="12"/>
  <c r="X44" i="12"/>
  <c r="X80" i="12"/>
  <c r="X75" i="12"/>
  <c r="X66" i="12"/>
  <c r="X38" i="12"/>
  <c r="X71" i="12"/>
  <c r="X65" i="12"/>
  <c r="X77" i="12"/>
  <c r="X79" i="12"/>
  <c r="X39" i="12"/>
  <c r="X76" i="12"/>
  <c r="X78" i="12"/>
  <c r="X63" i="12"/>
  <c r="X91" i="12"/>
  <c r="X69" i="12"/>
  <c r="BT58" i="9"/>
  <c r="BR58" i="9"/>
  <c r="BT26" i="1"/>
  <c r="BQ58" i="8"/>
  <c r="BS21" i="14"/>
  <c r="BT51" i="1"/>
  <c r="BP27" i="14"/>
  <c r="BP93" i="14"/>
  <c r="BP28" i="14"/>
  <c r="BT58" i="1"/>
  <c r="BR58" i="1"/>
  <c r="BQ89" i="1"/>
  <c r="BQ47" i="1"/>
  <c r="BP93" i="1"/>
  <c r="BT22" i="1"/>
  <c r="BT52" i="1"/>
  <c r="BP58" i="14"/>
  <c r="BP41" i="14"/>
  <c r="BP50" i="14"/>
  <c r="BP20" i="14"/>
  <c r="BP51" i="14"/>
  <c r="BP21" i="14"/>
  <c r="BP52" i="14"/>
  <c r="BP22" i="14"/>
  <c r="BP47" i="14"/>
  <c r="BP26" i="14"/>
  <c r="BP17" i="14"/>
  <c r="BP83" i="14"/>
  <c r="BP89" i="14"/>
  <c r="BX17" i="14"/>
  <c r="BT28" i="1"/>
  <c r="BT20" i="1"/>
  <c r="BS26" i="1"/>
  <c r="BS28" i="1"/>
  <c r="BS22" i="1"/>
  <c r="BS27" i="1"/>
  <c r="BS21" i="1"/>
  <c r="BS20" i="1"/>
  <c r="BR28" i="1"/>
  <c r="BQ27" i="1"/>
  <c r="BP28" i="1"/>
  <c r="BP20" i="1"/>
  <c r="BP27" i="1"/>
  <c r="BP26" i="1"/>
  <c r="BP22" i="1"/>
  <c r="BP21" i="1"/>
  <c r="BT21" i="1"/>
  <c r="BR27" i="1"/>
  <c r="BR21" i="1"/>
  <c r="BQ27" i="8"/>
  <c r="BR22" i="1"/>
  <c r="BQ20" i="1"/>
  <c r="BQ26" i="1"/>
  <c r="BQ28" i="1"/>
  <c r="BQ21" i="1"/>
  <c r="BP96" i="10"/>
  <c r="BR96" i="10"/>
  <c r="BQ28" i="8"/>
  <c r="BT27" i="9"/>
  <c r="BS93" i="9"/>
  <c r="BR28" i="9"/>
  <c r="BR27" i="9"/>
  <c r="BQ93" i="8"/>
  <c r="BP27" i="9"/>
  <c r="BY17" i="8"/>
  <c r="BT28" i="9"/>
  <c r="BP93" i="10"/>
  <c r="BQ28" i="9"/>
  <c r="BP89" i="9"/>
  <c r="BT27" i="1"/>
  <c r="BS28" i="9"/>
  <c r="BS28" i="8"/>
  <c r="BQ89" i="9"/>
  <c r="BS17" i="9"/>
  <c r="BP28" i="9"/>
  <c r="BS58" i="8"/>
  <c r="BX17" i="9"/>
  <c r="BP27" i="10"/>
  <c r="BP28" i="10"/>
  <c r="BP58" i="10"/>
  <c r="BP41" i="10"/>
  <c r="BP20" i="10"/>
  <c r="BP50" i="10"/>
  <c r="BP21" i="10"/>
  <c r="BP51" i="10"/>
  <c r="BP22" i="10"/>
  <c r="BP52" i="10"/>
  <c r="BP26" i="10"/>
  <c r="BP47" i="10"/>
  <c r="BP17" i="10"/>
  <c r="BP83" i="10"/>
  <c r="BP89" i="10"/>
  <c r="BX17" i="10"/>
  <c r="BT89" i="9"/>
  <c r="BR93" i="9"/>
  <c r="BS89" i="9"/>
  <c r="BR21" i="9"/>
  <c r="BR51" i="9"/>
  <c r="BR52" i="9"/>
  <c r="BR22" i="9"/>
  <c r="BR47" i="9"/>
  <c r="BR26" i="9"/>
  <c r="BR20" i="9"/>
  <c r="BR41" i="9"/>
  <c r="BR50" i="9"/>
  <c r="BP52" i="9"/>
  <c r="BP22" i="9"/>
  <c r="BP47" i="9"/>
  <c r="BP26" i="9"/>
  <c r="BP20" i="9"/>
  <c r="BP41" i="9"/>
  <c r="BP50" i="9"/>
  <c r="BP21" i="9"/>
  <c r="BP51" i="9"/>
  <c r="BS52" i="9"/>
  <c r="BS22" i="9"/>
  <c r="BS47" i="9"/>
  <c r="BS26" i="9"/>
  <c r="BS20" i="9"/>
  <c r="BS41" i="9"/>
  <c r="BS50" i="9"/>
  <c r="BS21" i="9"/>
  <c r="BS51" i="9"/>
  <c r="BQ52" i="9"/>
  <c r="BQ22" i="9"/>
  <c r="BQ47" i="9"/>
  <c r="BQ26" i="9"/>
  <c r="BQ21" i="9"/>
  <c r="BQ51" i="9"/>
  <c r="BQ20" i="9"/>
  <c r="BQ41" i="9"/>
  <c r="BQ50" i="9"/>
  <c r="BT20" i="9"/>
  <c r="BT41" i="9"/>
  <c r="BT50" i="9"/>
  <c r="BT52" i="9"/>
  <c r="BT22" i="9"/>
  <c r="BT47" i="9"/>
  <c r="BT26" i="9"/>
  <c r="BT21" i="9"/>
  <c r="BT51" i="9"/>
  <c r="BP17" i="9"/>
  <c r="BP58" i="9"/>
  <c r="BQ93" i="9"/>
  <c r="BQ58" i="9"/>
  <c r="BQ83" i="9"/>
  <c r="BS27" i="9"/>
  <c r="BQ17" i="9"/>
  <c r="BR83" i="9"/>
  <c r="BP83" i="9"/>
  <c r="BT83" i="9"/>
  <c r="BS83" i="9"/>
  <c r="BT93" i="9"/>
  <c r="CB17" i="9"/>
  <c r="BR17" i="9"/>
  <c r="BR89" i="9"/>
  <c r="BT17" i="9"/>
  <c r="BZ17" i="9"/>
  <c r="BP93" i="9"/>
  <c r="CA17" i="9"/>
  <c r="BY17" i="9"/>
  <c r="BQ27" i="9"/>
  <c r="BS27" i="8"/>
  <c r="BR28" i="8"/>
  <c r="BT93" i="8"/>
  <c r="BQ41" i="8"/>
  <c r="BQ50" i="8"/>
  <c r="BQ20" i="8"/>
  <c r="BQ21" i="8"/>
  <c r="BQ52" i="8"/>
  <c r="BQ22" i="8"/>
  <c r="BQ26" i="8"/>
  <c r="BT41" i="8"/>
  <c r="BT50" i="8"/>
  <c r="BT20" i="8"/>
  <c r="BT51" i="8"/>
  <c r="BT21" i="8"/>
  <c r="BT52" i="8"/>
  <c r="BT22" i="8"/>
  <c r="BT47" i="8"/>
  <c r="BT26" i="8"/>
  <c r="BS41" i="8"/>
  <c r="BS50" i="8"/>
  <c r="BS20" i="8"/>
  <c r="BS51" i="8"/>
  <c r="BS21" i="8"/>
  <c r="BS52" i="8"/>
  <c r="BS22" i="8"/>
  <c r="BS47" i="8"/>
  <c r="BS26" i="8"/>
  <c r="BP41" i="8"/>
  <c r="BP50" i="8"/>
  <c r="BP20" i="8"/>
  <c r="BP51" i="8"/>
  <c r="BP21" i="8"/>
  <c r="BP52" i="8"/>
  <c r="BP22" i="8"/>
  <c r="BP47" i="8"/>
  <c r="BP26" i="8"/>
  <c r="BR41" i="8"/>
  <c r="BR50" i="8"/>
  <c r="BR20" i="8"/>
  <c r="BR51" i="8"/>
  <c r="BR21" i="8"/>
  <c r="BR52" i="8"/>
  <c r="BR22" i="8"/>
  <c r="BR47" i="8"/>
  <c r="BR26" i="8"/>
  <c r="BQ89" i="8"/>
  <c r="BS17" i="8"/>
  <c r="BS89" i="8"/>
  <c r="BP17" i="8"/>
  <c r="BT89" i="8"/>
  <c r="BT58" i="8"/>
  <c r="BP93" i="8"/>
  <c r="BT17" i="8"/>
  <c r="BP89" i="8"/>
  <c r="BX17" i="8"/>
  <c r="BS83" i="8"/>
  <c r="BR17" i="8"/>
  <c r="BR58" i="8"/>
  <c r="BQ17" i="8"/>
  <c r="BT27" i="8"/>
  <c r="BP83" i="8"/>
  <c r="BR83" i="8"/>
  <c r="BT28" i="8"/>
  <c r="BS93" i="8"/>
  <c r="BZ17" i="8"/>
  <c r="CB17" i="8"/>
  <c r="CA17" i="8"/>
  <c r="BP28" i="8"/>
  <c r="BP58" i="8"/>
  <c r="BR89" i="8"/>
  <c r="BT83" i="8"/>
  <c r="BP27" i="8"/>
  <c r="BR93" i="8"/>
  <c r="BX17" i="1"/>
  <c r="BQ52" i="1"/>
  <c r="CB17" i="1"/>
  <c r="BY17" i="1"/>
  <c r="CA17" i="1"/>
  <c r="BR93" i="1"/>
  <c r="BR47" i="1"/>
  <c r="BR52" i="1"/>
  <c r="BP52" i="1"/>
  <c r="BT89" i="1"/>
  <c r="BS93" i="1"/>
  <c r="BQ83" i="1"/>
  <c r="BP83" i="1"/>
  <c r="BT17" i="1"/>
  <c r="BT93" i="1"/>
  <c r="BS89" i="1"/>
  <c r="BR89" i="1"/>
  <c r="BP89" i="1"/>
  <c r="BP58" i="1"/>
  <c r="BQ58" i="1"/>
  <c r="BT50" i="1"/>
  <c r="BT41" i="1"/>
  <c r="BS50" i="1"/>
  <c r="BS41" i="1"/>
  <c r="BR50" i="1"/>
  <c r="BQ50" i="1"/>
  <c r="BQ41" i="1"/>
  <c r="BP50" i="1"/>
  <c r="BP41" i="1"/>
  <c r="BT47" i="1"/>
  <c r="BS51" i="1"/>
  <c r="BS47" i="1"/>
  <c r="BR51" i="1"/>
  <c r="BP47" i="1"/>
  <c r="BS52" i="1"/>
  <c r="BQ51" i="1"/>
  <c r="BS58" i="1"/>
  <c r="BP51" i="1"/>
  <c r="BP17" i="1"/>
  <c r="BR17" i="1"/>
  <c r="H72" i="12" a="1"/>
  <c r="I67" i="12" a="1"/>
  <c r="F92" i="12" a="1"/>
  <c r="W40" i="12" a="1"/>
  <c r="Z73" i="12" a="1"/>
  <c r="AB63" i="12" a="1"/>
  <c r="AA95" i="12" a="1"/>
  <c r="H39" i="12" a="1"/>
  <c r="D82" i="12" a="1"/>
  <c r="G76" i="12" a="1"/>
  <c r="Y64" i="12" a="1"/>
  <c r="W80" i="12" a="1"/>
  <c r="W95" i="12" a="1"/>
  <c r="H71" i="12" a="1"/>
  <c r="I69" i="12" a="1"/>
  <c r="F75" i="12" a="1"/>
  <c r="D10" i="12" a="1"/>
  <c r="Z9" i="12" a="1"/>
  <c r="Z82" i="12" a="1"/>
  <c r="D46" i="12" a="1"/>
  <c r="H86" i="12" a="1"/>
  <c r="D72" i="12" a="1"/>
  <c r="I57" i="12" a="1"/>
  <c r="X26" i="12" a="1"/>
  <c r="Y56" i="12" a="1"/>
  <c r="Y14" i="12" a="1"/>
  <c r="W66" i="12" a="1"/>
  <c r="I71" i="12" a="1"/>
  <c r="G74" i="12" a="1"/>
  <c r="H40" i="12" a="1"/>
  <c r="AB15" i="12" a="1"/>
  <c r="AB10" i="12" a="1"/>
  <c r="D40" i="12" a="1"/>
  <c r="I8" i="12" a="1"/>
  <c r="F57" i="12" a="1"/>
  <c r="D8" i="12" a="1"/>
  <c r="Y82" i="12" a="1"/>
  <c r="AA14" i="12" a="1"/>
  <c r="Z40" i="12" a="1"/>
  <c r="I76" i="12" a="1"/>
  <c r="G15" i="12" a="1"/>
  <c r="F79" i="12" a="1"/>
  <c r="AB86" i="12" a="1"/>
  <c r="W86" i="12" a="1"/>
  <c r="H70" i="12" a="1"/>
  <c r="I39" i="12" a="1"/>
  <c r="F81" i="12" a="1"/>
  <c r="W74" i="12" a="1"/>
  <c r="X9" i="12" a="1"/>
  <c r="Z71" i="12" a="1"/>
  <c r="H68" i="12" a="1"/>
  <c r="F70" i="12" a="1"/>
  <c r="F64" i="12" a="1"/>
  <c r="W10" i="12" a="1"/>
  <c r="AA10" i="12" a="1"/>
  <c r="AB38" i="12" a="1"/>
  <c r="AA88" i="12" a="1"/>
  <c r="H76" i="12" a="1"/>
  <c r="H16" i="12" a="1"/>
  <c r="D66" i="12" a="1"/>
  <c r="AB70" i="12" a="1"/>
  <c r="AA70" i="12" a="1"/>
  <c r="AA8" i="12" a="1"/>
  <c r="W82" i="12" a="1"/>
  <c r="F82" i="12" a="1"/>
  <c r="I66" i="12" a="1"/>
  <c r="H82" i="12" a="1"/>
  <c r="W67" i="12" a="1"/>
  <c r="W79" i="12" a="1"/>
  <c r="AA82" i="12" a="1"/>
  <c r="Y66" i="12" a="1"/>
  <c r="D65" i="12" a="1"/>
  <c r="G79" i="12" a="1"/>
  <c r="I81" i="12" a="1"/>
  <c r="Y75" i="12" a="1"/>
  <c r="W65" i="12" a="1"/>
  <c r="G80" i="12" a="1"/>
  <c r="G39" i="12" a="1"/>
  <c r="H80" i="12" a="1"/>
  <c r="D80" i="12" a="1"/>
  <c r="Y44" i="12" a="1"/>
  <c r="AB76" i="12" a="1"/>
  <c r="AB78" i="12" a="1"/>
  <c r="I16" i="12" a="1"/>
  <c r="D88" i="12" a="1"/>
  <c r="G72" i="12" a="1"/>
  <c r="Y67" i="12" a="1"/>
  <c r="Z39" i="12" a="1"/>
  <c r="G78" i="12" a="1"/>
  <c r="F40" i="12" a="1"/>
  <c r="D68" i="12" a="1"/>
  <c r="AB69" i="12" a="1"/>
  <c r="X21" i="12" a="1"/>
  <c r="W9" i="12" a="1"/>
  <c r="AA69" i="12" a="1"/>
  <c r="I45" i="12" a="1"/>
  <c r="D16" i="12" a="1"/>
  <c r="I10" i="12" a="1"/>
  <c r="W38" i="12" a="1"/>
  <c r="Z8" i="12" a="1"/>
  <c r="AB77" i="12" a="1"/>
  <c r="W75" i="12" a="1"/>
  <c r="I40" i="12" a="1"/>
  <c r="D86" i="12" a="1"/>
  <c r="I91" i="12" a="1"/>
  <c r="W71" i="12" a="1"/>
  <c r="AB65" i="12" a="1"/>
  <c r="AA46" i="12" a="1"/>
  <c r="Z88" i="12" a="1"/>
  <c r="G67" i="12" a="1"/>
  <c r="H56" i="12" a="1"/>
  <c r="F69" i="12" a="1"/>
  <c r="Y71" i="12" a="1"/>
  <c r="W91" i="12" a="1"/>
  <c r="AA66" i="12" a="1"/>
  <c r="G45" i="12" a="1"/>
  <c r="D38" i="12" a="1"/>
  <c r="F71" i="12" a="1"/>
  <c r="H81" i="12" a="1"/>
  <c r="AB68" i="12" a="1"/>
  <c r="AA38" i="12" a="1"/>
  <c r="G77" i="12" a="1"/>
  <c r="I74" i="12" a="1"/>
  <c r="G9" i="12" a="1"/>
  <c r="AA39" i="12" a="1"/>
  <c r="D95" i="12" a="1"/>
  <c r="G10" i="12" a="1"/>
  <c r="F66" i="12" a="1"/>
  <c r="F68" i="12" a="1"/>
  <c r="AA86" i="12" a="1"/>
  <c r="D78" i="12" a="1"/>
  <c r="G46" i="12" a="1"/>
  <c r="Z72" i="12" a="1"/>
  <c r="D77" i="12" a="1"/>
  <c r="I77" i="12" a="1"/>
  <c r="F39" i="12" a="1"/>
  <c r="AB66" i="12" a="1"/>
  <c r="X8" i="12" a="1"/>
  <c r="W87" i="12" a="1"/>
  <c r="X64" i="12" a="1"/>
  <c r="I56" i="12" a="1"/>
  <c r="D70" i="12" a="1"/>
  <c r="G75" i="12" a="1"/>
  <c r="W77" i="12" a="1"/>
  <c r="Y8" i="12" a="1"/>
  <c r="AB82" i="12" a="1"/>
  <c r="X20" i="12" a="1"/>
  <c r="I95" i="12" a="1"/>
  <c r="D64" i="12" a="1"/>
  <c r="I86" i="12" a="1"/>
  <c r="Z56" i="12" a="1"/>
  <c r="Y95" i="12" a="1"/>
  <c r="AA92" i="12" a="1"/>
  <c r="I65" i="12" a="1"/>
  <c r="H38" i="12" a="1"/>
  <c r="I87" i="12" a="1"/>
  <c r="Y46" i="12" a="1"/>
  <c r="F72" i="12" a="1"/>
  <c r="H8" i="12" a="1"/>
  <c r="F38" i="12" a="1"/>
  <c r="D75" i="12" a="1"/>
  <c r="Z66" i="12" a="1"/>
  <c r="Y76" i="12" a="1"/>
  <c r="X95" i="12" a="1"/>
  <c r="Y79" i="12" a="1"/>
  <c r="G69" i="12" a="1"/>
  <c r="F46" i="12" a="1"/>
  <c r="H79" i="12" a="1"/>
  <c r="Z86" i="12" a="1"/>
  <c r="W68" i="12" a="1"/>
  <c r="F15" i="12" a="1"/>
  <c r="F88" i="12" a="1"/>
  <c r="I46" i="12" a="1"/>
  <c r="H77" i="12" a="1"/>
  <c r="Y16" i="12" a="1"/>
  <c r="AB16" i="12" a="1"/>
  <c r="G92" i="12" a="1"/>
  <c r="AA91" i="12" a="1"/>
  <c r="X57" i="12" a="1"/>
  <c r="G16" i="12" a="1"/>
  <c r="I14" i="12" a="1"/>
  <c r="G91" i="12" a="1"/>
  <c r="W69" i="12" a="1"/>
  <c r="Z79" i="12" a="1"/>
  <c r="X87" i="12" a="1"/>
  <c r="I79" i="12" a="1"/>
  <c r="D67" i="12" a="1"/>
  <c r="F95" i="12" a="1"/>
  <c r="Y74" i="12" a="1"/>
  <c r="W44" i="12" a="1"/>
  <c r="AB87" i="12" a="1"/>
  <c r="F16" i="12" a="1"/>
  <c r="Y10" i="12" a="1"/>
  <c r="G82" i="12" a="1"/>
  <c r="G70" i="12" a="1"/>
  <c r="H87" i="12" a="1"/>
  <c r="AA72" i="12" a="1"/>
  <c r="AB9" i="12" a="1"/>
  <c r="AA63" i="12" a="1"/>
  <c r="X14" i="12" a="1"/>
  <c r="I78" i="12" a="1"/>
  <c r="D39" i="12" a="1"/>
  <c r="I88" i="12" a="1"/>
  <c r="Z64" i="12" a="1"/>
  <c r="W72" i="12" a="1"/>
  <c r="H75" i="12" a="1"/>
  <c r="D14" i="12" a="1"/>
  <c r="F56" i="12" a="1"/>
  <c r="D87" i="12" a="1"/>
  <c r="Z80" i="12" a="1"/>
  <c r="Z74" i="12" a="1"/>
  <c r="Y78" i="12" a="1"/>
  <c r="H67" i="12" a="1"/>
  <c r="F9" i="12" a="1"/>
  <c r="H64" i="12" a="1"/>
  <c r="W56" i="12" a="1"/>
  <c r="Z45" i="12" a="1"/>
  <c r="G8" i="12" a="1"/>
  <c r="F74" i="12" a="1"/>
  <c r="I9" i="12" a="1"/>
  <c r="W14" i="12" a="1"/>
  <c r="I15" i="12" a="1"/>
  <c r="H14" i="12" a="1"/>
  <c r="D56" i="12" a="1"/>
  <c r="I64" i="12" a="1"/>
  <c r="AA73" i="12" a="1"/>
  <c r="AB45" i="12" a="1"/>
  <c r="H88" i="12" a="1"/>
  <c r="H44" i="12" a="1"/>
  <c r="I63" i="12" a="1"/>
  <c r="D69" i="12" a="1"/>
  <c r="Z87" i="12" a="1"/>
  <c r="AA74" i="12" a="1"/>
  <c r="F63" i="12" a="1"/>
  <c r="X16" i="12" a="1"/>
  <c r="G86" i="12" a="1"/>
  <c r="F67" i="12" a="1"/>
  <c r="G71" i="12" a="1"/>
  <c r="Z69" i="12" a="1"/>
  <c r="AB40" i="12" a="1"/>
  <c r="D92" i="12" a="1"/>
  <c r="I92" i="12" a="1"/>
  <c r="G57" i="12" a="1"/>
  <c r="D81" i="12" a="1"/>
  <c r="F87" i="12" a="1"/>
  <c r="W78" i="12" a="1"/>
  <c r="AB74" i="12" a="1"/>
  <c r="H69" i="12" a="1"/>
  <c r="I72" i="12" a="1"/>
  <c r="G88" i="12" a="1"/>
  <c r="H57" i="12" a="1"/>
  <c r="X27" i="12" a="1"/>
  <c r="Y40" i="12" a="1"/>
  <c r="AB14" i="12" a="1"/>
  <c r="G14" i="12" a="1"/>
  <c r="I75" i="12" a="1"/>
  <c r="H92" i="12" a="1"/>
  <c r="F80" i="12" a="1"/>
  <c r="AB72" i="12" a="1"/>
  <c r="Z46" i="12" a="1"/>
  <c r="G44" i="12" a="1"/>
  <c r="D44" i="12" a="1"/>
  <c r="D73" i="12" a="1"/>
  <c r="AB79" i="12" a="1"/>
  <c r="X28" i="12" a="1"/>
  <c r="AA16" i="12" a="1"/>
  <c r="I82" i="12" a="1"/>
  <c r="G95" i="12" a="1"/>
  <c r="F86" i="12" a="1"/>
  <c r="G38" i="12" a="1"/>
  <c r="G66" i="12" a="1"/>
  <c r="Y72" i="12" a="1"/>
  <c r="AA15" i="12" a="1"/>
  <c r="Z92" i="12" a="1"/>
  <c r="G87" i="12" a="1"/>
  <c r="F77" i="12" a="1"/>
  <c r="H63" i="12" a="1"/>
  <c r="D71" i="12" a="1"/>
  <c r="W76" i="12" a="1"/>
  <c r="Z44" i="12" a="1"/>
  <c r="AB8" i="12" a="1"/>
  <c r="G40" i="12" a="1"/>
  <c r="F91" i="12" a="1"/>
  <c r="F10" i="12" a="1"/>
  <c r="F65" i="12" a="1"/>
  <c r="G63" i="12" a="1"/>
  <c r="W88" i="12" a="1"/>
  <c r="W16" i="12" a="1"/>
  <c r="G65" i="12" a="1"/>
  <c r="H15" i="12" a="1"/>
  <c r="I70" i="12" a="1"/>
  <c r="F73" i="12" a="1"/>
  <c r="AA9" i="12" a="1"/>
  <c r="AB91" i="12" a="1"/>
  <c r="Y69" i="12" a="1"/>
  <c r="G81" i="12" a="1"/>
  <c r="F14" i="12" a="1"/>
  <c r="F44" i="12" a="1"/>
  <c r="G56" i="12" a="1"/>
  <c r="E102" i="12" a="1"/>
  <c r="AA67" i="12" a="1"/>
  <c r="F76" i="12" a="1"/>
  <c r="I73" i="12" a="1"/>
  <c r="D45" i="12" a="1"/>
  <c r="H45" i="12" a="1"/>
  <c r="F45" i="12" a="1"/>
  <c r="Y92" i="12" a="1"/>
  <c r="H95" i="12" a="1"/>
  <c r="F78" i="12" a="1"/>
  <c r="H65" i="12" a="1"/>
  <c r="AB80" i="12" a="1"/>
  <c r="W81" i="12" a="1"/>
  <c r="AA87" i="12" a="1"/>
  <c r="W64" i="12" a="1"/>
  <c r="H91" i="12" a="1"/>
  <c r="H10" i="12" a="1"/>
  <c r="H78" i="12" a="1"/>
  <c r="AA64" i="12" a="1"/>
  <c r="AA56" i="12" a="1"/>
  <c r="Z16" i="12" a="1"/>
  <c r="I68" i="12" a="1"/>
  <c r="D9" i="12" a="1"/>
  <c r="G73" i="12" a="1"/>
  <c r="D91" i="12" a="1"/>
  <c r="Z75" i="12" a="1"/>
  <c r="Z14" i="12" a="1"/>
  <c r="AB46" i="12" a="1"/>
  <c r="H66" i="12" a="1"/>
  <c r="D15" i="12" a="1"/>
  <c r="I44" i="12" a="1"/>
  <c r="G64" i="12" a="1"/>
  <c r="Y65" i="12" a="1"/>
  <c r="Y91" i="12" a="1"/>
  <c r="D63" i="12" a="1"/>
  <c r="I38" i="12" a="1"/>
  <c r="D57" i="12" a="1"/>
  <c r="D76" i="12" a="1"/>
  <c r="Z95" i="12" a="1"/>
  <c r="AB81" i="12" a="1"/>
  <c r="AA57" i="12" a="1"/>
  <c r="Y77" i="12" a="1"/>
  <c r="H73" i="12" a="1"/>
  <c r="H46" i="12" a="1"/>
  <c r="D79" i="12" a="1"/>
  <c r="AB56" i="12" a="1"/>
  <c r="X22" i="12" a="1"/>
  <c r="D74" i="12" a="1"/>
  <c r="I80" i="12" a="1"/>
  <c r="H9" i="12" a="1"/>
  <c r="AB39" i="12" a="1"/>
  <c r="W70" i="12" a="1"/>
  <c r="Y73" i="12" a="1"/>
  <c r="AA45" i="12" a="1"/>
  <c r="G68" i="12" a="1"/>
  <c r="H74" i="12" a="1"/>
  <c r="F8" i="12" a="1"/>
  <c r="AA75" i="12" a="1"/>
  <c r="Z68" i="12" a="1"/>
  <c r="Z10" i="12" a="1"/>
  <c r="X102" i="12" a="1"/>
  <c r="AG83" i="10" l="1"/>
  <c r="X60" i="1"/>
  <c r="X98" i="1" s="1"/>
  <c r="BR69" i="14"/>
  <c r="BQ81" i="10"/>
  <c r="D83" i="14"/>
  <c r="AJ83" i="14"/>
  <c r="BT72" i="14"/>
  <c r="AW83" i="10"/>
  <c r="V83" i="14"/>
  <c r="BT92" i="14"/>
  <c r="BR41" i="1"/>
  <c r="BR76" i="10"/>
  <c r="CB15" i="14"/>
  <c r="AY60" i="1"/>
  <c r="AY98" i="1" s="1"/>
  <c r="AV93" i="14"/>
  <c r="BR73" i="14"/>
  <c r="BR83" i="14" s="1"/>
  <c r="AT34" i="8"/>
  <c r="S33" i="8"/>
  <c r="AG23" i="9"/>
  <c r="AB23" i="10"/>
  <c r="Z83" i="10"/>
  <c r="Z83" i="14"/>
  <c r="U83" i="14"/>
  <c r="S83" i="10"/>
  <c r="X83" i="14"/>
  <c r="R60" i="1"/>
  <c r="R98" i="1" s="1"/>
  <c r="U11" i="14"/>
  <c r="BS40" i="14"/>
  <c r="V83" i="10"/>
  <c r="X83" i="10"/>
  <c r="AG89" i="14"/>
  <c r="BT77" i="14"/>
  <c r="AM89" i="10"/>
  <c r="BO57" i="10"/>
  <c r="BQ17" i="1"/>
  <c r="BT74" i="14"/>
  <c r="AX34" i="1"/>
  <c r="BT73" i="10"/>
  <c r="AX89" i="14"/>
  <c r="AX98" i="14" s="1"/>
  <c r="H83" i="14"/>
  <c r="Y83" i="14"/>
  <c r="BS83" i="1"/>
  <c r="O83" i="14"/>
  <c r="AI83" i="10"/>
  <c r="AX83" i="14"/>
  <c r="AI20" i="10"/>
  <c r="AI32" i="10" s="1"/>
  <c r="AL102" i="10"/>
  <c r="BR83" i="1"/>
  <c r="AJ11" i="14"/>
  <c r="BR78" i="10"/>
  <c r="J17" i="10"/>
  <c r="J23" i="10" s="1"/>
  <c r="BT63" i="14"/>
  <c r="K83" i="10"/>
  <c r="AA58" i="10"/>
  <c r="J53" i="1"/>
  <c r="J60" i="1" s="1"/>
  <c r="J98" i="1" s="1"/>
  <c r="BS65" i="10"/>
  <c r="AD51" i="14"/>
  <c r="AK33" i="10"/>
  <c r="BR81" i="10"/>
  <c r="R83" i="10"/>
  <c r="BS68" i="10"/>
  <c r="AU93" i="14"/>
  <c r="Z26" i="14"/>
  <c r="Z32" i="14" s="1"/>
  <c r="AY83" i="14"/>
  <c r="AY23" i="1"/>
  <c r="BT91" i="14"/>
  <c r="BS102" i="1"/>
  <c r="G52" i="10"/>
  <c r="AC83" i="10"/>
  <c r="S17" i="14"/>
  <c r="AX11" i="14"/>
  <c r="AX102" i="14" s="1"/>
  <c r="BR77" i="10"/>
  <c r="AH58" i="14"/>
  <c r="U83" i="10"/>
  <c r="BO89" i="1"/>
  <c r="I83" i="14"/>
  <c r="AL52" i="14"/>
  <c r="AA83" i="14"/>
  <c r="T83" i="10"/>
  <c r="BQ22" i="1"/>
  <c r="Q11" i="10"/>
  <c r="AY27" i="14"/>
  <c r="BQ68" i="10"/>
  <c r="BT80" i="14"/>
  <c r="AO11" i="10"/>
  <c r="AR20" i="14"/>
  <c r="AR32" i="14" s="1"/>
  <c r="AP22" i="14"/>
  <c r="AP34" i="14" s="1"/>
  <c r="N83" i="14"/>
  <c r="BS79" i="10"/>
  <c r="AW11" i="14"/>
  <c r="BS73" i="14"/>
  <c r="AR58" i="14"/>
  <c r="AJ32" i="1"/>
  <c r="E34" i="14"/>
  <c r="AL35" i="1"/>
  <c r="I53" i="1"/>
  <c r="I60" i="1" s="1"/>
  <c r="I98" i="1" s="1"/>
  <c r="E41" i="14"/>
  <c r="BQ21" i="14"/>
  <c r="BT38" i="14"/>
  <c r="AF53" i="14"/>
  <c r="AL28" i="10"/>
  <c r="AS35" i="8"/>
  <c r="N34" i="10"/>
  <c r="Y23" i="14"/>
  <c r="E20" i="14"/>
  <c r="E32" i="14" s="1"/>
  <c r="BT14" i="14"/>
  <c r="W35" i="9"/>
  <c r="AO23" i="8"/>
  <c r="AO35" i="8" s="1"/>
  <c r="AL34" i="10"/>
  <c r="AK47" i="14"/>
  <c r="AP98" i="1"/>
  <c r="F83" i="14"/>
  <c r="AW26" i="14"/>
  <c r="N17" i="14"/>
  <c r="L35" i="8"/>
  <c r="F32" i="14"/>
  <c r="AV102" i="14"/>
  <c r="AI29" i="14"/>
  <c r="AT32" i="14"/>
  <c r="AU17" i="14"/>
  <c r="AU26" i="10"/>
  <c r="E34" i="10"/>
  <c r="AL50" i="14"/>
  <c r="AV29" i="14"/>
  <c r="BT66" i="14"/>
  <c r="BR65" i="10"/>
  <c r="U35" i="1"/>
  <c r="G26" i="14"/>
  <c r="BS21" i="10"/>
  <c r="Z93" i="10"/>
  <c r="V102" i="1"/>
  <c r="F27" i="10"/>
  <c r="O50" i="14"/>
  <c r="N23" i="9"/>
  <c r="N35" i="9" s="1"/>
  <c r="P35" i="1"/>
  <c r="T53" i="1"/>
  <c r="T60" i="1" s="1"/>
  <c r="T98" i="1" s="1"/>
  <c r="BZ17" i="1"/>
  <c r="BQ47" i="8"/>
  <c r="P29" i="14"/>
  <c r="K21" i="10"/>
  <c r="Z34" i="10"/>
  <c r="Q17" i="14"/>
  <c r="Q23" i="14" s="1"/>
  <c r="AB27" i="14"/>
  <c r="AB33" i="14" s="1"/>
  <c r="AW32" i="10"/>
  <c r="U17" i="10"/>
  <c r="U29" i="10" s="1"/>
  <c r="R17" i="10"/>
  <c r="R23" i="10" s="1"/>
  <c r="AH58" i="10"/>
  <c r="M41" i="14"/>
  <c r="M28" i="14"/>
  <c r="AA22" i="14"/>
  <c r="H35" i="8"/>
  <c r="H26" i="14"/>
  <c r="X47" i="10"/>
  <c r="AP51" i="14"/>
  <c r="AV35" i="9"/>
  <c r="BR63" i="10"/>
  <c r="AE102" i="1"/>
  <c r="AD29" i="10"/>
  <c r="P98" i="1"/>
  <c r="AI33" i="10"/>
  <c r="Y102" i="1"/>
  <c r="AR83" i="14"/>
  <c r="J28" i="14"/>
  <c r="AI50" i="10"/>
  <c r="H47" i="14"/>
  <c r="L17" i="10"/>
  <c r="L23" i="10" s="1"/>
  <c r="R58" i="14"/>
  <c r="AY17" i="14"/>
  <c r="R23" i="1"/>
  <c r="G17" i="14"/>
  <c r="G23" i="14" s="1"/>
  <c r="BS40" i="10"/>
  <c r="N17" i="10"/>
  <c r="AK22" i="10"/>
  <c r="P83" i="10"/>
  <c r="AT41" i="10"/>
  <c r="CA14" i="14"/>
  <c r="BS20" i="14" s="1"/>
  <c r="BT15" i="14"/>
  <c r="H50" i="10"/>
  <c r="M35" i="9"/>
  <c r="Y47" i="14"/>
  <c r="P22" i="14"/>
  <c r="AY21" i="14"/>
  <c r="AY33" i="14" s="1"/>
  <c r="AM17" i="10"/>
  <c r="R35" i="9"/>
  <c r="G83" i="14"/>
  <c r="AA26" i="14"/>
  <c r="AA32" i="14" s="1"/>
  <c r="AI47" i="10"/>
  <c r="AI29" i="10" s="1"/>
  <c r="G29" i="14"/>
  <c r="N33" i="14"/>
  <c r="AH33" i="10"/>
  <c r="AW21" i="10"/>
  <c r="AD35" i="9"/>
  <c r="AX22" i="10"/>
  <c r="AX34" i="10" s="1"/>
  <c r="K23" i="1"/>
  <c r="K35" i="1" s="1"/>
  <c r="AY29" i="1"/>
  <c r="AY35" i="1" s="1"/>
  <c r="J27" i="14"/>
  <c r="AF35" i="1"/>
  <c r="U20" i="10"/>
  <c r="AQ50" i="10"/>
  <c r="BR38" i="10"/>
  <c r="AC17" i="10"/>
  <c r="P52" i="14"/>
  <c r="BW15" i="10"/>
  <c r="AT35" i="1"/>
  <c r="AP29" i="10"/>
  <c r="AR23" i="8"/>
  <c r="AD35" i="1"/>
  <c r="AE20" i="10"/>
  <c r="AL22" i="14"/>
  <c r="AL32" i="10"/>
  <c r="AJ34" i="14"/>
  <c r="J29" i="1"/>
  <c r="AX23" i="14"/>
  <c r="AX35" i="14" s="1"/>
  <c r="J26" i="10"/>
  <c r="BR15" i="10"/>
  <c r="AH20" i="14"/>
  <c r="O21" i="10"/>
  <c r="O33" i="10" s="1"/>
  <c r="BO11" i="1"/>
  <c r="AU32" i="14"/>
  <c r="H98" i="1"/>
  <c r="BS74" i="14"/>
  <c r="BS83" i="14" s="1"/>
  <c r="K27" i="10"/>
  <c r="AO83" i="14"/>
  <c r="U28" i="14"/>
  <c r="AU29" i="10"/>
  <c r="BT44" i="10"/>
  <c r="AW102" i="14"/>
  <c r="F89" i="14"/>
  <c r="BT44" i="14"/>
  <c r="BT47" i="14" s="1"/>
  <c r="BS78" i="10"/>
  <c r="J83" i="10"/>
  <c r="AW27" i="14"/>
  <c r="N47" i="14"/>
  <c r="N29" i="14" s="1"/>
  <c r="E17" i="14"/>
  <c r="AA35" i="8"/>
  <c r="AT83" i="14"/>
  <c r="R83" i="14"/>
  <c r="N83" i="10"/>
  <c r="AK93" i="14"/>
  <c r="G11" i="10"/>
  <c r="AQ27" i="14"/>
  <c r="L41" i="14"/>
  <c r="M89" i="14"/>
  <c r="BQ70" i="10"/>
  <c r="G32" i="1"/>
  <c r="BS15" i="14"/>
  <c r="AY11" i="10"/>
  <c r="AM32" i="1"/>
  <c r="BR70" i="10"/>
  <c r="T58" i="14"/>
  <c r="N33" i="8"/>
  <c r="R29" i="8"/>
  <c r="R35" i="8" s="1"/>
  <c r="AL34" i="9"/>
  <c r="AN33" i="9"/>
  <c r="AU11" i="10"/>
  <c r="BT68" i="14"/>
  <c r="AH83" i="10"/>
  <c r="J20" i="10"/>
  <c r="AW34" i="14"/>
  <c r="W17" i="14"/>
  <c r="AN58" i="10"/>
  <c r="AQ20" i="10"/>
  <c r="AU52" i="10"/>
  <c r="AK22" i="14"/>
  <c r="M34" i="14"/>
  <c r="AF23" i="14"/>
  <c r="G20" i="14"/>
  <c r="J47" i="14"/>
  <c r="J53" i="14" s="1"/>
  <c r="J60" i="14" s="1"/>
  <c r="BQ86" i="14"/>
  <c r="R22" i="10"/>
  <c r="P102" i="1"/>
  <c r="BO102" i="1"/>
  <c r="BZ15" i="10"/>
  <c r="AW29" i="1"/>
  <c r="AW35" i="1" s="1"/>
  <c r="I22" i="10"/>
  <c r="I34" i="10" s="1"/>
  <c r="M83" i="14"/>
  <c r="L58" i="14"/>
  <c r="AT34" i="14"/>
  <c r="AA102" i="10"/>
  <c r="W32" i="1"/>
  <c r="AM83" i="14"/>
  <c r="J83" i="14"/>
  <c r="D83" i="10"/>
  <c r="BQ81" i="14"/>
  <c r="BQ83" i="14" s="1"/>
  <c r="J20" i="14"/>
  <c r="AK51" i="10"/>
  <c r="H83" i="10"/>
  <c r="F23" i="1"/>
  <c r="BS27" i="10"/>
  <c r="AP21" i="10"/>
  <c r="Z102" i="10"/>
  <c r="O34" i="10"/>
  <c r="AE26" i="10"/>
  <c r="I28" i="14"/>
  <c r="Y52" i="14"/>
  <c r="BR57" i="10"/>
  <c r="AE83" i="14"/>
  <c r="D33" i="10"/>
  <c r="E50" i="10"/>
  <c r="J50" i="14"/>
  <c r="O35" i="8"/>
  <c r="V32" i="14"/>
  <c r="AM47" i="10"/>
  <c r="W22" i="14"/>
  <c r="AD83" i="10"/>
  <c r="AL35" i="9"/>
  <c r="AN17" i="14"/>
  <c r="BZ17" i="14"/>
  <c r="S20" i="14"/>
  <c r="H26" i="10"/>
  <c r="AP52" i="14"/>
  <c r="Q50" i="14"/>
  <c r="AF41" i="10"/>
  <c r="AC35" i="1"/>
  <c r="D98" i="1"/>
  <c r="BQ16" i="14"/>
  <c r="BQ17" i="14" s="1"/>
  <c r="W34" i="10"/>
  <c r="BT71" i="10"/>
  <c r="BO52" i="1"/>
  <c r="AU23" i="10"/>
  <c r="AX50" i="10"/>
  <c r="X51" i="10"/>
  <c r="L32" i="14"/>
  <c r="AD33" i="10"/>
  <c r="BS27" i="14"/>
  <c r="AX17" i="10"/>
  <c r="AX29" i="1"/>
  <c r="BT95" i="10"/>
  <c r="S26" i="14"/>
  <c r="P41" i="14"/>
  <c r="Q35" i="8"/>
  <c r="AQ47" i="14"/>
  <c r="AQ53" i="14" s="1"/>
  <c r="AQ60" i="14" s="1"/>
  <c r="T17" i="14"/>
  <c r="BW16" i="14"/>
  <c r="BR91" i="10"/>
  <c r="O41" i="10"/>
  <c r="N102" i="14"/>
  <c r="AR41" i="14"/>
  <c r="AR23" i="14" s="1"/>
  <c r="H11" i="14"/>
  <c r="I102" i="14" s="1"/>
  <c r="CA16" i="10"/>
  <c r="BS28" i="10" s="1"/>
  <c r="BS88" i="14"/>
  <c r="R28" i="10"/>
  <c r="BQ69" i="14"/>
  <c r="BT67" i="10"/>
  <c r="AA17" i="14"/>
  <c r="AA29" i="14" s="1"/>
  <c r="AL83" i="14"/>
  <c r="Z33" i="1"/>
  <c r="AS83" i="14"/>
  <c r="BS67" i="14"/>
  <c r="BR79" i="14"/>
  <c r="BO63" i="14"/>
  <c r="BO28" i="1"/>
  <c r="S41" i="10"/>
  <c r="AP93" i="14"/>
  <c r="AO22" i="10"/>
  <c r="AO34" i="10" s="1"/>
  <c r="AA34" i="1"/>
  <c r="U52" i="10"/>
  <c r="D52" i="10"/>
  <c r="T52" i="14"/>
  <c r="F33" i="10"/>
  <c r="BO86" i="14"/>
  <c r="BR67" i="10"/>
  <c r="E26" i="12"/>
  <c r="E50" i="12"/>
  <c r="E89" i="12"/>
  <c r="E21" i="12"/>
  <c r="X14" i="12"/>
  <c r="X16" i="12"/>
  <c r="X17" i="12" s="1"/>
  <c r="X64" i="12"/>
  <c r="X57" i="12"/>
  <c r="X87" i="12"/>
  <c r="X89" i="12" s="1"/>
  <c r="BK35" i="14"/>
  <c r="E47" i="12"/>
  <c r="BA33" i="14"/>
  <c r="BR27" i="14"/>
  <c r="BO27" i="8"/>
  <c r="BO53" i="9"/>
  <c r="E52" i="12"/>
  <c r="BH53" i="14"/>
  <c r="BH60" i="14" s="1"/>
  <c r="BH98" i="14" s="1"/>
  <c r="BB102" i="14"/>
  <c r="BO29" i="1"/>
  <c r="BC23" i="10"/>
  <c r="BG98" i="10"/>
  <c r="BJ35" i="9"/>
  <c r="BQ52" i="14"/>
  <c r="BK23" i="14"/>
  <c r="BC35" i="9"/>
  <c r="E28" i="12"/>
  <c r="E34" i="12" s="1"/>
  <c r="BT11" i="14"/>
  <c r="BO50" i="1"/>
  <c r="BG35" i="10"/>
  <c r="BI35" i="1"/>
  <c r="BE53" i="14"/>
  <c r="BE60" i="14" s="1"/>
  <c r="BE98" i="14" s="1"/>
  <c r="BO83" i="1"/>
  <c r="BR11" i="1"/>
  <c r="H77" i="12"/>
  <c r="F45" i="12"/>
  <c r="H81" i="12"/>
  <c r="F87" i="12"/>
  <c r="R87" i="12" s="1"/>
  <c r="G63" i="12"/>
  <c r="Y74" i="12"/>
  <c r="I64" i="12"/>
  <c r="H71" i="12"/>
  <c r="F68" i="12"/>
  <c r="F80" i="12"/>
  <c r="I81" i="12"/>
  <c r="I88" i="12"/>
  <c r="G71" i="12"/>
  <c r="G75" i="12"/>
  <c r="G91" i="12"/>
  <c r="I82" i="12"/>
  <c r="G72" i="12"/>
  <c r="H64" i="12"/>
  <c r="H40" i="12"/>
  <c r="I87" i="12"/>
  <c r="H87" i="12"/>
  <c r="T87" i="12" s="1"/>
  <c r="I10" i="12"/>
  <c r="F39" i="12"/>
  <c r="G81" i="12"/>
  <c r="F79" i="12"/>
  <c r="L79" i="12" s="1"/>
  <c r="H79" i="12"/>
  <c r="D79" i="12"/>
  <c r="Q79" i="12" s="1"/>
  <c r="F69" i="12"/>
  <c r="I86" i="12"/>
  <c r="O86" i="12" s="1"/>
  <c r="F64" i="12"/>
  <c r="D68" i="12"/>
  <c r="I68" i="12"/>
  <c r="F8" i="12"/>
  <c r="L8" i="12" s="1"/>
  <c r="G9" i="12"/>
  <c r="G56" i="12"/>
  <c r="H82" i="12"/>
  <c r="I91" i="12"/>
  <c r="U91" i="12" s="1"/>
  <c r="G76" i="12"/>
  <c r="F81" i="12"/>
  <c r="G80" i="12"/>
  <c r="H65" i="12"/>
  <c r="D80" i="12"/>
  <c r="R80" i="12" s="1"/>
  <c r="H57" i="12"/>
  <c r="I57" i="12"/>
  <c r="D66" i="12"/>
  <c r="K66" i="12" s="1"/>
  <c r="D91" i="12"/>
  <c r="K91" i="12" s="1"/>
  <c r="F92" i="12"/>
  <c r="D46" i="12"/>
  <c r="K46" i="12" s="1"/>
  <c r="D73" i="12"/>
  <c r="D8" i="12"/>
  <c r="D87" i="12"/>
  <c r="D76" i="12"/>
  <c r="T76" i="12" s="1"/>
  <c r="D10" i="12"/>
  <c r="L10" i="12" s="1"/>
  <c r="D71" i="12"/>
  <c r="H78" i="12"/>
  <c r="G46" i="12"/>
  <c r="I9" i="12"/>
  <c r="AB39" i="12"/>
  <c r="D75" i="12"/>
  <c r="K75" i="12" s="1"/>
  <c r="F73" i="12"/>
  <c r="L73" i="12" s="1"/>
  <c r="G64" i="12"/>
  <c r="S64" i="12" s="1"/>
  <c r="D69" i="12"/>
  <c r="Q69" i="12" s="1"/>
  <c r="G66" i="12"/>
  <c r="H66" i="12"/>
  <c r="I46" i="12"/>
  <c r="H45" i="12"/>
  <c r="F71" i="12"/>
  <c r="D81" i="12"/>
  <c r="K81" i="12" s="1"/>
  <c r="F65" i="12"/>
  <c r="R65" i="12" s="1"/>
  <c r="F95" i="12"/>
  <c r="F96" i="12" s="1"/>
  <c r="D56" i="12"/>
  <c r="G87" i="12"/>
  <c r="F66" i="12"/>
  <c r="H92" i="12"/>
  <c r="G79" i="12"/>
  <c r="D39" i="12"/>
  <c r="Q39" i="12" s="1"/>
  <c r="F67" i="12"/>
  <c r="D70" i="12"/>
  <c r="K70" i="12" s="1"/>
  <c r="I14" i="12"/>
  <c r="H69" i="12"/>
  <c r="D88" i="12"/>
  <c r="Q88" i="12" s="1"/>
  <c r="F9" i="12"/>
  <c r="H38" i="12"/>
  <c r="G70" i="12"/>
  <c r="D16" i="12"/>
  <c r="Q16" i="12" s="1"/>
  <c r="I77" i="12"/>
  <c r="D40" i="12"/>
  <c r="G15" i="12"/>
  <c r="F46" i="12"/>
  <c r="G74" i="12"/>
  <c r="H56" i="12"/>
  <c r="D64" i="12"/>
  <c r="T64" i="12" s="1"/>
  <c r="F70" i="12"/>
  <c r="F40" i="12"/>
  <c r="D63" i="12"/>
  <c r="H74" i="12"/>
  <c r="I74" i="12"/>
  <c r="H46" i="12"/>
  <c r="I66" i="12"/>
  <c r="D86" i="12"/>
  <c r="Q86" i="12" s="1"/>
  <c r="D82" i="12"/>
  <c r="Q82" i="12" s="1"/>
  <c r="I39" i="12"/>
  <c r="G92" i="12"/>
  <c r="F78" i="12"/>
  <c r="H80" i="12"/>
  <c r="N80" i="12" s="1"/>
  <c r="F44" i="12"/>
  <c r="R44" i="12" s="1"/>
  <c r="D72" i="12"/>
  <c r="H16" i="12"/>
  <c r="G73" i="12"/>
  <c r="I67" i="12"/>
  <c r="G40" i="12"/>
  <c r="D44" i="12"/>
  <c r="Q44" i="12" s="1"/>
  <c r="F57" i="12"/>
  <c r="L57" i="12" s="1"/>
  <c r="G88" i="12"/>
  <c r="D57" i="12"/>
  <c r="F75" i="12"/>
  <c r="L75" i="12" s="1"/>
  <c r="H63" i="12"/>
  <c r="N63" i="12" s="1"/>
  <c r="H10" i="12"/>
  <c r="H75" i="12"/>
  <c r="F74" i="12"/>
  <c r="H9" i="12"/>
  <c r="F56" i="12"/>
  <c r="I70" i="12"/>
  <c r="I44" i="12"/>
  <c r="I50" i="12" s="1"/>
  <c r="I63" i="12"/>
  <c r="O63" i="12" s="1"/>
  <c r="G38" i="12"/>
  <c r="H88" i="12"/>
  <c r="F88" i="12"/>
  <c r="D45" i="12"/>
  <c r="Q45" i="12" s="1"/>
  <c r="F38" i="12"/>
  <c r="G57" i="12"/>
  <c r="F10" i="12"/>
  <c r="D67" i="12"/>
  <c r="R67" i="12" s="1"/>
  <c r="H14" i="12"/>
  <c r="G65" i="12"/>
  <c r="G10" i="12"/>
  <c r="I75" i="12"/>
  <c r="O75" i="12" s="1"/>
  <c r="D38" i="12"/>
  <c r="Q38" i="12" s="1"/>
  <c r="I78" i="12"/>
  <c r="G86" i="12"/>
  <c r="I56" i="12"/>
  <c r="U56" i="12" s="1"/>
  <c r="G16" i="12"/>
  <c r="D78" i="12"/>
  <c r="K78" i="12" s="1"/>
  <c r="I16" i="12"/>
  <c r="H67" i="12"/>
  <c r="D65" i="12"/>
  <c r="K65" i="12" s="1"/>
  <c r="I65" i="12"/>
  <c r="G82" i="12"/>
  <c r="I45" i="12"/>
  <c r="D77" i="12"/>
  <c r="O77" i="12" s="1"/>
  <c r="D74" i="12"/>
  <c r="I76" i="12"/>
  <c r="G69" i="12"/>
  <c r="S69" i="12" s="1"/>
  <c r="I71" i="12"/>
  <c r="G67" i="12"/>
  <c r="I95" i="12"/>
  <c r="I96" i="12" s="1"/>
  <c r="H68" i="12"/>
  <c r="G78" i="12"/>
  <c r="F63" i="12"/>
  <c r="G68" i="12"/>
  <c r="G77" i="12"/>
  <c r="M77" i="12" s="1"/>
  <c r="H73" i="12"/>
  <c r="F82" i="12"/>
  <c r="I40" i="12"/>
  <c r="H39" i="12"/>
  <c r="T39" i="12" s="1"/>
  <c r="H70" i="12"/>
  <c r="F72" i="12"/>
  <c r="H95" i="12"/>
  <c r="G39" i="12"/>
  <c r="G21" i="12" s="1"/>
  <c r="F14" i="12"/>
  <c r="H86" i="12"/>
  <c r="H76" i="12"/>
  <c r="D9" i="12"/>
  <c r="Q9" i="12" s="1"/>
  <c r="H72" i="12"/>
  <c r="D92" i="12"/>
  <c r="S92" i="12" s="1"/>
  <c r="G44" i="12"/>
  <c r="I8" i="12"/>
  <c r="I72" i="12"/>
  <c r="I38" i="12"/>
  <c r="I69" i="12"/>
  <c r="F77" i="12"/>
  <c r="H91" i="12"/>
  <c r="F76" i="12"/>
  <c r="G8" i="12"/>
  <c r="I80" i="12"/>
  <c r="D14" i="12"/>
  <c r="R14" i="12" s="1"/>
  <c r="H15" i="12"/>
  <c r="D15" i="12"/>
  <c r="T15" i="12" s="1"/>
  <c r="H44" i="12"/>
  <c r="N44" i="12" s="1"/>
  <c r="F86" i="12"/>
  <c r="G95" i="12"/>
  <c r="F15" i="12"/>
  <c r="I73" i="12"/>
  <c r="O73" i="12" s="1"/>
  <c r="H8" i="12"/>
  <c r="N8" i="12" s="1"/>
  <c r="I92" i="12"/>
  <c r="F91" i="12"/>
  <c r="I79" i="12"/>
  <c r="U79" i="12" s="1"/>
  <c r="I15" i="12"/>
  <c r="F16" i="12"/>
  <c r="D95" i="12"/>
  <c r="G14" i="12"/>
  <c r="G26" i="12" s="1"/>
  <c r="G45" i="12"/>
  <c r="G27" i="12" s="1"/>
  <c r="AH102" i="14"/>
  <c r="AX32" i="10"/>
  <c r="AI102" i="14"/>
  <c r="U34" i="14"/>
  <c r="T52" i="10"/>
  <c r="Q22" i="10"/>
  <c r="Q34" i="10" s="1"/>
  <c r="V32" i="10"/>
  <c r="BR38" i="14"/>
  <c r="S98" i="8"/>
  <c r="BO45" i="10"/>
  <c r="I35" i="1"/>
  <c r="H102" i="10"/>
  <c r="AC53" i="8"/>
  <c r="AC60" i="8" s="1"/>
  <c r="AC98" i="8" s="1"/>
  <c r="Q98" i="8"/>
  <c r="W29" i="10"/>
  <c r="U47" i="14"/>
  <c r="AD27" i="14"/>
  <c r="Q22" i="14"/>
  <c r="Q34" i="14" s="1"/>
  <c r="AO33" i="10"/>
  <c r="BT88" i="10"/>
  <c r="BQ45" i="14"/>
  <c r="BQ27" i="14" s="1"/>
  <c r="BQ33" i="14" s="1"/>
  <c r="CB16" i="14"/>
  <c r="BT22" i="14" s="1"/>
  <c r="Z51" i="10"/>
  <c r="L23" i="14"/>
  <c r="BT75" i="10"/>
  <c r="AK47" i="10"/>
  <c r="AK29" i="10" s="1"/>
  <c r="BS71" i="10"/>
  <c r="BS16" i="14"/>
  <c r="K17" i="14"/>
  <c r="F50" i="14"/>
  <c r="AT47" i="14"/>
  <c r="AE21" i="14"/>
  <c r="E83" i="12"/>
  <c r="Z51" i="14"/>
  <c r="G58" i="10"/>
  <c r="AH26" i="14"/>
  <c r="M47" i="14"/>
  <c r="M53" i="14" s="1"/>
  <c r="AO102" i="1"/>
  <c r="D50" i="10"/>
  <c r="AV89" i="10"/>
  <c r="H17" i="14"/>
  <c r="I102" i="8"/>
  <c r="AO52" i="10"/>
  <c r="AC27" i="14"/>
  <c r="AQ34" i="8"/>
  <c r="AN32" i="8"/>
  <c r="AF51" i="14"/>
  <c r="AF21" i="14"/>
  <c r="AF33" i="14" s="1"/>
  <c r="AH23" i="8"/>
  <c r="AU32" i="9"/>
  <c r="CA16" i="14"/>
  <c r="BS28" i="14" s="1"/>
  <c r="AG29" i="9"/>
  <c r="AS53" i="8"/>
  <c r="AS60" i="8" s="1"/>
  <c r="AS98" i="8" s="1"/>
  <c r="J102" i="9"/>
  <c r="AU23" i="9"/>
  <c r="AU35" i="9" s="1"/>
  <c r="T23" i="10"/>
  <c r="K51" i="10"/>
  <c r="K33" i="10"/>
  <c r="Z102" i="1"/>
  <c r="AH23" i="1"/>
  <c r="AH35" i="1" s="1"/>
  <c r="BR20" i="1"/>
  <c r="U50" i="10"/>
  <c r="F53" i="8"/>
  <c r="F60" i="8" s="1"/>
  <c r="F98" i="8" s="1"/>
  <c r="BO45" i="14"/>
  <c r="BQ45" i="10"/>
  <c r="N29" i="10"/>
  <c r="AC23" i="10"/>
  <c r="AP47" i="14"/>
  <c r="BR102" i="1"/>
  <c r="T32" i="10"/>
  <c r="AW60" i="1"/>
  <c r="AW98" i="1" s="1"/>
  <c r="L34" i="14"/>
  <c r="AM29" i="10"/>
  <c r="Q83" i="10"/>
  <c r="AQ27" i="10"/>
  <c r="AQ33" i="10" s="1"/>
  <c r="T83" i="14"/>
  <c r="BO92" i="10"/>
  <c r="AR47" i="10"/>
  <c r="AR53" i="10" s="1"/>
  <c r="AR60" i="10" s="1"/>
  <c r="AR98" i="10" s="1"/>
  <c r="BQ39" i="10"/>
  <c r="BO76" i="14"/>
  <c r="L60" i="1"/>
  <c r="L98" i="1" s="1"/>
  <c r="W51" i="14"/>
  <c r="Z98" i="1"/>
  <c r="AD47" i="14"/>
  <c r="BS63" i="14"/>
  <c r="BR26" i="10"/>
  <c r="BR32" i="10" s="1"/>
  <c r="BO15" i="14"/>
  <c r="Z21" i="10"/>
  <c r="Z33" i="10" s="1"/>
  <c r="X23" i="14"/>
  <c r="G98" i="1"/>
  <c r="AC98" i="1"/>
  <c r="BS80" i="10"/>
  <c r="R89" i="10"/>
  <c r="AQ51" i="10"/>
  <c r="S93" i="10"/>
  <c r="BS77" i="10"/>
  <c r="BO23" i="9"/>
  <c r="BQ80" i="10"/>
  <c r="AJ41" i="10"/>
  <c r="BT92" i="10"/>
  <c r="BT93" i="10" s="1"/>
  <c r="BS44" i="10"/>
  <c r="CB14" i="10"/>
  <c r="BT26" i="10" s="1"/>
  <c r="L28" i="10"/>
  <c r="L34" i="10" s="1"/>
  <c r="U50" i="14"/>
  <c r="BQ63" i="10"/>
  <c r="BO63" i="10"/>
  <c r="G89" i="10"/>
  <c r="I41" i="10"/>
  <c r="I23" i="10" s="1"/>
  <c r="E58" i="10"/>
  <c r="AX34" i="8"/>
  <c r="AP22" i="10"/>
  <c r="P93" i="10"/>
  <c r="E89" i="14"/>
  <c r="V34" i="1"/>
  <c r="AB89" i="14"/>
  <c r="U89" i="10"/>
  <c r="BS11" i="14"/>
  <c r="BQ9" i="10"/>
  <c r="AY22" i="14"/>
  <c r="AY34" i="14" s="1"/>
  <c r="AW52" i="14"/>
  <c r="H32" i="8"/>
  <c r="AE53" i="9"/>
  <c r="AE60" i="9" s="1"/>
  <c r="AE98" i="9" s="1"/>
  <c r="V23" i="1"/>
  <c r="X34" i="9"/>
  <c r="AS50" i="14"/>
  <c r="AK32" i="10"/>
  <c r="AP83" i="10"/>
  <c r="I33" i="10"/>
  <c r="AN34" i="14"/>
  <c r="BR20" i="10"/>
  <c r="AQ93" i="10"/>
  <c r="AG98" i="8"/>
  <c r="X98" i="9"/>
  <c r="K47" i="10"/>
  <c r="K29" i="10" s="1"/>
  <c r="AT53" i="14"/>
  <c r="AT60" i="14" s="1"/>
  <c r="S33" i="14"/>
  <c r="AR28" i="10"/>
  <c r="BO73" i="10"/>
  <c r="Q26" i="14"/>
  <c r="AR83" i="10"/>
  <c r="BS77" i="14"/>
  <c r="BQ87" i="10"/>
  <c r="U17" i="14"/>
  <c r="AE83" i="10"/>
  <c r="BO65" i="14"/>
  <c r="AL28" i="14"/>
  <c r="AT52" i="14"/>
  <c r="BQ15" i="10"/>
  <c r="BQ17" i="10" s="1"/>
  <c r="BS81" i="10"/>
  <c r="BS83" i="10" s="1"/>
  <c r="AA26" i="10"/>
  <c r="E58" i="14"/>
  <c r="BQ88" i="10"/>
  <c r="AN27" i="10"/>
  <c r="AE21" i="10"/>
  <c r="AE33" i="10" s="1"/>
  <c r="AO58" i="10"/>
  <c r="AH51" i="10"/>
  <c r="AY26" i="10"/>
  <c r="BQ38" i="10"/>
  <c r="AA27" i="14"/>
  <c r="AA33" i="14" s="1"/>
  <c r="AU32" i="8"/>
  <c r="AT11" i="14"/>
  <c r="AT102" i="14" s="1"/>
  <c r="Y53" i="1"/>
  <c r="Y60" i="1" s="1"/>
  <c r="Y98" i="1" s="1"/>
  <c r="AV34" i="8"/>
  <c r="BO89" i="8"/>
  <c r="AQ32" i="8"/>
  <c r="AJ28" i="10"/>
  <c r="AJ34" i="10" s="1"/>
  <c r="W102" i="9"/>
  <c r="AM29" i="9"/>
  <c r="AM35" i="9" s="1"/>
  <c r="AH29" i="8"/>
  <c r="V50" i="10"/>
  <c r="S93" i="14"/>
  <c r="AK29" i="9"/>
  <c r="AS32" i="8"/>
  <c r="K32" i="9"/>
  <c r="AV102" i="9"/>
  <c r="AQ23" i="9"/>
  <c r="AQ35" i="9" s="1"/>
  <c r="K32" i="14"/>
  <c r="BT89" i="14"/>
  <c r="L35" i="9"/>
  <c r="BS93" i="14"/>
  <c r="Q47" i="14"/>
  <c r="Q53" i="14" s="1"/>
  <c r="Q60" i="14" s="1"/>
  <c r="Q98" i="14" s="1"/>
  <c r="AD98" i="1"/>
  <c r="O53" i="8"/>
  <c r="O60" i="8" s="1"/>
  <c r="O98" i="8" s="1"/>
  <c r="BT39" i="14"/>
  <c r="BT21" i="14" s="1"/>
  <c r="BT33" i="14" s="1"/>
  <c r="AQ83" i="14"/>
  <c r="U102" i="14"/>
  <c r="BO15" i="10"/>
  <c r="AP41" i="14"/>
  <c r="D21" i="14"/>
  <c r="D33" i="14" s="1"/>
  <c r="BQ57" i="10"/>
  <c r="BQ58" i="10" s="1"/>
  <c r="BP11" i="10"/>
  <c r="E20" i="12"/>
  <c r="E11" i="12"/>
  <c r="AC21" i="14"/>
  <c r="AC33" i="14" s="1"/>
  <c r="R28" i="14"/>
  <c r="R34" i="14" s="1"/>
  <c r="K41" i="14"/>
  <c r="K23" i="14" s="1"/>
  <c r="AN28" i="10"/>
  <c r="BT75" i="14"/>
  <c r="AI53" i="1"/>
  <c r="AI60" i="1" s="1"/>
  <c r="AI98" i="1" s="1"/>
  <c r="F27" i="14"/>
  <c r="F33" i="14" s="1"/>
  <c r="P32" i="8"/>
  <c r="U52" i="14"/>
  <c r="AE102" i="8"/>
  <c r="H58" i="14"/>
  <c r="AY89" i="10"/>
  <c r="AQ33" i="8"/>
  <c r="AH21" i="14"/>
  <c r="AH33" i="14" s="1"/>
  <c r="P33" i="1"/>
  <c r="AW52" i="10"/>
  <c r="AW22" i="10"/>
  <c r="AW34" i="10" s="1"/>
  <c r="AO93" i="14"/>
  <c r="AF29" i="8"/>
  <c r="AF35" i="8" s="1"/>
  <c r="AR23" i="9"/>
  <c r="AR35" i="9" s="1"/>
  <c r="AR53" i="9"/>
  <c r="AR60" i="9" s="1"/>
  <c r="AR98" i="9" s="1"/>
  <c r="V34" i="9"/>
  <c r="V41" i="14"/>
  <c r="V23" i="14" s="1"/>
  <c r="X32" i="9"/>
  <c r="AW29" i="8"/>
  <c r="AW35" i="8" s="1"/>
  <c r="E51" i="10"/>
  <c r="AU34" i="8"/>
  <c r="BO58" i="9"/>
  <c r="AX102" i="9"/>
  <c r="O32" i="9"/>
  <c r="AT33" i="9"/>
  <c r="G35" i="10"/>
  <c r="Y34" i="14"/>
  <c r="Q102" i="10"/>
  <c r="AU35" i="10"/>
  <c r="W32" i="14"/>
  <c r="AY102" i="10"/>
  <c r="AV34" i="10"/>
  <c r="Z35" i="8"/>
  <c r="BO39" i="10"/>
  <c r="BO8" i="10"/>
  <c r="BO46" i="10"/>
  <c r="S29" i="14"/>
  <c r="AP33" i="14"/>
  <c r="AU60" i="1"/>
  <c r="AU98" i="1" s="1"/>
  <c r="AW98" i="8"/>
  <c r="AQ35" i="1"/>
  <c r="I34" i="14"/>
  <c r="AO34" i="14"/>
  <c r="AL34" i="14"/>
  <c r="AQ32" i="14"/>
  <c r="E83" i="14"/>
  <c r="Z23" i="10"/>
  <c r="AT29" i="14"/>
  <c r="AL20" i="14"/>
  <c r="AL32" i="14" s="1"/>
  <c r="J34" i="8"/>
  <c r="W41" i="14"/>
  <c r="W53" i="14" s="1"/>
  <c r="W60" i="14" s="1"/>
  <c r="W98" i="14" s="1"/>
  <c r="P52" i="10"/>
  <c r="P22" i="10"/>
  <c r="P34" i="10" s="1"/>
  <c r="AF34" i="1"/>
  <c r="M93" i="14"/>
  <c r="BQ57" i="14"/>
  <c r="BQ58" i="14" s="1"/>
  <c r="BQ86" i="10"/>
  <c r="E17" i="10"/>
  <c r="E29" i="10" s="1"/>
  <c r="L47" i="10"/>
  <c r="AG41" i="14"/>
  <c r="AG53" i="14" s="1"/>
  <c r="AG60" i="14" s="1"/>
  <c r="H52" i="14"/>
  <c r="AW20" i="14"/>
  <c r="AW32" i="14" s="1"/>
  <c r="AO32" i="1"/>
  <c r="AI102" i="1"/>
  <c r="H21" i="14"/>
  <c r="AG29" i="1"/>
  <c r="AG35" i="1" s="1"/>
  <c r="AC23" i="8"/>
  <c r="AC35" i="8" s="1"/>
  <c r="AY32" i="9"/>
  <c r="AG35" i="9"/>
  <c r="BS102" i="9"/>
  <c r="U23" i="9"/>
  <c r="AH29" i="9"/>
  <c r="AH35" i="9" s="1"/>
  <c r="N23" i="8"/>
  <c r="N35" i="8" s="1"/>
  <c r="H35" i="1"/>
  <c r="AT34" i="10"/>
  <c r="M35" i="1"/>
  <c r="BS52" i="10"/>
  <c r="AJ23" i="10"/>
  <c r="AX29" i="10"/>
  <c r="AK35" i="9"/>
  <c r="N50" i="10"/>
  <c r="AM102" i="10"/>
  <c r="AH32" i="14"/>
  <c r="AH53" i="1"/>
  <c r="AH60" i="1" s="1"/>
  <c r="AH98" i="1" s="1"/>
  <c r="AP60" i="9"/>
  <c r="AP98" i="9" s="1"/>
  <c r="W50" i="14"/>
  <c r="BY15" i="10"/>
  <c r="BY17" i="10" s="1"/>
  <c r="AF27" i="10"/>
  <c r="AF33" i="10" s="1"/>
  <c r="BT67" i="14"/>
  <c r="M11" i="10"/>
  <c r="N102" i="10" s="1"/>
  <c r="H29" i="1"/>
  <c r="L89" i="14"/>
  <c r="I34" i="1"/>
  <c r="AM28" i="14"/>
  <c r="AM34" i="14" s="1"/>
  <c r="E11" i="14"/>
  <c r="F102" i="14" s="1"/>
  <c r="AR27" i="14"/>
  <c r="AR33" i="14" s="1"/>
  <c r="F93" i="10"/>
  <c r="AL17" i="14"/>
  <c r="AL23" i="14" s="1"/>
  <c r="Q93" i="10"/>
  <c r="AN21" i="10"/>
  <c r="AN51" i="10"/>
  <c r="AJ17" i="14"/>
  <c r="AJ23" i="14" s="1"/>
  <c r="T29" i="1"/>
  <c r="T35" i="1" s="1"/>
  <c r="AQ89" i="14"/>
  <c r="I33" i="8"/>
  <c r="AM20" i="14"/>
  <c r="AM32" i="14" s="1"/>
  <c r="AE89" i="14"/>
  <c r="H27" i="14"/>
  <c r="AP28" i="10"/>
  <c r="AG26" i="10"/>
  <c r="AG32" i="10" s="1"/>
  <c r="AC28" i="10"/>
  <c r="AC34" i="10" s="1"/>
  <c r="Y50" i="14"/>
  <c r="AB102" i="8"/>
  <c r="H102" i="9"/>
  <c r="AT32" i="8"/>
  <c r="AY23" i="9"/>
  <c r="AY35" i="9" s="1"/>
  <c r="E33" i="1"/>
  <c r="H53" i="9"/>
  <c r="H60" i="9" s="1"/>
  <c r="H98" i="9" s="1"/>
  <c r="AY102" i="9"/>
  <c r="AX29" i="9"/>
  <c r="AX35" i="9" s="1"/>
  <c r="AP102" i="9"/>
  <c r="AQ33" i="14"/>
  <c r="AP23" i="14"/>
  <c r="W23" i="14"/>
  <c r="AA32" i="10"/>
  <c r="K53" i="14"/>
  <c r="AI51" i="14"/>
  <c r="AO51" i="10"/>
  <c r="AU102" i="10"/>
  <c r="AI51" i="10"/>
  <c r="AB102" i="14"/>
  <c r="AN34" i="10"/>
  <c r="J98" i="8"/>
  <c r="AB98" i="8"/>
  <c r="AE33" i="14"/>
  <c r="V35" i="1"/>
  <c r="N26" i="10"/>
  <c r="AK41" i="10"/>
  <c r="AK23" i="10" s="1"/>
  <c r="AO98" i="1"/>
  <c r="BQ51" i="14"/>
  <c r="AO41" i="10"/>
  <c r="Q32" i="14"/>
  <c r="S89" i="14"/>
  <c r="BO40" i="14"/>
  <c r="BO41" i="14" s="1"/>
  <c r="AC51" i="10"/>
  <c r="AJ33" i="10"/>
  <c r="BT64" i="10"/>
  <c r="AC35" i="9"/>
  <c r="BS14" i="14"/>
  <c r="AF17" i="10"/>
  <c r="AF29" i="10" s="1"/>
  <c r="T22" i="14"/>
  <c r="T34" i="14" s="1"/>
  <c r="BO75" i="14"/>
  <c r="X58" i="10"/>
  <c r="AK34" i="1"/>
  <c r="AY50" i="10"/>
  <c r="AY20" i="10"/>
  <c r="BS76" i="10"/>
  <c r="BO21" i="1"/>
  <c r="BO33" i="1" s="1"/>
  <c r="AF11" i="10"/>
  <c r="AG102" i="10" s="1"/>
  <c r="G28" i="14"/>
  <c r="G34" i="14" s="1"/>
  <c r="N32" i="1"/>
  <c r="AI22" i="14"/>
  <c r="AI34" i="14" s="1"/>
  <c r="E93" i="14"/>
  <c r="W23" i="1"/>
  <c r="W35" i="1" s="1"/>
  <c r="G23" i="1"/>
  <c r="G35" i="1" s="1"/>
  <c r="AM53" i="1"/>
  <c r="AM60" i="1" s="1"/>
  <c r="AM98" i="1" s="1"/>
  <c r="BR44" i="14"/>
  <c r="BR26" i="14" s="1"/>
  <c r="AG26" i="14"/>
  <c r="AG32" i="14" s="1"/>
  <c r="AC27" i="10"/>
  <c r="AC33" i="10" s="1"/>
  <c r="BT57" i="10"/>
  <c r="E23" i="9"/>
  <c r="E35" i="9" s="1"/>
  <c r="E53" i="9"/>
  <c r="E60" i="9" s="1"/>
  <c r="E98" i="9" s="1"/>
  <c r="AI34" i="9"/>
  <c r="U29" i="9"/>
  <c r="AM32" i="9"/>
  <c r="S102" i="9"/>
  <c r="BQ102" i="9"/>
  <c r="AN102" i="9"/>
  <c r="AQ29" i="8"/>
  <c r="AQ35" i="8" s="1"/>
  <c r="E41" i="12"/>
  <c r="E53" i="12" s="1"/>
  <c r="E60" i="12" s="1"/>
  <c r="E98" i="12" s="1"/>
  <c r="E93" i="12"/>
  <c r="E27" i="12"/>
  <c r="E33" i="12" s="1"/>
  <c r="E58" i="12"/>
  <c r="E17" i="12"/>
  <c r="E29" i="12" s="1"/>
  <c r="E51" i="12"/>
  <c r="X8" i="12"/>
  <c r="X11" i="12" s="1"/>
  <c r="X9" i="12"/>
  <c r="BA29" i="10"/>
  <c r="BA23" i="10"/>
  <c r="BI102" i="14"/>
  <c r="BH32" i="14"/>
  <c r="AZ29" i="14"/>
  <c r="AZ35" i="14" s="1"/>
  <c r="BI33" i="14"/>
  <c r="BF53" i="10"/>
  <c r="BF60" i="10" s="1"/>
  <c r="BF98" i="10" s="1"/>
  <c r="BB53" i="10"/>
  <c r="BB60" i="10" s="1"/>
  <c r="BB98" i="10" s="1"/>
  <c r="BF102" i="14"/>
  <c r="BE102" i="14"/>
  <c r="BB35" i="14"/>
  <c r="BC35" i="10"/>
  <c r="BG32" i="14"/>
  <c r="AU53" i="10"/>
  <c r="AU60" i="10" s="1"/>
  <c r="AU98" i="10" s="1"/>
  <c r="J32" i="14"/>
  <c r="AU29" i="14"/>
  <c r="BS47" i="14"/>
  <c r="BT27" i="14"/>
  <c r="AN35" i="1"/>
  <c r="AX23" i="10"/>
  <c r="AX35" i="10" s="1"/>
  <c r="BO26" i="10"/>
  <c r="BO52" i="10"/>
  <c r="BR20" i="14"/>
  <c r="BR32" i="14" s="1"/>
  <c r="S34" i="14"/>
  <c r="AG34" i="10"/>
  <c r="Q75" i="12"/>
  <c r="BS50" i="10"/>
  <c r="BS26" i="10"/>
  <c r="BO29" i="9"/>
  <c r="BO35" i="9" s="1"/>
  <c r="BT93" i="14"/>
  <c r="BT58" i="14"/>
  <c r="BT51" i="14"/>
  <c r="BS58" i="10"/>
  <c r="BO29" i="8"/>
  <c r="BS17" i="14"/>
  <c r="BQ22" i="10"/>
  <c r="BS22" i="10"/>
  <c r="BS50" i="14"/>
  <c r="AB91" i="12"/>
  <c r="Y40" i="12"/>
  <c r="Y75" i="12"/>
  <c r="Z69" i="12"/>
  <c r="T102" i="14"/>
  <c r="Y33" i="10"/>
  <c r="AA35" i="1"/>
  <c r="BR47" i="10"/>
  <c r="AH102" i="10"/>
  <c r="M29" i="10"/>
  <c r="CA17" i="14"/>
  <c r="AX32" i="14"/>
  <c r="U34" i="10"/>
  <c r="AH32" i="10"/>
  <c r="BS41" i="10"/>
  <c r="BQ28" i="10"/>
  <c r="AS32" i="14"/>
  <c r="AC102" i="10"/>
  <c r="L35" i="14"/>
  <c r="AM33" i="14"/>
  <c r="AE102" i="10"/>
  <c r="BS17" i="10"/>
  <c r="E102" i="12"/>
  <c r="D15" i="13" s="1"/>
  <c r="BQ26" i="10"/>
  <c r="BS89" i="14"/>
  <c r="BQ47" i="10"/>
  <c r="BO34" i="1"/>
  <c r="BT20" i="14"/>
  <c r="BR89" i="10"/>
  <c r="BR93" i="10"/>
  <c r="Y76" i="12"/>
  <c r="Z87" i="12"/>
  <c r="Z68" i="12"/>
  <c r="AA16" i="12"/>
  <c r="AA82" i="12"/>
  <c r="Z71" i="12"/>
  <c r="AA63" i="12"/>
  <c r="AA14" i="12"/>
  <c r="AB81" i="12"/>
  <c r="AB65" i="12"/>
  <c r="AB66" i="12"/>
  <c r="AB16" i="12"/>
  <c r="Z82" i="12"/>
  <c r="AB68" i="12"/>
  <c r="Y77" i="12"/>
  <c r="W72" i="12"/>
  <c r="AD72" i="12" s="1"/>
  <c r="Z64" i="12"/>
  <c r="AB79" i="12"/>
  <c r="AA72" i="12"/>
  <c r="S53" i="10"/>
  <c r="S60" i="10" s="1"/>
  <c r="S98" i="10" s="1"/>
  <c r="AM102" i="14"/>
  <c r="AD23" i="10"/>
  <c r="AX53" i="14"/>
  <c r="AX60" i="14" s="1"/>
  <c r="T33" i="14"/>
  <c r="AR32" i="10"/>
  <c r="AW23" i="14"/>
  <c r="K34" i="14"/>
  <c r="BZ17" i="10"/>
  <c r="BR52" i="10"/>
  <c r="K33" i="14"/>
  <c r="W102" i="14"/>
  <c r="AT33" i="14"/>
  <c r="T35" i="8"/>
  <c r="AA102" i="14"/>
  <c r="P29" i="10"/>
  <c r="AT98" i="14"/>
  <c r="BR41" i="10"/>
  <c r="BO51" i="14"/>
  <c r="BR22" i="10"/>
  <c r="BR34" i="10" s="1"/>
  <c r="BS51" i="14"/>
  <c r="BO23" i="1"/>
  <c r="BO35" i="1" s="1"/>
  <c r="BT22" i="10"/>
  <c r="BT83" i="14"/>
  <c r="BY17" i="14"/>
  <c r="BS93" i="10"/>
  <c r="BR28" i="10"/>
  <c r="BQ89" i="14"/>
  <c r="BR58" i="10"/>
  <c r="AB63" i="12"/>
  <c r="Z40" i="12"/>
  <c r="AA15" i="12"/>
  <c r="W82" i="12"/>
  <c r="AB78" i="12"/>
  <c r="AA57" i="12"/>
  <c r="AA73" i="12"/>
  <c r="AB69" i="12"/>
  <c r="Y44" i="12"/>
  <c r="Z73" i="12"/>
  <c r="Z79" i="12"/>
  <c r="AB70" i="12"/>
  <c r="AB14" i="12"/>
  <c r="AB86" i="12"/>
  <c r="AB87" i="12"/>
  <c r="Y78" i="12"/>
  <c r="AA70" i="12"/>
  <c r="AA69" i="12"/>
  <c r="Y64" i="12"/>
  <c r="Y73" i="12"/>
  <c r="Z92" i="12"/>
  <c r="AA88" i="12"/>
  <c r="W67" i="12"/>
  <c r="Y16" i="12"/>
  <c r="Y71" i="12"/>
  <c r="AA67" i="12"/>
  <c r="Z72" i="12"/>
  <c r="Y65" i="12"/>
  <c r="Z74" i="12"/>
  <c r="Y69" i="12"/>
  <c r="Y32" i="14"/>
  <c r="X32" i="10"/>
  <c r="H33" i="10"/>
  <c r="H102" i="14"/>
  <c r="U29" i="14"/>
  <c r="Q65" i="12"/>
  <c r="AA34" i="14"/>
  <c r="AW33" i="14"/>
  <c r="BR51" i="10"/>
  <c r="AY32" i="14"/>
  <c r="I20" i="12"/>
  <c r="U35" i="8"/>
  <c r="BO27" i="14"/>
  <c r="R29" i="14"/>
  <c r="BT17" i="10"/>
  <c r="AJ32" i="14"/>
  <c r="AN33" i="14"/>
  <c r="E29" i="14"/>
  <c r="S23" i="10"/>
  <c r="BT27" i="10"/>
  <c r="AT23" i="14"/>
  <c r="AT35" i="14" s="1"/>
  <c r="Y34" i="10"/>
  <c r="BO83" i="10"/>
  <c r="U102" i="10"/>
  <c r="BO23" i="8"/>
  <c r="Z102" i="14"/>
  <c r="AW53" i="14"/>
  <c r="AW60" i="14" s="1"/>
  <c r="AW98" i="14" s="1"/>
  <c r="M44" i="12"/>
  <c r="AM29" i="14"/>
  <c r="AM33" i="10"/>
  <c r="AB32" i="10"/>
  <c r="BR89" i="14"/>
  <c r="AK29" i="14"/>
  <c r="E35" i="8"/>
  <c r="AB29" i="14"/>
  <c r="BQ52" i="10"/>
  <c r="BT52" i="14"/>
  <c r="BO50" i="14"/>
  <c r="AS35" i="1"/>
  <c r="Q33" i="10"/>
  <c r="I32" i="14"/>
  <c r="AV35" i="1"/>
  <c r="AO32" i="14"/>
  <c r="AL53" i="14"/>
  <c r="AL60" i="14" s="1"/>
  <c r="AR102" i="10"/>
  <c r="AC29" i="10"/>
  <c r="AC35" i="10" s="1"/>
  <c r="X35" i="14"/>
  <c r="BR17" i="10"/>
  <c r="BW17" i="14"/>
  <c r="Q29" i="10"/>
  <c r="AR29" i="14"/>
  <c r="AL102" i="14"/>
  <c r="N34" i="14"/>
  <c r="BS52" i="14"/>
  <c r="S32" i="14"/>
  <c r="BQ26" i="14"/>
  <c r="T32" i="14"/>
  <c r="AO35" i="9"/>
  <c r="J34" i="10"/>
  <c r="BT21" i="10"/>
  <c r="AG53" i="10"/>
  <c r="AG60" i="10" s="1"/>
  <c r="AG98" i="10" s="1"/>
  <c r="BR21" i="10"/>
  <c r="S44" i="12"/>
  <c r="J102" i="10"/>
  <c r="J32" i="10"/>
  <c r="AE34" i="14"/>
  <c r="AQ32" i="10"/>
  <c r="Y33" i="14"/>
  <c r="BR50" i="10"/>
  <c r="Q14" i="12"/>
  <c r="K44" i="12"/>
  <c r="U44" i="12"/>
  <c r="Q64" i="12"/>
  <c r="AI35" i="1"/>
  <c r="BO33" i="8"/>
  <c r="I32" i="10"/>
  <c r="BQ93" i="14"/>
  <c r="O35" i="9"/>
  <c r="M23" i="14"/>
  <c r="BT28" i="10"/>
  <c r="G32" i="14"/>
  <c r="BR27" i="10"/>
  <c r="AE23" i="14"/>
  <c r="R71" i="12"/>
  <c r="K95" i="12"/>
  <c r="D96" i="12"/>
  <c r="Q95" i="12"/>
  <c r="K86" i="12"/>
  <c r="N86" i="12"/>
  <c r="S79" i="12"/>
  <c r="M79" i="12"/>
  <c r="K80" i="12"/>
  <c r="M15" i="12"/>
  <c r="U66" i="12"/>
  <c r="L44" i="12"/>
  <c r="D50" i="12"/>
  <c r="M8" i="12"/>
  <c r="I22" i="12"/>
  <c r="K87" i="12"/>
  <c r="BR22" i="14"/>
  <c r="R75" i="12"/>
  <c r="BR47" i="14"/>
  <c r="H58" i="12"/>
  <c r="BT83" i="10"/>
  <c r="BT17" i="14"/>
  <c r="AB76" i="12"/>
  <c r="Y66" i="12"/>
  <c r="AA66" i="12"/>
  <c r="Y79" i="12"/>
  <c r="AA92" i="12"/>
  <c r="AA64" i="12"/>
  <c r="AB74" i="12"/>
  <c r="AA39" i="12"/>
  <c r="AA74" i="12"/>
  <c r="W16" i="12"/>
  <c r="AD16" i="12" s="1"/>
  <c r="Z75" i="12"/>
  <c r="AB72" i="12"/>
  <c r="W75" i="12"/>
  <c r="AD75" i="12" s="1"/>
  <c r="Y91" i="12"/>
  <c r="AA75" i="12"/>
  <c r="AB77" i="12"/>
  <c r="Z66" i="12"/>
  <c r="AB80" i="12"/>
  <c r="Z88" i="12"/>
  <c r="AB82" i="12"/>
  <c r="Z80" i="12"/>
  <c r="AA91" i="12"/>
  <c r="Z14" i="12"/>
  <c r="BT50" i="10"/>
  <c r="S86" i="12"/>
  <c r="BR41" i="14"/>
  <c r="E32" i="12"/>
  <c r="BO32" i="9"/>
  <c r="BO102" i="10"/>
  <c r="V33" i="14"/>
  <c r="BS89" i="10"/>
  <c r="Y53" i="10"/>
  <c r="Y60" i="10" s="1"/>
  <c r="Y98" i="10" s="1"/>
  <c r="BS26" i="14"/>
  <c r="BS32" i="14" s="1"/>
  <c r="Y35" i="9"/>
  <c r="BQ47" i="14"/>
  <c r="BQ29" i="14" s="1"/>
  <c r="BQ28" i="14"/>
  <c r="I23" i="14"/>
  <c r="BS41" i="14"/>
  <c r="BT41" i="10"/>
  <c r="K10" i="12"/>
  <c r="L53" i="14"/>
  <c r="L60" i="14" s="1"/>
  <c r="AF102" i="14"/>
  <c r="E32" i="10"/>
  <c r="S35" i="1"/>
  <c r="Y35" i="8"/>
  <c r="G35" i="14"/>
  <c r="BS20" i="10"/>
  <c r="BQ21" i="10"/>
  <c r="BQ51" i="10"/>
  <c r="BQ41" i="10"/>
  <c r="BT52" i="10"/>
  <c r="BT41" i="14"/>
  <c r="Y102" i="14"/>
  <c r="BT102" i="10"/>
  <c r="AE35" i="9"/>
  <c r="J33" i="14"/>
  <c r="AE29" i="10"/>
  <c r="AD33" i="14"/>
  <c r="K14" i="12"/>
  <c r="S14" i="12"/>
  <c r="K57" i="12"/>
  <c r="S57" i="12"/>
  <c r="M57" i="12"/>
  <c r="Q8" i="12"/>
  <c r="K8" i="12"/>
  <c r="O38" i="12"/>
  <c r="U38" i="12"/>
  <c r="T38" i="12"/>
  <c r="N38" i="12"/>
  <c r="K38" i="12"/>
  <c r="F28" i="12"/>
  <c r="BR52" i="14"/>
  <c r="S91" i="12"/>
  <c r="F17" i="12"/>
  <c r="O81" i="12"/>
  <c r="BT47" i="10"/>
  <c r="BS51" i="10"/>
  <c r="BS53" i="10" s="1"/>
  <c r="F47" i="12"/>
  <c r="I53" i="14"/>
  <c r="I60" i="14" s="1"/>
  <c r="I98" i="14" s="1"/>
  <c r="H32" i="10"/>
  <c r="T29" i="14"/>
  <c r="AE32" i="10"/>
  <c r="AM32" i="10"/>
  <c r="Q74" i="12"/>
  <c r="N73" i="12"/>
  <c r="BO28" i="14"/>
  <c r="X60" i="14"/>
  <c r="X98" i="14" s="1"/>
  <c r="AW29" i="14"/>
  <c r="AL29" i="10"/>
  <c r="AL35" i="10" s="1"/>
  <c r="Q53" i="10"/>
  <c r="Q60" i="10" s="1"/>
  <c r="Q23" i="10"/>
  <c r="BS47" i="10"/>
  <c r="D34" i="10"/>
  <c r="K64" i="12"/>
  <c r="S39" i="12"/>
  <c r="S34" i="10"/>
  <c r="U32" i="10"/>
  <c r="AH29" i="10"/>
  <c r="BQ53" i="14"/>
  <c r="BO26" i="14"/>
  <c r="AB34" i="10"/>
  <c r="AK35" i="1"/>
  <c r="Z34" i="14"/>
  <c r="E33" i="14"/>
  <c r="AD32" i="14"/>
  <c r="X32" i="14"/>
  <c r="AP33" i="10"/>
  <c r="AS29" i="14"/>
  <c r="AQ102" i="14"/>
  <c r="AR34" i="10"/>
  <c r="W32" i="10"/>
  <c r="AX35" i="8"/>
  <c r="T86" i="12"/>
  <c r="S102" i="14"/>
  <c r="K60" i="14"/>
  <c r="K98" i="14" s="1"/>
  <c r="AU32" i="10"/>
  <c r="AL35" i="8"/>
  <c r="BO102" i="14"/>
  <c r="AQ102" i="10"/>
  <c r="AU35" i="8"/>
  <c r="AM35" i="8"/>
  <c r="U33" i="14"/>
  <c r="X35" i="1"/>
  <c r="AC32" i="10"/>
  <c r="O23" i="10"/>
  <c r="BQ93" i="10"/>
  <c r="O87" i="12"/>
  <c r="U95" i="12"/>
  <c r="O95" i="12"/>
  <c r="K29" i="14"/>
  <c r="K35" i="14" s="1"/>
  <c r="AA35" i="9"/>
  <c r="K35" i="8"/>
  <c r="Z32" i="10"/>
  <c r="D23" i="14"/>
  <c r="D35" i="14" s="1"/>
  <c r="AV33" i="10"/>
  <c r="AD102" i="10"/>
  <c r="Z29" i="14"/>
  <c r="BR93" i="14"/>
  <c r="AW33" i="10"/>
  <c r="F32" i="10"/>
  <c r="AX35" i="1"/>
  <c r="AB35" i="8"/>
  <c r="D34" i="14"/>
  <c r="AE29" i="14"/>
  <c r="J35" i="1"/>
  <c r="U32" i="14"/>
  <c r="BO20" i="14"/>
  <c r="F34" i="14"/>
  <c r="I33" i="14"/>
  <c r="BO21" i="14"/>
  <c r="AL53" i="10"/>
  <c r="AL60" i="10" s="1"/>
  <c r="AL98" i="10" s="1"/>
  <c r="S29" i="10"/>
  <c r="S35" i="10" s="1"/>
  <c r="AV102" i="10"/>
  <c r="T95" i="12"/>
  <c r="L80" i="12"/>
  <c r="S72" i="12"/>
  <c r="G52" i="12"/>
  <c r="L38" i="12"/>
  <c r="U23" i="10"/>
  <c r="U35" i="10" s="1"/>
  <c r="U53" i="10"/>
  <c r="U60" i="10" s="1"/>
  <c r="U98" i="10" s="1"/>
  <c r="H96" i="12"/>
  <c r="N57" i="12"/>
  <c r="N64" i="12"/>
  <c r="L69" i="12"/>
  <c r="N95" i="12"/>
  <c r="O10" i="12"/>
  <c r="L14" i="12"/>
  <c r="N76" i="12"/>
  <c r="G50" i="12"/>
  <c r="T57" i="12"/>
  <c r="L76" i="12"/>
  <c r="L15" i="12"/>
  <c r="R64" i="12"/>
  <c r="O72" i="12"/>
  <c r="U72" i="12"/>
  <c r="T81" i="12"/>
  <c r="Q76" i="12"/>
  <c r="S8" i="12"/>
  <c r="H52" i="12"/>
  <c r="H22" i="12"/>
  <c r="U81" i="12"/>
  <c r="K88" i="12"/>
  <c r="K69" i="12"/>
  <c r="R38" i="12"/>
  <c r="F50" i="12"/>
  <c r="U76" i="12"/>
  <c r="F26" i="12"/>
  <c r="N81" i="12"/>
  <c r="K76" i="12"/>
  <c r="U69" i="12"/>
  <c r="F27" i="12"/>
  <c r="R91" i="12"/>
  <c r="N72" i="12"/>
  <c r="K72" i="12"/>
  <c r="Q72" i="12"/>
  <c r="O76" i="12"/>
  <c r="G11" i="12"/>
  <c r="Q81" i="12"/>
  <c r="W87" i="12"/>
  <c r="AA8" i="12"/>
  <c r="W76" i="12"/>
  <c r="AJ76" i="12" s="1"/>
  <c r="Y46" i="12"/>
  <c r="Z45" i="12"/>
  <c r="Y67" i="12"/>
  <c r="W10" i="12"/>
  <c r="AJ10" i="12" s="1"/>
  <c r="AB10" i="12"/>
  <c r="Z9" i="12"/>
  <c r="W80" i="12"/>
  <c r="W38" i="12"/>
  <c r="AA45" i="12"/>
  <c r="Y8" i="12"/>
  <c r="Z39" i="12"/>
  <c r="AB15" i="12"/>
  <c r="Z86" i="12"/>
  <c r="W64" i="12"/>
  <c r="AD64" i="12" s="1"/>
  <c r="W79" i="12"/>
  <c r="W9" i="12"/>
  <c r="W44" i="12"/>
  <c r="Y56" i="12"/>
  <c r="W91" i="12"/>
  <c r="W65" i="12"/>
  <c r="W69" i="12"/>
  <c r="W86" i="12"/>
  <c r="W40" i="12"/>
  <c r="AD40" i="12" s="1"/>
  <c r="W56" i="12"/>
  <c r="AA86" i="12"/>
  <c r="AA46" i="12"/>
  <c r="W81" i="12"/>
  <c r="Z56" i="12"/>
  <c r="Y72" i="12"/>
  <c r="Z10" i="12"/>
  <c r="AA38" i="12"/>
  <c r="AB8" i="12"/>
  <c r="AB46" i="12"/>
  <c r="AB40" i="12"/>
  <c r="Y92" i="12"/>
  <c r="Y82" i="12"/>
  <c r="W78" i="12"/>
  <c r="AB9" i="12"/>
  <c r="W95" i="12"/>
  <c r="W96" i="12" s="1"/>
  <c r="W66" i="12"/>
  <c r="W74" i="12"/>
  <c r="W14" i="12"/>
  <c r="AD14" i="12" s="1"/>
  <c r="AB56" i="12"/>
  <c r="AA56" i="12"/>
  <c r="W88" i="12"/>
  <c r="W70" i="12"/>
  <c r="AD70" i="12" s="1"/>
  <c r="AB45" i="12"/>
  <c r="AB38" i="12"/>
  <c r="Z46" i="12"/>
  <c r="Y10" i="12"/>
  <c r="W71" i="12"/>
  <c r="W68" i="12"/>
  <c r="W77" i="12"/>
  <c r="Z8" i="12"/>
  <c r="AA9" i="12"/>
  <c r="AA10" i="12"/>
  <c r="Z16" i="12"/>
  <c r="Z44" i="12"/>
  <c r="AA87" i="12"/>
  <c r="G53" i="14"/>
  <c r="G60" i="14" s="1"/>
  <c r="G98" i="14" s="1"/>
  <c r="BS11" i="10"/>
  <c r="V53" i="10"/>
  <c r="V60" i="10" s="1"/>
  <c r="V98" i="10" s="1"/>
  <c r="V23" i="10"/>
  <c r="V35" i="10" s="1"/>
  <c r="X102" i="10"/>
  <c r="W102" i="10"/>
  <c r="P33" i="14"/>
  <c r="J34" i="14"/>
  <c r="T53" i="10"/>
  <c r="T60" i="10" s="1"/>
  <c r="T29" i="10"/>
  <c r="T35" i="10" s="1"/>
  <c r="L32" i="10"/>
  <c r="F35" i="1"/>
  <c r="N32" i="10"/>
  <c r="AS102" i="14"/>
  <c r="AK53" i="10"/>
  <c r="AK60" i="10" s="1"/>
  <c r="AK98" i="10" s="1"/>
  <c r="O35" i="1"/>
  <c r="Y29" i="14"/>
  <c r="Y35" i="14" s="1"/>
  <c r="AS32" i="10"/>
  <c r="D53" i="14"/>
  <c r="D60" i="14" s="1"/>
  <c r="D98" i="14" s="1"/>
  <c r="AR102" i="14"/>
  <c r="BO27" i="10"/>
  <c r="P33" i="10"/>
  <c r="AV53" i="14"/>
  <c r="AV60" i="14" s="1"/>
  <c r="AV98" i="14" s="1"/>
  <c r="AV23" i="14"/>
  <c r="AV35" i="14" s="1"/>
  <c r="BO17" i="14"/>
  <c r="P35" i="8"/>
  <c r="AH29" i="14"/>
  <c r="AQ29" i="14"/>
  <c r="AL29" i="14"/>
  <c r="AA33" i="10"/>
  <c r="AR23" i="10"/>
  <c r="AF23" i="10"/>
  <c r="AF53" i="10"/>
  <c r="AF60" i="10" s="1"/>
  <c r="AF98" i="10" s="1"/>
  <c r="F29" i="14"/>
  <c r="H29" i="10"/>
  <c r="AC53" i="10"/>
  <c r="AC60" i="10" s="1"/>
  <c r="AC98" i="10" s="1"/>
  <c r="AB102" i="10"/>
  <c r="P102" i="10"/>
  <c r="BS102" i="10"/>
  <c r="AO102" i="14"/>
  <c r="AN102" i="14"/>
  <c r="W34" i="14"/>
  <c r="AN23" i="10"/>
  <c r="AN35" i="10" s="1"/>
  <c r="AN53" i="10"/>
  <c r="T34" i="10"/>
  <c r="AO13" i="14"/>
  <c r="AP102" i="14"/>
  <c r="AE23" i="10"/>
  <c r="AE53" i="10"/>
  <c r="AE60" i="10" s="1"/>
  <c r="AE98" i="10" s="1"/>
  <c r="AG23" i="10"/>
  <c r="AN23" i="14"/>
  <c r="AN53" i="14"/>
  <c r="AN60" i="14" s="1"/>
  <c r="AN98" i="14" s="1"/>
  <c r="AQ23" i="14"/>
  <c r="BO20" i="10"/>
  <c r="BO32" i="10" s="1"/>
  <c r="BO41" i="10"/>
  <c r="AP29" i="14"/>
  <c r="AP35" i="14" s="1"/>
  <c r="AP53" i="14"/>
  <c r="AP60" i="14" s="1"/>
  <c r="AP98" i="14" s="1"/>
  <c r="AX53" i="10"/>
  <c r="AX60" i="10" s="1"/>
  <c r="AX98" i="10" s="1"/>
  <c r="AO33" i="14"/>
  <c r="G32" i="10"/>
  <c r="E53" i="14"/>
  <c r="E60" i="14" s="1"/>
  <c r="E98" i="14" s="1"/>
  <c r="E23" i="14"/>
  <c r="AP102" i="10"/>
  <c r="AL33" i="10"/>
  <c r="W33" i="10"/>
  <c r="M34" i="10"/>
  <c r="Z33" i="14"/>
  <c r="BO89" i="14"/>
  <c r="M32" i="14"/>
  <c r="BO58" i="14"/>
  <c r="BO47" i="14"/>
  <c r="D32" i="14"/>
  <c r="BQ11" i="10"/>
  <c r="BQ41" i="14"/>
  <c r="BQ23" i="14" s="1"/>
  <c r="AE53" i="14"/>
  <c r="AE60" i="14" s="1"/>
  <c r="AE98" i="14" s="1"/>
  <c r="AF29" i="14"/>
  <c r="AF35" i="14" s="1"/>
  <c r="G102" i="14"/>
  <c r="D102" i="14"/>
  <c r="BT102" i="14"/>
  <c r="E102" i="14"/>
  <c r="O32" i="14"/>
  <c r="BO33" i="9"/>
  <c r="BO50" i="10"/>
  <c r="BO47" i="10"/>
  <c r="BQ22" i="14"/>
  <c r="AU34" i="10"/>
  <c r="AV53" i="10"/>
  <c r="AV60" i="10" s="1"/>
  <c r="AV98" i="10" s="1"/>
  <c r="AV23" i="10"/>
  <c r="AV35" i="10" s="1"/>
  <c r="W29" i="14"/>
  <c r="W35" i="14" s="1"/>
  <c r="Y23" i="10"/>
  <c r="Y35" i="10" s="1"/>
  <c r="AQ29" i="10"/>
  <c r="J33" i="10"/>
  <c r="AH34" i="10"/>
  <c r="AP53" i="10"/>
  <c r="AP60" i="10" s="1"/>
  <c r="AP98" i="10" s="1"/>
  <c r="AP23" i="10"/>
  <c r="BO93" i="10"/>
  <c r="AF60" i="14"/>
  <c r="AF98" i="14" s="1"/>
  <c r="AB35" i="1"/>
  <c r="O32" i="10"/>
  <c r="AU35" i="1"/>
  <c r="AJ53" i="14"/>
  <c r="AJ60" i="14" s="1"/>
  <c r="AJ98" i="14" s="1"/>
  <c r="BR28" i="14"/>
  <c r="AF32" i="10"/>
  <c r="H32" i="14"/>
  <c r="AG29" i="14"/>
  <c r="AO29" i="10"/>
  <c r="R53" i="10"/>
  <c r="R60" i="10" s="1"/>
  <c r="R98" i="10" s="1"/>
  <c r="AJ102" i="10"/>
  <c r="AM23" i="10"/>
  <c r="AM35" i="10" s="1"/>
  <c r="AM53" i="10"/>
  <c r="AM60" i="10" s="1"/>
  <c r="AM98" i="10" s="1"/>
  <c r="AK102" i="14"/>
  <c r="AJ102" i="14"/>
  <c r="S102" i="10"/>
  <c r="X102" i="14"/>
  <c r="O23" i="14"/>
  <c r="O35" i="14" s="1"/>
  <c r="O53" i="14"/>
  <c r="O60" i="14" s="1"/>
  <c r="O98" i="14" s="1"/>
  <c r="BO89" i="10"/>
  <c r="BO22" i="10"/>
  <c r="BO58" i="10"/>
  <c r="L35" i="1"/>
  <c r="AN32" i="10"/>
  <c r="M60" i="14"/>
  <c r="O53" i="10"/>
  <c r="O60" i="10" s="1"/>
  <c r="O98" i="10" s="1"/>
  <c r="O29" i="10"/>
  <c r="AS23" i="14"/>
  <c r="AS53" i="14"/>
  <c r="AS60" i="14" s="1"/>
  <c r="AK34" i="14"/>
  <c r="F23" i="10"/>
  <c r="J53" i="10"/>
  <c r="J60" i="10" s="1"/>
  <c r="J98" i="10" s="1"/>
  <c r="J29" i="10"/>
  <c r="J35" i="10" s="1"/>
  <c r="AH23" i="10"/>
  <c r="AH53" i="10"/>
  <c r="AH60" i="10" s="1"/>
  <c r="AH98" i="10" s="1"/>
  <c r="AM53" i="14"/>
  <c r="AM60" i="14" s="1"/>
  <c r="AM98" i="14" s="1"/>
  <c r="AM23" i="14"/>
  <c r="AM35" i="14" s="1"/>
  <c r="P34" i="14"/>
  <c r="M35" i="8"/>
  <c r="AF34" i="10"/>
  <c r="P35" i="9"/>
  <c r="AY29" i="14"/>
  <c r="AB29" i="10"/>
  <c r="AB35" i="10" s="1"/>
  <c r="AB53" i="10"/>
  <c r="AB60" i="10" s="1"/>
  <c r="AB98" i="10" s="1"/>
  <c r="S33" i="10"/>
  <c r="AU102" i="14"/>
  <c r="BQ102" i="14"/>
  <c r="AR53" i="14"/>
  <c r="AR60" i="14" s="1"/>
  <c r="AR98" i="14" s="1"/>
  <c r="P32" i="10"/>
  <c r="AD34" i="10"/>
  <c r="AW23" i="10"/>
  <c r="AW53" i="10"/>
  <c r="AW60" i="10" s="1"/>
  <c r="N32" i="14"/>
  <c r="W53" i="10"/>
  <c r="W60" i="10" s="1"/>
  <c r="W98" i="10" s="1"/>
  <c r="W23" i="10"/>
  <c r="W35" i="10" s="1"/>
  <c r="AD23" i="14"/>
  <c r="AD53" i="14"/>
  <c r="AD60" i="14" s="1"/>
  <c r="AD98" i="14" s="1"/>
  <c r="M33" i="14"/>
  <c r="BT11" i="10"/>
  <c r="AG33" i="14"/>
  <c r="BQ20" i="14"/>
  <c r="G34" i="10"/>
  <c r="BO21" i="10"/>
  <c r="BO51" i="10"/>
  <c r="AC29" i="14"/>
  <c r="AN102" i="10"/>
  <c r="AJ35" i="1"/>
  <c r="R32" i="10"/>
  <c r="P53" i="14"/>
  <c r="P60" i="14" s="1"/>
  <c r="P98" i="14" s="1"/>
  <c r="P23" i="14"/>
  <c r="P35" i="14" s="1"/>
  <c r="AC32" i="14"/>
  <c r="N53" i="10"/>
  <c r="N60" i="10" s="1"/>
  <c r="N98" i="10" s="1"/>
  <c r="N23" i="10"/>
  <c r="AS33" i="14"/>
  <c r="AT32" i="10"/>
  <c r="AK33" i="14"/>
  <c r="AG29" i="10"/>
  <c r="H53" i="14"/>
  <c r="H60" i="14" s="1"/>
  <c r="H98" i="14" s="1"/>
  <c r="H23" i="14"/>
  <c r="AO49" i="14"/>
  <c r="AO29" i="14"/>
  <c r="Y53" i="14"/>
  <c r="Y60" i="14" s="1"/>
  <c r="Y98" i="14" s="1"/>
  <c r="Y102" i="10"/>
  <c r="BR50" i="14"/>
  <c r="X53" i="10"/>
  <c r="X60" i="10" s="1"/>
  <c r="X98" i="10" s="1"/>
  <c r="X23" i="10"/>
  <c r="U23" i="14"/>
  <c r="U53" i="14"/>
  <c r="U60" i="14" s="1"/>
  <c r="U98" i="14" s="1"/>
  <c r="P53" i="10"/>
  <c r="P60" i="10" s="1"/>
  <c r="P23" i="10"/>
  <c r="P35" i="10" s="1"/>
  <c r="BO96" i="10"/>
  <c r="O102" i="10"/>
  <c r="D53" i="10"/>
  <c r="D60" i="10" s="1"/>
  <c r="D98" i="10" s="1"/>
  <c r="D23" i="10"/>
  <c r="N23" i="14"/>
  <c r="N35" i="14" s="1"/>
  <c r="N53" i="14"/>
  <c r="N60" i="14" s="1"/>
  <c r="N98" i="14" s="1"/>
  <c r="AO102" i="10"/>
  <c r="BQ102" i="10"/>
  <c r="S35" i="8"/>
  <c r="AO43" i="14"/>
  <c r="AO53" i="14"/>
  <c r="AO60" i="14" s="1"/>
  <c r="AO98" i="14" s="1"/>
  <c r="AO23" i="14"/>
  <c r="AA53" i="14"/>
  <c r="AA60" i="14" s="1"/>
  <c r="AA98" i="14" s="1"/>
  <c r="AA23" i="14"/>
  <c r="T23" i="14"/>
  <c r="T53" i="14"/>
  <c r="T60" i="14" s="1"/>
  <c r="T98" i="14" s="1"/>
  <c r="F53" i="10"/>
  <c r="F60" i="10" s="1"/>
  <c r="F98" i="10" s="1"/>
  <c r="F29" i="10"/>
  <c r="BO17" i="10"/>
  <c r="AY33" i="10"/>
  <c r="V102" i="14"/>
  <c r="Z23" i="14"/>
  <c r="Z53" i="14"/>
  <c r="Z60" i="14" s="1"/>
  <c r="Z98" i="14" s="1"/>
  <c r="U33" i="10"/>
  <c r="K23" i="10"/>
  <c r="K102" i="10"/>
  <c r="L102" i="10"/>
  <c r="BR58" i="14"/>
  <c r="BO11" i="10"/>
  <c r="AW29" i="10"/>
  <c r="Q35" i="9"/>
  <c r="BW17" i="10"/>
  <c r="Q33" i="14"/>
  <c r="H34" i="10"/>
  <c r="AR33" i="10"/>
  <c r="AC34" i="14"/>
  <c r="I29" i="14"/>
  <c r="BR102" i="10"/>
  <c r="Z29" i="10"/>
  <c r="Z35" i="10" s="1"/>
  <c r="Z53" i="10"/>
  <c r="Z60" i="10" s="1"/>
  <c r="Z98" i="10" s="1"/>
  <c r="R102" i="10"/>
  <c r="AX102" i="10"/>
  <c r="AD35" i="10"/>
  <c r="K102" i="14"/>
  <c r="J102" i="14"/>
  <c r="AH34" i="14"/>
  <c r="AH53" i="14"/>
  <c r="AH60" i="14" s="1"/>
  <c r="AH98" i="14" s="1"/>
  <c r="AH23" i="14"/>
  <c r="F102" i="10"/>
  <c r="G102" i="10"/>
  <c r="AB32" i="14"/>
  <c r="L33" i="14"/>
  <c r="X35" i="8"/>
  <c r="M102" i="14"/>
  <c r="L102" i="14"/>
  <c r="AS33" i="10"/>
  <c r="V53" i="14"/>
  <c r="V60" i="14" s="1"/>
  <c r="V98" i="14" s="1"/>
  <c r="V29" i="14"/>
  <c r="H35" i="9"/>
  <c r="M23" i="10"/>
  <c r="M35" i="10" s="1"/>
  <c r="M53" i="10"/>
  <c r="M60" i="10" s="1"/>
  <c r="M98" i="10" s="1"/>
  <c r="AI32" i="14"/>
  <c r="Z35" i="1"/>
  <c r="AY35" i="8"/>
  <c r="Q32" i="10"/>
  <c r="AD29" i="14"/>
  <c r="I29" i="10"/>
  <c r="AS53" i="10"/>
  <c r="AS60" i="10" s="1"/>
  <c r="AS98" i="10" s="1"/>
  <c r="AS23" i="10"/>
  <c r="AS35" i="10" s="1"/>
  <c r="S23" i="14"/>
  <c r="S53" i="14"/>
  <c r="S60" i="14" s="1"/>
  <c r="S98" i="14" s="1"/>
  <c r="AS102" i="10"/>
  <c r="X29" i="10"/>
  <c r="BO53" i="8"/>
  <c r="BO60" i="8" s="1"/>
  <c r="BO98" i="8" s="1"/>
  <c r="I102" i="10"/>
  <c r="AV32" i="14"/>
  <c r="BO34" i="9"/>
  <c r="AX33" i="14"/>
  <c r="AT35" i="9"/>
  <c r="AA53" i="10"/>
  <c r="AA60" i="10" s="1"/>
  <c r="AA98" i="10" s="1"/>
  <c r="AA23" i="10"/>
  <c r="AA35" i="10" s="1"/>
  <c r="AN35" i="8"/>
  <c r="AO32" i="10"/>
  <c r="AC53" i="14"/>
  <c r="AC60" i="14" s="1"/>
  <c r="AC98" i="14" s="1"/>
  <c r="AC23" i="14"/>
  <c r="AD53" i="10"/>
  <c r="AD60" i="10" s="1"/>
  <c r="AD98" i="10" s="1"/>
  <c r="BO93" i="14"/>
  <c r="R32" i="14"/>
  <c r="F23" i="14"/>
  <c r="F53" i="14"/>
  <c r="F60" i="14" s="1"/>
  <c r="F98" i="14" s="1"/>
  <c r="I53" i="10"/>
  <c r="I60" i="10" s="1"/>
  <c r="I98" i="10" s="1"/>
  <c r="G53" i="10"/>
  <c r="G60" i="10" s="1"/>
  <c r="G98" i="10" s="1"/>
  <c r="E53" i="10"/>
  <c r="E60" i="10" s="1"/>
  <c r="E98" i="10" s="1"/>
  <c r="E23" i="10"/>
  <c r="AY53" i="10"/>
  <c r="AY60" i="10" s="1"/>
  <c r="AY23" i="10"/>
  <c r="AY35" i="10" s="1"/>
  <c r="AJ53" i="10"/>
  <c r="AJ60" i="10" s="1"/>
  <c r="AJ98" i="10" s="1"/>
  <c r="AJ29" i="10"/>
  <c r="AJ35" i="10" s="1"/>
  <c r="T102" i="10"/>
  <c r="AC102" i="14"/>
  <c r="BR102" i="14"/>
  <c r="AB23" i="14"/>
  <c r="AB35" i="14" s="1"/>
  <c r="AB53" i="14"/>
  <c r="AB60" i="14" s="1"/>
  <c r="AB98" i="14" s="1"/>
  <c r="BR11" i="10"/>
  <c r="AI23" i="14"/>
  <c r="AI35" i="14" s="1"/>
  <c r="AI53" i="14"/>
  <c r="AI60" i="14" s="1"/>
  <c r="AI98" i="14" s="1"/>
  <c r="AE102" i="14"/>
  <c r="AD102" i="14"/>
  <c r="Q102" i="14"/>
  <c r="R102" i="14"/>
  <c r="AI53" i="10"/>
  <c r="AI60" i="10" s="1"/>
  <c r="AI98" i="10" s="1"/>
  <c r="AI23" i="10"/>
  <c r="AI35" i="10" s="1"/>
  <c r="AY23" i="14"/>
  <c r="AY35" i="14" s="1"/>
  <c r="AY53" i="14"/>
  <c r="AY60" i="14" s="1"/>
  <c r="AY98" i="14" s="1"/>
  <c r="AL33" i="14"/>
  <c r="AT102" i="10"/>
  <c r="AQ34" i="10"/>
  <c r="R35" i="1"/>
  <c r="AN29" i="14"/>
  <c r="AQ53" i="10"/>
  <c r="AQ60" i="10" s="1"/>
  <c r="AQ98" i="10" s="1"/>
  <c r="AQ23" i="10"/>
  <c r="AQ35" i="10" s="1"/>
  <c r="Q98" i="10"/>
  <c r="AK34" i="10"/>
  <c r="AK53" i="14"/>
  <c r="AK60" i="14" s="1"/>
  <c r="AK98" i="14" s="1"/>
  <c r="AK23" i="14"/>
  <c r="AT23" i="10"/>
  <c r="AT35" i="10" s="1"/>
  <c r="AT53" i="10"/>
  <c r="AT60" i="10" s="1"/>
  <c r="AT98" i="10" s="1"/>
  <c r="AJ32" i="10"/>
  <c r="H23" i="10"/>
  <c r="H35" i="10" s="1"/>
  <c r="H53" i="10"/>
  <c r="H60" i="10" s="1"/>
  <c r="H98" i="10" s="1"/>
  <c r="P102" i="14"/>
  <c r="O102" i="14"/>
  <c r="BS102" i="14"/>
  <c r="AU53" i="14"/>
  <c r="AU60" i="14" s="1"/>
  <c r="AU98" i="14" s="1"/>
  <c r="AU23" i="14"/>
  <c r="AU35" i="14" s="1"/>
  <c r="BO28" i="10"/>
  <c r="AG35" i="8"/>
  <c r="BR21" i="14"/>
  <c r="BR33" i="14" s="1"/>
  <c r="BR51" i="14"/>
  <c r="AR35" i="8"/>
  <c r="AO53" i="10"/>
  <c r="AO60" i="10" s="1"/>
  <c r="AO98" i="10" s="1"/>
  <c r="AO23" i="10"/>
  <c r="D29" i="10"/>
  <c r="M32" i="10"/>
  <c r="AU34" i="14"/>
  <c r="R23" i="14"/>
  <c r="R53" i="14"/>
  <c r="R60" i="14" s="1"/>
  <c r="BR17" i="14"/>
  <c r="AQ34" i="14"/>
  <c r="X102" i="12"/>
  <c r="Q15" i="13" s="1"/>
  <c r="X50" i="12"/>
  <c r="BS33" i="14"/>
  <c r="X93" i="12"/>
  <c r="BP33" i="1"/>
  <c r="X58" i="12"/>
  <c r="BR53" i="9"/>
  <c r="BR60" i="9" s="1"/>
  <c r="BR98" i="9" s="1"/>
  <c r="X52" i="12"/>
  <c r="X47" i="12"/>
  <c r="X41" i="12"/>
  <c r="X20" i="12"/>
  <c r="Y95" i="12"/>
  <c r="AA95" i="12"/>
  <c r="AA96" i="12" s="1"/>
  <c r="X27" i="12"/>
  <c r="X26" i="12"/>
  <c r="X95" i="12"/>
  <c r="X96" i="12" s="1"/>
  <c r="Z95" i="12"/>
  <c r="Z96" i="12" s="1"/>
  <c r="X22" i="12"/>
  <c r="X21" i="12"/>
  <c r="X28" i="12"/>
  <c r="Y14" i="12"/>
  <c r="X51" i="12"/>
  <c r="X83" i="12"/>
  <c r="BT32" i="1"/>
  <c r="BP33" i="14"/>
  <c r="BP34" i="14"/>
  <c r="BR32" i="1"/>
  <c r="BT34" i="1"/>
  <c r="BS33" i="1"/>
  <c r="BQ29" i="1"/>
  <c r="BT53" i="1"/>
  <c r="BT60" i="1" s="1"/>
  <c r="BT98" i="1" s="1"/>
  <c r="BR33" i="1"/>
  <c r="BP32" i="1"/>
  <c r="BP23" i="14"/>
  <c r="BP53" i="14"/>
  <c r="BP60" i="14" s="1"/>
  <c r="BP98" i="14" s="1"/>
  <c r="BP32" i="14"/>
  <c r="BP29" i="14"/>
  <c r="BS32" i="1"/>
  <c r="BP34" i="1"/>
  <c r="BR34" i="1"/>
  <c r="BQ33" i="1"/>
  <c r="BS34" i="1"/>
  <c r="BT33" i="1"/>
  <c r="BQ33" i="8"/>
  <c r="BQ32" i="1"/>
  <c r="BQ32" i="9"/>
  <c r="BR29" i="1"/>
  <c r="BR33" i="9"/>
  <c r="BR34" i="9"/>
  <c r="BP34" i="9"/>
  <c r="BP23" i="9"/>
  <c r="BQ34" i="9"/>
  <c r="BQ34" i="8"/>
  <c r="BQ29" i="8"/>
  <c r="BR33" i="8"/>
  <c r="BP33" i="10"/>
  <c r="BP34" i="10"/>
  <c r="BT34" i="9"/>
  <c r="BT33" i="9"/>
  <c r="BQ23" i="8"/>
  <c r="BQ34" i="1"/>
  <c r="BP33" i="9"/>
  <c r="BS34" i="9"/>
  <c r="BS33" i="8"/>
  <c r="BS34" i="8"/>
  <c r="BS32" i="9"/>
  <c r="BT23" i="1"/>
  <c r="BS23" i="1"/>
  <c r="BR23" i="1"/>
  <c r="BQ53" i="9"/>
  <c r="BQ60" i="9" s="1"/>
  <c r="BQ98" i="9" s="1"/>
  <c r="BQ23" i="1"/>
  <c r="BR34" i="8"/>
  <c r="BP23" i="1"/>
  <c r="BT29" i="1"/>
  <c r="BS29" i="1"/>
  <c r="BP29" i="1"/>
  <c r="BP29" i="9"/>
  <c r="BP53" i="10"/>
  <c r="BP60" i="10" s="1"/>
  <c r="BP98" i="10" s="1"/>
  <c r="BP32" i="10"/>
  <c r="BP29" i="10"/>
  <c r="BS33" i="10"/>
  <c r="BP23" i="10"/>
  <c r="BQ29" i="9"/>
  <c r="BT23" i="9"/>
  <c r="BS29" i="9"/>
  <c r="BR32" i="9"/>
  <c r="BS23" i="9"/>
  <c r="BS33" i="9"/>
  <c r="BQ33" i="9"/>
  <c r="BQ23" i="9"/>
  <c r="BT32" i="9"/>
  <c r="BT53" i="9"/>
  <c r="BT60" i="9" s="1"/>
  <c r="BT98" i="9" s="1"/>
  <c r="BT29" i="9"/>
  <c r="BR29" i="9"/>
  <c r="BR23" i="9"/>
  <c r="BP32" i="9"/>
  <c r="BP53" i="9"/>
  <c r="BP60" i="9" s="1"/>
  <c r="BP98" i="9" s="1"/>
  <c r="BS53" i="9"/>
  <c r="BS60" i="9" s="1"/>
  <c r="BS98" i="9" s="1"/>
  <c r="BQ32" i="8"/>
  <c r="BR53" i="8"/>
  <c r="BR60" i="8" s="1"/>
  <c r="BR98" i="8" s="1"/>
  <c r="BT23" i="8"/>
  <c r="BQ53" i="8"/>
  <c r="BQ60" i="8" s="1"/>
  <c r="BQ98" i="8" s="1"/>
  <c r="BT53" i="8"/>
  <c r="BT60" i="8" s="1"/>
  <c r="BT98" i="8" s="1"/>
  <c r="BT34" i="8"/>
  <c r="BS23" i="8"/>
  <c r="BP34" i="8"/>
  <c r="BT33" i="8"/>
  <c r="BS53" i="8"/>
  <c r="BS60" i="8" s="1"/>
  <c r="BS98" i="8" s="1"/>
  <c r="BP53" i="8"/>
  <c r="BP60" i="8" s="1"/>
  <c r="BP98" i="8" s="1"/>
  <c r="BT29" i="8"/>
  <c r="BP23" i="8"/>
  <c r="BR23" i="8"/>
  <c r="BP33" i="8"/>
  <c r="BT32" i="8"/>
  <c r="BS32" i="8"/>
  <c r="BS29" i="8"/>
  <c r="BP29" i="8"/>
  <c r="BR32" i="8"/>
  <c r="BP32" i="8"/>
  <c r="BR29" i="8"/>
  <c r="BS53" i="1"/>
  <c r="BS60" i="1" s="1"/>
  <c r="BS98" i="1" s="1"/>
  <c r="BR53" i="1"/>
  <c r="BR60" i="1" s="1"/>
  <c r="BR98" i="1" s="1"/>
  <c r="BQ53" i="1"/>
  <c r="BQ60" i="1" s="1"/>
  <c r="BQ98" i="1" s="1"/>
  <c r="BP53" i="1"/>
  <c r="BP60" i="1" s="1"/>
  <c r="BP98" i="1" s="1"/>
  <c r="AA65" i="12" a="1"/>
  <c r="Z77" i="12" a="1"/>
  <c r="AA79" i="12" a="1"/>
  <c r="AA21" i="12" a="1"/>
  <c r="W57" i="12" a="1"/>
  <c r="Z78" i="12" a="1"/>
  <c r="Y81" i="12" a="1"/>
  <c r="Z76" i="12" a="1"/>
  <c r="Z81" i="12" a="1"/>
  <c r="Y68" i="12" a="1"/>
  <c r="AA68" i="12" a="1"/>
  <c r="AB73" i="12" a="1"/>
  <c r="Z65" i="12" a="1"/>
  <c r="Z15" i="12" a="1"/>
  <c r="AB95" i="12" a="1"/>
  <c r="Y39" i="12" a="1"/>
  <c r="AB92" i="12" a="1"/>
  <c r="Y87" i="12" a="1"/>
  <c r="W28" i="12" a="1"/>
  <c r="Y15" i="12" a="1"/>
  <c r="W15" i="12" a="1"/>
  <c r="W21" i="12" a="1"/>
  <c r="Z102" i="12" a="1"/>
  <c r="Z38" i="12" a="1"/>
  <c r="AB67" i="12" a="1"/>
  <c r="W45" i="12" a="1"/>
  <c r="W102" i="12" a="1"/>
  <c r="AA81" i="12" a="1"/>
  <c r="W39" i="12" a="1"/>
  <c r="Y9" i="12" a="1"/>
  <c r="Z28" i="12" a="1"/>
  <c r="Z26" i="12" a="1"/>
  <c r="Y102" i="12" a="1"/>
  <c r="AB71" i="12" a="1"/>
  <c r="Z63" i="12" a="1"/>
  <c r="AA22" i="12" a="1"/>
  <c r="W8" i="12" a="1"/>
  <c r="W46" i="12" a="1"/>
  <c r="Y86" i="12" a="1"/>
  <c r="X23" i="12" a="1"/>
  <c r="W27" i="12" a="1"/>
  <c r="AA102" i="12" a="1"/>
  <c r="Z27" i="12" a="1"/>
  <c r="Z70" i="12" a="1"/>
  <c r="AA27" i="12" a="1"/>
  <c r="X29" i="12" a="1"/>
  <c r="Y88" i="12" a="1"/>
  <c r="AA77" i="12" a="1"/>
  <c r="AB27" i="12" a="1"/>
  <c r="Y21" i="12" a="1"/>
  <c r="AB22" i="12" a="1"/>
  <c r="Y28" i="12" a="1"/>
  <c r="W22" i="12" a="1"/>
  <c r="W26" i="12" a="1"/>
  <c r="Z91" i="12" a="1"/>
  <c r="Y70" i="12" a="1"/>
  <c r="D102" i="12" a="1"/>
  <c r="Y22" i="12" a="1"/>
  <c r="AB26" i="12" a="1"/>
  <c r="H102" i="12" a="1"/>
  <c r="AA44" i="12" a="1"/>
  <c r="AA20" i="12" a="1"/>
  <c r="AB64" i="12" a="1"/>
  <c r="F102" i="12" a="1"/>
  <c r="W92" i="12" a="1"/>
  <c r="AA40" i="12" a="1"/>
  <c r="Z67" i="12" a="1"/>
  <c r="W73" i="12" a="1"/>
  <c r="Y63" i="12" a="1"/>
  <c r="Z21" i="12" a="1"/>
  <c r="Y26" i="12" a="1"/>
  <c r="Y57" i="12" a="1"/>
  <c r="AB102" i="12" a="1"/>
  <c r="AB75" i="12" a="1"/>
  <c r="AB44" i="12" a="1"/>
  <c r="AB57" i="12" a="1"/>
  <c r="AA80" i="12" a="1"/>
  <c r="AB28" i="12" a="1"/>
  <c r="AB88" i="12" a="1"/>
  <c r="I102" i="12" a="1"/>
  <c r="Y45" i="12" a="1"/>
  <c r="AA71" i="12" a="1"/>
  <c r="AB21" i="12" a="1"/>
  <c r="AA78" i="12" a="1"/>
  <c r="Z57" i="12" a="1"/>
  <c r="Y38" i="12" a="1"/>
  <c r="W20" i="12" a="1"/>
  <c r="W63" i="12" a="1"/>
  <c r="Z22" i="12" a="1"/>
  <c r="AA28" i="12" a="1"/>
  <c r="AA76" i="12" a="1"/>
  <c r="AA26" i="12" a="1"/>
  <c r="Z20" i="12" a="1"/>
  <c r="Y80" i="12" a="1"/>
  <c r="M10" i="12" l="1"/>
  <c r="N87" i="12"/>
  <c r="R15" i="12"/>
  <c r="R10" i="12"/>
  <c r="K15" i="12"/>
  <c r="K39" i="12"/>
  <c r="U86" i="12"/>
  <c r="D21" i="12"/>
  <c r="Q21" i="12" s="1"/>
  <c r="K9" i="12"/>
  <c r="H51" i="12"/>
  <c r="N51" i="12" s="1"/>
  <c r="M86" i="12"/>
  <c r="Q15" i="12"/>
  <c r="Q66" i="12"/>
  <c r="I28" i="12"/>
  <c r="T73" i="12"/>
  <c r="M72" i="12"/>
  <c r="M9" i="12"/>
  <c r="Q10" i="12"/>
  <c r="S15" i="12"/>
  <c r="O44" i="12"/>
  <c r="U15" i="12"/>
  <c r="S10" i="12"/>
  <c r="N16" i="12"/>
  <c r="M64" i="12"/>
  <c r="O66" i="12"/>
  <c r="S75" i="12"/>
  <c r="Z65" i="12"/>
  <c r="AB73" i="12"/>
  <c r="AA68" i="12"/>
  <c r="Y68" i="12"/>
  <c r="Z81" i="12"/>
  <c r="AL81" i="12" s="1"/>
  <c r="Z76" i="12"/>
  <c r="Y81" i="12"/>
  <c r="AK81" i="12" s="1"/>
  <c r="Z78" i="12"/>
  <c r="AL78" i="12" s="1"/>
  <c r="W57" i="12"/>
  <c r="AA21" i="12"/>
  <c r="AA79" i="12"/>
  <c r="Z77" i="12"/>
  <c r="AA65" i="12"/>
  <c r="AG65" i="12" s="1"/>
  <c r="J29" i="14"/>
  <c r="J35" i="14" s="1"/>
  <c r="AR29" i="10"/>
  <c r="F11" i="12"/>
  <c r="M39" i="12"/>
  <c r="CA17" i="10"/>
  <c r="L45" i="12"/>
  <c r="CB17" i="14"/>
  <c r="BT29" i="14" s="1"/>
  <c r="AG98" i="14"/>
  <c r="R29" i="10"/>
  <c r="R35" i="10" s="1"/>
  <c r="H29" i="14"/>
  <c r="AY98" i="10"/>
  <c r="AP35" i="10"/>
  <c r="D51" i="12"/>
  <c r="I52" i="12"/>
  <c r="AY102" i="14"/>
  <c r="L29" i="10"/>
  <c r="K53" i="10"/>
  <c r="K60" i="10" s="1"/>
  <c r="K98" i="10" s="1"/>
  <c r="AW98" i="10"/>
  <c r="AS98" i="14"/>
  <c r="O88" i="12"/>
  <c r="AW35" i="14"/>
  <c r="U75" i="12"/>
  <c r="M45" i="12"/>
  <c r="T80" i="12"/>
  <c r="S71" i="12"/>
  <c r="S76" i="12"/>
  <c r="L64" i="12"/>
  <c r="U10" i="12"/>
  <c r="R98" i="14"/>
  <c r="S35" i="14"/>
  <c r="K35" i="10"/>
  <c r="BR29" i="14"/>
  <c r="S45" i="12"/>
  <c r="AY32" i="10"/>
  <c r="BT28" i="14"/>
  <c r="BQ83" i="10"/>
  <c r="I47" i="12"/>
  <c r="M73" i="12"/>
  <c r="T98" i="10"/>
  <c r="R8" i="12"/>
  <c r="BR23" i="14"/>
  <c r="L88" i="12"/>
  <c r="K73" i="12"/>
  <c r="CB17" i="10"/>
  <c r="BT23" i="10" s="1"/>
  <c r="BT50" i="14"/>
  <c r="R88" i="12"/>
  <c r="M88" i="12"/>
  <c r="BO52" i="14"/>
  <c r="P98" i="10"/>
  <c r="S88" i="12"/>
  <c r="BO22" i="14"/>
  <c r="Q73" i="12"/>
  <c r="BT20" i="10"/>
  <c r="L53" i="10"/>
  <c r="L60" i="10" s="1"/>
  <c r="L98" i="10" s="1"/>
  <c r="BO53" i="1"/>
  <c r="BO60" i="1" s="1"/>
  <c r="BO98" i="1" s="1"/>
  <c r="I35" i="10"/>
  <c r="AA35" i="14"/>
  <c r="M98" i="14"/>
  <c r="AN60" i="10"/>
  <c r="AN98" i="10" s="1"/>
  <c r="D89" i="12"/>
  <c r="Q89" i="12" s="1"/>
  <c r="U88" i="12"/>
  <c r="R73" i="12"/>
  <c r="BT26" i="14"/>
  <c r="H28" i="12"/>
  <c r="H34" i="12" s="1"/>
  <c r="T8" i="12"/>
  <c r="D27" i="12"/>
  <c r="R27" i="12" s="1"/>
  <c r="L66" i="12"/>
  <c r="Q80" i="12"/>
  <c r="R66" i="12"/>
  <c r="L65" i="12"/>
  <c r="D26" i="12"/>
  <c r="Q26" i="12" s="1"/>
  <c r="R45" i="12"/>
  <c r="T45" i="12"/>
  <c r="T65" i="12"/>
  <c r="L9" i="12"/>
  <c r="N45" i="12"/>
  <c r="O71" i="12"/>
  <c r="O8" i="12"/>
  <c r="O80" i="12"/>
  <c r="U73" i="12"/>
  <c r="U65" i="12"/>
  <c r="I93" i="12"/>
  <c r="U93" i="12" s="1"/>
  <c r="N15" i="12"/>
  <c r="O57" i="12"/>
  <c r="AE56" i="12"/>
  <c r="M69" i="12"/>
  <c r="I89" i="12"/>
  <c r="Z67" i="12"/>
  <c r="Y70" i="12"/>
  <c r="AA27" i="12"/>
  <c r="Z63" i="12"/>
  <c r="AB67" i="12"/>
  <c r="AB95" i="12"/>
  <c r="Z57" i="12"/>
  <c r="Z58" i="12" s="1"/>
  <c r="AB44" i="12"/>
  <c r="AN44" i="12" s="1"/>
  <c r="AA40" i="12"/>
  <c r="Z91" i="12"/>
  <c r="Z70" i="12"/>
  <c r="AB71" i="12"/>
  <c r="AN71" i="12" s="1"/>
  <c r="Z38" i="12"/>
  <c r="Z50" i="12" s="1"/>
  <c r="Z15" i="12"/>
  <c r="AA78" i="12"/>
  <c r="AG78" i="12" s="1"/>
  <c r="H35" i="14"/>
  <c r="H41" i="12"/>
  <c r="O91" i="12"/>
  <c r="Q91" i="12"/>
  <c r="L91" i="12"/>
  <c r="O79" i="12"/>
  <c r="BR83" i="10"/>
  <c r="M102" i="10"/>
  <c r="AR35" i="14"/>
  <c r="BS32" i="10"/>
  <c r="O9" i="12"/>
  <c r="BT34" i="14"/>
  <c r="Q70" i="12"/>
  <c r="BO83" i="14"/>
  <c r="BT96" i="10"/>
  <c r="U87" i="12"/>
  <c r="AO35" i="10"/>
  <c r="R69" i="12"/>
  <c r="L82" i="12"/>
  <c r="N9" i="12"/>
  <c r="M67" i="12"/>
  <c r="BS29" i="14"/>
  <c r="BO60" i="9"/>
  <c r="BO98" i="9" s="1"/>
  <c r="Q29" i="14"/>
  <c r="Q35" i="14" s="1"/>
  <c r="H27" i="12"/>
  <c r="R34" i="10"/>
  <c r="BT53" i="10"/>
  <c r="BS34" i="10"/>
  <c r="AG23" i="14"/>
  <c r="AG35" i="14" s="1"/>
  <c r="AQ98" i="14"/>
  <c r="AN33" i="10"/>
  <c r="N35" i="10"/>
  <c r="AH35" i="10"/>
  <c r="AK35" i="10"/>
  <c r="T82" i="12"/>
  <c r="U9" i="12"/>
  <c r="J98" i="14"/>
  <c r="M71" i="12"/>
  <c r="AL98" i="14"/>
  <c r="O15" i="12"/>
  <c r="L86" i="12"/>
  <c r="H93" i="12"/>
  <c r="T72" i="12"/>
  <c r="T70" i="12"/>
  <c r="S78" i="12"/>
  <c r="G17" i="12"/>
  <c r="T14" i="12"/>
  <c r="S38" i="12"/>
  <c r="H11" i="12"/>
  <c r="I51" i="12"/>
  <c r="O51" i="12" s="1"/>
  <c r="F52" i="12"/>
  <c r="U14" i="12"/>
  <c r="M56" i="12"/>
  <c r="S66" i="12"/>
  <c r="N78" i="12"/>
  <c r="F93" i="12"/>
  <c r="R93" i="12" s="1"/>
  <c r="R81" i="12"/>
  <c r="N68" i="12"/>
  <c r="F21" i="12"/>
  <c r="R21" i="12" s="1"/>
  <c r="M91" i="12"/>
  <c r="O64" i="12"/>
  <c r="G20" i="12"/>
  <c r="O56" i="12"/>
  <c r="T91" i="12"/>
  <c r="T77" i="12"/>
  <c r="U39" i="12"/>
  <c r="T56" i="12"/>
  <c r="M70" i="12"/>
  <c r="N67" i="12"/>
  <c r="M75" i="12"/>
  <c r="L81" i="12"/>
  <c r="Q68" i="12"/>
  <c r="N10" i="12"/>
  <c r="O16" i="12"/>
  <c r="U45" i="12"/>
  <c r="I26" i="12"/>
  <c r="I32" i="12" s="1"/>
  <c r="K82" i="12"/>
  <c r="I17" i="12"/>
  <c r="O14" i="12"/>
  <c r="U64" i="12"/>
  <c r="O70" i="12"/>
  <c r="D11" i="13"/>
  <c r="D58" i="12"/>
  <c r="Q58" i="12" s="1"/>
  <c r="M38" i="12"/>
  <c r="S70" i="12"/>
  <c r="S67" i="12"/>
  <c r="K68" i="12"/>
  <c r="T10" i="12"/>
  <c r="H21" i="12"/>
  <c r="H33" i="12" s="1"/>
  <c r="S68" i="12"/>
  <c r="T16" i="12"/>
  <c r="K16" i="12"/>
  <c r="U82" i="12"/>
  <c r="F89" i="12"/>
  <c r="E13" i="13" s="1"/>
  <c r="H50" i="12"/>
  <c r="L39" i="12"/>
  <c r="I41" i="12"/>
  <c r="I53" i="12" s="1"/>
  <c r="I60" i="12" s="1"/>
  <c r="M76" i="12"/>
  <c r="S56" i="12"/>
  <c r="M16" i="12"/>
  <c r="N77" i="12"/>
  <c r="H20" i="12"/>
  <c r="Q56" i="12"/>
  <c r="N56" i="12"/>
  <c r="I83" i="12"/>
  <c r="H11" i="13" s="1"/>
  <c r="R95" i="12"/>
  <c r="I27" i="12"/>
  <c r="D11" i="12"/>
  <c r="K11" i="12" s="1"/>
  <c r="T68" i="12"/>
  <c r="H26" i="12"/>
  <c r="T26" i="12" s="1"/>
  <c r="O45" i="12"/>
  <c r="F51" i="12"/>
  <c r="I21" i="12"/>
  <c r="U21" i="12" s="1"/>
  <c r="O69" i="12"/>
  <c r="I58" i="12"/>
  <c r="K71" i="12"/>
  <c r="S16" i="12"/>
  <c r="T9" i="12"/>
  <c r="K67" i="12"/>
  <c r="H47" i="12"/>
  <c r="K56" i="12"/>
  <c r="K77" i="12"/>
  <c r="F20" i="12"/>
  <c r="F32" i="12" s="1"/>
  <c r="F58" i="12"/>
  <c r="N46" i="12"/>
  <c r="G58" i="12"/>
  <c r="N91" i="12"/>
  <c r="F41" i="12"/>
  <c r="F53" i="12" s="1"/>
  <c r="M68" i="12"/>
  <c r="H17" i="12"/>
  <c r="R68" i="12"/>
  <c r="R82" i="12"/>
  <c r="L96" i="12"/>
  <c r="L70" i="12"/>
  <c r="I11" i="12"/>
  <c r="S77" i="12"/>
  <c r="U8" i="12"/>
  <c r="L77" i="12"/>
  <c r="S73" i="12"/>
  <c r="R86" i="12"/>
  <c r="L56" i="12"/>
  <c r="U77" i="12"/>
  <c r="N14" i="12"/>
  <c r="N70" i="12"/>
  <c r="U67" i="12"/>
  <c r="D17" i="12"/>
  <c r="S17" i="12" s="1"/>
  <c r="O39" i="12"/>
  <c r="U70" i="12"/>
  <c r="R77" i="12"/>
  <c r="R56" i="12"/>
  <c r="Q77" i="12"/>
  <c r="U16" i="12"/>
  <c r="S9" i="12"/>
  <c r="M66" i="12"/>
  <c r="U71" i="12"/>
  <c r="F22" i="12"/>
  <c r="F34" i="12" s="1"/>
  <c r="G22" i="12"/>
  <c r="G93" i="12"/>
  <c r="O68" i="12"/>
  <c r="AJ75" i="12"/>
  <c r="L87" i="12"/>
  <c r="Q57" i="12"/>
  <c r="K45" i="12"/>
  <c r="Q71" i="12"/>
  <c r="U80" i="12"/>
  <c r="K79" i="12"/>
  <c r="L71" i="12"/>
  <c r="M14" i="12"/>
  <c r="R39" i="12"/>
  <c r="R9" i="12"/>
  <c r="T44" i="12"/>
  <c r="N79" i="12"/>
  <c r="Q87" i="12"/>
  <c r="M95" i="12"/>
  <c r="R76" i="12"/>
  <c r="L72" i="12"/>
  <c r="F83" i="12"/>
  <c r="M74" i="12"/>
  <c r="S65" i="12"/>
  <c r="N88" i="12"/>
  <c r="N75" i="12"/>
  <c r="S63" i="12"/>
  <c r="O40" i="12"/>
  <c r="T69" i="12"/>
  <c r="S87" i="12"/>
  <c r="T66" i="12"/>
  <c r="G47" i="12"/>
  <c r="M80" i="12"/>
  <c r="M81" i="12"/>
  <c r="O82" i="12"/>
  <c r="N71" i="12"/>
  <c r="T67" i="12"/>
  <c r="N82" i="12"/>
  <c r="U57" i="12"/>
  <c r="M82" i="12"/>
  <c r="D41" i="12"/>
  <c r="K41" i="12" s="1"/>
  <c r="O67" i="12"/>
  <c r="D20" i="12"/>
  <c r="Q20" i="12" s="1"/>
  <c r="O65" i="12"/>
  <c r="R79" i="12"/>
  <c r="N39" i="12"/>
  <c r="R57" i="12"/>
  <c r="D13" i="13"/>
  <c r="L67" i="12"/>
  <c r="Q67" i="12"/>
  <c r="Q27" i="12"/>
  <c r="T79" i="12"/>
  <c r="L95" i="12"/>
  <c r="R70" i="12"/>
  <c r="N65" i="12"/>
  <c r="T40" i="12"/>
  <c r="S40" i="12"/>
  <c r="L46" i="12"/>
  <c r="K74" i="12"/>
  <c r="R74" i="12"/>
  <c r="H89" i="12"/>
  <c r="G96" i="12"/>
  <c r="M96" i="12" s="1"/>
  <c r="M92" i="12"/>
  <c r="N66" i="12"/>
  <c r="T63" i="12"/>
  <c r="K40" i="12"/>
  <c r="L74" i="12"/>
  <c r="S80" i="12"/>
  <c r="R72" i="12"/>
  <c r="D83" i="12"/>
  <c r="Q83" i="12" s="1"/>
  <c r="G41" i="12"/>
  <c r="G53" i="12" s="1"/>
  <c r="Q92" i="12"/>
  <c r="R92" i="12"/>
  <c r="L92" i="12"/>
  <c r="K63" i="12"/>
  <c r="T75" i="12"/>
  <c r="Q63" i="12"/>
  <c r="D52" i="12"/>
  <c r="Q52" i="12" s="1"/>
  <c r="N74" i="12"/>
  <c r="U63" i="12"/>
  <c r="M63" i="12"/>
  <c r="L16" i="12"/>
  <c r="M46" i="12"/>
  <c r="O46" i="12"/>
  <c r="K92" i="12"/>
  <c r="U68" i="12"/>
  <c r="L78" i="12"/>
  <c r="Q40" i="12"/>
  <c r="O74" i="12"/>
  <c r="G89" i="12"/>
  <c r="F13" i="13" s="1"/>
  <c r="U74" i="12"/>
  <c r="R63" i="12"/>
  <c r="Q78" i="12"/>
  <c r="T92" i="12"/>
  <c r="G28" i="12"/>
  <c r="D93" i="12"/>
  <c r="Q93" i="12" s="1"/>
  <c r="G83" i="12"/>
  <c r="M87" i="12"/>
  <c r="R78" i="12"/>
  <c r="S81" i="12"/>
  <c r="S95" i="12"/>
  <c r="D28" i="12"/>
  <c r="Q28" i="12" s="1"/>
  <c r="T88" i="12"/>
  <c r="D22" i="12"/>
  <c r="Q22" i="12" s="1"/>
  <c r="R46" i="12"/>
  <c r="T78" i="12"/>
  <c r="O78" i="12"/>
  <c r="AJ72" i="12"/>
  <c r="AF57" i="12"/>
  <c r="N92" i="12"/>
  <c r="U46" i="12"/>
  <c r="M40" i="12"/>
  <c r="T71" i="12"/>
  <c r="L40" i="12"/>
  <c r="U78" i="12"/>
  <c r="N69" i="12"/>
  <c r="R16" i="12"/>
  <c r="R40" i="12"/>
  <c r="O92" i="12"/>
  <c r="T74" i="12"/>
  <c r="U40" i="12"/>
  <c r="M78" i="12"/>
  <c r="S74" i="12"/>
  <c r="D47" i="12"/>
  <c r="L47" i="12" s="1"/>
  <c r="H83" i="12"/>
  <c r="G11" i="13" s="1"/>
  <c r="U92" i="12"/>
  <c r="S46" i="12"/>
  <c r="M65" i="12"/>
  <c r="N40" i="12"/>
  <c r="BQ60" i="14"/>
  <c r="BT29" i="10"/>
  <c r="BS53" i="14"/>
  <c r="BS60" i="14" s="1"/>
  <c r="S82" i="12"/>
  <c r="Y63" i="12"/>
  <c r="Y80" i="12"/>
  <c r="Y45" i="12"/>
  <c r="W45" i="12"/>
  <c r="AM45" i="12" s="1"/>
  <c r="Z20" i="12"/>
  <c r="W15" i="12"/>
  <c r="AM15" i="12" s="1"/>
  <c r="Y9" i="12"/>
  <c r="Y11" i="12" s="1"/>
  <c r="AA77" i="12"/>
  <c r="AB88" i="12"/>
  <c r="AB89" i="12" s="1"/>
  <c r="Y88" i="12"/>
  <c r="W73" i="12"/>
  <c r="AG73" i="12" s="1"/>
  <c r="Y39" i="12"/>
  <c r="AA71" i="12"/>
  <c r="AM71" i="12" s="1"/>
  <c r="AA76" i="12"/>
  <c r="AG76" i="12" s="1"/>
  <c r="Y86" i="12"/>
  <c r="AK86" i="12" s="1"/>
  <c r="W46" i="12"/>
  <c r="AJ46" i="12" s="1"/>
  <c r="AA44" i="12"/>
  <c r="AA50" i="12" s="1"/>
  <c r="Z26" i="12"/>
  <c r="W8" i="12"/>
  <c r="AJ8" i="12" s="1"/>
  <c r="Y38" i="12"/>
  <c r="AE38" i="12" s="1"/>
  <c r="AB75" i="12"/>
  <c r="AH75" i="12" s="1"/>
  <c r="I102" i="12"/>
  <c r="H15" i="13" s="1"/>
  <c r="W39" i="12"/>
  <c r="AH39" i="12" s="1"/>
  <c r="AA81" i="12"/>
  <c r="AM81" i="12" s="1"/>
  <c r="AB92" i="12"/>
  <c r="AB93" i="12" s="1"/>
  <c r="AA80" i="12"/>
  <c r="AM80" i="12" s="1"/>
  <c r="W92" i="12"/>
  <c r="AM92" i="12" s="1"/>
  <c r="AB57" i="12"/>
  <c r="AB58" i="12" s="1"/>
  <c r="AB64" i="12"/>
  <c r="AH64" i="12" s="1"/>
  <c r="Y57" i="12"/>
  <c r="AK57" i="12" s="1"/>
  <c r="Y15" i="12"/>
  <c r="Y87" i="12"/>
  <c r="AE87" i="12" s="1"/>
  <c r="W63" i="12"/>
  <c r="AH63" i="12" s="1"/>
  <c r="AJ35" i="14"/>
  <c r="AL35" i="14"/>
  <c r="BQ27" i="10"/>
  <c r="L63" i="12"/>
  <c r="Q46" i="12"/>
  <c r="T46" i="12"/>
  <c r="V35" i="14"/>
  <c r="BS23" i="10"/>
  <c r="L98" i="14"/>
  <c r="AJ29" i="14"/>
  <c r="AP34" i="10"/>
  <c r="L68" i="12"/>
  <c r="AF102" i="10"/>
  <c r="BT89" i="10"/>
  <c r="L35" i="10"/>
  <c r="AH35" i="8"/>
  <c r="E35" i="14"/>
  <c r="AF35" i="10"/>
  <c r="H33" i="14"/>
  <c r="BS22" i="14"/>
  <c r="BS34" i="14" s="1"/>
  <c r="BQ20" i="10"/>
  <c r="E35" i="10"/>
  <c r="U35" i="9"/>
  <c r="BQ50" i="10"/>
  <c r="BQ53" i="10" s="1"/>
  <c r="BQ60" i="10" s="1"/>
  <c r="BQ98" i="10" s="1"/>
  <c r="G51" i="12"/>
  <c r="S51" i="12" s="1"/>
  <c r="BT58" i="10"/>
  <c r="BT60" i="10" s="1"/>
  <c r="BQ89" i="10"/>
  <c r="M29" i="14"/>
  <c r="M35" i="14" s="1"/>
  <c r="K51" i="12"/>
  <c r="AG72" i="12"/>
  <c r="E23" i="12"/>
  <c r="D7" i="13" s="1"/>
  <c r="AB26" i="12"/>
  <c r="BT32" i="14"/>
  <c r="BO35" i="8"/>
  <c r="BA35" i="10"/>
  <c r="W26" i="12"/>
  <c r="Z35" i="14"/>
  <c r="BR29" i="10"/>
  <c r="BQ29" i="10"/>
  <c r="BT34" i="10"/>
  <c r="BR23" i="10"/>
  <c r="AH44" i="12"/>
  <c r="Y22" i="12"/>
  <c r="AA26" i="12"/>
  <c r="AA22" i="12"/>
  <c r="Y52" i="12"/>
  <c r="H23" i="12"/>
  <c r="G7" i="13" s="1"/>
  <c r="BT33" i="10"/>
  <c r="BS60" i="10"/>
  <c r="BS98" i="10" s="1"/>
  <c r="Q17" i="12"/>
  <c r="BT32" i="10"/>
  <c r="AN66" i="12"/>
  <c r="AH65" i="12"/>
  <c r="AF75" i="12"/>
  <c r="U50" i="12"/>
  <c r="AB50" i="12"/>
  <c r="BR53" i="10"/>
  <c r="BR60" i="10" s="1"/>
  <c r="BR98" i="10" s="1"/>
  <c r="BT53" i="14"/>
  <c r="BT60" i="14" s="1"/>
  <c r="BT98" i="14" s="1"/>
  <c r="AK75" i="12"/>
  <c r="AH68" i="12"/>
  <c r="BQ23" i="10"/>
  <c r="Y28" i="12"/>
  <c r="BQ34" i="10"/>
  <c r="AN16" i="12"/>
  <c r="BS23" i="14"/>
  <c r="BR34" i="14"/>
  <c r="AE35" i="10"/>
  <c r="AS35" i="14"/>
  <c r="BQ34" i="14"/>
  <c r="AM72" i="12"/>
  <c r="AH16" i="12"/>
  <c r="AF72" i="12"/>
  <c r="AL72" i="12"/>
  <c r="Q41" i="12"/>
  <c r="AE72" i="12"/>
  <c r="AN72" i="12"/>
  <c r="I34" i="12"/>
  <c r="AA17" i="12"/>
  <c r="AK77" i="12"/>
  <c r="E11" i="13"/>
  <c r="Y26" i="12"/>
  <c r="AF76" i="12"/>
  <c r="AG91" i="12"/>
  <c r="AL82" i="12"/>
  <c r="T51" i="12"/>
  <c r="AH78" i="12"/>
  <c r="BO53" i="14"/>
  <c r="BO60" i="14" s="1"/>
  <c r="BO98" i="14" s="1"/>
  <c r="BO33" i="14"/>
  <c r="BO34" i="14"/>
  <c r="AF74" i="12"/>
  <c r="AN79" i="12"/>
  <c r="BT23" i="14"/>
  <c r="U22" i="12"/>
  <c r="AM67" i="12"/>
  <c r="T35" i="14"/>
  <c r="S22" i="12"/>
  <c r="AL67" i="12"/>
  <c r="AJ82" i="12"/>
  <c r="AG75" i="12"/>
  <c r="AN82" i="12"/>
  <c r="AJ67" i="12"/>
  <c r="AB47" i="12"/>
  <c r="AD82" i="12"/>
  <c r="Q51" i="12"/>
  <c r="AJ70" i="12"/>
  <c r="AN67" i="12"/>
  <c r="AM91" i="12"/>
  <c r="AE16" i="12"/>
  <c r="D33" i="12"/>
  <c r="Q33" i="12" s="1"/>
  <c r="AE8" i="12"/>
  <c r="AH82" i="12"/>
  <c r="AK68" i="12"/>
  <c r="AG67" i="12"/>
  <c r="AF87" i="12"/>
  <c r="AE82" i="12"/>
  <c r="AE67" i="12"/>
  <c r="G32" i="12"/>
  <c r="AA28" i="12"/>
  <c r="Z22" i="12"/>
  <c r="Z28" i="12"/>
  <c r="BR35" i="14"/>
  <c r="BS29" i="10"/>
  <c r="AG74" i="12"/>
  <c r="AL80" i="12"/>
  <c r="AA51" i="12"/>
  <c r="AG15" i="12"/>
  <c r="AD57" i="12"/>
  <c r="AE71" i="12"/>
  <c r="AM73" i="12"/>
  <c r="AE57" i="12"/>
  <c r="AF81" i="12"/>
  <c r="AM57" i="12"/>
  <c r="BQ98" i="14"/>
  <c r="Z83" i="12"/>
  <c r="Z21" i="12"/>
  <c r="AB28" i="12"/>
  <c r="AB27" i="12"/>
  <c r="Z27" i="12"/>
  <c r="D102" i="12"/>
  <c r="C15" i="13" s="1"/>
  <c r="G33" i="12"/>
  <c r="AK40" i="12"/>
  <c r="S26" i="12"/>
  <c r="U96" i="12"/>
  <c r="F35" i="14"/>
  <c r="AK16" i="12"/>
  <c r="BO29" i="14"/>
  <c r="AB41" i="12"/>
  <c r="AE81" i="12"/>
  <c r="AJ44" i="12"/>
  <c r="Q35" i="10"/>
  <c r="AM16" i="12"/>
  <c r="AF82" i="12"/>
  <c r="AM82" i="12"/>
  <c r="R35" i="14"/>
  <c r="AK35" i="14"/>
  <c r="AH35" i="14"/>
  <c r="U35" i="14"/>
  <c r="AQ35" i="14"/>
  <c r="AR35" i="10"/>
  <c r="AN8" i="12"/>
  <c r="AG8" i="12"/>
  <c r="BQ35" i="14"/>
  <c r="AH67" i="12"/>
  <c r="AH69" i="12"/>
  <c r="BR33" i="10"/>
  <c r="U41" i="12"/>
  <c r="BS98" i="14"/>
  <c r="AG16" i="12"/>
  <c r="AO35" i="14"/>
  <c r="AA58" i="12"/>
  <c r="AH87" i="12"/>
  <c r="AF67" i="12"/>
  <c r="AD67" i="12"/>
  <c r="AG82" i="12"/>
  <c r="AF68" i="12"/>
  <c r="AF40" i="12"/>
  <c r="AD44" i="12"/>
  <c r="AC35" i="14"/>
  <c r="BQ32" i="14"/>
  <c r="Z52" i="12"/>
  <c r="AN78" i="12"/>
  <c r="AE35" i="14"/>
  <c r="BO23" i="14"/>
  <c r="AH38" i="12"/>
  <c r="K96" i="12"/>
  <c r="AM39" i="12"/>
  <c r="Q50" i="12"/>
  <c r="AG68" i="12"/>
  <c r="AD76" i="12"/>
  <c r="L50" i="12"/>
  <c r="AD68" i="12"/>
  <c r="R96" i="12"/>
  <c r="T27" i="12"/>
  <c r="AL68" i="12"/>
  <c r="R26" i="12"/>
  <c r="S21" i="12"/>
  <c r="AE77" i="12"/>
  <c r="M50" i="12"/>
  <c r="AF65" i="12"/>
  <c r="T50" i="12"/>
  <c r="AN38" i="12"/>
  <c r="AF16" i="12"/>
  <c r="AJ16" i="12"/>
  <c r="AN68" i="12"/>
  <c r="AL74" i="12"/>
  <c r="AN69" i="12"/>
  <c r="S50" i="12"/>
  <c r="AM74" i="12"/>
  <c r="N41" i="12"/>
  <c r="AD79" i="12"/>
  <c r="O50" i="12"/>
  <c r="N50" i="12"/>
  <c r="Q96" i="12"/>
  <c r="AH73" i="12"/>
  <c r="AL16" i="12"/>
  <c r="K50" i="12"/>
  <c r="AE66" i="12"/>
  <c r="R17" i="12"/>
  <c r="AG69" i="12"/>
  <c r="AM66" i="12"/>
  <c r="R50" i="12"/>
  <c r="F29" i="12"/>
  <c r="O96" i="12"/>
  <c r="AH81" i="12"/>
  <c r="U58" i="12"/>
  <c r="N96" i="12"/>
  <c r="AK82" i="12"/>
  <c r="AE40" i="12"/>
  <c r="AM38" i="12"/>
  <c r="N11" i="12"/>
  <c r="AJ40" i="12"/>
  <c r="AD73" i="12"/>
  <c r="AF66" i="12"/>
  <c r="W89" i="12"/>
  <c r="AJ89" i="12" s="1"/>
  <c r="AM86" i="12"/>
  <c r="AE44" i="12"/>
  <c r="AL40" i="12"/>
  <c r="AD38" i="12"/>
  <c r="AK72" i="12"/>
  <c r="AM69" i="12"/>
  <c r="W58" i="12"/>
  <c r="Z51" i="12"/>
  <c r="AE75" i="12"/>
  <c r="T96" i="12"/>
  <c r="AA93" i="12"/>
  <c r="AL75" i="12"/>
  <c r="AJ91" i="12"/>
  <c r="AN86" i="12"/>
  <c r="AK44" i="12"/>
  <c r="AF56" i="12"/>
  <c r="AK56" i="12"/>
  <c r="D9" i="13"/>
  <c r="AF44" i="12"/>
  <c r="AL86" i="12"/>
  <c r="Z17" i="12"/>
  <c r="AH74" i="12"/>
  <c r="AF79" i="12"/>
  <c r="AJ79" i="12"/>
  <c r="AE79" i="12"/>
  <c r="D5" i="13"/>
  <c r="L51" i="12"/>
  <c r="AM75" i="12"/>
  <c r="AE69" i="12"/>
  <c r="AK71" i="12"/>
  <c r="AD69" i="12"/>
  <c r="AN40" i="12"/>
  <c r="Y21" i="12"/>
  <c r="AA20" i="12"/>
  <c r="W102" i="12"/>
  <c r="P15" i="13" s="1"/>
  <c r="W15" i="13" s="1"/>
  <c r="F102" i="12"/>
  <c r="E15" i="13" s="1"/>
  <c r="AB102" i="12"/>
  <c r="U15" i="13" s="1"/>
  <c r="AG66" i="12"/>
  <c r="AF70" i="12"/>
  <c r="AJ68" i="12"/>
  <c r="AJ80" i="12"/>
  <c r="BQ33" i="10"/>
  <c r="C11" i="13"/>
  <c r="J11" i="13" s="1"/>
  <c r="AK65" i="12"/>
  <c r="I35" i="14"/>
  <c r="AE70" i="12"/>
  <c r="T17" i="12"/>
  <c r="AJ87" i="12"/>
  <c r="AH56" i="12"/>
  <c r="AN77" i="12"/>
  <c r="O58" i="12"/>
  <c r="M11" i="12"/>
  <c r="AE68" i="12"/>
  <c r="AD78" i="12"/>
  <c r="AE65" i="12"/>
  <c r="Q11" i="12"/>
  <c r="AH72" i="12"/>
  <c r="AH66" i="12"/>
  <c r="AH80" i="12"/>
  <c r="AJ57" i="12"/>
  <c r="AK87" i="12"/>
  <c r="AG35" i="10"/>
  <c r="AN74" i="12"/>
  <c r="AK66" i="12"/>
  <c r="AG70" i="12"/>
  <c r="AJ56" i="12"/>
  <c r="AD80" i="12"/>
  <c r="AL44" i="12"/>
  <c r="AM68" i="12"/>
  <c r="AG56" i="12"/>
  <c r="AM56" i="12"/>
  <c r="L58" i="12"/>
  <c r="AK80" i="12"/>
  <c r="AM70" i="12"/>
  <c r="O35" i="10"/>
  <c r="AD65" i="12"/>
  <c r="AF14" i="12"/>
  <c r="AK88" i="12"/>
  <c r="AD66" i="12"/>
  <c r="N58" i="12"/>
  <c r="AN80" i="12"/>
  <c r="AN65" i="12"/>
  <c r="AK76" i="12"/>
  <c r="AH70" i="12"/>
  <c r="M58" i="12"/>
  <c r="AK70" i="12"/>
  <c r="R51" i="12"/>
  <c r="AL65" i="12"/>
  <c r="AD56" i="12"/>
  <c r="G29" i="12"/>
  <c r="AJ66" i="12"/>
  <c r="AL66" i="12"/>
  <c r="AG79" i="12"/>
  <c r="AG38" i="12"/>
  <c r="BO32" i="14"/>
  <c r="Z47" i="12"/>
  <c r="AL70" i="12"/>
  <c r="AF80" i="12"/>
  <c r="AJ65" i="12"/>
  <c r="K89" i="12"/>
  <c r="AM8" i="12"/>
  <c r="AG80" i="12"/>
  <c r="BR53" i="14"/>
  <c r="BR60" i="14" s="1"/>
  <c r="BR98" i="14" s="1"/>
  <c r="AN70" i="12"/>
  <c r="AF78" i="12"/>
  <c r="AL88" i="12"/>
  <c r="AJ88" i="12"/>
  <c r="AM88" i="12"/>
  <c r="AN76" i="12"/>
  <c r="AE91" i="12"/>
  <c r="AH76" i="12"/>
  <c r="AD71" i="12"/>
  <c r="U89" i="12"/>
  <c r="AH14" i="12"/>
  <c r="AL38" i="12"/>
  <c r="AH91" i="12"/>
  <c r="AM14" i="12"/>
  <c r="AB51" i="12"/>
  <c r="AH71" i="12"/>
  <c r="N93" i="12"/>
  <c r="L89" i="12"/>
  <c r="AF88" i="12"/>
  <c r="O93" i="12"/>
  <c r="AD86" i="12"/>
  <c r="AK74" i="12"/>
  <c r="AN91" i="12"/>
  <c r="H53" i="12"/>
  <c r="AL46" i="12"/>
  <c r="AG86" i="12"/>
  <c r="AD74" i="12"/>
  <c r="AJ71" i="12"/>
  <c r="AN87" i="12"/>
  <c r="AL69" i="12"/>
  <c r="AL79" i="12"/>
  <c r="AK67" i="12"/>
  <c r="AN56" i="12"/>
  <c r="AF8" i="12"/>
  <c r="AE74" i="12"/>
  <c r="F33" i="12"/>
  <c r="AJ38" i="12"/>
  <c r="AH46" i="12"/>
  <c r="AJ78" i="12"/>
  <c r="AF69" i="12"/>
  <c r="AJ74" i="12"/>
  <c r="AM78" i="12"/>
  <c r="AE78" i="12"/>
  <c r="AG77" i="12"/>
  <c r="AE95" i="12"/>
  <c r="AL76" i="12"/>
  <c r="AE76" i="12"/>
  <c r="Y93" i="12"/>
  <c r="AG88" i="12"/>
  <c r="M93" i="12"/>
  <c r="AF71" i="12"/>
  <c r="L93" i="12"/>
  <c r="W17" i="12"/>
  <c r="AJ17" i="12" s="1"/>
  <c r="AD91" i="12"/>
  <c r="AH86" i="12"/>
  <c r="Z11" i="12"/>
  <c r="W93" i="12"/>
  <c r="AJ93" i="12" s="1"/>
  <c r="AJ86" i="12"/>
  <c r="AL14" i="12"/>
  <c r="AK92" i="12"/>
  <c r="AN95" i="12"/>
  <c r="AG14" i="12"/>
  <c r="AK8" i="12"/>
  <c r="AH79" i="12"/>
  <c r="Z89" i="12"/>
  <c r="AJ14" i="12"/>
  <c r="AE88" i="12"/>
  <c r="AG92" i="12"/>
  <c r="K93" i="12"/>
  <c r="R89" i="12"/>
  <c r="AK91" i="12"/>
  <c r="AK79" i="12"/>
  <c r="N89" i="12"/>
  <c r="AL56" i="12"/>
  <c r="AF45" i="12"/>
  <c r="AF86" i="12"/>
  <c r="AD87" i="12"/>
  <c r="AG57" i="12"/>
  <c r="AL87" i="12"/>
  <c r="AM87" i="12"/>
  <c r="AA52" i="12"/>
  <c r="AL91" i="12"/>
  <c r="AE46" i="12"/>
  <c r="AL71" i="12"/>
  <c r="AJ69" i="12"/>
  <c r="S89" i="12"/>
  <c r="AM79" i="12"/>
  <c r="AN14" i="12"/>
  <c r="AD45" i="12"/>
  <c r="AE14" i="12"/>
  <c r="AD92" i="12"/>
  <c r="AJ92" i="12"/>
  <c r="AD88" i="12"/>
  <c r="M89" i="12"/>
  <c r="AL92" i="12"/>
  <c r="AK69" i="12"/>
  <c r="S93" i="12"/>
  <c r="AB17" i="12"/>
  <c r="AK78" i="12"/>
  <c r="O89" i="12"/>
  <c r="AK45" i="12"/>
  <c r="W22" i="12"/>
  <c r="W21" i="12"/>
  <c r="W27" i="12"/>
  <c r="AM27" i="12" s="1"/>
  <c r="Z102" i="12"/>
  <c r="S15" i="13" s="1"/>
  <c r="W20" i="12"/>
  <c r="AA102" i="12"/>
  <c r="T15" i="13" s="1"/>
  <c r="W28" i="12"/>
  <c r="H102" i="12"/>
  <c r="G15" i="13" s="1"/>
  <c r="Y102" i="12"/>
  <c r="R15" i="13" s="1"/>
  <c r="Z93" i="12"/>
  <c r="AG81" i="12"/>
  <c r="BO34" i="10"/>
  <c r="BO53" i="10"/>
  <c r="BO60" i="10" s="1"/>
  <c r="BO98" i="10" s="1"/>
  <c r="AE64" i="12"/>
  <c r="BO33" i="10"/>
  <c r="AM77" i="12"/>
  <c r="AG40" i="12"/>
  <c r="AJ64" i="12"/>
  <c r="AJ81" i="12"/>
  <c r="AM40" i="12"/>
  <c r="AF77" i="12"/>
  <c r="BO23" i="10"/>
  <c r="AB11" i="12"/>
  <c r="AL77" i="12"/>
  <c r="AA89" i="12"/>
  <c r="AD77" i="12"/>
  <c r="AL64" i="12"/>
  <c r="AK64" i="12"/>
  <c r="AH40" i="12"/>
  <c r="AF91" i="12"/>
  <c r="D35" i="10"/>
  <c r="X35" i="10"/>
  <c r="AA11" i="12"/>
  <c r="AM64" i="12"/>
  <c r="AW35" i="10"/>
  <c r="AH8" i="12"/>
  <c r="AM65" i="12"/>
  <c r="AH10" i="12"/>
  <c r="AL10" i="12"/>
  <c r="AK10" i="12"/>
  <c r="AD10" i="12"/>
  <c r="AF10" i="12"/>
  <c r="AN10" i="12"/>
  <c r="AM10" i="12"/>
  <c r="AG10" i="12"/>
  <c r="AE10" i="12"/>
  <c r="AG87" i="12"/>
  <c r="AA41" i="12"/>
  <c r="AJ77" i="12"/>
  <c r="AF64" i="12"/>
  <c r="W47" i="12"/>
  <c r="AD47" i="12" s="1"/>
  <c r="AL57" i="12"/>
  <c r="AN81" i="12"/>
  <c r="Y47" i="12"/>
  <c r="AG64" i="12"/>
  <c r="BO29" i="10"/>
  <c r="AH77" i="12"/>
  <c r="AM9" i="12"/>
  <c r="AH9" i="12"/>
  <c r="AJ9" i="12"/>
  <c r="AF9" i="12"/>
  <c r="AD9" i="12"/>
  <c r="AN9" i="12"/>
  <c r="AL9" i="12"/>
  <c r="AG9" i="12"/>
  <c r="AB52" i="12"/>
  <c r="AK46" i="12"/>
  <c r="AD81" i="12"/>
  <c r="AD35" i="14"/>
  <c r="F35" i="10"/>
  <c r="AN35" i="14"/>
  <c r="W50" i="12"/>
  <c r="AJ26" i="12"/>
  <c r="AH95" i="12"/>
  <c r="AM95" i="12"/>
  <c r="AG95" i="12"/>
  <c r="AB96" i="12"/>
  <c r="AL95" i="12"/>
  <c r="AF95" i="12"/>
  <c r="X32" i="12"/>
  <c r="AA33" i="12"/>
  <c r="BS35" i="14"/>
  <c r="X53" i="12"/>
  <c r="AK14" i="12"/>
  <c r="X34" i="12"/>
  <c r="Y17" i="12"/>
  <c r="AJ95" i="12"/>
  <c r="Y96" i="12"/>
  <c r="AD95" i="12"/>
  <c r="AK95" i="12"/>
  <c r="Q11" i="13"/>
  <c r="Q13" i="13"/>
  <c r="X23" i="12"/>
  <c r="Q7" i="13" s="1"/>
  <c r="X29" i="12"/>
  <c r="AB21" i="12"/>
  <c r="AB22" i="12"/>
  <c r="X33" i="12"/>
  <c r="BT35" i="14"/>
  <c r="BQ35" i="1"/>
  <c r="BQ35" i="8"/>
  <c r="BQ35" i="10"/>
  <c r="BP35" i="14"/>
  <c r="BR35" i="1"/>
  <c r="BP35" i="9"/>
  <c r="AG96" i="12"/>
  <c r="AM96" i="12"/>
  <c r="AD96" i="12"/>
  <c r="AJ96" i="12"/>
  <c r="AF96" i="12"/>
  <c r="AL96" i="12"/>
  <c r="BR35" i="10"/>
  <c r="BT35" i="1"/>
  <c r="BS35" i="1"/>
  <c r="BP35" i="1"/>
  <c r="BS35" i="9"/>
  <c r="BQ35" i="9"/>
  <c r="BT35" i="9"/>
  <c r="BP35" i="10"/>
  <c r="BR35" i="9"/>
  <c r="BT35" i="8"/>
  <c r="BP35" i="8"/>
  <c r="BS35" i="8"/>
  <c r="BR35" i="8"/>
  <c r="AB20" i="12" a="1"/>
  <c r="AB23" i="12" a="1"/>
  <c r="Y23" i="12" a="1"/>
  <c r="Y27" i="12" a="1"/>
  <c r="AB29" i="12" a="1"/>
  <c r="Y20" i="12" a="1"/>
  <c r="W23" i="12" a="1"/>
  <c r="Z29" i="12" a="1"/>
  <c r="Z23" i="12" a="1"/>
  <c r="AA29" i="12" a="1"/>
  <c r="W29" i="12" a="1"/>
  <c r="AA23" i="12" a="1"/>
  <c r="G102" i="12" a="1"/>
  <c r="Y29" i="12" a="1"/>
  <c r="C13" i="13" l="1"/>
  <c r="L17" i="12"/>
  <c r="T89" i="12"/>
  <c r="AF38" i="12"/>
  <c r="G23" i="12"/>
  <c r="F7" i="13" s="1"/>
  <c r="T21" i="12"/>
  <c r="AM76" i="12"/>
  <c r="T20" i="12"/>
  <c r="S27" i="12"/>
  <c r="D32" i="12"/>
  <c r="Q32" i="12" s="1"/>
  <c r="S11" i="12"/>
  <c r="Z41" i="12"/>
  <c r="K17" i="12"/>
  <c r="AL15" i="12"/>
  <c r="N17" i="12"/>
  <c r="AH92" i="12"/>
  <c r="T11" i="12"/>
  <c r="AD15" i="12"/>
  <c r="Z32" i="12"/>
  <c r="AB23" i="12"/>
  <c r="U7" i="13" s="1"/>
  <c r="AB20" i="12"/>
  <c r="BT35" i="10"/>
  <c r="U11" i="12"/>
  <c r="AJ15" i="12"/>
  <c r="AE9" i="12"/>
  <c r="L83" i="12"/>
  <c r="N83" i="12"/>
  <c r="U20" i="12"/>
  <c r="U26" i="12"/>
  <c r="R11" i="12"/>
  <c r="R47" i="12"/>
  <c r="U27" i="12"/>
  <c r="M83" i="12"/>
  <c r="AE86" i="12"/>
  <c r="AL39" i="12"/>
  <c r="W52" i="12"/>
  <c r="AJ52" i="12" s="1"/>
  <c r="O11" i="12"/>
  <c r="O47" i="12"/>
  <c r="L11" i="12"/>
  <c r="I33" i="12"/>
  <c r="U33" i="12" s="1"/>
  <c r="G60" i="12"/>
  <c r="M17" i="12"/>
  <c r="AA47" i="12"/>
  <c r="AG47" i="12" s="1"/>
  <c r="T41" i="12"/>
  <c r="AN92" i="12"/>
  <c r="I98" i="12"/>
  <c r="AG44" i="12"/>
  <c r="M51" i="12"/>
  <c r="AK15" i="12"/>
  <c r="R52" i="12"/>
  <c r="O41" i="12"/>
  <c r="H13" i="13"/>
  <c r="O52" i="12"/>
  <c r="U28" i="12"/>
  <c r="AN64" i="12"/>
  <c r="AG71" i="12"/>
  <c r="AG46" i="12"/>
  <c r="AE92" i="12"/>
  <c r="AN45" i="12"/>
  <c r="AF73" i="12"/>
  <c r="AF92" i="12"/>
  <c r="O83" i="12"/>
  <c r="N52" i="12"/>
  <c r="T22" i="12"/>
  <c r="AL73" i="12"/>
  <c r="U17" i="12"/>
  <c r="D29" i="12"/>
  <c r="Q29" i="12" s="1"/>
  <c r="AN88" i="12"/>
  <c r="W11" i="12"/>
  <c r="AJ11" i="12" s="1"/>
  <c r="AD46" i="12"/>
  <c r="T93" i="12"/>
  <c r="AH57" i="12"/>
  <c r="I29" i="12"/>
  <c r="S96" i="12"/>
  <c r="AJ73" i="12"/>
  <c r="U51" i="12"/>
  <c r="BS35" i="10"/>
  <c r="AB83" i="12"/>
  <c r="O17" i="12"/>
  <c r="U52" i="12"/>
  <c r="AK38" i="12"/>
  <c r="AN63" i="12"/>
  <c r="H32" i="12"/>
  <c r="T32" i="12" s="1"/>
  <c r="D34" i="12"/>
  <c r="T34" i="12" s="1"/>
  <c r="Y51" i="12"/>
  <c r="L41" i="12"/>
  <c r="Y83" i="12"/>
  <c r="G34" i="12"/>
  <c r="G98" i="12"/>
  <c r="E5" i="13"/>
  <c r="H29" i="12"/>
  <c r="H35" i="12" s="1"/>
  <c r="I23" i="12"/>
  <c r="H7" i="13" s="1"/>
  <c r="T33" i="12"/>
  <c r="AG39" i="12"/>
  <c r="S20" i="12"/>
  <c r="W51" i="12"/>
  <c r="AH51" i="12" s="1"/>
  <c r="AH15" i="12"/>
  <c r="F23" i="12"/>
  <c r="E7" i="13" s="1"/>
  <c r="U47" i="12"/>
  <c r="W83" i="12"/>
  <c r="AE39" i="12"/>
  <c r="AN57" i="12"/>
  <c r="R58" i="12"/>
  <c r="AH45" i="12"/>
  <c r="K58" i="12"/>
  <c r="AE45" i="12"/>
  <c r="AE80" i="12"/>
  <c r="S58" i="12"/>
  <c r="M52" i="12"/>
  <c r="AF39" i="12"/>
  <c r="R20" i="12"/>
  <c r="AK9" i="12"/>
  <c r="AL45" i="12"/>
  <c r="AG45" i="12"/>
  <c r="T58" i="12"/>
  <c r="AN75" i="12"/>
  <c r="AF15" i="12"/>
  <c r="AA83" i="12"/>
  <c r="T11" i="13" s="1"/>
  <c r="T83" i="12"/>
  <c r="G13" i="13"/>
  <c r="AK39" i="12"/>
  <c r="AN39" i="12"/>
  <c r="AD39" i="12"/>
  <c r="F11" i="13"/>
  <c r="L11" i="13" s="1"/>
  <c r="D53" i="12"/>
  <c r="C9" i="13" s="1"/>
  <c r="J9" i="13" s="1"/>
  <c r="Y41" i="12"/>
  <c r="Y53" i="12" s="1"/>
  <c r="AJ45" i="12"/>
  <c r="AF46" i="12"/>
  <c r="W41" i="12"/>
  <c r="AJ41" i="12" s="1"/>
  <c r="AH88" i="12"/>
  <c r="S83" i="12"/>
  <c r="AA32" i="12"/>
  <c r="AJ39" i="12"/>
  <c r="AM44" i="12"/>
  <c r="AK73" i="12"/>
  <c r="M41" i="12"/>
  <c r="R28" i="12"/>
  <c r="K83" i="12"/>
  <c r="AE73" i="12"/>
  <c r="S52" i="12"/>
  <c r="AL63" i="12"/>
  <c r="AN46" i="12"/>
  <c r="AM46" i="12"/>
  <c r="G5" i="13"/>
  <c r="AD8" i="12"/>
  <c r="S47" i="12"/>
  <c r="R83" i="12"/>
  <c r="U83" i="12"/>
  <c r="S41" i="12"/>
  <c r="R41" i="12"/>
  <c r="D23" i="12"/>
  <c r="C7" i="13" s="1"/>
  <c r="M7" i="13" s="1"/>
  <c r="AL8" i="12"/>
  <c r="AN73" i="12"/>
  <c r="R22" i="12"/>
  <c r="AF63" i="12"/>
  <c r="AG63" i="12"/>
  <c r="K52" i="12"/>
  <c r="T28" i="12"/>
  <c r="Y50" i="12"/>
  <c r="AE50" i="12" s="1"/>
  <c r="S28" i="12"/>
  <c r="T52" i="12"/>
  <c r="AL26" i="12"/>
  <c r="K47" i="12"/>
  <c r="Q47" i="12"/>
  <c r="N47" i="12"/>
  <c r="T47" i="12"/>
  <c r="L52" i="12"/>
  <c r="M47" i="12"/>
  <c r="AM63" i="12"/>
  <c r="Y58" i="12"/>
  <c r="AE58" i="12" s="1"/>
  <c r="AN15" i="12"/>
  <c r="AE15" i="12"/>
  <c r="Y89" i="12"/>
  <c r="AN26" i="12"/>
  <c r="BT98" i="10"/>
  <c r="Y20" i="12"/>
  <c r="AK20" i="12" s="1"/>
  <c r="Y27" i="12"/>
  <c r="Y33" i="12" s="1"/>
  <c r="G102" i="12"/>
  <c r="F15" i="13" s="1"/>
  <c r="L15" i="13" s="1"/>
  <c r="Y34" i="12"/>
  <c r="BQ32" i="10"/>
  <c r="AF50" i="12"/>
  <c r="AL28" i="12"/>
  <c r="AK63" i="12"/>
  <c r="AE63" i="12"/>
  <c r="AD63" i="12"/>
  <c r="AJ63" i="12"/>
  <c r="AM26" i="12"/>
  <c r="E35" i="12"/>
  <c r="R32" i="12"/>
  <c r="R34" i="12"/>
  <c r="AB32" i="12"/>
  <c r="Z34" i="12"/>
  <c r="Z33" i="12"/>
  <c r="Z23" i="12"/>
  <c r="S7" i="13" s="1"/>
  <c r="Y29" i="12"/>
  <c r="Z29" i="12"/>
  <c r="U32" i="12"/>
  <c r="AA34" i="12"/>
  <c r="Z15" i="13"/>
  <c r="AG89" i="12"/>
  <c r="H5" i="13"/>
  <c r="H9" i="13"/>
  <c r="K11" i="13"/>
  <c r="AK26" i="12"/>
  <c r="AL21" i="12"/>
  <c r="R33" i="12"/>
  <c r="M15" i="13"/>
  <c r="K15" i="13"/>
  <c r="AL22" i="12"/>
  <c r="AD89" i="12"/>
  <c r="AL50" i="12"/>
  <c r="AB53" i="12"/>
  <c r="AB60" i="12" s="1"/>
  <c r="Z53" i="12"/>
  <c r="Z60" i="12" s="1"/>
  <c r="Z98" i="12" s="1"/>
  <c r="K13" i="13"/>
  <c r="AH58" i="12"/>
  <c r="M11" i="13"/>
  <c r="AF47" i="12"/>
  <c r="P13" i="13"/>
  <c r="W13" i="13" s="1"/>
  <c r="AF58" i="12"/>
  <c r="AD58" i="12"/>
  <c r="AN58" i="12"/>
  <c r="U11" i="13"/>
  <c r="S33" i="12"/>
  <c r="N11" i="13"/>
  <c r="AA29" i="12"/>
  <c r="AH89" i="12"/>
  <c r="AA15" i="13"/>
  <c r="AN89" i="12"/>
  <c r="U13" i="13"/>
  <c r="AM58" i="12"/>
  <c r="AN28" i="12"/>
  <c r="N15" i="13"/>
  <c r="J15" i="13"/>
  <c r="AG58" i="12"/>
  <c r="J13" i="13"/>
  <c r="X15" i="13"/>
  <c r="AL58" i="12"/>
  <c r="BO35" i="14"/>
  <c r="L13" i="13"/>
  <c r="AM22" i="12"/>
  <c r="N13" i="13"/>
  <c r="E9" i="13"/>
  <c r="G35" i="12"/>
  <c r="AA53" i="12"/>
  <c r="T9" i="13" s="1"/>
  <c r="AH50" i="12"/>
  <c r="AG50" i="12"/>
  <c r="AJ58" i="12"/>
  <c r="F60" i="12"/>
  <c r="F98" i="12" s="1"/>
  <c r="AF89" i="12"/>
  <c r="F5" i="13"/>
  <c r="AK28" i="12"/>
  <c r="Y15" i="13"/>
  <c r="AH52" i="12"/>
  <c r="S53" i="12"/>
  <c r="AJ20" i="12"/>
  <c r="AL27" i="12"/>
  <c r="AN21" i="12"/>
  <c r="AF52" i="12"/>
  <c r="AD51" i="12"/>
  <c r="AF17" i="12"/>
  <c r="AJ21" i="12"/>
  <c r="AK21" i="12"/>
  <c r="AL52" i="12"/>
  <c r="AH47" i="12"/>
  <c r="AD17" i="12"/>
  <c r="AJ28" i="12"/>
  <c r="AL89" i="12"/>
  <c r="AN47" i="12"/>
  <c r="AK52" i="12"/>
  <c r="AM52" i="12"/>
  <c r="AD52" i="12"/>
  <c r="AM28" i="12"/>
  <c r="AL17" i="12"/>
  <c r="AE52" i="12"/>
  <c r="AL47" i="12"/>
  <c r="AJ22" i="12"/>
  <c r="AK22" i="12"/>
  <c r="AM17" i="12"/>
  <c r="AN52" i="12"/>
  <c r="AN22" i="12"/>
  <c r="AE47" i="12"/>
  <c r="AM47" i="12"/>
  <c r="AG17" i="12"/>
  <c r="G9" i="13"/>
  <c r="AH11" i="12"/>
  <c r="W33" i="12"/>
  <c r="AE93" i="12"/>
  <c r="AM89" i="12"/>
  <c r="AJ47" i="12"/>
  <c r="F9" i="13"/>
  <c r="L9" i="13" s="1"/>
  <c r="AL93" i="12"/>
  <c r="AN93" i="12"/>
  <c r="AM93" i="12"/>
  <c r="AN27" i="12"/>
  <c r="W34" i="12"/>
  <c r="AD93" i="12"/>
  <c r="AH93" i="12"/>
  <c r="AN20" i="12"/>
  <c r="AF93" i="12"/>
  <c r="W32" i="12"/>
  <c r="H60" i="12"/>
  <c r="S13" i="13"/>
  <c r="S11" i="13"/>
  <c r="AN17" i="12"/>
  <c r="AJ27" i="12"/>
  <c r="AM20" i="12"/>
  <c r="AH17" i="12"/>
  <c r="AL20" i="12"/>
  <c r="AK47" i="12"/>
  <c r="AG93" i="12"/>
  <c r="T13" i="13"/>
  <c r="AK93" i="12"/>
  <c r="AM21" i="12"/>
  <c r="W29" i="12"/>
  <c r="W23" i="12"/>
  <c r="P7" i="13" s="1"/>
  <c r="AA7" i="13" s="1"/>
  <c r="AD50" i="12"/>
  <c r="AM50" i="12"/>
  <c r="AJ50" i="12"/>
  <c r="AF83" i="12"/>
  <c r="BO35" i="10"/>
  <c r="AN50" i="12"/>
  <c r="AN96" i="12"/>
  <c r="AH96" i="12"/>
  <c r="AB33" i="12"/>
  <c r="Q5" i="13"/>
  <c r="Q9" i="13"/>
  <c r="AE17" i="12"/>
  <c r="AE96" i="12"/>
  <c r="X60" i="12"/>
  <c r="AK17" i="12"/>
  <c r="AB34" i="12"/>
  <c r="X35" i="12"/>
  <c r="AK96" i="12"/>
  <c r="AA23" i="12"/>
  <c r="T7" i="13" s="1"/>
  <c r="AB29" i="12"/>
  <c r="AB35" i="12" s="1"/>
  <c r="Y23" i="12"/>
  <c r="K7" i="13" l="1"/>
  <c r="L7" i="13"/>
  <c r="F35" i="12"/>
  <c r="R35" i="12" s="1"/>
  <c r="U29" i="12"/>
  <c r="S32" i="12"/>
  <c r="M13" i="13"/>
  <c r="S23" i="12"/>
  <c r="R11" i="13"/>
  <c r="T23" i="12"/>
  <c r="S29" i="12"/>
  <c r="AM83" i="12"/>
  <c r="D35" i="12"/>
  <c r="AG52" i="12"/>
  <c r="S34" i="12"/>
  <c r="AL83" i="12"/>
  <c r="AE41" i="12"/>
  <c r="AK27" i="12"/>
  <c r="AK41" i="12"/>
  <c r="AM41" i="12"/>
  <c r="AH41" i="12"/>
  <c r="C5" i="13"/>
  <c r="K5" i="13" s="1"/>
  <c r="Q34" i="12"/>
  <c r="AN83" i="12"/>
  <c r="AG11" i="12"/>
  <c r="I35" i="12"/>
  <c r="U35" i="12" s="1"/>
  <c r="AE89" i="12"/>
  <c r="AK11" i="12"/>
  <c r="AK89" i="12"/>
  <c r="AB98" i="12"/>
  <c r="U34" i="12"/>
  <c r="AN11" i="12"/>
  <c r="AF11" i="12"/>
  <c r="Q53" i="12"/>
  <c r="W53" i="12"/>
  <c r="AL53" i="12" s="1"/>
  <c r="AL11" i="12"/>
  <c r="AG41" i="12"/>
  <c r="AE11" i="12"/>
  <c r="AL41" i="12"/>
  <c r="N9" i="13"/>
  <c r="Y32" i="12"/>
  <c r="AK32" i="12" s="1"/>
  <c r="R29" i="12"/>
  <c r="R9" i="13"/>
  <c r="N53" i="12"/>
  <c r="D60" i="12"/>
  <c r="K60" i="12" s="1"/>
  <c r="T53" i="12"/>
  <c r="R53" i="12"/>
  <c r="K53" i="12"/>
  <c r="M9" i="13"/>
  <c r="AD41" i="12"/>
  <c r="AN41" i="12"/>
  <c r="O53" i="12"/>
  <c r="M53" i="12"/>
  <c r="AL51" i="12"/>
  <c r="L53" i="12"/>
  <c r="AF41" i="12"/>
  <c r="AD11" i="12"/>
  <c r="U53" i="12"/>
  <c r="T29" i="12"/>
  <c r="AM11" i="12"/>
  <c r="K9" i="13"/>
  <c r="AJ51" i="12"/>
  <c r="AF51" i="12"/>
  <c r="AK83" i="12"/>
  <c r="P11" i="13"/>
  <c r="W11" i="13" s="1"/>
  <c r="AG83" i="12"/>
  <c r="AM51" i="12"/>
  <c r="AG51" i="12"/>
  <c r="Q23" i="12"/>
  <c r="AE51" i="12"/>
  <c r="U60" i="12"/>
  <c r="AK51" i="12"/>
  <c r="AD83" i="12"/>
  <c r="AK50" i="12"/>
  <c r="AN51" i="12"/>
  <c r="AJ83" i="12"/>
  <c r="AE83" i="12"/>
  <c r="N7" i="13"/>
  <c r="R23" i="12"/>
  <c r="AM32" i="12"/>
  <c r="AH83" i="12"/>
  <c r="J7" i="13"/>
  <c r="U23" i="12"/>
  <c r="AK58" i="12"/>
  <c r="R13" i="13"/>
  <c r="X13" i="13" s="1"/>
  <c r="Q60" i="12"/>
  <c r="AK33" i="12"/>
  <c r="S9" i="13"/>
  <c r="D98" i="12"/>
  <c r="K98" i="12" s="1"/>
  <c r="S5" i="13"/>
  <c r="Z35" i="12"/>
  <c r="N60" i="12"/>
  <c r="AK29" i="12"/>
  <c r="AL34" i="12"/>
  <c r="N5" i="13"/>
  <c r="U5" i="13"/>
  <c r="Q35" i="12"/>
  <c r="T60" i="12"/>
  <c r="U9" i="13"/>
  <c r="Z13" i="13"/>
  <c r="AA13" i="13"/>
  <c r="Z11" i="13"/>
  <c r="Y11" i="13"/>
  <c r="T5" i="13"/>
  <c r="Y13" i="13"/>
  <c r="R5" i="13"/>
  <c r="S35" i="12"/>
  <c r="AN33" i="12"/>
  <c r="AA60" i="12"/>
  <c r="AA98" i="12" s="1"/>
  <c r="Y60" i="12"/>
  <c r="Y98" i="12" s="1"/>
  <c r="AN34" i="12"/>
  <c r="AK34" i="12"/>
  <c r="H98" i="12"/>
  <c r="Y7" i="13"/>
  <c r="T35" i="12"/>
  <c r="Z7" i="13"/>
  <c r="AJ34" i="12"/>
  <c r="AM33" i="12"/>
  <c r="AJ33" i="12"/>
  <c r="AK23" i="12"/>
  <c r="AL23" i="12"/>
  <c r="AJ32" i="12"/>
  <c r="AM34" i="12"/>
  <c r="AL32" i="12"/>
  <c r="W7" i="13"/>
  <c r="AN32" i="12"/>
  <c r="W35" i="12"/>
  <c r="AJ35" i="12" s="1"/>
  <c r="AJ29" i="12"/>
  <c r="AM29" i="12"/>
  <c r="AL29" i="12"/>
  <c r="AL33" i="12"/>
  <c r="AN23" i="12"/>
  <c r="AJ23" i="12"/>
  <c r="X98" i="12"/>
  <c r="R7" i="13"/>
  <c r="X7" i="13" s="1"/>
  <c r="Y35" i="12"/>
  <c r="AN29" i="12"/>
  <c r="AA35" i="12"/>
  <c r="AM23" i="12"/>
  <c r="AD53" i="12" l="1"/>
  <c r="AG53" i="12"/>
  <c r="L60" i="12"/>
  <c r="J5" i="13"/>
  <c r="S60" i="12"/>
  <c r="S98" i="12"/>
  <c r="L5" i="13"/>
  <c r="P9" i="13"/>
  <c r="Z9" i="13" s="1"/>
  <c r="AM53" i="12"/>
  <c r="AF53" i="12"/>
  <c r="R60" i="12"/>
  <c r="M5" i="13"/>
  <c r="AJ53" i="12"/>
  <c r="O60" i="12"/>
  <c r="AK53" i="12"/>
  <c r="AE53" i="12"/>
  <c r="AN53" i="12"/>
  <c r="P5" i="13"/>
  <c r="Z5" i="13" s="1"/>
  <c r="AH53" i="12"/>
  <c r="M98" i="12"/>
  <c r="W60" i="12"/>
  <c r="AN60" i="12" s="1"/>
  <c r="AA11" i="13"/>
  <c r="X11" i="13"/>
  <c r="M60" i="12"/>
  <c r="R98" i="12"/>
  <c r="O98" i="12"/>
  <c r="L98" i="12"/>
  <c r="U98" i="12"/>
  <c r="T98" i="12"/>
  <c r="Q98" i="12"/>
  <c r="N98" i="12"/>
  <c r="AM35" i="12"/>
  <c r="AK35" i="12"/>
  <c r="AN35" i="12"/>
  <c r="AL35" i="12"/>
  <c r="AB59" i="14"/>
  <c r="AD60" i="12" l="1"/>
  <c r="X5" i="13"/>
  <c r="AF60" i="12"/>
  <c r="AG60" i="12"/>
  <c r="Y5" i="13"/>
  <c r="AJ60" i="12"/>
  <c r="AL60" i="12"/>
  <c r="W9" i="13"/>
  <c r="X9" i="13"/>
  <c r="AH60" i="12"/>
  <c r="W98" i="12"/>
  <c r="AM98" i="12" s="1"/>
  <c r="Y9" i="13"/>
  <c r="AA9" i="13"/>
  <c r="AK60" i="12"/>
  <c r="AA5" i="13"/>
  <c r="AM60" i="12"/>
  <c r="AE60" i="12"/>
  <c r="W5" i="13"/>
  <c r="AJ98" i="12"/>
  <c r="AF59" i="14"/>
  <c r="AD59" i="14"/>
  <c r="AG59" i="14"/>
  <c r="AM59" i="14"/>
  <c r="AJ59" i="14"/>
  <c r="AI59" i="14"/>
  <c r="AH59" i="14"/>
  <c r="AK59" i="14"/>
  <c r="AC59" i="14"/>
  <c r="AE59" i="14"/>
  <c r="AL59" i="14"/>
  <c r="AK98" i="12" l="1"/>
  <c r="AL98" i="12"/>
  <c r="AG98" i="12"/>
  <c r="AN98" i="12"/>
  <c r="AD98" i="12"/>
  <c r="AE98" i="12"/>
  <c r="AF98" i="12"/>
  <c r="AH98" i="12"/>
  <c r="P59" i="14"/>
  <c r="AA59" i="14"/>
  <c r="Y59" i="14"/>
  <c r="W59" i="14"/>
  <c r="V59" i="14"/>
  <c r="T59" i="14"/>
  <c r="X59" i="14"/>
  <c r="Z59" i="14"/>
  <c r="U59" i="14"/>
  <c r="S59" i="14"/>
  <c r="R59" i="14"/>
  <c r="Q59" i="14"/>
  <c r="AN59" i="14" l="1"/>
  <c r="N59" i="14" l="1"/>
  <c r="J59" i="14"/>
  <c r="G59" i="14"/>
  <c r="I59" i="14"/>
  <c r="H59" i="14"/>
  <c r="D59" i="14"/>
  <c r="L59" i="14"/>
  <c r="F59" i="14"/>
  <c r="E59" i="14"/>
  <c r="M59" i="14"/>
  <c r="K59" i="14"/>
  <c r="O59" i="14"/>
  <c r="D42" i="14" l="1"/>
  <c r="D43" i="14" s="1"/>
  <c r="D12" i="14"/>
  <c r="D13" i="14" s="1"/>
  <c r="D90" i="14"/>
  <c r="D48" i="14"/>
  <c r="D49" i="14" s="1"/>
  <c r="D18" i="14"/>
  <c r="D19" i="14" s="1"/>
  <c r="E18" i="14" l="1"/>
  <c r="E19" i="14" s="1"/>
  <c r="E48" i="14"/>
  <c r="E49" i="14" s="1"/>
  <c r="E12" i="14"/>
  <c r="E13" i="14" s="1"/>
  <c r="E90" i="14"/>
  <c r="E42" i="14"/>
  <c r="E43" i="14" s="1"/>
  <c r="D97" i="14"/>
  <c r="F18" i="14" l="1"/>
  <c r="F19" i="14" s="1"/>
  <c r="F12" i="14"/>
  <c r="F13" i="14" s="1"/>
  <c r="F42" i="14"/>
  <c r="F43" i="14" s="1"/>
  <c r="F90" i="14"/>
  <c r="F48" i="14"/>
  <c r="F49" i="14" s="1"/>
  <c r="E97" i="14"/>
  <c r="G18" i="14" l="1"/>
  <c r="G19" i="14" s="1"/>
  <c r="G48" i="14"/>
  <c r="G49" i="14" s="1"/>
  <c r="G12" i="14"/>
  <c r="G13" i="14" s="1"/>
  <c r="G90" i="14"/>
  <c r="G42" i="14"/>
  <c r="G43" i="14" s="1"/>
  <c r="F97" i="14" l="1"/>
  <c r="H90" i="14"/>
  <c r="H48" i="14"/>
  <c r="H49" i="14" s="1"/>
  <c r="H12" i="14"/>
  <c r="H13" i="14" s="1"/>
  <c r="H18" i="14"/>
  <c r="H19" i="14" s="1"/>
  <c r="H42" i="14"/>
  <c r="H43" i="14" s="1"/>
  <c r="I12" i="14" l="1"/>
  <c r="I13" i="14" s="1"/>
  <c r="I18" i="14"/>
  <c r="I19" i="14" s="1"/>
  <c r="I48" i="14"/>
  <c r="I49" i="14" s="1"/>
  <c r="G97" i="14"/>
  <c r="I42" i="14"/>
  <c r="I43" i="14" s="1"/>
  <c r="I90" i="14"/>
  <c r="H97" i="14"/>
  <c r="J90" i="14" l="1"/>
  <c r="J18" i="14"/>
  <c r="J19" i="14" s="1"/>
  <c r="J12" i="14"/>
  <c r="J13" i="14" s="1"/>
  <c r="J48" i="14"/>
  <c r="J49" i="14" s="1"/>
  <c r="J42" i="14"/>
  <c r="J43" i="14" s="1"/>
  <c r="I97" i="14"/>
  <c r="K48" i="14" l="1"/>
  <c r="K49" i="14" s="1"/>
  <c r="K18" i="14"/>
  <c r="K19" i="14" s="1"/>
  <c r="K42" i="14"/>
  <c r="K43" i="14" s="1"/>
  <c r="K90" i="14"/>
  <c r="K12" i="14"/>
  <c r="K13" i="14" s="1"/>
  <c r="J97" i="14"/>
  <c r="L12" i="14" l="1"/>
  <c r="L13" i="14" s="1"/>
  <c r="L42" i="14"/>
  <c r="L43" i="14" s="1"/>
  <c r="L48" i="14"/>
  <c r="L49" i="14" s="1"/>
  <c r="L90" i="14"/>
  <c r="L18" i="14"/>
  <c r="L19" i="14" s="1"/>
  <c r="K97" i="14"/>
  <c r="M42" i="14" l="1"/>
  <c r="M43" i="14" s="1"/>
  <c r="M18" i="14"/>
  <c r="M19" i="14" s="1"/>
  <c r="M12" i="14"/>
  <c r="M13" i="14" s="1"/>
  <c r="M90" i="14"/>
  <c r="M48" i="14"/>
  <c r="M49" i="14" s="1"/>
  <c r="L97" i="14"/>
  <c r="N18" i="14" l="1"/>
  <c r="N19" i="14" s="1"/>
  <c r="N48" i="14"/>
  <c r="N49" i="14" s="1"/>
  <c r="N12" i="14"/>
  <c r="N13" i="14" s="1"/>
  <c r="N90" i="14"/>
  <c r="N42" i="14"/>
  <c r="N43" i="14" s="1"/>
  <c r="M97" i="14"/>
  <c r="O48" i="14" l="1"/>
  <c r="O49" i="14" s="1"/>
  <c r="O12" i="14"/>
  <c r="O13" i="14" s="1"/>
  <c r="O90" i="14"/>
  <c r="O18" i="14"/>
  <c r="O19" i="14" s="1"/>
  <c r="O42" i="14"/>
  <c r="O43" i="14" s="1"/>
  <c r="N97" i="14" l="1"/>
  <c r="P12" i="14"/>
  <c r="P13" i="14" s="1"/>
  <c r="P48" i="14"/>
  <c r="P49" i="14" s="1"/>
  <c r="P18" i="14"/>
  <c r="P19" i="14" s="1"/>
  <c r="P90" i="14"/>
  <c r="P42" i="14"/>
  <c r="P43" i="14" s="1"/>
  <c r="O97" i="14"/>
  <c r="Q18" i="14" l="1"/>
  <c r="Q19" i="14" s="1"/>
  <c r="Q42" i="14"/>
  <c r="Q43" i="14" s="1"/>
  <c r="Q90" i="14"/>
  <c r="Q12" i="14"/>
  <c r="Q13" i="14" s="1"/>
  <c r="Q48" i="14"/>
  <c r="Q49" i="14" s="1"/>
  <c r="P97" i="14"/>
  <c r="Q97" i="14" l="1"/>
  <c r="R90" i="14"/>
  <c r="R48" i="14"/>
  <c r="R49" i="14" s="1"/>
  <c r="R18" i="14"/>
  <c r="R19" i="14" s="1"/>
  <c r="R12" i="14"/>
  <c r="R13" i="14" s="1"/>
  <c r="R42" i="14"/>
  <c r="R43" i="14" s="1"/>
  <c r="S90" i="14" l="1"/>
  <c r="S12" i="14"/>
  <c r="S13" i="14" s="1"/>
  <c r="S42" i="14"/>
  <c r="S43" i="14" s="1"/>
  <c r="S48" i="14"/>
  <c r="S49" i="14" s="1"/>
  <c r="S18" i="14"/>
  <c r="S19" i="14" s="1"/>
  <c r="R97" i="14" l="1"/>
  <c r="T48" i="14"/>
  <c r="T49" i="14" s="1"/>
  <c r="T18" i="14"/>
  <c r="T19" i="14" s="1"/>
  <c r="T12" i="14"/>
  <c r="T13" i="14" s="1"/>
  <c r="T42" i="14"/>
  <c r="T43" i="14" s="1"/>
  <c r="T90" i="14"/>
  <c r="S97" i="14"/>
  <c r="P94" i="14"/>
  <c r="U12" i="14" l="1"/>
  <c r="U13" i="14" s="1"/>
  <c r="U90" i="14"/>
  <c r="U48" i="14"/>
  <c r="U49" i="14" s="1"/>
  <c r="U18" i="14"/>
  <c r="U19" i="14" s="1"/>
  <c r="U42" i="14"/>
  <c r="U43" i="14" s="1"/>
  <c r="Q94" i="14"/>
  <c r="V42" i="14" l="1"/>
  <c r="V43" i="14" s="1"/>
  <c r="V12" i="14"/>
  <c r="V13" i="14" s="1"/>
  <c r="V90" i="14"/>
  <c r="T97" i="14"/>
  <c r="V18" i="14"/>
  <c r="V19" i="14" s="1"/>
  <c r="V48" i="14"/>
  <c r="V49" i="14" s="1"/>
  <c r="R94" i="14"/>
  <c r="U97" i="14"/>
  <c r="W90" i="14" l="1"/>
  <c r="W12" i="14"/>
  <c r="W13" i="14" s="1"/>
  <c r="W42" i="14"/>
  <c r="W43" i="14" s="1"/>
  <c r="W48" i="14"/>
  <c r="W49" i="14" s="1"/>
  <c r="W18" i="14"/>
  <c r="W19" i="14" s="1"/>
  <c r="V97" i="14" l="1"/>
  <c r="X48" i="14"/>
  <c r="X49" i="14" s="1"/>
  <c r="X90" i="14"/>
  <c r="X12" i="14"/>
  <c r="X13" i="14" s="1"/>
  <c r="X18" i="14"/>
  <c r="X19" i="14" s="1"/>
  <c r="X42" i="14"/>
  <c r="X43" i="14" s="1"/>
  <c r="S94" i="14"/>
  <c r="T94" i="14"/>
  <c r="W97" i="14"/>
  <c r="Y12" i="14" l="1"/>
  <c r="Y13" i="14" s="1"/>
  <c r="Y90" i="14"/>
  <c r="Y48" i="14"/>
  <c r="Y49" i="14" s="1"/>
  <c r="Y42" i="14"/>
  <c r="Y43" i="14" s="1"/>
  <c r="X97" i="14"/>
  <c r="Z18" i="14" l="1"/>
  <c r="Z19" i="14" s="1"/>
  <c r="Z90" i="14"/>
  <c r="Z48" i="14"/>
  <c r="Z49" i="14" s="1"/>
  <c r="Z12" i="14"/>
  <c r="Z13" i="14" s="1"/>
  <c r="Z42" i="14"/>
  <c r="Z43" i="14" s="1"/>
  <c r="V94" i="14"/>
  <c r="U94" i="14"/>
  <c r="AA90" i="14" l="1"/>
  <c r="AA12" i="14"/>
  <c r="AA13" i="14" s="1"/>
  <c r="Y18" i="14"/>
  <c r="Y19" i="14" s="1"/>
  <c r="AA18" i="14"/>
  <c r="AA19" i="14" s="1"/>
  <c r="AA42" i="14"/>
  <c r="AA43" i="14" s="1"/>
  <c r="AA48" i="14"/>
  <c r="AA49" i="14" s="1"/>
  <c r="Z97" i="14"/>
  <c r="AB42" i="14" l="1"/>
  <c r="AB43" i="14" s="1"/>
  <c r="AB90" i="14"/>
  <c r="AB18" i="14"/>
  <c r="AB19" i="14" s="1"/>
  <c r="AB12" i="14"/>
  <c r="AB13" i="14" s="1"/>
  <c r="AB48" i="14"/>
  <c r="AB49" i="14" s="1"/>
  <c r="W94" i="14"/>
  <c r="AA97" i="14"/>
  <c r="Y97" i="14"/>
  <c r="AC12" i="14" l="1"/>
  <c r="AC13" i="14" s="1"/>
  <c r="AC90" i="14"/>
  <c r="AC18" i="14"/>
  <c r="AC19" i="14" s="1"/>
  <c r="AB97" i="14"/>
  <c r="AC48" i="14"/>
  <c r="AC49" i="14" s="1"/>
  <c r="AC42" i="14"/>
  <c r="AC43" i="14" s="1"/>
  <c r="X94" i="14"/>
  <c r="AD42" i="14" l="1"/>
  <c r="AD43" i="14" s="1"/>
  <c r="AD90" i="14"/>
  <c r="AD48" i="14"/>
  <c r="AD49" i="14" s="1"/>
  <c r="AD18" i="14"/>
  <c r="AD19" i="14" s="1"/>
  <c r="AD12" i="14"/>
  <c r="AD13" i="14" s="1"/>
  <c r="AN94" i="14"/>
  <c r="AE90" i="14" l="1"/>
  <c r="AE42" i="14"/>
  <c r="AE43" i="14" s="1"/>
  <c r="AD97" i="14"/>
  <c r="AE12" i="14"/>
  <c r="AE13" i="14" s="1"/>
  <c r="AC97" i="14"/>
  <c r="AE18" i="14"/>
  <c r="AE19" i="14" s="1"/>
  <c r="AE48" i="14"/>
  <c r="AE49" i="14" s="1"/>
  <c r="Z94" i="14"/>
  <c r="AF48" i="14" l="1"/>
  <c r="AF49" i="14" s="1"/>
  <c r="AF12" i="14"/>
  <c r="AF13" i="14" s="1"/>
  <c r="AF42" i="14"/>
  <c r="AF43" i="14" s="1"/>
  <c r="AE97" i="14"/>
  <c r="AF18" i="14"/>
  <c r="AF19" i="14" s="1"/>
  <c r="AF90" i="14"/>
  <c r="AA94" i="14"/>
  <c r="Y94" i="14"/>
  <c r="AB94" i="14"/>
  <c r="AG48" i="14" l="1"/>
  <c r="AG49" i="14" s="1"/>
  <c r="AG12" i="14"/>
  <c r="AG13" i="14" s="1"/>
  <c r="AG18" i="14"/>
  <c r="AG19" i="14" s="1"/>
  <c r="AG90" i="14"/>
  <c r="AG42" i="14"/>
  <c r="AG43" i="14" s="1"/>
  <c r="AH42" i="14" l="1"/>
  <c r="AH43" i="14" s="1"/>
  <c r="AH12" i="14"/>
  <c r="AH13" i="14" s="1"/>
  <c r="AH90" i="14"/>
  <c r="AH18" i="14"/>
  <c r="AH19" i="14" s="1"/>
  <c r="AF97" i="14"/>
  <c r="AC94" i="14"/>
  <c r="AH48" i="14"/>
  <c r="AH49" i="14" s="1"/>
  <c r="AE94" i="14"/>
  <c r="AD94" i="14"/>
  <c r="AI12" i="14" l="1"/>
  <c r="AI13" i="14" s="1"/>
  <c r="AI90" i="14"/>
  <c r="AI48" i="14"/>
  <c r="AI49" i="14" s="1"/>
  <c r="AI18" i="14"/>
  <c r="AI19" i="14" s="1"/>
  <c r="AI42" i="14"/>
  <c r="AI43" i="14" s="1"/>
  <c r="AG97" i="14"/>
  <c r="AF94" i="14"/>
  <c r="AH97" i="14" l="1"/>
  <c r="AJ18" i="14"/>
  <c r="AJ19" i="14" s="1"/>
  <c r="AJ42" i="14"/>
  <c r="AJ43" i="14" s="1"/>
  <c r="AJ90" i="14"/>
  <c r="AJ12" i="14"/>
  <c r="AJ13" i="14" s="1"/>
  <c r="AJ48" i="14"/>
  <c r="AJ49" i="14" s="1"/>
  <c r="AI97" i="14" l="1"/>
  <c r="AK90" i="14"/>
  <c r="AK42" i="14"/>
  <c r="AK43" i="14" s="1"/>
  <c r="AK12" i="14"/>
  <c r="AK13" i="14" s="1"/>
  <c r="AK48" i="14"/>
  <c r="AK49" i="14" s="1"/>
  <c r="AG94" i="14"/>
  <c r="AK18" i="14"/>
  <c r="AK19" i="14" s="1"/>
  <c r="AL90" i="14" l="1"/>
  <c r="AL48" i="14"/>
  <c r="AL49" i="14" s="1"/>
  <c r="AL42" i="14"/>
  <c r="AL43" i="14" s="1"/>
  <c r="AL18" i="14"/>
  <c r="AL19" i="14" s="1"/>
  <c r="AJ97" i="14"/>
  <c r="AL12" i="14"/>
  <c r="AL13" i="14" s="1"/>
  <c r="AH94" i="14"/>
  <c r="AK97" i="14" l="1"/>
  <c r="AM48" i="14"/>
  <c r="AM49" i="14" s="1"/>
  <c r="AM42" i="14"/>
  <c r="AM43" i="14" s="1"/>
  <c r="AM12" i="14"/>
  <c r="AM13" i="14" s="1"/>
  <c r="AM18" i="14"/>
  <c r="AM19" i="14" s="1"/>
  <c r="AM90" i="14"/>
  <c r="AI94" i="14"/>
  <c r="AL97" i="14" l="1"/>
  <c r="AN48" i="14"/>
  <c r="AN49" i="14" s="1"/>
  <c r="AN18" i="14"/>
  <c r="AN19" i="14" s="1"/>
  <c r="AN90" i="14"/>
  <c r="AN12" i="14"/>
  <c r="AN13" i="14" s="1"/>
  <c r="AN42" i="14"/>
  <c r="AN43" i="14" s="1"/>
  <c r="AZ94" i="14"/>
  <c r="AZ97" i="14"/>
  <c r="AZ59" i="14"/>
  <c r="AZ42" i="14"/>
  <c r="AZ43" i="14" s="1"/>
  <c r="AZ18" i="14"/>
  <c r="AZ19" i="14" s="1"/>
  <c r="AZ12" i="14"/>
  <c r="AZ13" i="14" s="1"/>
  <c r="BA42" i="14"/>
  <c r="BA43" i="14" s="1"/>
  <c r="BA97" i="14"/>
  <c r="BA12" i="14"/>
  <c r="BA13" i="14" s="1"/>
  <c r="BA94" i="14"/>
  <c r="AN97" i="14"/>
  <c r="BA59" i="14" l="1"/>
  <c r="AM97" i="14"/>
  <c r="AK94" i="14"/>
  <c r="AJ94" i="14"/>
  <c r="BA18" i="14"/>
  <c r="BA19" i="14" s="1"/>
  <c r="BB12" i="14"/>
  <c r="BB13" i="14" s="1"/>
  <c r="BB42" i="14"/>
  <c r="BB43" i="14" s="1"/>
  <c r="BB97" i="14"/>
  <c r="BB94" i="14"/>
  <c r="BB59" i="14" l="1"/>
  <c r="BB18" i="14"/>
  <c r="BB19" i="14" s="1"/>
  <c r="AZ90" i="14"/>
  <c r="BC12" i="14"/>
  <c r="BC13" i="14" s="1"/>
  <c r="BC42" i="14"/>
  <c r="BC43" i="14" s="1"/>
  <c r="BC97" i="14"/>
  <c r="BC94" i="14"/>
  <c r="AL94" i="14" l="1"/>
  <c r="BC59" i="14"/>
  <c r="BA90" i="14"/>
  <c r="BC18" i="14"/>
  <c r="BC19" i="14" s="1"/>
  <c r="BD12" i="14"/>
  <c r="BD13" i="14" s="1"/>
  <c r="BD42" i="14"/>
  <c r="BD43" i="14" s="1"/>
  <c r="BD94" i="14"/>
  <c r="BD97" i="14"/>
  <c r="AM94" i="14" l="1"/>
  <c r="BD59" i="14"/>
  <c r="BB90" i="14"/>
  <c r="BD18" i="14"/>
  <c r="BD19" i="14" s="1"/>
  <c r="BE18" i="14"/>
  <c r="BE19" i="14" s="1"/>
  <c r="BC90" i="14" l="1"/>
  <c r="BE12" i="14"/>
  <c r="BE13" i="14" s="1"/>
  <c r="BE59" i="14"/>
  <c r="BE42" i="14"/>
  <c r="BE43" i="14" s="1"/>
  <c r="BE97" i="14"/>
  <c r="BE94" i="14"/>
  <c r="BF12" i="14"/>
  <c r="BF13" i="14" s="1"/>
  <c r="BF97" i="14"/>
  <c r="BF94" i="14"/>
  <c r="BF42" i="14"/>
  <c r="BF43" i="14" s="1"/>
  <c r="BD90" i="14"/>
  <c r="BF59" i="14" l="1"/>
  <c r="BF18" i="14"/>
  <c r="BF19" i="14" s="1"/>
  <c r="AN84" i="14"/>
  <c r="BG42" i="14"/>
  <c r="BG43" i="14" s="1"/>
  <c r="BG12" i="14"/>
  <c r="BG13" i="14" s="1"/>
  <c r="BG94" i="14"/>
  <c r="BG97" i="14"/>
  <c r="BG59" i="14" l="1"/>
  <c r="BE90" i="14"/>
  <c r="BG18" i="14"/>
  <c r="BG19" i="14" s="1"/>
  <c r="BH12" i="14"/>
  <c r="BH13" i="14" s="1"/>
  <c r="BH42" i="14"/>
  <c r="BH43" i="14" s="1"/>
  <c r="BH94" i="14"/>
  <c r="BH97" i="14"/>
  <c r="BH59" i="14" l="1"/>
  <c r="BF90" i="14"/>
  <c r="BH18" i="14"/>
  <c r="BH19" i="14" s="1"/>
  <c r="BI12" i="14"/>
  <c r="BI13" i="14" s="1"/>
  <c r="BI42" i="14"/>
  <c r="BI43" i="14" s="1"/>
  <c r="BI94" i="14"/>
  <c r="BI97" i="14"/>
  <c r="N94" i="14" l="1"/>
  <c r="L94" i="14"/>
  <c r="I94" i="14"/>
  <c r="M94" i="14"/>
  <c r="K94" i="14"/>
  <c r="BI59" i="14"/>
  <c r="BG90" i="14"/>
  <c r="BI18" i="14"/>
  <c r="BI19" i="14" s="1"/>
  <c r="BJ12" i="14"/>
  <c r="BJ13" i="14" s="1"/>
  <c r="BJ97" i="14"/>
  <c r="BJ94" i="14"/>
  <c r="BJ42" i="14"/>
  <c r="BJ43" i="14" s="1"/>
  <c r="BH90" i="14"/>
  <c r="H94" i="14" l="1"/>
  <c r="O94" i="14"/>
  <c r="D94" i="14"/>
  <c r="G94" i="14"/>
  <c r="BJ59" i="14"/>
  <c r="BJ18" i="14"/>
  <c r="BJ19" i="14" s="1"/>
  <c r="BI90" i="14"/>
  <c r="BK12" i="14"/>
  <c r="BK13" i="14" s="1"/>
  <c r="BK18" i="14"/>
  <c r="BK19" i="14" s="1"/>
  <c r="BK42" i="14"/>
  <c r="BK43" i="14" s="1"/>
  <c r="BK97" i="14"/>
  <c r="BK94" i="14"/>
  <c r="BK59" i="14" l="1"/>
  <c r="E94" i="14"/>
  <c r="F94" i="14"/>
  <c r="J94" i="14"/>
  <c r="BJ90" i="14" l="1"/>
  <c r="BK90" i="14"/>
  <c r="G84" i="14" l="1"/>
  <c r="AD84" i="14"/>
  <c r="D84" i="14"/>
  <c r="AL84" i="14"/>
  <c r="AC84" i="14"/>
  <c r="S84" i="14"/>
  <c r="F84" i="14"/>
  <c r="AA84" i="14"/>
  <c r="X84" i="14"/>
  <c r="AI84" i="14"/>
  <c r="Y84" i="14"/>
  <c r="O84" i="14"/>
  <c r="I84" i="14" l="1"/>
  <c r="R84" i="14"/>
  <c r="Z84" i="14"/>
  <c r="Q84" i="14"/>
  <c r="AG84" i="14"/>
  <c r="U84" i="14"/>
  <c r="W84" i="14"/>
  <c r="AF84" i="14"/>
  <c r="AE84" i="14"/>
  <c r="AM84" i="14"/>
  <c r="V84" i="14"/>
  <c r="T84" i="14"/>
  <c r="AK84" i="14"/>
  <c r="AB84" i="14"/>
  <c r="AJ84" i="14"/>
  <c r="E84" i="14"/>
  <c r="P84" i="14"/>
  <c r="N84" i="14"/>
  <c r="J84" i="14"/>
  <c r="H84" i="14" l="1"/>
  <c r="AH84" i="14"/>
  <c r="M84" i="14"/>
  <c r="L84" i="14"/>
  <c r="K84" i="14"/>
  <c r="AZ84" i="14" l="1"/>
  <c r="BA84" i="14"/>
  <c r="BB84" i="14" l="1"/>
  <c r="BD84" i="14" l="1"/>
  <c r="BC84" i="14"/>
  <c r="BE84" i="14" l="1"/>
  <c r="BF84" i="14"/>
  <c r="BG84" i="14" l="1"/>
  <c r="BH84" i="14" l="1"/>
  <c r="BI84" i="14" l="1"/>
  <c r="BJ84" i="14" l="1"/>
  <c r="BK84" i="14" l="1"/>
  <c r="AZ48" i="14" l="1"/>
  <c r="AZ49" i="14" s="1"/>
  <c r="BA48" i="14" l="1"/>
  <c r="BA49" i="14" s="1"/>
  <c r="BB48" i="14" l="1"/>
  <c r="BB49" i="14" s="1"/>
  <c r="BC48" i="14" l="1"/>
  <c r="BC49" i="14" s="1"/>
  <c r="BD48" i="14" l="1"/>
  <c r="BD49" i="14" s="1"/>
  <c r="BE48" i="14" l="1"/>
  <c r="BE49" i="14" s="1"/>
  <c r="BF48" i="14" l="1"/>
  <c r="BF49" i="14" s="1"/>
  <c r="BG48" i="14" l="1"/>
  <c r="BG49" i="14" s="1"/>
  <c r="BH48" i="14" l="1"/>
  <c r="BH49" i="14" s="1"/>
  <c r="BI48" i="14" l="1"/>
  <c r="BI49" i="14" s="1"/>
  <c r="BJ48" i="14" l="1"/>
  <c r="BJ49" i="14" s="1"/>
  <c r="BK48" i="14" l="1"/>
  <c r="BK49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D19E99-6257-4950-B96D-51C34339484D}" keepAlive="1" name="DataSetPPECONVVEH" type="5" refreshedVersion="8" refreshOnLoad="1" saveData="1">
    <dbPr connection="Provider=MSOLAP.8;Integrated Security=ClaimsToken;Persist Security Info=True;Initial Catalog=sobe_wowvirtualserver-b0b160a6-ebc5-4855-b2f7-af60e51163af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B9410C90-E945-4CDA-83C7-2355E464A02E}" keepAlive="1" name="DataSetPPTO26PPECONVVEH" type="5" refreshedVersion="8" background="1">
    <dbPr connection="Provider=MSOLAP.8;Integrated Security=ClaimsToken;Persist Security Info=True;Initial Catalog=sobe_wowvirtualserver-84447922-96ff-4e1f-b318-13084cf8c1b8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6">
    <s v="{[Base].[PRODUCTO].&amp;[Convenios]}"/>
    <s v="{[Base].[Tipo_Valor].&amp;[Solarizado]}"/>
    <s v="DataSetPPECONVVEH"/>
    <s v="DataSetPPTO26PPECONVVEH"/>
    <s v="{[BASE_CONVE_PPTO].[PRODUCTO].&amp;[Convenios]}"/>
    <s v="{[BASE_CONVE_PPTO].[Tipo_Valor].&amp;[Solarizado]}"/>
  </metadataStrings>
  <mdxMetadata count="4">
    <mdx n="2" f="s">
      <ms ns="0" c="0"/>
    </mdx>
    <mdx n="2" f="s">
      <ms ns="1" c="0"/>
    </mdx>
    <mdx n="3" f="s">
      <ms ns="4" c="0"/>
    </mdx>
    <mdx n="3" f="s">
      <ms ns="5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<sst xmlns="http://schemas.openxmlformats.org/spreadsheetml/2006/main" count="1277" uniqueCount="131">
  <si>
    <t>Vigente</t>
  </si>
  <si>
    <t>Refinanciado</t>
  </si>
  <si>
    <t>Saldo FdP</t>
  </si>
  <si>
    <t>Producto</t>
  </si>
  <si>
    <t>Convenios</t>
  </si>
  <si>
    <t>Etiquetas de columna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</si>
  <si>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</si>
  <si>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</si>
  <si>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</si>
  <si>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</si>
  <si>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</si>
  <si>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</si>
  <si>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</si>
  <si>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</si>
  <si>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</si>
  <si>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</si>
  <si>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</si>
  <si>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</si>
  <si>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</si>
  <si>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</si>
  <si>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</si>
  <si>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</si>
  <si>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</si>
  <si>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</si>
  <si>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</si>
  <si>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</si>
  <si>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</si>
  <si>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</si>
  <si>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</si>
  <si>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</si>
  <si>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</si>
  <si>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</si>
  <si>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</si>
  <si>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</si>
  <si>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</si>
  <si>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</si>
  <si>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</si>
  <si>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</si>
  <si>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</si>
  <si>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</si>
  <si>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</si>
  <si>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</si>
  <si>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Suma de Importe</t>
  </si>
  <si>
    <t>PRODUCTO</t>
  </si>
  <si>
    <t>Etiquetas de fila</t>
  </si>
  <si>
    <t>Vencido y Judicial</t>
  </si>
  <si>
    <t>Consumo Inicial</t>
  </si>
  <si>
    <t>Masivo</t>
  </si>
  <si>
    <t>Otros</t>
  </si>
  <si>
    <t>Renta Alta</t>
  </si>
  <si>
    <t>FTP</t>
  </si>
  <si>
    <t>SALDO_FDP</t>
  </si>
  <si>
    <t>SALDO_PROM</t>
  </si>
  <si>
    <t>Tipo_Valor</t>
  </si>
  <si>
    <t>Solarizado</t>
  </si>
  <si>
    <t>Ingreso_Financiero</t>
  </si>
  <si>
    <t>Saldo Prom</t>
  </si>
  <si>
    <t>Ingreso Financiero</t>
  </si>
  <si>
    <t>Costo de Fondos</t>
  </si>
  <si>
    <t>Tasa Implicita</t>
  </si>
  <si>
    <t>Tasa FTP</t>
  </si>
  <si>
    <t>N° dias T.Imp</t>
  </si>
  <si>
    <t>N° dias FTP</t>
  </si>
  <si>
    <t>Spread</t>
  </si>
  <si>
    <t>Gasto_Provision</t>
  </si>
  <si>
    <t>Recupero</t>
  </si>
  <si>
    <t>Resultado Financiero Bruto</t>
  </si>
  <si>
    <t>Provisiones Cartera</t>
  </si>
  <si>
    <t>Provisiones Netas</t>
  </si>
  <si>
    <t>Recupero de Castigos</t>
  </si>
  <si>
    <t>Resultado Financiero Neto</t>
  </si>
  <si>
    <t>INOF</t>
  </si>
  <si>
    <t>Comisiones</t>
  </si>
  <si>
    <t>Gastos de casilleros</t>
  </si>
  <si>
    <t>Seguro de Desgravamen</t>
  </si>
  <si>
    <t>Gastos Operativos</t>
  </si>
  <si>
    <t>202601</t>
  </si>
  <si>
    <t>Gasto Canal</t>
  </si>
  <si>
    <t>Gasto Directo</t>
  </si>
  <si>
    <t>Gasto Indirecto</t>
  </si>
  <si>
    <t>Extraordinarios</t>
  </si>
  <si>
    <t>ROF</t>
  </si>
  <si>
    <t>Venta de Cartera</t>
  </si>
  <si>
    <t>UAI</t>
  </si>
  <si>
    <t>Donaciones</t>
  </si>
  <si>
    <t>Tipo</t>
  </si>
  <si>
    <t>R</t>
  </si>
  <si>
    <t>P</t>
  </si>
  <si>
    <t>Año</t>
  </si>
  <si>
    <t>Acumulado</t>
  </si>
  <si>
    <t>Saldo Prom Acumulado</t>
  </si>
  <si>
    <t>Total Convenios</t>
  </si>
  <si>
    <t>REAL</t>
  </si>
  <si>
    <t>PRESUPUESTO</t>
  </si>
  <si>
    <t>Mensual</t>
  </si>
  <si>
    <t>Lista Fechas</t>
  </si>
  <si>
    <t>Segmentos</t>
  </si>
  <si>
    <t>Renta_Alta</t>
  </si>
  <si>
    <t>Consumo_Inicial</t>
  </si>
  <si>
    <t>Total_Producto</t>
  </si>
  <si>
    <t>Variación S/.</t>
  </si>
  <si>
    <t>Variación %</t>
  </si>
  <si>
    <t>Desempeño Financiero</t>
  </si>
  <si>
    <t>En S/. Miles</t>
  </si>
  <si>
    <t>Eficiencia</t>
  </si>
  <si>
    <t>Rendimiento de Colocaciones</t>
  </si>
  <si>
    <t>INOF / Ingresos Totales</t>
  </si>
  <si>
    <t>INOF / Gasto Operativo</t>
  </si>
  <si>
    <t>Gasto Operativo / Activo</t>
  </si>
  <si>
    <t>Provisiones Brutas / Cartera Bruta</t>
  </si>
  <si>
    <t>Prom SFdP</t>
  </si>
  <si>
    <t>ROE</t>
  </si>
  <si>
    <t>ROA</t>
  </si>
  <si>
    <t>202602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</si>
  <si>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</si>
  <si>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</si>
  <si>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</si>
  <si>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</si>
  <si>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</si>
  <si>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</si>
  <si>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</si>
  <si>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</si>
  <si>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</si>
  <si>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</si>
  <si>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Total general</t>
  </si>
  <si>
    <t>Alineamiento Externo</t>
  </si>
  <si>
    <t>Alineamiento Interno</t>
  </si>
  <si>
    <t>Prociclicas</t>
  </si>
  <si>
    <t>Reservas</t>
  </si>
  <si>
    <t>Riesgo Cambiario</t>
  </si>
  <si>
    <t>Sobreendeudamiento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</si>
</sst>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_ * #,##0_ ;_ * \-#,##0_ ;_ * &quot;-&quot;??_ ;_ @_ "/>
    <numFmt numFmtId="167" formatCode="mmm\ yy"/>
    <numFmt numFmtId="168" formatCode="mmm\-yy\ &quot;P&quot;"/>
    <numFmt numFmtId="169" formatCode="#,##0_ ;\-#,##0\ "/>
    <numFmt numFmtId="170" formatCode="0.0%"/>
    <numFmt numFmtId="171" formatCode="mmm\-yy\ \P"/>
    <numFmt numFmtId="172" formatCode="#,##0;\(#,##0\)"/>
    <numFmt numFmtId="173" formatCode="\+0.0%;\-0.0%"/>
    <numFmt numFmtId="174" formatCode="\+0.0\ &quot;pbs&quot;;\-0.0\ &quot;pbs&quot;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39A6"/>
      <name val="Arial"/>
      <family val="2"/>
    </font>
    <font>
      <b/>
      <sz val="8"/>
      <name val="Arial"/>
      <family val="2"/>
    </font>
    <font>
      <b/>
      <sz val="9"/>
      <color theme="0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i/>
      <sz val="6"/>
      <color theme="1"/>
      <name val="Arial Nova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color theme="1"/>
      <name val="Arial Nova"/>
      <family val="2"/>
    </font>
    <font>
      <b/>
      <sz val="12"/>
      <color theme="0"/>
      <name val="Aptos Narrow"/>
      <family val="2"/>
      <scheme val="minor"/>
    </font>
    <font>
      <b/>
      <sz val="10"/>
      <color rgb="FF0039A6"/>
      <name val="Arial"/>
      <family val="2"/>
    </font>
    <font>
      <b/>
      <sz val="11"/>
      <color rgb="FFFFFFFF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i/>
      <sz val="6"/>
      <color theme="0" tint="-0.14999847407452621"/>
      <name val="Arial Nova"/>
      <family val="2"/>
    </font>
    <font>
      <b/>
      <sz val="10"/>
      <color theme="0"/>
      <name val="Geometria"/>
      <family val="2"/>
    </font>
    <font>
      <b/>
      <sz val="10"/>
      <color theme="0" tint="-0.14999847407452621"/>
      <name val="Century Gothic"/>
      <family val="2"/>
    </font>
    <font>
      <b/>
      <sz val="11"/>
      <color theme="0" tint="-0.1499984740745262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0F0D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5BE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0039A6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39A6"/>
        <bgColor indexed="64"/>
      </patternFill>
    </fill>
  </fills>
  <borders count="4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theme="0"/>
      </left>
      <right style="thick">
        <color rgb="FFFFFFFF"/>
      </right>
      <top/>
      <bottom style="medium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60">
    <xf numFmtId="0" fontId="0" fillId="0" borderId="0" xfId="0"/>
    <xf numFmtId="17" fontId="3" fillId="2" borderId="1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right"/>
    </xf>
    <xf numFmtId="0" fontId="5" fillId="4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1" applyNumberFormat="1" applyFont="1"/>
    <xf numFmtId="164" fontId="0" fillId="0" borderId="0" xfId="0" applyNumberFormat="1"/>
    <xf numFmtId="166" fontId="7" fillId="4" borderId="0" xfId="3" applyNumberFormat="1" applyFont="1" applyFill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0" fontId="0" fillId="0" borderId="0" xfId="2" applyNumberFormat="1" applyFont="1"/>
    <xf numFmtId="10" fontId="7" fillId="4" borderId="0" xfId="2" applyNumberFormat="1" applyFont="1" applyFill="1" applyAlignment="1">
      <alignment vertical="center"/>
    </xf>
    <xf numFmtId="166" fontId="0" fillId="0" borderId="0" xfId="0" applyNumberFormat="1"/>
    <xf numFmtId="164" fontId="9" fillId="0" borderId="0" xfId="1" applyNumberFormat="1" applyFont="1"/>
    <xf numFmtId="0" fontId="9" fillId="0" borderId="0" xfId="0" applyFont="1"/>
    <xf numFmtId="164" fontId="9" fillId="0" borderId="0" xfId="0" applyNumberFormat="1" applyFont="1"/>
    <xf numFmtId="14" fontId="0" fillId="0" borderId="0" xfId="0" applyNumberFormat="1"/>
    <xf numFmtId="167" fontId="0" fillId="0" borderId="0" xfId="0" applyNumberFormat="1" applyAlignment="1">
      <alignment horizontal="center"/>
    </xf>
    <xf numFmtId="168" fontId="3" fillId="2" borderId="0" xfId="0" applyNumberFormat="1" applyFont="1" applyFill="1" applyAlignment="1">
      <alignment horizontal="center"/>
    </xf>
    <xf numFmtId="37" fontId="7" fillId="4" borderId="0" xfId="3" applyNumberFormat="1" applyFont="1" applyFill="1" applyAlignment="1">
      <alignment horizontal="center" vertical="center"/>
    </xf>
    <xf numFmtId="169" fontId="0" fillId="0" borderId="0" xfId="1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17" fontId="0" fillId="0" borderId="0" xfId="0" applyNumberFormat="1"/>
    <xf numFmtId="2" fontId="8" fillId="0" borderId="0" xfId="0" applyNumberFormat="1" applyFont="1" applyAlignment="1">
      <alignment horizontal="center"/>
    </xf>
    <xf numFmtId="170" fontId="0" fillId="0" borderId="0" xfId="2" applyNumberFormat="1" applyFont="1" applyAlignment="1">
      <alignment horizontal="center"/>
    </xf>
    <xf numFmtId="170" fontId="7" fillId="4" borderId="0" xfId="2" applyNumberFormat="1" applyFont="1" applyFill="1" applyAlignment="1">
      <alignment horizontal="center" vertical="center"/>
    </xf>
    <xf numFmtId="168" fontId="3" fillId="2" borderId="1" xfId="0" applyNumberFormat="1" applyFont="1" applyFill="1" applyBorder="1" applyAlignment="1">
      <alignment horizontal="center"/>
    </xf>
    <xf numFmtId="167" fontId="0" fillId="7" borderId="0" xfId="0" applyNumberFormat="1" applyFill="1" applyAlignment="1">
      <alignment horizontal="center"/>
    </xf>
    <xf numFmtId="171" fontId="13" fillId="8" borderId="2" xfId="0" applyNumberFormat="1" applyFont="1" applyFill="1" applyBorder="1" applyAlignment="1">
      <alignment horizontal="center"/>
    </xf>
    <xf numFmtId="17" fontId="13" fillId="8" borderId="2" xfId="0" applyNumberFormat="1" applyFont="1" applyFill="1" applyBorder="1" applyAlignment="1">
      <alignment horizontal="center"/>
    </xf>
    <xf numFmtId="172" fontId="0" fillId="0" borderId="0" xfId="1" applyNumberFormat="1" applyFont="1"/>
    <xf numFmtId="172" fontId="7" fillId="4" borderId="0" xfId="3" applyNumberFormat="1" applyFont="1" applyFill="1" applyAlignment="1">
      <alignment vertical="center"/>
    </xf>
    <xf numFmtId="173" fontId="0" fillId="0" borderId="0" xfId="1" applyNumberFormat="1" applyFont="1" applyAlignment="1">
      <alignment horizontal="center"/>
    </xf>
    <xf numFmtId="173" fontId="2" fillId="4" borderId="0" xfId="1" applyNumberFormat="1" applyFont="1" applyFill="1" applyAlignment="1">
      <alignment horizont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174" fontId="0" fillId="0" borderId="0" xfId="0" applyNumberFormat="1" applyAlignment="1">
      <alignment horizontal="center"/>
    </xf>
    <xf numFmtId="174" fontId="7" fillId="4" borderId="0" xfId="0" applyNumberFormat="1" applyFont="1" applyFill="1" applyAlignment="1">
      <alignment horizontal="center"/>
    </xf>
    <xf numFmtId="0" fontId="0" fillId="10" borderId="0" xfId="0" applyFill="1"/>
    <xf numFmtId="1" fontId="18" fillId="11" borderId="3" xfId="0" applyNumberFormat="1" applyFont="1" applyFill="1" applyBorder="1" applyAlignment="1">
      <alignment horizontal="left" vertical="center"/>
    </xf>
    <xf numFmtId="0" fontId="19" fillId="0" borderId="0" xfId="0" applyFont="1"/>
    <xf numFmtId="164" fontId="20" fillId="0" borderId="0" xfId="1" applyNumberFormat="1" applyFont="1"/>
    <xf numFmtId="0" fontId="20" fillId="0" borderId="0" xfId="0" applyFont="1"/>
    <xf numFmtId="170" fontId="7" fillId="4" borderId="0" xfId="2" applyNumberFormat="1" applyFont="1" applyFill="1" applyAlignment="1">
      <alignment horizontal="center"/>
    </xf>
    <xf numFmtId="174" fontId="10" fillId="0" borderId="0" xfId="0" applyNumberFormat="1" applyFont="1" applyAlignment="1">
      <alignment horizontal="center"/>
    </xf>
    <xf numFmtId="43" fontId="9" fillId="0" borderId="0" xfId="1" applyFont="1"/>
    <xf numFmtId="164" fontId="21" fillId="0" borderId="0" xfId="0" applyNumberFormat="1" applyFont="1"/>
    <xf numFmtId="164" fontId="9" fillId="7" borderId="0" xfId="0" applyNumberFormat="1" applyFont="1" applyFill="1"/>
    <xf numFmtId="0" fontId="2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/>
    </xf>
    <xf numFmtId="1" fontId="14" fillId="9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</cellXfs>
  <cellStyles count="4">
    <cellStyle name="Millares" xfId="1" builtinId="3"/>
    <cellStyle name="Millares 2 2 2" xfId="3" xr:uid="{59B4208A-C3FC-4BC8-9240-D808A467DA1C}"/>
    <cellStyle name="Normal" xfId="0" builtinId="0"/>
    <cellStyle name="Porcentaje" xfId="2" builtinId="5"/>
  </cellStyles>
  <dxfs count="2"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colors>
    <mruColors>
      <color rgb="FF05BE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laneamiento4/Planeamiento/BancaPersonal/Performance/2026/Convenios/Performance%20Convenios%202026.xlsm" TargetMode="External"/><Relationship Id="rId2" Type="http://schemas.openxmlformats.org/officeDocument/2006/relationships/externalLinkPath" Target="file:///\\ibdfs\dfs\Planeamiento4\Planeamiento\BancaPersonal\Performance\2026\Convenios\Performance%20Convenios%202026.xlsm" TargetMode="External"/><Relationship Id="rId1" Type="http://schemas.openxmlformats.org/officeDocument/2006/relationships/externalLinkPath" Target="/Planeamiento4/Planeamiento/BancaPersonal/Performance/2026/Convenios/Performance%20Convenios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en Ejecutivo"/>
      <sheetName val="Indicadores"/>
      <sheetName val="Desempeño Financiero"/>
      <sheetName val="Desempeño Financiero (Evol)"/>
      <sheetName val="INOF Segmento"/>
      <sheetName val="Extraordinarios Segmento"/>
      <sheetName val="Donaciones"/>
      <sheetName val="Evolutivo_Base"/>
      <sheetName val="Saldos &amp; FTP 2026 --&gt;"/>
      <sheetName val="Tabla_SaldoFdP_2026"/>
      <sheetName val="Tabla_SaldoProm_2026"/>
      <sheetName val="Tabla_FTP_2026"/>
      <sheetName val="Base_Saldos_&amp;_FTP_2026"/>
      <sheetName val="Ingreso Financiero 2026 --&gt;"/>
      <sheetName val="Tabla_Interes_2026"/>
      <sheetName val="Base_Interes_2026"/>
      <sheetName val="INOF 2026 --&gt;"/>
      <sheetName val="Distribución_INOF_2026"/>
      <sheetName val="Base_INOF_2026"/>
      <sheetName val="Gastos 2026 --&gt;"/>
      <sheetName val="Base Gastos 2026"/>
      <sheetName val="Saldos &amp; FTP 2019-2025 --&gt;"/>
      <sheetName val="Tabla_SaldoFdP_2019_2025"/>
      <sheetName val="Tabla_SaldoProm_2019_2025"/>
      <sheetName val="Tabla_FTP_2019_2025"/>
      <sheetName val="Base_Saldos_&amp;_FTP_2019_2025"/>
      <sheetName val="Ingreso Financier 2019-2025 --&gt;"/>
      <sheetName val="Tabla_Interes_2019_2025"/>
      <sheetName val="Base_Interes_2019_2025"/>
      <sheetName val="INOF 2019-2025 --&gt;"/>
      <sheetName val="Distribución_INOF_2019_2025"/>
      <sheetName val="Base_INOF_2019_2025"/>
      <sheetName val="Gastos 2019-2025 --&gt;"/>
      <sheetName val="Base Gastos 2019-2025"/>
      <sheetName val="Datos"/>
      <sheetName val="Comparativo"/>
      <sheetName val="Extraordinarios"/>
      <sheetName val="Intereses 2019-2025 --&gt;"/>
      <sheetName val="Comisiones--&gt;"/>
      <sheetName val="Tabla_Comisiones-Seg_Nuevo"/>
      <sheetName val="INOF--&gt;"/>
      <sheetName val="Gasto_Casilleros_Nuevo"/>
      <sheetName val="INOF-Seg(Ingreso_Desgra)_Nuevo"/>
      <sheetName val="INOF-Seg (Gasto_Desgra)_Nuevo"/>
    </sheetNames>
    <sheetDataSet>
      <sheetData sheetId="0"/>
      <sheetData sheetId="1"/>
      <sheetData sheetId="2"/>
      <sheetData sheetId="3">
        <row r="6">
          <cell r="F6"/>
        </row>
        <row r="58">
          <cell r="BE58">
            <v>4780954.0762579981</v>
          </cell>
          <cell r="BF58">
            <v>4850962.4564662604</v>
          </cell>
          <cell r="BG58">
            <v>4931010.4048242187</v>
          </cell>
          <cell r="BH58">
            <v>4976826.1239999998</v>
          </cell>
          <cell r="BI58">
            <v>5036099.882629999</v>
          </cell>
          <cell r="BJ58">
            <v>5095415.6337184003</v>
          </cell>
          <cell r="BK58">
            <v>5141695.4380708793</v>
          </cell>
          <cell r="BL58">
            <v>5214070.3714542501</v>
          </cell>
          <cell r="BM58">
            <v>5261050.7310369806</v>
          </cell>
          <cell r="BN58">
            <v>5320680.9983591791</v>
          </cell>
          <cell r="BO58">
            <v>5376200.0439944807</v>
          </cell>
          <cell r="BP58">
            <v>5395659.8588117203</v>
          </cell>
          <cell r="BQ58">
            <v>5449089.7223459594</v>
          </cell>
          <cell r="BR58">
            <v>5514556.3828836</v>
          </cell>
          <cell r="BS58">
            <v>5585080.2516938606</v>
          </cell>
          <cell r="BT58">
            <v>5681432.1513944007</v>
          </cell>
          <cell r="BU58">
            <v>5773595.0407003807</v>
          </cell>
          <cell r="BV58">
            <v>5842996.3121014601</v>
          </cell>
          <cell r="BW58">
            <v>5921439.9423179701</v>
          </cell>
          <cell r="BX58">
            <v>5955544.3047820004</v>
          </cell>
          <cell r="BY58">
            <v>5961448.7945573302</v>
          </cell>
          <cell r="BZ58">
            <v>5937595.4206962399</v>
          </cell>
          <cell r="CA58">
            <v>5865247.5070760222</v>
          </cell>
          <cell r="CB58">
            <v>5801009.9404090801</v>
          </cell>
          <cell r="CC58">
            <v>5764109.9795345189</v>
          </cell>
          <cell r="CD58">
            <v>5750585.5235549808</v>
          </cell>
          <cell r="CE58">
            <v>5740966.5725920023</v>
          </cell>
          <cell r="CF58">
            <v>5751473.0516772494</v>
          </cell>
          <cell r="CG58">
            <v>5763798.537910861</v>
          </cell>
          <cell r="CH58">
            <v>5781778.8445706591</v>
          </cell>
          <cell r="CI58">
            <v>5808614.3848938895</v>
          </cell>
          <cell r="CJ58">
            <v>5846745.0945328996</v>
          </cell>
          <cell r="CK58">
            <v>5860864.7079549003</v>
          </cell>
          <cell r="CL58">
            <v>5827512.1792250006</v>
          </cell>
          <cell r="CM58">
            <v>5779277.3200380392</v>
          </cell>
          <cell r="CN58">
            <v>5725321.6032344904</v>
          </cell>
          <cell r="CO58">
            <v>5705090.8200000003</v>
          </cell>
          <cell r="CP58">
            <v>5659441.540000001</v>
          </cell>
          <cell r="DA58">
            <v>5946181.5927359192</v>
          </cell>
          <cell r="DB58">
            <v>5964284.8093260685</v>
          </cell>
          <cell r="DC58">
            <v>5999599.0371595295</v>
          </cell>
          <cell r="DD58">
            <v>6021580.8095917199</v>
          </cell>
          <cell r="DE58">
            <v>6043907.1626858488</v>
          </cell>
          <cell r="DF58">
            <v>6073724.5014593704</v>
          </cell>
          <cell r="DG58">
            <v>6103604.5762321064</v>
          </cell>
          <cell r="DH58">
            <v>6132821.2517646067</v>
          </cell>
          <cell r="DI58">
            <v>6172476.6066302238</v>
          </cell>
          <cell r="DJ58">
            <v>6201486.0913315695</v>
          </cell>
          <cell r="DK58">
            <v>6230074.687577066</v>
          </cell>
          <cell r="DL58">
            <v>6251792.6951233344</v>
          </cell>
        </row>
        <row r="106">
          <cell r="BE106">
            <v>4739579.8615756901</v>
          </cell>
          <cell r="BF106">
            <v>4813229.7409774195</v>
          </cell>
          <cell r="BG106">
            <v>4878316.2929800004</v>
          </cell>
          <cell r="BH106">
            <v>4941152.5175006809</v>
          </cell>
          <cell r="BI106">
            <v>4989236.12147264</v>
          </cell>
          <cell r="BJ106">
            <v>5050354.8083515</v>
          </cell>
          <cell r="BK106">
            <v>5100764.0555138402</v>
          </cell>
          <cell r="BL106">
            <v>5157838.54153632</v>
          </cell>
          <cell r="BM106">
            <v>5217471.3106177002</v>
          </cell>
          <cell r="BN106">
            <v>5272913.5759137506</v>
          </cell>
          <cell r="BO106">
            <v>5330942.2554023992</v>
          </cell>
          <cell r="BP106">
            <v>5370302.9725264302</v>
          </cell>
          <cell r="BQ106">
            <v>5405565.1680449611</v>
          </cell>
          <cell r="BR106">
            <v>5467638.8464470403</v>
          </cell>
          <cell r="BS106">
            <v>5540577.2927648211</v>
          </cell>
          <cell r="BT106">
            <v>5630188.2883581603</v>
          </cell>
          <cell r="BU106">
            <v>5703455.8262294</v>
          </cell>
          <cell r="BV106">
            <v>5785256.5746286102</v>
          </cell>
          <cell r="BW106">
            <v>5862740.2163143596</v>
          </cell>
          <cell r="BX106">
            <v>5911410.2166595394</v>
          </cell>
          <cell r="BY106">
            <v>5933098.7741853595</v>
          </cell>
          <cell r="BZ106">
            <v>5917690.6319900025</v>
          </cell>
          <cell r="CA106">
            <v>5875059.5908703208</v>
          </cell>
          <cell r="CB106">
            <v>5814691.3159392495</v>
          </cell>
          <cell r="CC106">
            <v>5758368.1865201201</v>
          </cell>
          <cell r="CD106">
            <v>5724069.8208369995</v>
          </cell>
          <cell r="CE106">
            <v>5720435.5908438796</v>
          </cell>
          <cell r="CF106">
            <v>5702892.8390412498</v>
          </cell>
          <cell r="CG106">
            <v>5721954.8200110001</v>
          </cell>
          <cell r="CH106">
            <v>5737948.0039885994</v>
          </cell>
          <cell r="CI106">
            <v>5765182.23103684</v>
          </cell>
          <cell r="CJ106">
            <v>5796814.1914899005</v>
          </cell>
          <cell r="CK106">
            <v>5820275.0016665896</v>
          </cell>
          <cell r="CL106">
            <v>5810498.6471151207</v>
          </cell>
          <cell r="CM106">
            <v>5767149.6653707009</v>
          </cell>
          <cell r="CN106">
            <v>5716484.2659344599</v>
          </cell>
          <cell r="CO106">
            <v>5676408.2300000014</v>
          </cell>
          <cell r="CP106">
            <v>5648366.0700000003</v>
          </cell>
          <cell r="DA106">
            <v>5901585.2307903999</v>
          </cell>
          <cell r="DB106">
            <v>5919552.6732561225</v>
          </cell>
          <cell r="DC106">
            <v>5953402.1245734021</v>
          </cell>
          <cell r="DD106">
            <v>5976418.9535197821</v>
          </cell>
          <cell r="DE106">
            <v>5998577.8589657061</v>
          </cell>
          <cell r="DF106">
            <v>6026956.8227981329</v>
          </cell>
          <cell r="DG106">
            <v>6056606.8209951194</v>
          </cell>
          <cell r="DH106">
            <v>6086825.0923763728</v>
          </cell>
          <cell r="DI106">
            <v>6124948.5367591707</v>
          </cell>
          <cell r="DJ106">
            <v>6154974.9456465831</v>
          </cell>
          <cell r="DK106">
            <v>6183349.1274202373</v>
          </cell>
          <cell r="DL106">
            <v>6204904.2499099085</v>
          </cell>
        </row>
        <row r="298">
          <cell r="BE298">
            <v>45162.788131119996</v>
          </cell>
          <cell r="BF298">
            <v>45105.576844329997</v>
          </cell>
          <cell r="BG298">
            <v>45547.198639399998</v>
          </cell>
          <cell r="BH298">
            <v>45928.03901765999</v>
          </cell>
          <cell r="BI298">
            <v>46619.589289920004</v>
          </cell>
          <cell r="BJ298">
            <v>47843.867195010011</v>
          </cell>
          <cell r="BK298">
            <v>48067.902087640003</v>
          </cell>
          <cell r="BL298">
            <v>48882.164752950011</v>
          </cell>
          <cell r="BM298">
            <v>49314.13893714</v>
          </cell>
          <cell r="BN298">
            <v>49576.963526440006</v>
          </cell>
          <cell r="BO298">
            <v>50062.699889150012</v>
          </cell>
          <cell r="BP298">
            <v>50521.83086390001</v>
          </cell>
          <cell r="BQ298">
            <v>50600.969748720003</v>
          </cell>
          <cell r="BR298">
            <v>52278.485526809993</v>
          </cell>
          <cell r="BS298">
            <v>51313.506003009999</v>
          </cell>
          <cell r="BT298">
            <v>51131.396811540006</v>
          </cell>
          <cell r="BU298">
            <v>52943.345558449997</v>
          </cell>
          <cell r="BV298">
            <v>53856.154837659997</v>
          </cell>
          <cell r="BW298">
            <v>54728.529333390004</v>
          </cell>
          <cell r="BX298">
            <v>55117.329571270006</v>
          </cell>
          <cell r="BY298">
            <v>55444.386456950007</v>
          </cell>
          <cell r="BZ298">
            <v>54898.538348490001</v>
          </cell>
          <cell r="CA298">
            <v>54697.844931670013</v>
          </cell>
          <cell r="CB298">
            <v>53610.868082810004</v>
          </cell>
          <cell r="CC298">
            <v>53181.320621790008</v>
          </cell>
          <cell r="CD298">
            <v>52635.084312010011</v>
          </cell>
          <cell r="CE298">
            <v>52962.030169140002</v>
          </cell>
          <cell r="CF298">
            <v>52442.582756529999</v>
          </cell>
          <cell r="CG298">
            <v>53141.32288901</v>
          </cell>
          <cell r="CH298">
            <v>52625.984759660001</v>
          </cell>
          <cell r="CI298">
            <v>52718.848313039998</v>
          </cell>
          <cell r="CJ298">
            <v>52365.920866329994</v>
          </cell>
          <cell r="CK298">
            <v>52893.211300369992</v>
          </cell>
          <cell r="CL298">
            <v>53132.376976420004</v>
          </cell>
          <cell r="CM298">
            <v>52210.016464739994</v>
          </cell>
          <cell r="CN298">
            <v>51642.841099040001</v>
          </cell>
          <cell r="CO298">
            <v>50800.362227430007</v>
          </cell>
          <cell r="CP298">
            <v>50060.188605800002</v>
          </cell>
          <cell r="DA298">
            <v>52859.229636086777</v>
          </cell>
          <cell r="DB298">
            <v>53319.440956812497</v>
          </cell>
          <cell r="DC298">
            <v>52897.290433515162</v>
          </cell>
          <cell r="DD298">
            <v>53297.06432496581</v>
          </cell>
          <cell r="DE298">
            <v>53253.206151428079</v>
          </cell>
          <cell r="DF298">
            <v>53488.787356459303</v>
          </cell>
          <cell r="DG298">
            <v>53867.659499966183</v>
          </cell>
          <cell r="DH298">
            <v>54105.407693855086</v>
          </cell>
          <cell r="DI298">
            <v>54317.349114477067</v>
          </cell>
          <cell r="DJ298">
            <v>54855.127159037802</v>
          </cell>
          <cell r="DK298">
            <v>54710.298097105711</v>
          </cell>
          <cell r="DL298">
            <v>55166.771000870278</v>
          </cell>
        </row>
        <row r="346">
          <cell r="BE346">
            <v>-23952.75501637</v>
          </cell>
          <cell r="BF346">
            <v>-22712.995709990002</v>
          </cell>
          <cell r="BG346">
            <v>-26388.170760600002</v>
          </cell>
          <cell r="BH346">
            <v>-26697.895315920003</v>
          </cell>
          <cell r="BI346">
            <v>-28365.98550472</v>
          </cell>
          <cell r="BJ346">
            <v>-28270.087404499998</v>
          </cell>
          <cell r="BK346">
            <v>-29844.887445169999</v>
          </cell>
          <cell r="BL346">
            <v>-30610.324896800001</v>
          </cell>
          <cell r="BM346">
            <v>-30224.685789159994</v>
          </cell>
          <cell r="BN346">
            <v>-31941.519101950002</v>
          </cell>
          <cell r="BO346">
            <v>-31532.990032639995</v>
          </cell>
          <cell r="BP346">
            <v>-32942.779857099995</v>
          </cell>
          <cell r="BQ346">
            <v>-33151.454462479996</v>
          </cell>
          <cell r="BR346">
            <v>-31236.499038119997</v>
          </cell>
          <cell r="BS346">
            <v>-33652.604823199996</v>
          </cell>
          <cell r="BT346">
            <v>-32942.304329999999</v>
          </cell>
          <cell r="BU346">
            <v>-34374.966369899994</v>
          </cell>
          <cell r="BV346">
            <v>-33502.129103320003</v>
          </cell>
          <cell r="BW346">
            <v>-34869.991702619991</v>
          </cell>
          <cell r="BX346">
            <v>-34902.183051670007</v>
          </cell>
          <cell r="BY346">
            <v>-33594.478077480002</v>
          </cell>
          <cell r="BZ346">
            <v>-33236.678559760003</v>
          </cell>
          <cell r="CA346">
            <v>-32748.716793559997</v>
          </cell>
          <cell r="CB346">
            <v>-33303.600028549998</v>
          </cell>
          <cell r="CC346">
            <v>-32832.920614309995</v>
          </cell>
          <cell r="CD346">
            <v>-29227.918693000007</v>
          </cell>
          <cell r="CE346">
            <v>-31938.276758710002</v>
          </cell>
          <cell r="CF346">
            <v>-30409.862080160001</v>
          </cell>
          <cell r="CG346">
            <v>-31222.951063999997</v>
          </cell>
          <cell r="CH346">
            <v>-29957.394991559999</v>
          </cell>
          <cell r="CI346">
            <v>-30623.214489819995</v>
          </cell>
          <cell r="CJ346">
            <v>-30325.9376424</v>
          </cell>
          <cell r="CK346">
            <v>-29082.048063539994</v>
          </cell>
          <cell r="CL346">
            <v>-29833.633108399998</v>
          </cell>
          <cell r="CM346">
            <v>-28381.702878420001</v>
          </cell>
          <cell r="CN346">
            <v>-28745.833047779997</v>
          </cell>
          <cell r="CO346">
            <v>-28302.30872986</v>
          </cell>
          <cell r="CP346">
            <v>-25120.948764909997</v>
          </cell>
          <cell r="DA346">
            <v>-29213.938396070178</v>
          </cell>
          <cell r="DB346">
            <v>-26215.030086366136</v>
          </cell>
          <cell r="DC346">
            <v>-28907.315666791605</v>
          </cell>
          <cell r="DD346">
            <v>-27838.300982173601</v>
          </cell>
          <cell r="DE346">
            <v>-28641.216947749377</v>
          </cell>
          <cell r="DF346">
            <v>-27618.962579336567</v>
          </cell>
          <cell r="DG346">
            <v>-28461.837970357676</v>
          </cell>
          <cell r="DH346">
            <v>-28397.327829114914</v>
          </cell>
          <cell r="DI346">
            <v>-27454.600810118518</v>
          </cell>
          <cell r="DJ346">
            <v>-28328.771152361307</v>
          </cell>
          <cell r="DK346">
            <v>-27376.284956945787</v>
          </cell>
          <cell r="DL346">
            <v>-28238.836071352584</v>
          </cell>
        </row>
        <row r="406">
          <cell r="BE406">
            <v>-11269.00834949927</v>
          </cell>
          <cell r="BF406">
            <v>-3540.0484209041974</v>
          </cell>
          <cell r="BG406">
            <v>-8011.0594259009367</v>
          </cell>
          <cell r="BH406">
            <v>-7677.8116555177257</v>
          </cell>
          <cell r="BI406">
            <v>-8448.1942709969153</v>
          </cell>
          <cell r="BJ406">
            <v>-7993.2419448989876</v>
          </cell>
          <cell r="BK406">
            <v>-7775.7260068237965</v>
          </cell>
          <cell r="BL406">
            <v>-12181.989134454929</v>
          </cell>
          <cell r="BM406">
            <v>-7595.0388442496514</v>
          </cell>
          <cell r="BN406">
            <v>-15274.745948873448</v>
          </cell>
          <cell r="BO406">
            <v>-9692.4190033273244</v>
          </cell>
          <cell r="BP406">
            <v>-9809.5412713556307</v>
          </cell>
          <cell r="BQ406">
            <v>-14526.371567798613</v>
          </cell>
          <cell r="BR406">
            <v>-9179.0903623131617</v>
          </cell>
          <cell r="BS406">
            <v>-10909.97373703429</v>
          </cell>
          <cell r="BT406">
            <v>-12233.667873575012</v>
          </cell>
          <cell r="BU406">
            <v>-9856.1384315685918</v>
          </cell>
          <cell r="BV406">
            <v>-11246.033706347249</v>
          </cell>
          <cell r="BW406">
            <v>-12026.911436225912</v>
          </cell>
          <cell r="BX406">
            <v>-11453.337725989579</v>
          </cell>
          <cell r="BY406">
            <v>-10826.789045927719</v>
          </cell>
          <cell r="BZ406">
            <v>-14736.440136954001</v>
          </cell>
          <cell r="CA406">
            <v>-9703.0354059488272</v>
          </cell>
          <cell r="CB406">
            <v>-9724.5559647142272</v>
          </cell>
          <cell r="CC406">
            <v>-14610.572190993747</v>
          </cell>
          <cell r="CD406">
            <v>-7963.2528331384101</v>
          </cell>
          <cell r="CE406">
            <v>-9518.2858305671271</v>
          </cell>
          <cell r="CF406">
            <v>-11994.408754581544</v>
          </cell>
          <cell r="CG406">
            <v>-11611.597095198445</v>
          </cell>
          <cell r="CH406">
            <v>-13213.729598864747</v>
          </cell>
          <cell r="CI406">
            <v>-12599.756436168462</v>
          </cell>
          <cell r="CJ406">
            <v>-14152.485333917835</v>
          </cell>
          <cell r="CK406">
            <v>-13822.84438888264</v>
          </cell>
          <cell r="CL406">
            <v>-17983.673164048985</v>
          </cell>
          <cell r="CM406">
            <v>-12073.337146038535</v>
          </cell>
          <cell r="CN406">
            <v>-13367.269361887202</v>
          </cell>
          <cell r="CO406">
            <v>-11740.586442441754</v>
          </cell>
          <cell r="CP406">
            <v>-11958.874190515162</v>
          </cell>
          <cell r="DA406">
            <v>-13220.144247296437</v>
          </cell>
          <cell r="DB406">
            <v>-12793.761228243075</v>
          </cell>
          <cell r="DC406">
            <v>-13326.262263740797</v>
          </cell>
          <cell r="DD406">
            <v>-12288.36399858613</v>
          </cell>
          <cell r="DE406">
            <v>-11961.36947779949</v>
          </cell>
          <cell r="DF406">
            <v>-12304.890297727674</v>
          </cell>
          <cell r="DG406">
            <v>-12221.9928599302</v>
          </cell>
          <cell r="DH406">
            <v>-15307.655524935013</v>
          </cell>
          <cell r="DI406">
            <v>-10875.117018417115</v>
          </cell>
          <cell r="DJ406">
            <v>-11719.551159379245</v>
          </cell>
          <cell r="DK406">
            <v>-11896.012744827893</v>
          </cell>
          <cell r="DL406">
            <v>-11288.017567587882</v>
          </cell>
        </row>
        <row r="495">
          <cell r="BE495">
            <v>2288.3840500000015</v>
          </cell>
          <cell r="BF495">
            <v>2448.8151500000035</v>
          </cell>
          <cell r="BG495">
            <v>2390.3711100000023</v>
          </cell>
          <cell r="BH495">
            <v>2915.2478200000005</v>
          </cell>
          <cell r="BI495">
            <v>3445.8707300000069</v>
          </cell>
          <cell r="BJ495">
            <v>3111.4928200000018</v>
          </cell>
          <cell r="BK495">
            <v>2778.7596100000046</v>
          </cell>
          <cell r="BL495">
            <v>4065.234190000001</v>
          </cell>
          <cell r="BM495">
            <v>2997.5338500000021</v>
          </cell>
          <cell r="BN495">
            <v>3829.8657600000024</v>
          </cell>
          <cell r="BO495">
            <v>2977.4853900000035</v>
          </cell>
          <cell r="BP495">
            <v>2888.3651500000014</v>
          </cell>
          <cell r="BQ495">
            <v>3185.8451700000001</v>
          </cell>
          <cell r="BR495">
            <v>3068.2321900000002</v>
          </cell>
          <cell r="BS495">
            <v>2414.40283</v>
          </cell>
          <cell r="BT495">
            <v>2212.7977700000001</v>
          </cell>
          <cell r="BU495">
            <v>2500.0294899999994</v>
          </cell>
          <cell r="BV495">
            <v>2172.7789499999999</v>
          </cell>
          <cell r="BW495">
            <v>2728.3759900000041</v>
          </cell>
          <cell r="BX495">
            <v>2686.0415800000005</v>
          </cell>
          <cell r="BY495">
            <v>2097.5857799999999</v>
          </cell>
          <cell r="BZ495">
            <v>2117.1494299999963</v>
          </cell>
          <cell r="CA495">
            <v>2734.3625500000003</v>
          </cell>
          <cell r="CB495">
            <v>2163.3456200000001</v>
          </cell>
          <cell r="CC495">
            <v>2735.8434600000001</v>
          </cell>
          <cell r="CD495">
            <v>2213.5000399999999</v>
          </cell>
          <cell r="CE495">
            <v>3204.8303699999997</v>
          </cell>
          <cell r="CF495">
            <v>2130.8413399999995</v>
          </cell>
          <cell r="CG495">
            <v>2498.6106699999996</v>
          </cell>
          <cell r="CH495">
            <v>2277.1298599999996</v>
          </cell>
          <cell r="CI495">
            <v>2153.8684800000001</v>
          </cell>
          <cell r="CJ495">
            <v>2372.8105299999997</v>
          </cell>
          <cell r="CK495">
            <v>3216.8244500000001</v>
          </cell>
          <cell r="CL495">
            <v>2626.1945700000001</v>
          </cell>
          <cell r="CM495">
            <v>2130.0567999999903</v>
          </cell>
          <cell r="CN495">
            <v>1918.6543799999872</v>
          </cell>
          <cell r="CO495">
            <v>2452.94083</v>
          </cell>
          <cell r="CP495">
            <v>2451.4579600000002</v>
          </cell>
          <cell r="DA495">
            <v>2131.3823400212736</v>
          </cell>
          <cell r="DB495">
            <v>2154.8343103366374</v>
          </cell>
          <cell r="DC495">
            <v>2270.2944412147813</v>
          </cell>
          <cell r="DD495">
            <v>2284.375184953672</v>
          </cell>
          <cell r="DE495">
            <v>2342.9858171901906</v>
          </cell>
          <cell r="DF495">
            <v>2279.8029684277167</v>
          </cell>
          <cell r="DG495">
            <v>2355.5632718744514</v>
          </cell>
          <cell r="DH495">
            <v>2538.25018697014</v>
          </cell>
          <cell r="DI495">
            <v>2492.2957730606258</v>
          </cell>
          <cell r="DJ495">
            <v>2554.3601070454588</v>
          </cell>
          <cell r="DK495">
            <v>2395.7082297393395</v>
          </cell>
          <cell r="DL495">
            <v>2525.9305228078247</v>
          </cell>
        </row>
        <row r="531"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689.70102423839626</v>
          </cell>
          <cell r="CF531">
            <v>-6.5142345155629551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765.04398000000003</v>
          </cell>
          <cell r="CM531">
            <v>0</v>
          </cell>
          <cell r="CN531">
            <v>0</v>
          </cell>
          <cell r="CO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0</v>
          </cell>
          <cell r="DG531">
            <v>0</v>
          </cell>
          <cell r="DH531">
            <v>0</v>
          </cell>
          <cell r="DI531">
            <v>1258.1848623198405</v>
          </cell>
          <cell r="DJ531">
            <v>0</v>
          </cell>
          <cell r="DK531">
            <v>0</v>
          </cell>
          <cell r="DL531">
            <v>0</v>
          </cell>
        </row>
        <row r="543">
          <cell r="BE543">
            <v>804.83755999999983</v>
          </cell>
          <cell r="BF543">
            <v>621.05293999999981</v>
          </cell>
          <cell r="BG543">
            <v>604.42504999999983</v>
          </cell>
          <cell r="BH543">
            <v>686.51324</v>
          </cell>
          <cell r="BI543">
            <v>593.60270000000014</v>
          </cell>
          <cell r="BJ543">
            <v>657.13668000000007</v>
          </cell>
          <cell r="BK543">
            <v>568.07663000000025</v>
          </cell>
          <cell r="BL543">
            <v>570.07960999999989</v>
          </cell>
          <cell r="BM543">
            <v>584.46370999999999</v>
          </cell>
          <cell r="BN543">
            <v>484.2504100000001</v>
          </cell>
          <cell r="BO543">
            <v>697.65017000000012</v>
          </cell>
          <cell r="BP543">
            <v>273.4140799999999</v>
          </cell>
          <cell r="BQ543">
            <v>553.55836000000011</v>
          </cell>
          <cell r="BR543">
            <v>629.54748999999993</v>
          </cell>
          <cell r="BS543">
            <v>625.52076</v>
          </cell>
          <cell r="BT543">
            <v>597.16027999999994</v>
          </cell>
          <cell r="BU543">
            <v>497.48325000000017</v>
          </cell>
          <cell r="BV543">
            <v>699.33688000000006</v>
          </cell>
          <cell r="BW543">
            <v>716.23316999999986</v>
          </cell>
          <cell r="BX543">
            <v>538.69935000000021</v>
          </cell>
          <cell r="BY543">
            <v>1238.1083600000004</v>
          </cell>
          <cell r="BZ543">
            <v>87.12624000000001</v>
          </cell>
          <cell r="CA543">
            <v>219.03946999999991</v>
          </cell>
          <cell r="CB543">
            <v>1234.6692000000003</v>
          </cell>
          <cell r="CC543">
            <v>462.85813999999982</v>
          </cell>
          <cell r="CD543">
            <v>523.99707999999998</v>
          </cell>
          <cell r="CE543">
            <v>627.37882000000002</v>
          </cell>
          <cell r="CF543">
            <v>485.03439999999983</v>
          </cell>
          <cell r="CG543">
            <v>1069.2660900000001</v>
          </cell>
          <cell r="CH543">
            <v>1030.9755900000002</v>
          </cell>
          <cell r="CI543">
            <v>1061.8890500000002</v>
          </cell>
          <cell r="CJ543">
            <v>1113.6022099999998</v>
          </cell>
          <cell r="CK543">
            <v>1650.7727699999998</v>
          </cell>
          <cell r="CL543">
            <v>1097.92515</v>
          </cell>
          <cell r="CM543">
            <v>1096.6556800000001</v>
          </cell>
          <cell r="CN543">
            <v>1072.4762000000003</v>
          </cell>
          <cell r="CO543">
            <v>949.52129000000014</v>
          </cell>
          <cell r="DA543">
            <v>905.24732674400002</v>
          </cell>
          <cell r="DB543">
            <v>900.21465348799973</v>
          </cell>
          <cell r="DC543">
            <v>895.09198023200008</v>
          </cell>
          <cell r="DD543">
            <v>890.41930697599992</v>
          </cell>
          <cell r="DE543">
            <v>734.86663371999975</v>
          </cell>
          <cell r="DF543">
            <v>729.92396046399995</v>
          </cell>
          <cell r="DG543">
            <v>674.98128720799969</v>
          </cell>
          <cell r="DH543">
            <v>669.98861395199992</v>
          </cell>
          <cell r="DI543">
            <v>614.63594069599992</v>
          </cell>
          <cell r="DJ543">
            <v>609.50326743999983</v>
          </cell>
          <cell r="DK543">
            <v>504.37059418399986</v>
          </cell>
          <cell r="DL543">
            <v>499.46792092799996</v>
          </cell>
        </row>
        <row r="588">
          <cell r="BE588">
            <v>-6643.7661294374002</v>
          </cell>
          <cell r="BF588">
            <v>-7047.1811215289999</v>
          </cell>
          <cell r="BG588">
            <v>-6761.7095193170999</v>
          </cell>
          <cell r="BH588">
            <v>-7341.6292850185</v>
          </cell>
          <cell r="BI588">
            <v>-6521.8050001155998</v>
          </cell>
          <cell r="BJ588">
            <v>-6422.4396145130995</v>
          </cell>
          <cell r="BK588">
            <v>-6759.3962518638991</v>
          </cell>
          <cell r="BL588">
            <v>-5994.7849462179001</v>
          </cell>
          <cell r="BM588">
            <v>-6407.1365433893998</v>
          </cell>
          <cell r="BN588">
            <v>-6311.7070755095001</v>
          </cell>
          <cell r="BO588">
            <v>-6132.7159529092996</v>
          </cell>
          <cell r="BP588">
            <v>-5623.1910506559007</v>
          </cell>
          <cell r="BQ588">
            <v>-5993.2216487514997</v>
          </cell>
          <cell r="BR588">
            <v>-7035.6461013425996</v>
          </cell>
          <cell r="BS588">
            <v>-6506.4349762109005</v>
          </cell>
          <cell r="BT588">
            <v>-6521.2124159222003</v>
          </cell>
          <cell r="BU588">
            <v>-7106.0020869503005</v>
          </cell>
          <cell r="BV588">
            <v>-7642.9587541215988</v>
          </cell>
          <cell r="BW588">
            <v>-7577.9020702809003</v>
          </cell>
          <cell r="BX588">
            <v>-6846.3030980620997</v>
          </cell>
          <cell r="BY588">
            <v>-6780.0105253575002</v>
          </cell>
          <cell r="BZ588">
            <v>-6732.0727435305998</v>
          </cell>
          <cell r="CA588">
            <v>-6626.2240337720004</v>
          </cell>
          <cell r="CB588">
            <v>-6468.4333176622004</v>
          </cell>
          <cell r="CC588">
            <v>-7232.1488478997999</v>
          </cell>
          <cell r="CD588">
            <v>-6868.8333556364996</v>
          </cell>
          <cell r="CE588">
            <v>-7208.4943880453002</v>
          </cell>
          <cell r="CF588">
            <v>-7350.7614515092991</v>
          </cell>
          <cell r="CG588">
            <v>-7675.4181412387989</v>
          </cell>
          <cell r="CH588">
            <v>-7719.3744247954</v>
          </cell>
          <cell r="CI588">
            <v>-7680.521376926501</v>
          </cell>
          <cell r="CJ588">
            <v>-8077.5443208015986</v>
          </cell>
          <cell r="CK588">
            <v>-7521.9170054072993</v>
          </cell>
          <cell r="CL588">
            <v>-7351.9137600217</v>
          </cell>
          <cell r="CM588">
            <v>-7877.7666887575997</v>
          </cell>
          <cell r="CN588">
            <v>-8144.1430901908998</v>
          </cell>
          <cell r="CO588">
            <v>-7799.1211578496996</v>
          </cell>
          <cell r="DA588">
            <v>-7707.0852320683998</v>
          </cell>
          <cell r="DB588">
            <v>-7765.3371115393002</v>
          </cell>
          <cell r="DC588">
            <v>-7885.7270727773994</v>
          </cell>
          <cell r="DD588">
            <v>-7801.2316302066001</v>
          </cell>
          <cell r="DE588">
            <v>-8025.3225826050002</v>
          </cell>
          <cell r="DF588">
            <v>-8130.328672826</v>
          </cell>
          <cell r="DG588">
            <v>-7844.2283788908999</v>
          </cell>
          <cell r="DH588">
            <v>-7904.5242184844992</v>
          </cell>
          <cell r="DI588">
            <v>-8211.2123766981003</v>
          </cell>
          <cell r="DJ588">
            <v>-7937.7481864767988</v>
          </cell>
          <cell r="DK588">
            <v>-8031.0409406300005</v>
          </cell>
          <cell r="DL588">
            <v>-8113.5456959898993</v>
          </cell>
        </row>
        <row r="600">
          <cell r="BE600">
            <v>-287.63842</v>
          </cell>
          <cell r="BF600">
            <v>-317.36963000000003</v>
          </cell>
          <cell r="BG600">
            <v>-459.12022999999994</v>
          </cell>
          <cell r="BH600">
            <v>-346.1517199999999</v>
          </cell>
          <cell r="BI600">
            <v>-400.16009000000003</v>
          </cell>
          <cell r="BJ600">
            <v>-357.75308000000001</v>
          </cell>
          <cell r="BK600">
            <v>-484.56354999999996</v>
          </cell>
          <cell r="BL600">
            <v>-278.80663000000004</v>
          </cell>
          <cell r="BM600">
            <v>-348.28882999999996</v>
          </cell>
          <cell r="BN600">
            <v>-395.24091999999996</v>
          </cell>
          <cell r="BO600">
            <v>-378.33346</v>
          </cell>
          <cell r="BP600">
            <v>-587.08006</v>
          </cell>
          <cell r="BQ600">
            <v>-332.58342999999996</v>
          </cell>
          <cell r="BR600">
            <v>-472.11161000000004</v>
          </cell>
          <cell r="BS600">
            <v>-736.02976000000001</v>
          </cell>
          <cell r="BT600">
            <v>-371.7536199999999</v>
          </cell>
          <cell r="BU600">
            <v>-519.85960000000011</v>
          </cell>
          <cell r="BV600">
            <v>-496.32480000000004</v>
          </cell>
          <cell r="BW600">
            <v>-249.17466000000002</v>
          </cell>
          <cell r="BX600">
            <v>-340.72420999999997</v>
          </cell>
          <cell r="BY600">
            <v>-407.49250000000006</v>
          </cell>
          <cell r="BZ600">
            <v>-261.33168000000001</v>
          </cell>
          <cell r="CA600">
            <v>-475.2970048457434</v>
          </cell>
          <cell r="CB600">
            <v>89.278638568449466</v>
          </cell>
          <cell r="CC600">
            <v>-222.52661000000001</v>
          </cell>
          <cell r="CD600">
            <v>-312.44365999999991</v>
          </cell>
          <cell r="CE600">
            <v>-180.16365999999999</v>
          </cell>
          <cell r="CF600">
            <v>-226.53792743181825</v>
          </cell>
          <cell r="CG600">
            <v>-311.59607312052509</v>
          </cell>
          <cell r="CH600">
            <v>-480.47671000000003</v>
          </cell>
          <cell r="CI600">
            <v>-377.16789000000006</v>
          </cell>
          <cell r="CJ600">
            <v>-226.17232000000001</v>
          </cell>
          <cell r="CK600">
            <v>-227.54591476908024</v>
          </cell>
          <cell r="CL600">
            <v>-236.6460568561422</v>
          </cell>
          <cell r="CM600">
            <v>-215.39908000000003</v>
          </cell>
          <cell r="CN600">
            <v>-523.08840214216036</v>
          </cell>
          <cell r="CO600">
            <v>-220.87253999999999</v>
          </cell>
          <cell r="DA600">
            <v>-320.30573872994393</v>
          </cell>
          <cell r="DB600">
            <v>-260.03023872994396</v>
          </cell>
          <cell r="DC600">
            <v>-270.05214275331065</v>
          </cell>
          <cell r="DD600">
            <v>-266.91146813453588</v>
          </cell>
          <cell r="DE600">
            <v>-446.71209813453589</v>
          </cell>
          <cell r="DF600">
            <v>-294.00787215790263</v>
          </cell>
          <cell r="DG600">
            <v>-519.11791561459131</v>
          </cell>
          <cell r="DH600">
            <v>-237.25179561459129</v>
          </cell>
          <cell r="DI600">
            <v>-244.890089449767</v>
          </cell>
          <cell r="DJ600">
            <v>-238.59159625843319</v>
          </cell>
          <cell r="DK600">
            <v>-232.4815962584332</v>
          </cell>
          <cell r="DL600">
            <v>-466.11071355240296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govia Ureta, Gianpier Andre" refreshedDate="46245.705191782406" backgroundQuery="1" createdVersion="8" refreshedVersion="8" minRefreshableVersion="3" recordCount="0" supportSubquery="1" supportAdvancedDrill="1" xr:uid="{EA234DB7-D0E8-4B51-8D31-A0C1AFDD5E2E}">
  <cacheSource type="external" connectionId="2"/>
  <cacheFields count="8">
    <cacheField name="[BASE_CONVE_PPTO].[PRODUCTO].[PRODUCTO]" caption="PRODUCTO" numFmtId="0" hierarchy="4" level="1">
      <sharedItems containsSemiMixedTypes="0" containsString="0"/>
    </cacheField>
    <cacheField name="[BASE_CONVE_PPTO].[Tipo_Valor].[Tipo_Valor]" caption="Tipo_Valor" numFmtId="0" hierarchy="9" level="1">
      <sharedItems containsSemiMixedTypes="0" containsString="0"/>
    </cacheField>
    <cacheField name="[BASE_CONVE_PPTO].[Periodo].[Periodo]" caption="Periodo" numFmtId="0" hierarchy="3" level="1">
      <sharedItems count="12">
        <s v="[BASE_CONVE_PPTO].[Periodo].&amp;[202601]" c="202601"/>
        <s v="[BASE_CONVE_PPTO].[Periodo].&amp;[202602]" c="202602"/>
        <s v="[BASE_CONVE_PPTO].[Periodo].&amp;[202603]" c="202603"/>
        <s v="[BASE_CONVE_PPTO].[Periodo].&amp;[202604]" c="202604"/>
        <s v="[BASE_CONVE_PPTO].[Periodo].&amp;[202605]" c="202605"/>
        <s v="[BASE_CONVE_PPTO].[Periodo].&amp;[202606]" c="202606"/>
        <s v="[BASE_CONVE_PPTO].[Periodo].&amp;[202607]" c="202607"/>
        <s v="[BASE_CONVE_PPTO].[Periodo].&amp;[202608]" c="202608"/>
        <s v="[BASE_CONVE_PPTO].[Periodo].&amp;[202609]" c="202609"/>
        <s v="[BASE_CONVE_PPTO].[Periodo].&amp;[202610]" c="202610"/>
        <s v="[BASE_CONVE_PPTO].[Periodo].&amp;[202611]" c="202611"/>
        <s v="[BASE_CONVE_PPTO].[Periodo].&amp;[202612]" c="202612"/>
      </sharedItems>
    </cacheField>
    <cacheField name="[BASE_CONVE_PPTO].[Metrica].[Metrica]" caption="Metrica" numFmtId="0" hierarchy="2" level="1">
      <sharedItems count="10">
        <s v="[BASE_CONVE_PPTO].[Metrica].&amp;[Extraordinarios]" c="Extraordinarios"/>
        <s v="[BASE_CONVE_PPTO].[Metrica].&amp;[FTP]" c="FTP"/>
        <s v="[BASE_CONVE_PPTO].[Metrica].&amp;[Gasto_Provision]" c="Gasto_Provision"/>
        <s v="[BASE_CONVE_PPTO].[Metrica].&amp;[Gastos Operativos]" c="Gastos Operativos"/>
        <s v="[BASE_CONVE_PPTO].[Metrica].&amp;[Ingreso_Financiero]" c="Ingreso_Financiero"/>
        <s v="[BASE_CONVE_PPTO].[Metrica].&amp;[INOF]" c="INOF"/>
        <s v="[BASE_CONVE_PPTO].[Metrica].&amp;[Recupero]" c="Recupero"/>
        <s v="[BASE_CONVE_PPTO].[Metrica].&amp;[ROF]" c="ROF"/>
        <s v="[BASE_CONVE_PPTO].[Metrica].&amp;[SALDO_FDP]" c="SALDO_FDP"/>
        <s v="[BASE_CONVE_PPTO].[Metrica].&amp;[SALDO_PROM]" c="SALDO_PROM"/>
      </sharedItems>
    </cacheField>
    <cacheField name="[BASE_CONVE_PPTO].[SEGMENTO_DESCRIP].[SEGMENTO_DESCRIP]" caption="SEGMENTO_DESCRIP" numFmtId="0" hierarchy="5" level="1">
      <sharedItems count="3">
        <s v="[BASE_CONVE_PPTO].[SEGMENTO_DESCRIP].&amp;[Consumo Inicial]" c="Consumo Inicial"/>
        <s v="[BASE_CONVE_PPTO].[SEGMENTO_DESCRIP].&amp;[Masivo]" c="Masivo"/>
        <s v="[BASE_CONVE_PPTO].[SEGMENTO_DESCRIP].&amp;[Renta Alta]" c="Renta Alta"/>
      </sharedItems>
    </cacheField>
    <cacheField name="[BASE_CONVE_PPTO].[SITUACION].[SITUACION]" caption="SITUACION" numFmtId="0" hierarchy="6" level="1">
      <sharedItems count="19">
        <s v="[BASE_CONVE_PPTO].[SITUACION].&amp;[Otros]" c="Otros"/>
        <s v="[BASE_CONVE_PPTO].[SITUACION].&amp;[Refinanciado]" c="Refinanciado"/>
        <s v="[BASE_CONVE_PPTO].[SITUACION].&amp;[Vencido y Judicial]" c="Vencido y Judicial"/>
        <s v="[BASE_CONVE_PPTO].[SITUACION].&amp;[Vigente]" c="Vigente"/>
        <s v="[BASE_CONVE_PPTO].[SITUACION].&amp;[Alineamiento Externo]" c="Alineamiento Externo"/>
        <s v="[BASE_CONVE_PPTO].[SITUACION].&amp;[Alineamiento Interno]" c="Alineamiento Interno"/>
        <s v="[BASE_CONVE_PPTO].[SITUACION].&amp;[Prociclicas]" c="Prociclicas"/>
        <s v="[BASE_CONVE_PPTO].[SITUACION].&amp;[Provisiones Cartera]" c="Provisiones Cartera"/>
        <s v="[BASE_CONVE_PPTO].[SITUACION].&amp;[Reservas]" c="Reservas"/>
        <s v="[BASE_CONVE_PPTO].[SITUACION].&amp;[Riesgo Cambiario]" c="Riesgo Cambiario"/>
        <s v="[BASE_CONVE_PPTO].[SITUACION].&amp;[Sobreendeudamiento]" c="Sobreendeudamiento"/>
        <s v="[BASE_CONVE_PPTO].[SITUACION].&amp;[Gasto Canal]" c="Gasto Canal"/>
        <s v="[BASE_CONVE_PPTO].[SITUACION].&amp;[Gasto Directo]" c="Gasto Directo"/>
        <s v="[BASE_CONVE_PPTO].[SITUACION].&amp;[Gasto Indirecto]" c="Gasto Indirecto"/>
        <s v="[BASE_CONVE_PPTO].[SITUACION].&amp;[Comisiones]" c="Comisiones"/>
        <s v="[BASE_CONVE_PPTO].[SITUACION].&amp;[Gastos de casilleros]" c="Gastos de casilleros"/>
        <s v="[BASE_CONVE_PPTO].[SITUACION].&amp;[Seguro de Desgravamen]" c="Seguro de Desgravamen"/>
        <s v="[BASE_CONVE_PPTO].[SITUACION].&amp;[Recupero de Castigos]" c="Recupero de Castigos"/>
        <s v="[BASE_CONVE_PPTO].[SITUACION].&amp;[Venta de Cartera]" c="Venta de Cartera"/>
      </sharedItems>
    </cacheField>
    <cacheField name="[BASE_CONVE_PPTO].[Importe].[Importe]" caption="Importe" numFmtId="0" hierarchy="1" level="1">
      <sharedItems containsSemiMixedTypes="0" containsString="0"/>
    </cacheField>
    <cacheField name="Unsupported0" numFmtId="0" hierarchy="102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103">
    <cacheHierarchy uniqueName="[BASE_CONVE_PPTO].[FECHA]" caption="FECHA" attribute="1" time="1" defaultMemberUniqueName="[BASE_CONVE_PPTO].[FECHA].[All]" allUniqueName="[BASE_CONVE_PPTO].[FECHA].[All]" dimensionUniqueName="[BASE_CONVE_PPTO]" displayFolder="" count="0" memberValueDatatype="7" unbalanced="0"/>
    <cacheHierarchy uniqueName="[BASE_CONVE_PPTO].[Importe]" caption="Importe" attribute="1" defaultMemberUniqueName="[BASE_CONVE_PPTO].[Importe].[All]" allUniqueName="[BASE_CONVE_PPTO].[Importe].[All]" dimensionUniqueName="[BASE_CONVE_PPTO]" displayFolder="" count="2" memberValueDatatype="5" unbalanced="0">
      <fieldsUsage count="2">
        <fieldUsage x="-1"/>
        <fieldUsage x="6"/>
      </fieldsUsage>
    </cacheHierarchy>
    <cacheHierarchy uniqueName="[BASE_CONVE_PPTO].[Metrica]" caption="Metrica" attribute="1" defaultMemberUniqueName="[BASE_CONVE_PPTO].[Metrica].[All]" allUniqueName="[BASE_CONVE_PPTO].[Metrica].[All]" dimensionUniqueName="[BASE_CONVE_PPTO]" displayFolder="" count="2" memberValueDatatype="130" unbalanced="0">
      <fieldsUsage count="2">
        <fieldUsage x="-1"/>
        <fieldUsage x="3"/>
      </fieldsUsage>
    </cacheHierarchy>
    <cacheHierarchy uniqueName="[BASE_CONVE_PPTO].[Periodo]" caption="Periodo" attribute="1" defaultMemberUniqueName="[BASE_CONVE_PPTO].[Periodo].[All]" allUniqueName="[BASE_CONVE_PPTO].[Periodo].[All]" dimensionUniqueName="[BASE_CONVE_PPTO]" displayFolder="" count="2" memberValueDatatype="130" unbalanced="0">
      <fieldsUsage count="2">
        <fieldUsage x="-1"/>
        <fieldUsage x="2"/>
      </fieldsUsage>
    </cacheHierarchy>
    <cacheHierarchy uniqueName="[BASE_CONVE_PPTO].[PRODUCTO]" caption="PRODUCTO" attribute="1" defaultMemberUniqueName="[BASE_CONVE_PPTO].[PRODUCTO].[All]" allUniqueName="[BASE_CONVE_PPTO].[PRODUCTO].[All]" dimensionUniqueName="[BASE_CONVE_PPTO]" displayFolder="" count="2" memberValueDatatype="130" unbalanced="0">
      <fieldsUsage count="2">
        <fieldUsage x="-1"/>
        <fieldUsage x="0"/>
      </fieldsUsage>
    </cacheHierarchy>
    <cacheHierarchy uniqueName="[BASE_CONVE_PPTO].[SEGMENTO_DESCRIP]" caption="SEGMENTO_DESCRIP" attribute="1" defaultMemberUniqueName="[BASE_CONVE_PPTO].[SEGMENTO_DESCRIP].[All]" allUniqueName="[BASE_CONVE_PPTO].[SEGMENTO_DESCRIP].[All]" dimensionUniqueName="[BASE_CONVE_PPTO]" displayFolder="" count="2" memberValueDatatype="130" unbalanced="0">
      <fieldsUsage count="2">
        <fieldUsage x="-1"/>
        <fieldUsage x="4"/>
      </fieldsUsage>
    </cacheHierarchy>
    <cacheHierarchy uniqueName="[BASE_CONVE_PPTO].[SITUACION]" caption="SITUACION" attribute="1" defaultMemberUniqueName="[BASE_CONVE_PPTO].[SITUACION].[All]" allUniqueName="[BASE_CONVE_PPTO].[SITUACION].[All]" dimensionUniqueName="[BASE_CONVE_PPTO]" displayFolder="" count="2" memberValueDatatype="130" unbalanced="0">
      <fieldsUsage count="2">
        <fieldUsage x="-1"/>
        <fieldUsage x="5"/>
      </fieldsUsage>
    </cacheHierarchy>
    <cacheHierarchy uniqueName="[BASE_CONVE_PPTO].[Sub_Producto]" caption="Sub_Producto" attribute="1" defaultMemberUniqueName="[BASE_CONVE_PPTO].[Sub_Producto].[All]" allUniqueName="[BASE_CONVE_PPTO].[Sub_Producto].[All]" dimensionUniqueName="[BASE_CONVE_PPTO]" displayFolder="" count="0" memberValueDatatype="130" unbalanced="0"/>
    <cacheHierarchy uniqueName="[BASE_CONVE_PPTO].[Tipo]" caption="Tipo" attribute="1" defaultMemberUniqueName="[BASE_CONVE_PPTO].[Tipo].[All]" allUniqueName="[BASE_CONVE_PPTO].[Tipo].[All]" dimensionUniqueName="[BASE_CONVE_PPTO]" displayFolder="" count="0" memberValueDatatype="130" unbalanced="0"/>
    <cacheHierarchy uniqueName="[BASE_CONVE_PPTO].[Tipo_Valor]" caption="Tipo_Valor" attribute="1" defaultMemberUniqueName="[BASE_CONVE_PPTO].[Tipo_Valor].[All]" allUniqueName="[BASE_CONVE_PPTO].[Tipo_Valor].[All]" dimensionUniqueName="[BASE_CONVE_PPTO]" displayFolder="" count="2" memberValueDatatype="130" unbalanced="0">
      <fieldsUsage count="2">
        <fieldUsage x="-1"/>
        <fieldUsage x="1"/>
      </fieldsUsage>
    </cacheHierarchy>
    <cacheHierarchy uniqueName="[BASE_HIPO_PPTO].[Año]" caption="Año" attribute="1" defaultMemberUniqueName="[BASE_HIPO_PPTO].[Año].[All]" allUniqueName="[BASE_HIPO_PPTO].[Año].[All]" dimensionUniqueName="[BASE_HIPO_PPTO]" displayFolder="" count="0" memberValueDatatype="130" unbalanced="0"/>
    <cacheHierarchy uniqueName="[BASE_HIPO_PPTO].[FECHA]" caption="FECHA" attribute="1" time="1" defaultMemberUniqueName="[BASE_HIPO_PPTO].[FECHA].[All]" allUniqueName="[BASE_HIPO_PPTO].[FECHA].[All]" dimensionUniqueName="[BASE_HIPO_PPTO]" displayFolder="" count="0" memberValueDatatype="7" unbalanced="0"/>
    <cacheHierarchy uniqueName="[BASE_HIPO_PPTO].[Importe]" caption="Importe" attribute="1" defaultMemberUniqueName="[BASE_HIPO_PPTO].[Importe].[All]" allUniqueName="[BASE_HIPO_PPTO].[Importe].[All]" dimensionUniqueName="[BASE_HIPO_PPTO]" displayFolder="" count="0" memberValueDatatype="5" unbalanced="0"/>
    <cacheHierarchy uniqueName="[BASE_HIPO_PPTO].[Metrica]" caption="Metrica" attribute="1" defaultMemberUniqueName="[BASE_HIPO_PPTO].[Metrica].[All]" allUniqueName="[BASE_HIPO_PPTO].[Metrica].[All]" dimensionUniqueName="[BASE_HIPO_PPTO]" displayFolder="" count="0" memberValueDatatype="130" unbalanced="0"/>
    <cacheHierarchy uniqueName="[BASE_HIPO_PPTO].[Periodo]" caption="Periodo" attribute="1" defaultMemberUniqueName="[BASE_HIPO_PPTO].[Periodo].[All]" allUniqueName="[BASE_HIPO_PPTO].[Periodo].[All]" dimensionUniqueName="[BASE_HIPO_PPTO]" displayFolder="" count="0" memberValueDatatype="130" unbalanced="0"/>
    <cacheHierarchy uniqueName="[BASE_HIPO_PPTO].[PRODUCTO]" caption="PRODUCTO" attribute="1" defaultMemberUniqueName="[BASE_HIPO_PPTO].[PRODUCTO].[All]" allUniqueName="[BASE_HIPO_PPTO].[PRODUCTO].[All]" dimensionUniqueName="[BASE_HIPO_PPTO]" displayFolder="" count="0" memberValueDatatype="130" unbalanced="0"/>
    <cacheHierarchy uniqueName="[BASE_HIPO_PPTO].[SEGMENTO_DESCRIP]" caption="SEGMENTO_DESCRIP" attribute="1" defaultMemberUniqueName="[BASE_HIPO_PPTO].[SEGMENTO_DESCRIP].[All]" allUniqueName="[BASE_HIPO_PPTO].[SEGMENTO_DESCRIP].[All]" dimensionUniqueName="[BASE_HIPO_PPTO]" displayFolder="" count="0" memberValueDatatype="130" unbalanced="0"/>
    <cacheHierarchy uniqueName="[BASE_HIPO_PPTO].[SITUACION]" caption="SITUACION" attribute="1" defaultMemberUniqueName="[BASE_HIPO_PPTO].[SITUACION].[All]" allUniqueName="[BASE_HIPO_PPTO].[SITUACION].[All]" dimensionUniqueName="[BASE_HIPO_PPTO]" displayFolder="" count="0" memberValueDatatype="130" unbalanced="0"/>
    <cacheHierarchy uniqueName="[BASE_HIPO_PPTO].[Sub Producto]" caption="Sub Producto" attribute="1" defaultMemberUniqueName="[BASE_HIPO_PPTO].[Sub Producto].[All]" allUniqueName="[BASE_HIPO_PPTO].[Sub Producto].[All]" dimensionUniqueName="[BASE_HIPO_PPTO]" displayFolder="" count="0" memberValueDatatype="130" unbalanced="0"/>
    <cacheHierarchy uniqueName="[BASE_HIPO_PPTO].[Tipo]" caption="Tipo" attribute="1" defaultMemberUniqueName="[BASE_HIPO_PPTO].[Tipo].[All]" allUniqueName="[BASE_HIPO_PPTO].[Tipo].[All]" dimensionUniqueName="[BASE_HIPO_PPTO]" displayFolder="" count="0" memberValueDatatype="130" unbalanced="0"/>
    <cacheHierarchy uniqueName="[BASE_HIPO_PPTO].[Tipo_Valor]" caption="Tipo_Valor" attribute="1" defaultMemberUniqueName="[BASE_HIPO_PPTO].[Tipo_Valor].[All]" allUniqueName="[BASE_HIPO_PPTO].[Tipo_Valor].[All]" dimensionUniqueName="[BASE_HIPO_PPTO]" displayFolder="" count="0" memberValueDatatype="130" unbalanced="0"/>
    <cacheHierarchy uniqueName="[Base_PPE].[Año]" caption="Año" attribute="1" defaultMemberUniqueName="[Base_PPE].[Año].[All]" allUniqueName="[Base_PPE].[Año].[All]" dimensionUniqueName="[Base_PPE]" displayFolder="" count="0" memberValueDatatype="20" unbalanced="0"/>
    <cacheHierarchy uniqueName="[Base_PPE].[FECHA]" caption="FECHA" attribute="1" time="1" defaultMemberUniqueName="[Base_PPE].[FECHA].[All]" allUniqueName="[Base_PPE].[FECHA].[All]" dimensionUniqueName="[Base_PPE]" displayFolder="" count="0" memberValueDatatype="7" unbalanced="0"/>
    <cacheHierarchy uniqueName="[Base_PPE].[Importe]" caption="Importe" attribute="1" defaultMemberUniqueName="[Base_PPE].[Importe].[All]" allUniqueName="[Base_PPE].[Importe].[All]" dimensionUniqueName="[Base_PPE]" displayFolder="" count="0" memberValueDatatype="5" unbalanced="0"/>
    <cacheHierarchy uniqueName="[Base_PPE].[Metrica]" caption="Metrica" attribute="1" defaultMemberUniqueName="[Base_PPE].[Metrica].[All]" allUniqueName="[Base_PPE].[Metrica].[All]" dimensionUniqueName="[Base_PPE]" displayFolder="" count="0" memberValueDatatype="130" unbalanced="0"/>
    <cacheHierarchy uniqueName="[Base_PPE].[Periodo]" caption="Periodo" attribute="1" defaultMemberUniqueName="[Base_PPE].[Periodo].[All]" allUniqueName="[Base_PPE].[Periodo].[All]" dimensionUniqueName="[Base_PPE]" displayFolder="" count="0" memberValueDatatype="130" unbalanced="0"/>
    <cacheHierarchy uniqueName="[Base_PPE].[PRODUCTO]" caption="PRODUCTO" attribute="1" defaultMemberUniqueName="[Base_PPE].[PRODUCTO].[All]" allUniqueName="[Base_PPE].[PRODUCTO].[All]" dimensionUniqueName="[Base_PPE]" displayFolder="" count="0" memberValueDatatype="130" unbalanced="0"/>
    <cacheHierarchy uniqueName="[Base_PPE].[SEGMENTO_DESCRIP]" caption="SEGMENTO_DESCRIP" attribute="1" defaultMemberUniqueName="[Base_PPE].[SEGMENTO_DESCRIP].[All]" allUniqueName="[Base_PPE].[SEGMENTO_DESCRIP].[All]" dimensionUniqueName="[Base_PPE]" displayFolder="" count="0" memberValueDatatype="130" unbalanced="0"/>
    <cacheHierarchy uniqueName="[Base_PPE].[SITUACION]" caption="SITUACION" attribute="1" defaultMemberUniqueName="[Base_PPE].[SITUACION].[All]" allUniqueName="[Base_PPE].[SITUACION].[All]" dimensionUniqueName="[Base_PPE]" displayFolder="" count="0" memberValueDatatype="130" unbalanced="0"/>
    <cacheHierarchy uniqueName="[Base_PPE].[Sub Producto]" caption="Sub Producto" attribute="1" defaultMemberUniqueName="[Base_PPE].[Sub Producto].[All]" allUniqueName="[Base_PPE].[Sub Producto].[All]" dimensionUniqueName="[Base_PPE]" displayFolder="" count="0" memberValueDatatype="130" unbalanced="0"/>
    <cacheHierarchy uniqueName="[Base_PPE].[Tipo]" caption="Tipo" attribute="1" defaultMemberUniqueName="[Base_PPE].[Tipo].[All]" allUniqueName="[Base_PPE].[Tipo].[All]" dimensionUniqueName="[Base_PPE]" displayFolder="" count="0" memberValueDatatype="130" unbalanced="0"/>
    <cacheHierarchy uniqueName="[Base_PPE].[Tipo_Valor]" caption="Tipo_Valor" attribute="1" defaultMemberUniqueName="[Base_PPE].[Tipo_Valor].[All]" allUniqueName="[Base_PPE].[Tipo_Valor].[All]" dimensionUniqueName="[Base_PPE]" displayFolder="" count="0" memberValueDatatype="130" unbalanced="0"/>
    <cacheHierarchy uniqueName="[Base_TC_PPTO].[Año]" caption="Año" attribute="1" defaultMemberUniqueName="[Base_TC_PPTO].[Año].[All]" allUniqueName="[Base_TC_PPTO].[Año].[All]" dimensionUniqueName="[Base_TC_PPTO]" displayFolder="" count="0" memberValueDatatype="20" unbalanced="0"/>
    <cacheHierarchy uniqueName="[Base_TC_PPTO].[FECHA]" caption="FECHA" attribute="1" time="1" defaultMemberUniqueName="[Base_TC_PPTO].[FECHA].[All]" allUniqueName="[Base_TC_PPTO].[FECHA].[All]" dimensionUniqueName="[Base_TC_PPTO]" displayFolder="" count="0" memberValueDatatype="7" unbalanced="0"/>
    <cacheHierarchy uniqueName="[Base_TC_PPTO].[Importe]" caption="Importe" attribute="1" defaultMemberUniqueName="[Base_TC_PPTO].[Importe].[All]" allUniqueName="[Base_TC_PPTO].[Importe].[All]" dimensionUniqueName="[Base_TC_PPTO]" displayFolder="" count="0" memberValueDatatype="5" unbalanced="0"/>
    <cacheHierarchy uniqueName="[Base_TC_PPTO].[Metrica]" caption="Metrica" attribute="1" defaultMemberUniqueName="[Base_TC_PPTO].[Metrica].[All]" allUniqueName="[Base_TC_PPTO].[Metrica].[All]" dimensionUniqueName="[Base_TC_PPTO]" displayFolder="" count="0" memberValueDatatype="130" unbalanced="0"/>
    <cacheHierarchy uniqueName="[Base_TC_PPTO].[Periodo]" caption="Periodo" attribute="1" defaultMemberUniqueName="[Base_TC_PPTO].[Periodo].[All]" allUniqueName="[Base_TC_PPTO].[Periodo].[All]" dimensionUniqueName="[Base_TC_PPTO]" displayFolder="" count="0" memberValueDatatype="130" unbalanced="0"/>
    <cacheHierarchy uniqueName="[Base_TC_PPTO].[PRODUCTO]" caption="PRODUCTO" attribute="1" defaultMemberUniqueName="[Base_TC_PPTO].[PRODUCTO].[All]" allUniqueName="[Base_TC_PPTO].[PRODUCTO].[All]" dimensionUniqueName="[Base_TC_PPTO]" displayFolder="" count="0" memberValueDatatype="130" unbalanced="0"/>
    <cacheHierarchy uniqueName="[Base_TC_PPTO].[SEGMENTO_DESCRIP]" caption="SEGMENTO_DESCRIP" attribute="1" defaultMemberUniqueName="[Base_TC_PPTO].[SEGMENTO_DESCRIP].[All]" allUniqueName="[Base_TC_PPTO].[SEGMENTO_DESCRIP].[All]" dimensionUniqueName="[Base_TC_PPTO]" displayFolder="" count="0" memberValueDatatype="130" unbalanced="0"/>
    <cacheHierarchy uniqueName="[Base_TC_PPTO].[Situacion]" caption="Situacion" attribute="1" defaultMemberUniqueName="[Base_TC_PPTO].[Situacion].[All]" allUniqueName="[Base_TC_PPTO].[Situacion].[All]" dimensionUniqueName="[Base_TC_PPTO]" displayFolder="" count="0" memberValueDatatype="130" unbalanced="0"/>
    <cacheHierarchy uniqueName="[Base_TC_PPTO].[Sub Producto]" caption="Sub Producto" attribute="1" defaultMemberUniqueName="[Base_TC_PPTO].[Sub Producto].[All]" allUniqueName="[Base_TC_PPTO].[Sub Producto].[All]" dimensionUniqueName="[Base_TC_PPTO]" displayFolder="" count="0" memberValueDatatype="130" unbalanced="0"/>
    <cacheHierarchy uniqueName="[Base_TC_PPTO].[Tipo]" caption="Tipo" attribute="1" defaultMemberUniqueName="[Base_TC_PPTO].[Tipo].[All]" allUniqueName="[Base_TC_PPTO].[Tipo].[All]" dimensionUniqueName="[Base_TC_PPTO]" displayFolder="" count="0" memberValueDatatype="130" unbalanced="0"/>
    <cacheHierarchy uniqueName="[Base_TC_PPTO].[Tipo_Valor]" caption="Tipo_Valor" attribute="1" defaultMemberUniqueName="[Base_TC_PPTO].[Tipo_Valor].[All]" allUniqueName="[Base_TC_PPTO].[Tipo_Valor].[All]" dimensionUniqueName="[Base_TC_PPTO]" displayFolder="" count="0" memberValueDatatype="130" unbalanced="0"/>
    <cacheHierarchy uniqueName="[BASE_VEH_PPTO].[FECHA]" caption="FECHA" attribute="1" time="1" defaultMemberUniqueName="[BASE_VEH_PPTO].[FECHA].[All]" allUniqueName="[BASE_VEH_PPTO].[FECHA].[All]" dimensionUniqueName="[BASE_VEH_PPTO]" displayFolder="" count="0" memberValueDatatype="7" unbalanced="0"/>
    <cacheHierarchy uniqueName="[BASE_VEH_PPTO].[Importe]" caption="Importe" attribute="1" defaultMemberUniqueName="[BASE_VEH_PPTO].[Importe].[All]" allUniqueName="[BASE_VEH_PPTO].[Importe].[All]" dimensionUniqueName="[BASE_VEH_PPTO]" displayFolder="" count="0" memberValueDatatype="5" unbalanced="0"/>
    <cacheHierarchy uniqueName="[BASE_VEH_PPTO].[Metrica]" caption="Metrica" attribute="1" defaultMemberUniqueName="[BASE_VEH_PPTO].[Metrica].[All]" allUniqueName="[BASE_VEH_PPTO].[Metrica].[All]" dimensionUniqueName="[BASE_VEH_PPTO]" displayFolder="" count="0" memberValueDatatype="130" unbalanced="0"/>
    <cacheHierarchy uniqueName="[BASE_VEH_PPTO].[Periodo]" caption="Periodo" attribute="1" defaultMemberUniqueName="[BASE_VEH_PPTO].[Periodo].[All]" allUniqueName="[BASE_VEH_PPTO].[Periodo].[All]" dimensionUniqueName="[BASE_VEH_PPTO]" displayFolder="" count="0" memberValueDatatype="130" unbalanced="0"/>
    <cacheHierarchy uniqueName="[BASE_VEH_PPTO].[PRODUCTO]" caption="PRODUCTO" attribute="1" defaultMemberUniqueName="[BASE_VEH_PPTO].[PRODUCTO].[All]" allUniqueName="[BASE_VEH_PPTO].[PRODUCTO].[All]" dimensionUniqueName="[BASE_VEH_PPTO]" displayFolder="" count="0" memberValueDatatype="130" unbalanced="0"/>
    <cacheHierarchy uniqueName="[BASE_VEH_PPTO].[SEGMENTO_DESCRIP]" caption="SEGMENTO_DESCRIP" attribute="1" defaultMemberUniqueName="[BASE_VEH_PPTO].[SEGMENTO_DESCRIP].[All]" allUniqueName="[BASE_VEH_PPTO].[SEGMENTO_DESCRIP].[All]" dimensionUniqueName="[BASE_VEH_PPTO]" displayFolder="" count="0" memberValueDatatype="130" unbalanced="0"/>
    <cacheHierarchy uniqueName="[BASE_VEH_PPTO].[SITUACION]" caption="SITUACION" attribute="1" defaultMemberUniqueName="[BASE_VEH_PPTO].[SITUACION].[All]" allUniqueName="[BASE_VEH_PPTO].[SITUACION].[All]" dimensionUniqueName="[BASE_VEH_PPTO]" displayFolder="" count="0" memberValueDatatype="130" unbalanced="0"/>
    <cacheHierarchy uniqueName="[BASE_VEH_PPTO].[Sub_Producto]" caption="Sub_Producto" attribute="1" defaultMemberUniqueName="[BASE_VEH_PPTO].[Sub_Producto].[All]" allUniqueName="[BASE_VEH_PPTO].[Sub_Producto].[All]" dimensionUniqueName="[BASE_VEH_PPTO]" displayFolder="" count="0" memberValueDatatype="130" unbalanced="0"/>
    <cacheHierarchy uniqueName="[BASE_VEH_PPTO].[Tipo]" caption="Tipo" attribute="1" defaultMemberUniqueName="[BASE_VEH_PPTO].[Tipo].[All]" allUniqueName="[BASE_VEH_PPTO].[Tipo].[All]" dimensionUniqueName="[BASE_VEH_PPTO]" displayFolder="" count="0" memberValueDatatype="130" unbalanced="0"/>
    <cacheHierarchy uniqueName="[BASE_VEH_PPTO].[Tipo_Valor]" caption="Tipo_Valor" attribute="1" defaultMemberUniqueName="[BASE_VEH_PPTO].[Tipo_Valor].[All]" allUniqueName="[BASE_VEH_PPTO].[Tipo_Valor].[All]" dimensionUniqueName="[BASE_VEH_PPTO]" displayFolder="" count="0" memberValueDatatype="130" unbalanced="0"/>
    <cacheHierarchy uniqueName="[DateTableTemplate_7a49a5e4-a98b-44e8-97e3-e7368ff3c7e3].[Año]" caption="Año" attribute="1" defaultMemberUniqueName="[DateTableTemplate_7a49a5e4-a98b-44e8-97e3-e7368ff3c7e3].[Año].[All]" allUniqueName="[DateTableTemplate_7a49a5e4-a98b-44e8-97e3-e7368ff3c7e3].[Año].[All]" dimensionUniqueName="[DateTableTemplate_7a49a5e4-a98b-44e8-97e3-e7368ff3c7e3]" displayFolder="" count="0" memberValueDatatype="20" unbalanced="0" hidden="1"/>
    <cacheHierarchy uniqueName="[DateTableTemplate_7a49a5e4-a98b-44e8-97e3-e7368ff3c7e3].[Date]" caption="Date" attribute="1" time="1" defaultMemberUniqueName="[DateTableTemplate_7a49a5e4-a98b-44e8-97e3-e7368ff3c7e3].[Date].[All]" allUniqueName="[DateTableTemplate_7a49a5e4-a98b-44e8-97e3-e7368ff3c7e3].[Date].[All]" dimensionUniqueName="[DateTableTemplate_7a49a5e4-a98b-44e8-97e3-e7368ff3c7e3]" displayFolder="" count="0" memberValueDatatype="7" unbalanced="0" hidden="1"/>
    <cacheHierarchy uniqueName="[DateTableTemplate_7a49a5e4-a98b-44e8-97e3-e7368ff3c7e3].[Día]" caption="Día" attribute="1" defaultMemberUniqueName="[DateTableTemplate_7a49a5e4-a98b-44e8-97e3-e7368ff3c7e3].[Día].[All]" allUniqueName="[DateTableTemplate_7a49a5e4-a98b-44e8-97e3-e7368ff3c7e3].[Día].[All]" dimensionUniqueName="[DateTableTemplate_7a49a5e4-a98b-44e8-97e3-e7368ff3c7e3]" displayFolder="" count="0" memberValueDatatype="20" unbalanced="0" hidden="1"/>
    <cacheHierarchy uniqueName="[DateTableTemplate_7a49a5e4-a98b-44e8-97e3-e7368ff3c7e3].[Jerarquía de fechas]" caption="Jerarquía de fechas" defaultMemberUniqueName="[DateTableTemplate_7a49a5e4-a98b-44e8-97e3-e7368ff3c7e3].[Jerarquía de fechas].[All]" allUniqueName="[DateTableTemplate_7a49a5e4-a98b-44e8-97e3-e7368ff3c7e3].[Jerarquía de fechas].[All]" dimensionUniqueName="[DateTableTemplate_7a49a5e4-a98b-44e8-97e3-e7368ff3c7e3]" displayFolder="" count="0" unbalanced="0" hidden="1"/>
    <cacheHierarchy uniqueName="[DateTableTemplate_7a49a5e4-a98b-44e8-97e3-e7368ff3c7e3].[Mes]" caption="Mes" attribute="1" defaultMemberUniqueName="[DateTableTemplate_7a49a5e4-a98b-44e8-97e3-e7368ff3c7e3].[Mes].[All]" allUniqueName="[DateTableTemplate_7a49a5e4-a98b-44e8-97e3-e7368ff3c7e3].[Mes].[All]" dimensionUniqueName="[DateTableTemplate_7a49a5e4-a98b-44e8-97e3-e7368ff3c7e3]" displayFolder="" count="0" memberValueDatatype="130" unbalanced="0" hidden="1"/>
    <cacheHierarchy uniqueName="[DateTableTemplate_7a49a5e4-a98b-44e8-97e3-e7368ff3c7e3].[NroMes]" caption="NroMes" attribute="1" defaultMemberUniqueName="[DateTableTemplate_7a49a5e4-a98b-44e8-97e3-e7368ff3c7e3].[NroMes].[All]" allUniqueName="[DateTableTemplate_7a49a5e4-a98b-44e8-97e3-e7368ff3c7e3].[NroMes].[All]" dimensionUniqueName="[DateTableTemplate_7a49a5e4-a98b-44e8-97e3-e7368ff3c7e3]" displayFolder="" count="0" memberValueDatatype="20" unbalanced="0" hidden="1"/>
    <cacheHierarchy uniqueName="[DateTableTemplate_7a49a5e4-a98b-44e8-97e3-e7368ff3c7e3].[NroTrimestre]" caption="NroTrimestre" attribute="1" defaultMemberUniqueName="[DateTableTemplate_7a49a5e4-a98b-44e8-97e3-e7368ff3c7e3].[NroTrimestre].[All]" allUniqueName="[DateTableTemplate_7a49a5e4-a98b-44e8-97e3-e7368ff3c7e3].[NroTrimestre].[All]" dimensionUniqueName="[DateTableTemplate_7a49a5e4-a98b-44e8-97e3-e7368ff3c7e3]" displayFolder="" count="0" memberValueDatatype="20" unbalanced="0" hidden="1"/>
    <cacheHierarchy uniqueName="[DateTableTemplate_7a49a5e4-a98b-44e8-97e3-e7368ff3c7e3].[Trimestre]" caption="Trimestre" attribute="1" defaultMemberUniqueName="[DateTableTemplate_7a49a5e4-a98b-44e8-97e3-e7368ff3c7e3].[Trimestre].[All]" allUniqueName="[DateTableTemplate_7a49a5e4-a98b-44e8-97e3-e7368ff3c7e3].[Trimestre].[All]" dimensionUniqueName="[DateTableTemplate_7a49a5e4-a98b-44e8-97e3-e7368ff3c7e3]" displayFolder="" count="0" memberValueDatatype="130" unbalanced="0" hidden="1"/>
    <cacheHierarchy uniqueName="[LocalDateTable_4d3d2595-d713-4fa0-af74-994f2248f3a7].[Año]" caption="Año" attribute="1" defaultMemberUniqueName="[LocalDateTable_4d3d2595-d713-4fa0-af74-994f2248f3a7].[Año].[All]" allUniqueName="[LocalDateTable_4d3d2595-d713-4fa0-af74-994f2248f3a7].[Año].[All]" dimensionUniqueName="[LocalDateTable_4d3d2595-d713-4fa0-af74-994f2248f3a7]" displayFolder="" count="0" memberValueDatatype="20" unbalanced="0" hidden="1"/>
    <cacheHierarchy uniqueName="[LocalDateTable_4d3d2595-d713-4fa0-af74-994f2248f3a7].[Date]" caption="Date" attribute="1" time="1" defaultMemberUniqueName="[LocalDateTable_4d3d2595-d713-4fa0-af74-994f2248f3a7].[Date].[All]" allUniqueName="[LocalDateTable_4d3d2595-d713-4fa0-af74-994f2248f3a7].[Date].[All]" dimensionUniqueName="[LocalDateTable_4d3d2595-d713-4fa0-af74-994f2248f3a7]" displayFolder="" count="0" memberValueDatatype="7" unbalanced="0" hidden="1"/>
    <cacheHierarchy uniqueName="[LocalDateTable_4d3d2595-d713-4fa0-af74-994f2248f3a7].[Día]" caption="Día" attribute="1" defaultMemberUniqueName="[LocalDateTable_4d3d2595-d713-4fa0-af74-994f2248f3a7].[Día].[All]" allUniqueName="[LocalDateTable_4d3d2595-d713-4fa0-af74-994f2248f3a7].[Día].[All]" dimensionUniqueName="[LocalDateTable_4d3d2595-d713-4fa0-af74-994f2248f3a7]" displayFolder="" count="0" memberValueDatatype="20" unbalanced="0" hidden="1"/>
    <cacheHierarchy uniqueName="[LocalDateTable_4d3d2595-d713-4fa0-af74-994f2248f3a7].[Jerarquía de fechas]" caption="Jerarquía de fechas" defaultMemberUniqueName="[LocalDateTable_4d3d2595-d713-4fa0-af74-994f2248f3a7].[Jerarquía de fechas].[All]" allUniqueName="[LocalDateTable_4d3d2595-d713-4fa0-af74-994f2248f3a7].[Jerarquía de fechas].[All]" dimensionUniqueName="[LocalDateTable_4d3d2595-d713-4fa0-af74-994f2248f3a7]" displayFolder="" count="0" unbalanced="0" hidden="1"/>
    <cacheHierarchy uniqueName="[LocalDateTable_4d3d2595-d713-4fa0-af74-994f2248f3a7].[Mes]" caption="Mes" attribute="1" defaultMemberUniqueName="[LocalDateTable_4d3d2595-d713-4fa0-af74-994f2248f3a7].[Mes].[All]" allUniqueName="[LocalDateTable_4d3d2595-d713-4fa0-af74-994f2248f3a7].[Mes].[All]" dimensionUniqueName="[LocalDateTable_4d3d2595-d713-4fa0-af74-994f2248f3a7]" displayFolder="" count="0" memberValueDatatype="130" unbalanced="0" hidden="1"/>
    <cacheHierarchy uniqueName="[LocalDateTable_4d3d2595-d713-4fa0-af74-994f2248f3a7].[NroMes]" caption="NroMes" attribute="1" defaultMemberUniqueName="[LocalDateTable_4d3d2595-d713-4fa0-af74-994f2248f3a7].[NroMes].[All]" allUniqueName="[LocalDateTable_4d3d2595-d713-4fa0-af74-994f2248f3a7].[NroMes].[All]" dimensionUniqueName="[LocalDateTable_4d3d2595-d713-4fa0-af74-994f2248f3a7]" displayFolder="" count="0" memberValueDatatype="20" unbalanced="0" hidden="1"/>
    <cacheHierarchy uniqueName="[LocalDateTable_4d3d2595-d713-4fa0-af74-994f2248f3a7].[NroTrimestre]" caption="NroTrimestre" attribute="1" defaultMemberUniqueName="[LocalDateTable_4d3d2595-d713-4fa0-af74-994f2248f3a7].[NroTrimestre].[All]" allUniqueName="[LocalDateTable_4d3d2595-d713-4fa0-af74-994f2248f3a7].[NroTrimestre].[All]" dimensionUniqueName="[LocalDateTable_4d3d2595-d713-4fa0-af74-994f2248f3a7]" displayFolder="" count="0" memberValueDatatype="20" unbalanced="0" hidden="1"/>
    <cacheHierarchy uniqueName="[LocalDateTable_4d3d2595-d713-4fa0-af74-994f2248f3a7].[Trimestre]" caption="Trimestre" attribute="1" defaultMemberUniqueName="[LocalDateTable_4d3d2595-d713-4fa0-af74-994f2248f3a7].[Trimestre].[All]" allUniqueName="[LocalDateTable_4d3d2595-d713-4fa0-af74-994f2248f3a7].[Trimestre].[All]" dimensionUniqueName="[LocalDateTable_4d3d2595-d713-4fa0-af74-994f2248f3a7]" displayFolder="" count="0" memberValueDatatype="130" unbalanced="0" hidden="1"/>
    <cacheHierarchy uniqueName="[LocalDateTable_5bc15ee3-9fa5-490a-99b1-9e3d00fdb792].[Año]" caption="Año" attribute="1" defaultMemberUniqueName="[LocalDateTable_5bc15ee3-9fa5-490a-99b1-9e3d00fdb792].[Año].[All]" allUniqueName="[LocalDateTable_5bc15ee3-9fa5-490a-99b1-9e3d00fdb792].[Año].[All]" dimensionUniqueName="[LocalDateTable_5bc15ee3-9fa5-490a-99b1-9e3d00fdb792]" displayFolder="" count="0" memberValueDatatype="20" unbalanced="0" hidden="1"/>
    <cacheHierarchy uniqueName="[LocalDateTable_5bc15ee3-9fa5-490a-99b1-9e3d00fdb792].[Date]" caption="Date" attribute="1" time="1" defaultMemberUniqueName="[LocalDateTable_5bc15ee3-9fa5-490a-99b1-9e3d00fdb792].[Date].[All]" allUniqueName="[LocalDateTable_5bc15ee3-9fa5-490a-99b1-9e3d00fdb792].[Date].[All]" dimensionUniqueName="[LocalDateTable_5bc15ee3-9fa5-490a-99b1-9e3d00fdb792]" displayFolder="" count="0" memberValueDatatype="7" unbalanced="0" hidden="1"/>
    <cacheHierarchy uniqueName="[LocalDateTable_5bc15ee3-9fa5-490a-99b1-9e3d00fdb792].[Día]" caption="Día" attribute="1" defaultMemberUniqueName="[LocalDateTable_5bc15ee3-9fa5-490a-99b1-9e3d00fdb792].[Día].[All]" allUniqueName="[LocalDateTable_5bc15ee3-9fa5-490a-99b1-9e3d00fdb792].[Día].[All]" dimensionUniqueName="[LocalDateTable_5bc15ee3-9fa5-490a-99b1-9e3d00fdb792]" displayFolder="" count="0" memberValueDatatype="20" unbalanced="0" hidden="1"/>
    <cacheHierarchy uniqueName="[LocalDateTable_5bc15ee3-9fa5-490a-99b1-9e3d00fdb792].[Jerarquía de fechas]" caption="Jerarquía de fechas" defaultMemberUniqueName="[LocalDateTable_5bc15ee3-9fa5-490a-99b1-9e3d00fdb792].[Jerarquía de fechas].[All]" allUniqueName="[LocalDateTable_5bc15ee3-9fa5-490a-99b1-9e3d00fdb792].[Jerarquía de fechas].[All]" dimensionUniqueName="[LocalDateTable_5bc15ee3-9fa5-490a-99b1-9e3d00fdb792]" displayFolder="" count="0" unbalanced="0" hidden="1"/>
    <cacheHierarchy uniqueName="[LocalDateTable_5bc15ee3-9fa5-490a-99b1-9e3d00fdb792].[Mes]" caption="Mes" attribute="1" defaultMemberUniqueName="[LocalDateTable_5bc15ee3-9fa5-490a-99b1-9e3d00fdb792].[Mes].[All]" allUniqueName="[LocalDateTable_5bc15ee3-9fa5-490a-99b1-9e3d00fdb792].[Mes].[All]" dimensionUniqueName="[LocalDateTable_5bc15ee3-9fa5-490a-99b1-9e3d00fdb792]" displayFolder="" count="0" memberValueDatatype="130" unbalanced="0" hidden="1"/>
    <cacheHierarchy uniqueName="[LocalDateTable_5bc15ee3-9fa5-490a-99b1-9e3d00fdb792].[NroMes]" caption="NroMes" attribute="1" defaultMemberUniqueName="[LocalDateTable_5bc15ee3-9fa5-490a-99b1-9e3d00fdb792].[NroMes].[All]" allUniqueName="[LocalDateTable_5bc15ee3-9fa5-490a-99b1-9e3d00fdb792].[NroMes].[All]" dimensionUniqueName="[LocalDateTable_5bc15ee3-9fa5-490a-99b1-9e3d00fdb792]" displayFolder="" count="0" memberValueDatatype="20" unbalanced="0" hidden="1"/>
    <cacheHierarchy uniqueName="[LocalDateTable_5bc15ee3-9fa5-490a-99b1-9e3d00fdb792].[NroTrimestre]" caption="NroTrimestre" attribute="1" defaultMemberUniqueName="[LocalDateTable_5bc15ee3-9fa5-490a-99b1-9e3d00fdb792].[NroTrimestre].[All]" allUniqueName="[LocalDateTable_5bc15ee3-9fa5-490a-99b1-9e3d00fdb792].[NroTrimestre].[All]" dimensionUniqueName="[LocalDateTable_5bc15ee3-9fa5-490a-99b1-9e3d00fdb792]" displayFolder="" count="0" memberValueDatatype="20" unbalanced="0" hidden="1"/>
    <cacheHierarchy uniqueName="[LocalDateTable_5bc15ee3-9fa5-490a-99b1-9e3d00fdb792].[Trimestre]" caption="Trimestre" attribute="1" defaultMemberUniqueName="[LocalDateTable_5bc15ee3-9fa5-490a-99b1-9e3d00fdb792].[Trimestre].[All]" allUniqueName="[LocalDateTable_5bc15ee3-9fa5-490a-99b1-9e3d00fdb792].[Trimestre].[All]" dimensionUniqueName="[LocalDateTable_5bc15ee3-9fa5-490a-99b1-9e3d00fdb792]" displayFolder="" count="0" memberValueDatatype="130" unbalanced="0" hidden="1"/>
    <cacheHierarchy uniqueName="[LocalDateTable_5bf10396-4aa2-4aba-9a59-6e28c1786d8e].[Año]" caption="Año" attribute="1" defaultMemberUniqueName="[LocalDateTable_5bf10396-4aa2-4aba-9a59-6e28c1786d8e].[Año].[All]" allUniqueName="[LocalDateTable_5bf10396-4aa2-4aba-9a59-6e28c1786d8e].[Año].[All]" dimensionUniqueName="[LocalDateTable_5bf10396-4aa2-4aba-9a59-6e28c1786d8e]" displayFolder="" count="0" memberValueDatatype="20" unbalanced="0" hidden="1"/>
    <cacheHierarchy uniqueName="[LocalDateTable_5bf10396-4aa2-4aba-9a59-6e28c1786d8e].[Date]" caption="Date" attribute="1" time="1" defaultMemberUniqueName="[LocalDateTable_5bf10396-4aa2-4aba-9a59-6e28c1786d8e].[Date].[All]" allUniqueName="[LocalDateTable_5bf10396-4aa2-4aba-9a59-6e28c1786d8e].[Date].[All]" dimensionUniqueName="[LocalDateTable_5bf10396-4aa2-4aba-9a59-6e28c1786d8e]" displayFolder="" count="0" memberValueDatatype="7" unbalanced="0" hidden="1"/>
    <cacheHierarchy uniqueName="[LocalDateTable_5bf10396-4aa2-4aba-9a59-6e28c1786d8e].[Día]" caption="Día" attribute="1" defaultMemberUniqueName="[LocalDateTable_5bf10396-4aa2-4aba-9a59-6e28c1786d8e].[Día].[All]" allUniqueName="[LocalDateTable_5bf10396-4aa2-4aba-9a59-6e28c1786d8e].[Día].[All]" dimensionUniqueName="[LocalDateTable_5bf10396-4aa2-4aba-9a59-6e28c1786d8e]" displayFolder="" count="0" memberValueDatatype="20" unbalanced="0" hidden="1"/>
    <cacheHierarchy uniqueName="[LocalDateTable_5bf10396-4aa2-4aba-9a59-6e28c1786d8e].[Jerarquía de fechas]" caption="Jerarquía de fechas" defaultMemberUniqueName="[LocalDateTable_5bf10396-4aa2-4aba-9a59-6e28c1786d8e].[Jerarquía de fechas].[All]" allUniqueName="[LocalDateTable_5bf10396-4aa2-4aba-9a59-6e28c1786d8e].[Jerarquía de fechas].[All]" dimensionUniqueName="[LocalDateTable_5bf10396-4aa2-4aba-9a59-6e28c1786d8e]" displayFolder="" count="0" unbalanced="0" hidden="1"/>
    <cacheHierarchy uniqueName="[LocalDateTable_5bf10396-4aa2-4aba-9a59-6e28c1786d8e].[Mes]" caption="Mes" attribute="1" defaultMemberUniqueName="[LocalDateTable_5bf10396-4aa2-4aba-9a59-6e28c1786d8e].[Mes].[All]" allUniqueName="[LocalDateTable_5bf10396-4aa2-4aba-9a59-6e28c1786d8e].[Mes].[All]" dimensionUniqueName="[LocalDateTable_5bf10396-4aa2-4aba-9a59-6e28c1786d8e]" displayFolder="" count="0" memberValueDatatype="130" unbalanced="0" hidden="1"/>
    <cacheHierarchy uniqueName="[LocalDateTable_5bf10396-4aa2-4aba-9a59-6e28c1786d8e].[NroMes]" caption="NroMes" attribute="1" defaultMemberUniqueName="[LocalDateTable_5bf10396-4aa2-4aba-9a59-6e28c1786d8e].[NroMes].[All]" allUniqueName="[LocalDateTable_5bf10396-4aa2-4aba-9a59-6e28c1786d8e].[NroMes].[All]" dimensionUniqueName="[LocalDateTable_5bf10396-4aa2-4aba-9a59-6e28c1786d8e]" displayFolder="" count="0" memberValueDatatype="20" unbalanced="0" hidden="1"/>
    <cacheHierarchy uniqueName="[LocalDateTable_5bf10396-4aa2-4aba-9a59-6e28c1786d8e].[NroTrimestre]" caption="NroTrimestre" attribute="1" defaultMemberUniqueName="[LocalDateTable_5bf10396-4aa2-4aba-9a59-6e28c1786d8e].[NroTrimestre].[All]" allUniqueName="[LocalDateTable_5bf10396-4aa2-4aba-9a59-6e28c1786d8e].[NroTrimestre].[All]" dimensionUniqueName="[LocalDateTable_5bf10396-4aa2-4aba-9a59-6e28c1786d8e]" displayFolder="" count="0" memberValueDatatype="20" unbalanced="0" hidden="1"/>
    <cacheHierarchy uniqueName="[LocalDateTable_5bf10396-4aa2-4aba-9a59-6e28c1786d8e].[Trimestre]" caption="Trimestre" attribute="1" defaultMemberUniqueName="[LocalDateTable_5bf10396-4aa2-4aba-9a59-6e28c1786d8e].[Trimestre].[All]" allUniqueName="[LocalDateTable_5bf10396-4aa2-4aba-9a59-6e28c1786d8e].[Trimestre].[All]" dimensionUniqueName="[LocalDateTable_5bf10396-4aa2-4aba-9a59-6e28c1786d8e]" displayFolder="" count="0" memberValueDatatype="130" unbalanced="0" hidden="1"/>
    <cacheHierarchy uniqueName="[LocalDateTable_db8de294-182a-4f1e-965c-2bb93fe4c43a].[Año]" caption="Año" attribute="1" defaultMemberUniqueName="[LocalDateTable_db8de294-182a-4f1e-965c-2bb93fe4c43a].[Año].[All]" allUniqueName="[LocalDateTable_db8de294-182a-4f1e-965c-2bb93fe4c43a].[Año].[All]" dimensionUniqueName="[LocalDateTable_db8de294-182a-4f1e-965c-2bb93fe4c43a]" displayFolder="" count="0" memberValueDatatype="20" unbalanced="0" hidden="1"/>
    <cacheHierarchy uniqueName="[LocalDateTable_db8de294-182a-4f1e-965c-2bb93fe4c43a].[Date]" caption="Date" attribute="1" time="1" defaultMemberUniqueName="[LocalDateTable_db8de294-182a-4f1e-965c-2bb93fe4c43a].[Date].[All]" allUniqueName="[LocalDateTable_db8de294-182a-4f1e-965c-2bb93fe4c43a].[Date].[All]" dimensionUniqueName="[LocalDateTable_db8de294-182a-4f1e-965c-2bb93fe4c43a]" displayFolder="" count="0" memberValueDatatype="7" unbalanced="0" hidden="1"/>
    <cacheHierarchy uniqueName="[LocalDateTable_db8de294-182a-4f1e-965c-2bb93fe4c43a].[Día]" caption="Día" attribute="1" defaultMemberUniqueName="[LocalDateTable_db8de294-182a-4f1e-965c-2bb93fe4c43a].[Día].[All]" allUniqueName="[LocalDateTable_db8de294-182a-4f1e-965c-2bb93fe4c43a].[Día].[All]" dimensionUniqueName="[LocalDateTable_db8de294-182a-4f1e-965c-2bb93fe4c43a]" displayFolder="" count="0" memberValueDatatype="20" unbalanced="0" hidden="1"/>
    <cacheHierarchy uniqueName="[LocalDateTable_db8de294-182a-4f1e-965c-2bb93fe4c43a].[Jerarquía de fechas]" caption="Jerarquía de fechas" defaultMemberUniqueName="[LocalDateTable_db8de294-182a-4f1e-965c-2bb93fe4c43a].[Jerarquía de fechas].[All]" allUniqueName="[LocalDateTable_db8de294-182a-4f1e-965c-2bb93fe4c43a].[Jerarquía de fechas].[All]" dimensionUniqueName="[LocalDateTable_db8de294-182a-4f1e-965c-2bb93fe4c43a]" displayFolder="" count="0" unbalanced="0" hidden="1"/>
    <cacheHierarchy uniqueName="[LocalDateTable_db8de294-182a-4f1e-965c-2bb93fe4c43a].[Mes]" caption="Mes" attribute="1" defaultMemberUniqueName="[LocalDateTable_db8de294-182a-4f1e-965c-2bb93fe4c43a].[Mes].[All]" allUniqueName="[LocalDateTable_db8de294-182a-4f1e-965c-2bb93fe4c43a].[Mes].[All]" dimensionUniqueName="[LocalDateTable_db8de294-182a-4f1e-965c-2bb93fe4c43a]" displayFolder="" count="0" memberValueDatatype="130" unbalanced="0" hidden="1"/>
    <cacheHierarchy uniqueName="[LocalDateTable_db8de294-182a-4f1e-965c-2bb93fe4c43a].[NroMes]" caption="NroMes" attribute="1" defaultMemberUniqueName="[LocalDateTable_db8de294-182a-4f1e-965c-2bb93fe4c43a].[NroMes].[All]" allUniqueName="[LocalDateTable_db8de294-182a-4f1e-965c-2bb93fe4c43a].[NroMes].[All]" dimensionUniqueName="[LocalDateTable_db8de294-182a-4f1e-965c-2bb93fe4c43a]" displayFolder="" count="0" memberValueDatatype="20" unbalanced="0" hidden="1"/>
    <cacheHierarchy uniqueName="[LocalDateTable_db8de294-182a-4f1e-965c-2bb93fe4c43a].[NroTrimestre]" caption="NroTrimestre" attribute="1" defaultMemberUniqueName="[LocalDateTable_db8de294-182a-4f1e-965c-2bb93fe4c43a].[NroTrimestre].[All]" allUniqueName="[LocalDateTable_db8de294-182a-4f1e-965c-2bb93fe4c43a].[NroTrimestre].[All]" dimensionUniqueName="[LocalDateTable_db8de294-182a-4f1e-965c-2bb93fe4c43a]" displayFolder="" count="0" memberValueDatatype="20" unbalanced="0" hidden="1"/>
    <cacheHierarchy uniqueName="[LocalDateTable_db8de294-182a-4f1e-965c-2bb93fe4c43a].[Trimestre]" caption="Trimestre" attribute="1" defaultMemberUniqueName="[LocalDateTable_db8de294-182a-4f1e-965c-2bb93fe4c43a].[Trimestre].[All]" allUniqueName="[LocalDateTable_db8de294-182a-4f1e-965c-2bb93fe4c43a].[Trimestre].[All]" dimensionUniqueName="[LocalDateTable_db8de294-182a-4f1e-965c-2bb93fe4c43a]" displayFolder="" count="0" memberValueDatatype="130" unbalanced="0" hidden="1"/>
    <cacheHierarchy uniqueName="[LocalDateTable_e890a8dc-46ae-44e0-9138-bb3c4335c3ce].[Año]" caption="Año" attribute="1" defaultMemberUniqueName="[LocalDateTable_e890a8dc-46ae-44e0-9138-bb3c4335c3ce].[Año].[All]" allUniqueName="[LocalDateTable_e890a8dc-46ae-44e0-9138-bb3c4335c3ce].[Año].[All]" dimensionUniqueName="[LocalDateTable_e890a8dc-46ae-44e0-9138-bb3c4335c3ce]" displayFolder="" count="0" memberValueDatatype="20" unbalanced="0" hidden="1"/>
    <cacheHierarchy uniqueName="[LocalDateTable_e890a8dc-46ae-44e0-9138-bb3c4335c3ce].[Date]" caption="Date" attribute="1" time="1" defaultMemberUniqueName="[LocalDateTable_e890a8dc-46ae-44e0-9138-bb3c4335c3ce].[Date].[All]" allUniqueName="[LocalDateTable_e890a8dc-46ae-44e0-9138-bb3c4335c3ce].[Date].[All]" dimensionUniqueName="[LocalDateTable_e890a8dc-46ae-44e0-9138-bb3c4335c3ce]" displayFolder="" count="0" memberValueDatatype="7" unbalanced="0" hidden="1"/>
    <cacheHierarchy uniqueName="[LocalDateTable_e890a8dc-46ae-44e0-9138-bb3c4335c3ce].[Día]" caption="Día" attribute="1" defaultMemberUniqueName="[LocalDateTable_e890a8dc-46ae-44e0-9138-bb3c4335c3ce].[Día].[All]" allUniqueName="[LocalDateTable_e890a8dc-46ae-44e0-9138-bb3c4335c3ce].[Día].[All]" dimensionUniqueName="[LocalDateTable_e890a8dc-46ae-44e0-9138-bb3c4335c3ce]" displayFolder="" count="0" memberValueDatatype="20" unbalanced="0" hidden="1"/>
    <cacheHierarchy uniqueName="[LocalDateTable_e890a8dc-46ae-44e0-9138-bb3c4335c3ce].[Jerarquía de fechas]" caption="Jerarquía de fechas" defaultMemberUniqueName="[LocalDateTable_e890a8dc-46ae-44e0-9138-bb3c4335c3ce].[Jerarquía de fechas].[All]" allUniqueName="[LocalDateTable_e890a8dc-46ae-44e0-9138-bb3c4335c3ce].[Jerarquía de fechas].[All]" dimensionUniqueName="[LocalDateTable_e890a8dc-46ae-44e0-9138-bb3c4335c3ce]" displayFolder="" count="0" unbalanced="0" hidden="1"/>
    <cacheHierarchy uniqueName="[LocalDateTable_e890a8dc-46ae-44e0-9138-bb3c4335c3ce].[Mes]" caption="Mes" attribute="1" defaultMemberUniqueName="[LocalDateTable_e890a8dc-46ae-44e0-9138-bb3c4335c3ce].[Mes].[All]" allUniqueName="[LocalDateTable_e890a8dc-46ae-44e0-9138-bb3c4335c3ce].[Mes].[All]" dimensionUniqueName="[LocalDateTable_e890a8dc-46ae-44e0-9138-bb3c4335c3ce]" displayFolder="" count="0" memberValueDatatype="130" unbalanced="0" hidden="1"/>
    <cacheHierarchy uniqueName="[LocalDateTable_e890a8dc-46ae-44e0-9138-bb3c4335c3ce].[NroMes]" caption="NroMes" attribute="1" defaultMemberUniqueName="[LocalDateTable_e890a8dc-46ae-44e0-9138-bb3c4335c3ce].[NroMes].[All]" allUniqueName="[LocalDateTable_e890a8dc-46ae-44e0-9138-bb3c4335c3ce].[NroMes].[All]" dimensionUniqueName="[LocalDateTable_e890a8dc-46ae-44e0-9138-bb3c4335c3ce]" displayFolder="" count="0" memberValueDatatype="20" unbalanced="0" hidden="1"/>
    <cacheHierarchy uniqueName="[LocalDateTable_e890a8dc-46ae-44e0-9138-bb3c4335c3ce].[NroTrimestre]" caption="NroTrimestre" attribute="1" defaultMemberUniqueName="[LocalDateTable_e890a8dc-46ae-44e0-9138-bb3c4335c3ce].[NroTrimestre].[All]" allUniqueName="[LocalDateTable_e890a8dc-46ae-44e0-9138-bb3c4335c3ce].[NroTrimestre].[All]" dimensionUniqueName="[LocalDateTable_e890a8dc-46ae-44e0-9138-bb3c4335c3ce]" displayFolder="" count="0" memberValueDatatype="20" unbalanced="0" hidden="1"/>
    <cacheHierarchy uniqueName="[LocalDateTable_e890a8dc-46ae-44e0-9138-bb3c4335c3ce].[Trimestre]" caption="Trimestre" attribute="1" defaultMemberUniqueName="[LocalDateTable_e890a8dc-46ae-44e0-9138-bb3c4335c3ce].[Trimestre].[All]" allUniqueName="[LocalDateTable_e890a8dc-46ae-44e0-9138-bb3c4335c3ce].[Trimestre].[All]" dimensionUniqueName="[LocalDateTable_e890a8dc-46ae-44e0-9138-bb3c4335c3ce]" displayFolder="" count="0" memberValueDatatype="130" unbalanced="0" hidden="1"/>
    <cacheHierarchy uniqueName="[Measures].[__Default measure]" caption="__Default measure" measure="1" displayFolder="" count="0" hidden="1"/>
    <cacheHierarchy uniqueName="Unsupported0" caption="FECHA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6">
    <dimension name="BASE_CONVE_PPTO" uniqueName="[BASE_CONVE_PPTO]" caption="BASE_CONVE_PPTO"/>
    <dimension name="BASE_HIPO_PPTO" uniqueName="[BASE_HIPO_PPTO]" caption="BASE_HIPO_PPTO"/>
    <dimension name="Base_PPE" uniqueName="[Base_PPE]" caption="Base_PPE"/>
    <dimension name="Base_TC_PPTO" uniqueName="[Base_TC_PPTO]" caption="Base_TC_PPTO"/>
    <dimension name="BASE_VEH_PPTO" uniqueName="[BASE_VEH_PPTO]" caption="BASE_VEH_PPTO"/>
    <dimension measure="1" name="Measures" uniqueName="[Measures]" caption="Measures"/>
  </dimensions>
  <measureGroups count="11">
    <measureGroup name="BASE_CONVE_PPTO" caption="BASE_CONVE_PPTO"/>
    <measureGroup name="BASE_HIPO_PPTO" caption="BASE_HIPO_PPTO"/>
    <measureGroup name="Base_PPE" caption="Base_PPE"/>
    <measureGroup name="Base_TC_PPTO" caption="Base_TC_PPTO"/>
    <measureGroup name="BASE_VEH_PPTO" caption="BASE_VEH_PPTO"/>
    <measureGroup name="DateTableTemplate_7a49a5e4-a98b-44e8-97e3-e7368ff3c7e3" caption="DateTableTemplate_7a49a5e4-a98b-44e8-97e3-e7368ff3c7e3"/>
    <measureGroup name="LocalDateTable_4d3d2595-d713-4fa0-af74-994f2248f3a7" caption="LocalDateTable_4d3d2595-d713-4fa0-af74-994f2248f3a7"/>
    <measureGroup name="LocalDateTable_5bc15ee3-9fa5-490a-99b1-9e3d00fdb792" caption="LocalDateTable_5bc15ee3-9fa5-490a-99b1-9e3d00fdb792"/>
    <measureGroup name="LocalDateTable_5bf10396-4aa2-4aba-9a59-6e28c1786d8e" caption="LocalDateTable_5bf10396-4aa2-4aba-9a59-6e28c1786d8e"/>
    <measureGroup name="LocalDateTable_db8de294-182a-4f1e-965c-2bb93fe4c43a" caption="LocalDateTable_db8de294-182a-4f1e-965c-2bb93fe4c43a"/>
    <measureGroup name="LocalDateTable_e890a8dc-46ae-44e0-9138-bb3c4335c3ce" caption="LocalDateTable_e890a8dc-46ae-44e0-9138-bb3c4335c3ce"/>
  </measureGroups>
  <maps count="5">
    <map measureGroup="0" dimension="0"/>
    <map measureGroup="1" dimension="1"/>
    <map measureGroup="2" dimension="2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Segovia Ureta, Gianpier Andre" refreshedDate="46253.414276620373" createdVersion="8" refreshedVersion="8" minRefreshableVersion="3" recordCount="0" supportSubquery="1" supportAdvancedDrill="1" xr:uid="{336FA69D-51B4-4563-9F44-26C3FD2390D4}">
  <cacheSource type="external" connectionId="1"/>
  <cacheFields count="8">
    <cacheField name="[Calendario].[AñoMes].[AñoMes]" caption="AñoMes" numFmtId="0" hierarchy="49" level="1">
      <sharedItems count="48">
        <s v="[Calendario].[AñoMes].&amp;[202301]" c="202301"/>
        <s v="[Calendario].[AñoMes].&amp;[202302]" c="202302"/>
        <s v="[Calendario].[AñoMes].&amp;[202303]" c="202303"/>
        <s v="[Calendario].[AñoMes].&amp;[202304]" c="202304"/>
        <s v="[Calendario].[AñoMes].&amp;[202305]" c="202305"/>
        <s v="[Calendario].[AñoMes].&amp;[202306]" c="202306"/>
        <s v="[Calendario].[AñoMes].&amp;[202307]" c="202307"/>
        <s v="[Calendario].[AñoMes].&amp;[202308]" c="202308"/>
        <s v="[Calendario].[AñoMes].&amp;[202309]" c="202309"/>
        <s v="[Calendario].[AñoMes].&amp;[202310]" c="202310"/>
        <s v="[Calendario].[AñoMes].&amp;[202311]" c="202311"/>
        <s v="[Calendario].[AñoMes].&amp;[202312]" c="202312"/>
        <s v="[Calendario].[AñoMes].&amp;[202401]" c="202401"/>
        <s v="[Calendario].[AñoMes].&amp;[202402]" c="202402"/>
        <s v="[Calendario].[AñoMes].&amp;[202403]" c="202403"/>
        <s v="[Calendario].[AñoMes].&amp;[202404]" c="202404"/>
        <s v="[Calendario].[AñoMes].&amp;[202405]" c="202405"/>
        <s v="[Calendario].[AñoMes].&amp;[202406]" c="202406"/>
        <s v="[Calendario].[AñoMes].&amp;[202407]" c="202407"/>
        <s v="[Calendario].[AñoMes].&amp;[202408]" c="202408"/>
        <s v="[Calendario].[AñoMes].&amp;[202409]" c="202409"/>
        <s v="[Calendario].[AñoMes].&amp;[202410]" c="202410"/>
        <s v="[Calendario].[AñoMes].&amp;[202411]" c="202411"/>
        <s v="[Calendario].[AñoMes].&amp;[202412]" c="202412"/>
        <s v="[Calendario].[AñoMes].&amp;[202501]" c="202501"/>
        <s v="[Calendario].[AñoMes].&amp;[202502]" c="202502"/>
        <s v="[Calendario].[AñoMes].&amp;[202503]" c="202503"/>
        <s v="[Calendario].[AñoMes].&amp;[202504]" c="202504"/>
        <s v="[Calendario].[AñoMes].&amp;[202505]" c="202505"/>
        <s v="[Calendario].[AñoMes].&amp;[202506]" c="202506"/>
        <s v="[Calendario].[AñoMes].&amp;[202507]" c="202507"/>
        <s v="[Calendario].[AñoMes].&amp;[202508]" c="202508"/>
        <s v="[Calendario].[AñoMes].&amp;[202509]" c="202509"/>
        <s v="[Calendario].[AñoMes].&amp;[202510]" c="202510"/>
        <s v="[Calendario].[AñoMes].&amp;[202511]" c="202511"/>
        <s v="[Calendario].[AñoMes].&amp;[202512]" c="202512"/>
        <s v="[Calendario].[AñoMes].&amp;[202601]" c="202601"/>
        <s v="[Calendario].[AñoMes].&amp;[202602]" c="202602"/>
        <s v="[Calendario].[AñoMes].&amp;[202603]" c="202603"/>
        <s v="[Calendario].[AñoMes].&amp;[202604]" c="202604"/>
        <s v="[Calendario].[AñoMes].&amp;[202605]" c="202605"/>
        <s v="[Calendario].[AñoMes].&amp;[202606]" c="202606"/>
        <s v="[Calendario].[AñoMes].&amp;[202607]" u="1" c="202607"/>
        <s v="[Calendario].[AñoMes].&amp;[202608]" u="1" c="202608"/>
        <s v="[Calendario].[AñoMes].&amp;[202609]" u="1" c="202609"/>
        <s v="[Calendario].[AñoMes].&amp;[202610]" u="1" c="202610"/>
        <s v="[Calendario].[AñoMes].&amp;[202611]" u="1" c="202611"/>
        <s v="[Calendario].[AñoMes].&amp;[202612]" u="1" c="202612"/>
      </sharedItems>
    </cacheField>
    <cacheField name="[Base].[Metrica].[Metrica]" caption="Metrica" numFmtId="0" hierarchy="16" level="1">
      <sharedItems count="10">
        <s v="[Base].[Metrica].&amp;[Extraordinarios]" c="Extraordinarios"/>
        <s v="[Base].[Metrica].&amp;[FTP]" c="FTP"/>
        <s v="[Base].[Metrica].&amp;[Gasto_Provision]" c="Gasto_Provision"/>
        <s v="[Base].[Metrica].&amp;[Gastos Operativos]" c="Gastos Operativos"/>
        <s v="[Base].[Metrica].&amp;[Ingreso_Financiero]" c="Ingreso_Financiero"/>
        <s v="[Base].[Metrica].&amp;[INOF]" c="INOF"/>
        <s v="[Base].[Metrica].&amp;[Recupero]" c="Recupero"/>
        <s v="[Base].[Metrica].&amp;[ROF]" c="ROF"/>
        <s v="[Base].[Metrica].&amp;[SALDO_FDP]" c="SALDO_FDP"/>
        <s v="[Base].[Metrica].&amp;[SALDO_PROM]" c="SALDO_PROM"/>
      </sharedItems>
    </cacheField>
    <cacheField name="[Base].[SEGMENTO_DESCRIP].[SEGMENTO_DESCRIP]" caption="SEGMENTO_DESCRIP" numFmtId="0" hierarchy="20" level="1">
      <sharedItems count="4">
        <s v="[Base].[SEGMENTO_DESCRIP].&amp;[Consumo Inicial]" c="Consumo Inicial"/>
        <s v="[Base].[SEGMENTO_DESCRIP].&amp;[Masivo]" c="Masivo"/>
        <s v="[Base].[SEGMENTO_DESCRIP].&amp;[Otros]" c="Otros"/>
        <s v="[Base].[SEGMENTO_DESCRIP].&amp;[Renta Alta]" c="Renta Alta"/>
      </sharedItems>
    </cacheField>
    <cacheField name="[Base].[SITUACION].[SITUACION]" caption="SITUACION" numFmtId="0" hierarchy="21" level="1">
      <sharedItems count="14">
        <s v="[Base].[SITUACION].&amp;[Donaciones]" c="Donaciones"/>
        <s v="[Base].[SITUACION].&amp;[Otros]" c="Otros"/>
        <s v="[Base].[SITUACION].&amp;[Refinanciado]" c="Refinanciado"/>
        <s v="[Base].[SITUACION].&amp;[Vencido y Judicial]" c="Vencido y Judicial"/>
        <s v="[Base].[SITUACION].&amp;[Vigente]" c="Vigente"/>
        <s v="[Base].[SITUACION].&amp;[Provisiones Cartera]" c="Provisiones Cartera"/>
        <s v="[Base].[SITUACION].&amp;[Gasto Canal]" c="Gasto Canal"/>
        <s v="[Base].[SITUACION].&amp;[Gasto Directo]" c="Gasto Directo"/>
        <s v="[Base].[SITUACION].&amp;[Gasto Indirecto]" c="Gasto Indirecto"/>
        <s v="[Base].[SITUACION].&amp;[Comisiones]" c="Comisiones"/>
        <s v="[Base].[SITUACION].&amp;[Gastos de casilleros]" c="Gastos de casilleros"/>
        <s v="[Base].[SITUACION].&amp;[Seguro de Desgravamen]" c="Seguro de Desgravamen"/>
        <s v="[Base].[SITUACION].&amp;[Recupero de Castigos]" c="Recupero de Castigos"/>
        <s v="[Base].[SITUACION].&amp;[Venta de Cartera]" c="Venta de Cartera"/>
      </sharedItems>
    </cacheField>
    <cacheField name="[Base].[Importe].[Importe]" caption="Importe" numFmtId="0" hierarchy="15" level="1">
      <sharedItems containsSemiMixedTypes="0" containsString="0"/>
    </cacheField>
    <cacheField name="[Base].[PRODUCTO].[PRODUCTO]" caption="PRODUCTO" numFmtId="0" hierarchy="19" level="1">
      <sharedItems containsSemiMixedTypes="0" containsString="0"/>
    </cacheField>
    <cacheField name="[Base].[Tipo_Valor].[Tipo_Valor]" caption="Tipo_Valor" numFmtId="0" hierarchy="24" level="1">
      <sharedItems containsSemiMixedTypes="0" containsString="0"/>
    </cacheField>
    <cacheField name="Unsupported0" numFmtId="0" hierarchy="121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122">
    <cacheHierarchy uniqueName="[Anexar1].[FECHA]" caption="FECHA" attribute="1" time="1" defaultMemberUniqueName="[Anexar1].[FECHA].[All]" allUniqueName="[Anexar1].[FECHA].[All]" dimensionUniqueName="[Anexar1]" displayFolder="" count="0" memberValueDatatype="7" unbalanced="0"/>
    <cacheHierarchy uniqueName="[Anexar1].[Importe]" caption="Importe" attribute="1" defaultMemberUniqueName="[Anexar1].[Importe].[All]" allUniqueName="[Anexar1].[Importe].[All]" dimensionUniqueName="[Anexar1]" displayFolder="" count="0" memberValueDatatype="5" unbalanced="0"/>
    <cacheHierarchy uniqueName="[Anexar1].[Metrica]" caption="Metrica" attribute="1" defaultMemberUniqueName="[Anexar1].[Metrica].[All]" allUniqueName="[Anexar1].[Metrica].[All]" dimensionUniqueName="[Anexar1]" displayFolder="" count="0" memberValueDatatype="130" unbalanced="0"/>
    <cacheHierarchy uniqueName="[Anexar1].[MONEDA]" caption="MONEDA" attribute="1" defaultMemberUniqueName="[Anexar1].[MONEDA].[All]" allUniqueName="[Anexar1].[MONEDA].[All]" dimensionUniqueName="[Anexar1]" displayFolder="" count="0" memberValueDatatype="130" unbalanced="0"/>
    <cacheHierarchy uniqueName="[Anexar1].[PERIODO]" caption="PERIODO" attribute="1" defaultMemberUniqueName="[Anexar1].[PERIODO].[All]" allUniqueName="[Anexar1].[PERIODO].[All]" dimensionUniqueName="[Anexar1]" displayFolder="" count="0" memberValueDatatype="130" unbalanced="0"/>
    <cacheHierarchy uniqueName="[Anexar1].[PRODUCTO]" caption="PRODUCTO" attribute="1" defaultMemberUniqueName="[Anexar1].[PRODUCTO].[All]" allUniqueName="[Anexar1].[PRODUCTO].[All]" dimensionUniqueName="[Anexar1]" displayFolder="" count="0" memberValueDatatype="130" unbalanced="0"/>
    <cacheHierarchy uniqueName="[Anexar1].[SG3_GRUPO_SEGMENTO]" caption="SG3_GRUPO_SEGMENTO" attribute="1" defaultMemberUniqueName="[Anexar1].[SG3_GRUPO_SEGMENTO].[All]" allUniqueName="[Anexar1].[SG3_GRUPO_SEGMENTO].[All]" dimensionUniqueName="[Anexar1]" displayFolder="" count="0" memberValueDatatype="130" unbalanced="0"/>
    <cacheHierarchy uniqueName="[Anexar1].[SITUACION]" caption="SITUACION" attribute="1" defaultMemberUniqueName="[Anexar1].[SITUACION].[All]" allUniqueName="[Anexar1].[SITUACION].[All]" dimensionUniqueName="[Anexar1]" displayFolder="" count="0" memberValueDatatype="130" unbalanced="0"/>
    <cacheHierarchy uniqueName="[Anexar1].[Sub Producto]" caption="Sub Producto" attribute="1" defaultMemberUniqueName="[Anexar1].[Sub Producto].[All]" allUniqueName="[Anexar1].[Sub Producto].[All]" dimensionUniqueName="[Anexar1]" displayFolder="" count="0" memberValueDatatype="130" unbalanced="0"/>
    <cacheHierarchy uniqueName="[Anexar1].[TIPO_PRODUCTO]" caption="TIPO_PRODUCTO" attribute="1" defaultMemberUniqueName="[Anexar1].[TIPO_PRODUCTO].[All]" allUniqueName="[Anexar1].[TIPO_PRODUCTO].[All]" dimensionUniqueName="[Anexar1]" displayFolder="" count="0" memberValueDatatype="130" unbalanced="0"/>
    <cacheHierarchy uniqueName="[Anexar1].[Tipo_Valor]" caption="Tipo_Valor" attribute="1" defaultMemberUniqueName="[Anexar1].[Tipo_Valor].[All]" allUniqueName="[Anexar1].[Tipo_Valor].[All]" dimensionUniqueName="[Anexar1]" displayFolder="" count="0" memberValueDatatype="130" unbalanced="0"/>
    <cacheHierarchy uniqueName="[Anexar1].[VP]" caption="VP" attribute="1" defaultMemberUniqueName="[Anexar1].[VP].[All]" allUniqueName="[Anexar1].[VP].[All]" dimensionUniqueName="[Anexar1]" displayFolder="" count="0" memberValueDatatype="130" unbalanced="0"/>
    <cacheHierarchy uniqueName="[Base].[Año]" caption="Año" attribute="1" defaultMemberUniqueName="[Base].[Año].[All]" allUniqueName="[Base].[Año].[All]" dimensionUniqueName="[Base]" displayFolder="" count="0" memberValueDatatype="130" unbalanced="0"/>
    <cacheHierarchy uniqueName="[Base].[FECHA]" caption="FECHA" attribute="1" time="1" defaultMemberUniqueName="[Base].[FECHA].[All]" allUniqueName="[Base].[FECHA].[All]" dimensionUniqueName="[Base]" displayFolder="" count="0" memberValueDatatype="7" unbalanced="0"/>
    <cacheHierarchy uniqueName="[Base].[Fuente]" caption="Fuente" attribute="1" defaultMemberUniqueName="[Base].[Fuente].[All]" allUniqueName="[Base].[Fuente].[All]" dimensionUniqueName="[Base]" displayFolder="" count="0" memberValueDatatype="130" unbalanced="0"/>
    <cacheHierarchy uniqueName="[Base].[Importe]" caption="Importe" attribute="1" defaultMemberUniqueName="[Base].[Importe].[All]" allUniqueName="[Base].[Importe].[All]" dimensionUniqueName="[Base]" displayFolder="" count="2" memberValueDatatype="5" unbalanced="0">
      <fieldsUsage count="2">
        <fieldUsage x="-1"/>
        <fieldUsage x="4"/>
      </fieldsUsage>
    </cacheHierarchy>
    <cacheHierarchy uniqueName="[Base].[Metrica]" caption="Metrica" attribute="1" defaultMemberUniqueName="[Base].[Metrica].[All]" allUniqueName="[Base].[Metrica].[All]" dimensionUniqueName="[Base]" displayFolder="" count="2" memberValueDatatype="130" unbalanced="0">
      <fieldsUsage count="2">
        <fieldUsage x="-1"/>
        <fieldUsage x="1"/>
      </fieldsUsage>
    </cacheHierarchy>
    <cacheHierarchy uniqueName="[Base].[MONEDA]" caption="MONEDA" attribute="1" defaultMemberUniqueName="[Base].[MONEDA].[All]" allUniqueName="[Base].[MONEDA].[All]" dimensionUniqueName="[Base]" displayFolder="" count="0" memberValueDatatype="130" unbalanced="0"/>
    <cacheHierarchy uniqueName="[Base].[Periodo]" caption="Periodo" attribute="1" defaultMemberUniqueName="[Base].[Periodo].[All]" allUniqueName="[Base].[Periodo].[All]" dimensionUniqueName="[Base]" displayFolder="" count="0" memberValueDatatype="130" unbalanced="0"/>
    <cacheHierarchy uniqueName="[Base].[PRODUCTO]" caption="PRODUCTO" attribute="1" defaultMemberUniqueName="[Base].[PRODUCTO].[All]" allUniqueName="[Base].[PRODUCTO].[All]" dimensionUniqueName="[Base]" displayFolder="" count="2" memberValueDatatype="130" unbalanced="0">
      <fieldsUsage count="2">
        <fieldUsage x="-1"/>
        <fieldUsage x="5"/>
      </fieldsUsage>
    </cacheHierarchy>
    <cacheHierarchy uniqueName="[Base].[SEGMENTO_DESCRIP]" caption="SEGMENTO_DESCRIP" attribute="1" defaultMemberUniqueName="[Base].[SEGMENTO_DESCRIP].[All]" allUniqueName="[Base].[SEGMENTO_DESCRIP].[All]" dimensionUniqueName="[Base]" displayFolder="" count="2" memberValueDatatype="130" unbalanced="0">
      <fieldsUsage count="2">
        <fieldUsage x="-1"/>
        <fieldUsage x="2"/>
      </fieldsUsage>
    </cacheHierarchy>
    <cacheHierarchy uniqueName="[Base].[SITUACION]" caption="SITUACION" attribute="1" defaultMemberUniqueName="[Base].[SITUACION].[All]" allUniqueName="[Base].[SITUACION].[All]" dimensionUniqueName="[Base]" displayFolder="" count="2" memberValueDatatype="130" unbalanced="0">
      <fieldsUsage count="2">
        <fieldUsage x="-1"/>
        <fieldUsage x="3"/>
      </fieldsUsage>
    </cacheHierarchy>
    <cacheHierarchy uniqueName="[Base].[Sub Producto]" caption="Sub Producto" attribute="1" defaultMemberUniqueName="[Base].[Sub Producto].[All]" allUniqueName="[Base].[Sub Producto].[All]" dimensionUniqueName="[Base]" displayFolder="" count="0" memberValueDatatype="130" unbalanced="0"/>
    <cacheHierarchy uniqueName="[Base].[TIPO]" caption="TIPO" attribute="1" defaultMemberUniqueName="[Base].[TIPO].[All]" allUniqueName="[Base].[TIPO].[All]" dimensionUniqueName="[Base]" displayFolder="" count="0" memberValueDatatype="130" unbalanced="0"/>
    <cacheHierarchy uniqueName="[Base].[Tipo_Valor]" caption="Tipo_Valor" attribute="1" defaultMemberUniqueName="[Base].[Tipo_Valor].[All]" allUniqueName="[Base].[Tipo_Valor].[All]" dimensionUniqueName="[Base]" displayFolder="" count="2" memberValueDatatype="130" unbalanced="0">
      <fieldsUsage count="2">
        <fieldUsage x="-1"/>
        <fieldUsage x="6"/>
      </fieldsUsage>
    </cacheHierarchy>
    <cacheHierarchy uniqueName="[Base].[VP]" caption="VP" attribute="1" defaultMemberUniqueName="[Base].[VP].[All]" allUniqueName="[Base].[VP].[All]" dimensionUniqueName="[Base]" displayFolder="" count="0" memberValueDatatype="130" unbalanced="0"/>
    <cacheHierarchy uniqueName="[Base_PJ_Inmobiliaria].[FECHA]" caption="FECHA" attribute="1" time="1" defaultMemberUniqueName="[Base_PJ_Inmobiliaria].[FECHA].[All]" allUniqueName="[Base_PJ_Inmobiliaria].[FECHA].[All]" dimensionUniqueName="[Base_PJ_Inmobiliaria]" displayFolder="" count="0" memberValueDatatype="7" unbalanced="0"/>
    <cacheHierarchy uniqueName="[Base_PJ_Inmobiliaria].[Importe]" caption="Importe" attribute="1" defaultMemberUniqueName="[Base_PJ_Inmobiliaria].[Importe].[All]" allUniqueName="[Base_PJ_Inmobiliaria].[Importe].[All]" dimensionUniqueName="[Base_PJ_Inmobiliaria]" displayFolder="" count="0" memberValueDatatype="5" unbalanced="0"/>
    <cacheHierarchy uniqueName="[Base_PJ_Inmobiliaria].[Metrica]" caption="Metrica" attribute="1" defaultMemberUniqueName="[Base_PJ_Inmobiliaria].[Metrica].[All]" allUniqueName="[Base_PJ_Inmobiliaria].[Metrica].[All]" dimensionUniqueName="[Base_PJ_Inmobiliaria]" displayFolder="" count="0" memberValueDatatype="130" unbalanced="0"/>
    <cacheHierarchy uniqueName="[Base_PJ_Inmobiliaria].[MONEDA]" caption="MONEDA" attribute="1" defaultMemberUniqueName="[Base_PJ_Inmobiliaria].[MONEDA].[All]" allUniqueName="[Base_PJ_Inmobiliaria].[MONEDA].[All]" dimensionUniqueName="[Base_PJ_Inmobiliaria]" displayFolder="" count="0" memberValueDatatype="130" unbalanced="0"/>
    <cacheHierarchy uniqueName="[Base_PJ_Inmobiliaria].[PERIODO]" caption="PERIODO" attribute="1" defaultMemberUniqueName="[Base_PJ_Inmobiliaria].[PERIODO].[All]" allUniqueName="[Base_PJ_Inmobiliaria].[PERIODO].[All]" dimensionUniqueName="[Base_PJ_Inmobiliaria]" displayFolder="" count="0" memberValueDatatype="130" unbalanced="0"/>
    <cacheHierarchy uniqueName="[Base_PJ_Inmobiliaria].[PRODUCTO]" caption="PRODUCTO" attribute="1" defaultMemberUniqueName="[Base_PJ_Inmobiliaria].[PRODUCTO].[All]" allUniqueName="[Base_PJ_Inmobiliaria].[PRODUCTO].[All]" dimensionUniqueName="[Base_PJ_Inmobiliaria]" displayFolder="" count="0" memberValueDatatype="130" unbalanced="0"/>
    <cacheHierarchy uniqueName="[Base_PJ_Inmobiliaria].[SG3_GRUPO_SEGMENTO]" caption="SG3_GRUPO_SEGMENTO" attribute="1" defaultMemberUniqueName="[Base_PJ_Inmobiliaria].[SG3_GRUPO_SEGMENTO].[All]" allUniqueName="[Base_PJ_Inmobiliaria].[SG3_GRUPO_SEGMENTO].[All]" dimensionUniqueName="[Base_PJ_Inmobiliaria]" displayFolder="" count="0" memberValueDatatype="130" unbalanced="0"/>
    <cacheHierarchy uniqueName="[Base_PJ_Inmobiliaria].[SITUACION]" caption="SITUACION" attribute="1" defaultMemberUniqueName="[Base_PJ_Inmobiliaria].[SITUACION].[All]" allUniqueName="[Base_PJ_Inmobiliaria].[SITUACION].[All]" dimensionUniqueName="[Base_PJ_Inmobiliaria]" displayFolder="" count="0" memberValueDatatype="130" unbalanced="0"/>
    <cacheHierarchy uniqueName="[Base_PJ_Inmobiliaria].[Sub Producto]" caption="Sub Producto" attribute="1" defaultMemberUniqueName="[Base_PJ_Inmobiliaria].[Sub Producto].[All]" allUniqueName="[Base_PJ_Inmobiliaria].[Sub Producto].[All]" dimensionUniqueName="[Base_PJ_Inmobiliaria]" displayFolder="" count="0" memberValueDatatype="130" unbalanced="0"/>
    <cacheHierarchy uniqueName="[Base_PJ_Inmobiliaria].[TIPO_PRODUCTO]" caption="TIPO_PRODUCTO" attribute="1" defaultMemberUniqueName="[Base_PJ_Inmobiliaria].[TIPO_PRODUCTO].[All]" allUniqueName="[Base_PJ_Inmobiliaria].[TIPO_PRODUCTO].[All]" dimensionUniqueName="[Base_PJ_Inmobiliaria]" displayFolder="" count="0" memberValueDatatype="130" unbalanced="0"/>
    <cacheHierarchy uniqueName="[Base_PJ_Inmobiliaria].[Tipo_Valor]" caption="Tipo_Valor" attribute="1" defaultMemberUniqueName="[Base_PJ_Inmobiliaria].[Tipo_Valor].[All]" allUniqueName="[Base_PJ_Inmobiliaria].[Tipo_Valor].[All]" dimensionUniqueName="[Base_PJ_Inmobiliaria]" displayFolder="" count="0" memberValueDatatype="130" unbalanced="0"/>
    <cacheHierarchy uniqueName="[Base_PJ_Inmobiliaria].[VP]" caption="VP" attribute="1" defaultMemberUniqueName="[Base_PJ_Inmobiliaria].[VP].[All]" allUniqueName="[Base_PJ_Inmobiliaria].[VP].[All]" dimensionUniqueName="[Base_PJ_Inmobiliaria]" displayFolder="" count="0" memberValueDatatype="130" unbalanced="0"/>
    <cacheHierarchy uniqueName="[Base_PJ_Inmobiliaria_INOF].[FECHA]" caption="FECHA" attribute="1" time="1" defaultMemberUniqueName="[Base_PJ_Inmobiliaria_INOF].[FECHA].[All]" allUniqueName="[Base_PJ_Inmobiliaria_INOF].[FECHA].[All]" dimensionUniqueName="[Base_PJ_Inmobiliaria_INOF]" displayFolder="" count="0" memberValueDatatype="7" unbalanced="0"/>
    <cacheHierarchy uniqueName="[Base_PJ_Inmobiliaria_INOF].[Importe]" caption="Importe" attribute="1" defaultMemberUniqueName="[Base_PJ_Inmobiliaria_INOF].[Importe].[All]" allUniqueName="[Base_PJ_Inmobiliaria_INOF].[Importe].[All]" dimensionUniqueName="[Base_PJ_Inmobiliaria_INOF]" displayFolder="" count="0" memberValueDatatype="5" unbalanced="0"/>
    <cacheHierarchy uniqueName="[Base_PJ_Inmobiliaria_INOF].[Metrica]" caption="Metrica" attribute="1" defaultMemberUniqueName="[Base_PJ_Inmobiliaria_INOF].[Metrica].[All]" allUniqueName="[Base_PJ_Inmobiliaria_INOF].[Metrica].[All]" dimensionUniqueName="[Base_PJ_Inmobiliaria_INOF]" displayFolder="" count="0" memberValueDatatype="130" unbalanced="0"/>
    <cacheHierarchy uniqueName="[Base_PJ_Inmobiliaria_INOF].[MONEDA]" caption="MONEDA" attribute="1" defaultMemberUniqueName="[Base_PJ_Inmobiliaria_INOF].[MONEDA].[All]" allUniqueName="[Base_PJ_Inmobiliaria_INOF].[MONEDA].[All]" dimensionUniqueName="[Base_PJ_Inmobiliaria_INOF]" displayFolder="" count="0" memberValueDatatype="130" unbalanced="0"/>
    <cacheHierarchy uniqueName="[Base_PJ_Inmobiliaria_INOF].[PERIODO]" caption="PERIODO" attribute="1" defaultMemberUniqueName="[Base_PJ_Inmobiliaria_INOF].[PERIODO].[All]" allUniqueName="[Base_PJ_Inmobiliaria_INOF].[PERIODO].[All]" dimensionUniqueName="[Base_PJ_Inmobiliaria_INOF]" displayFolder="" count="0" memberValueDatatype="130" unbalanced="0"/>
    <cacheHierarchy uniqueName="[Base_PJ_Inmobiliaria_INOF].[PRODUCTO]" caption="PRODUCTO" attribute="1" defaultMemberUniqueName="[Base_PJ_Inmobiliaria_INOF].[PRODUCTO].[All]" allUniqueName="[Base_PJ_Inmobiliaria_INOF].[PRODUCTO].[All]" dimensionUniqueName="[Base_PJ_Inmobiliaria_INOF]" displayFolder="" count="0" memberValueDatatype="130" unbalanced="0"/>
    <cacheHierarchy uniqueName="[Base_PJ_Inmobiliaria_INOF].[SITUACION]" caption="SITUACION" attribute="1" defaultMemberUniqueName="[Base_PJ_Inmobiliaria_INOF].[SITUACION].[All]" allUniqueName="[Base_PJ_Inmobiliaria_INOF].[SITUACION].[All]" dimensionUniqueName="[Base_PJ_Inmobiliaria_INOF]" displayFolder="" count="0" memberValueDatatype="130" unbalanced="0"/>
    <cacheHierarchy uniqueName="[Base_PJ_Inmobiliaria_INOF].[Sub Producto]" caption="Sub Producto" attribute="1" defaultMemberUniqueName="[Base_PJ_Inmobiliaria_INOF].[Sub Producto].[All]" allUniqueName="[Base_PJ_Inmobiliaria_INOF].[Sub Producto].[All]" dimensionUniqueName="[Base_PJ_Inmobiliaria_INOF]" displayFolder="" count="0" memberValueDatatype="130" unbalanced="0"/>
    <cacheHierarchy uniqueName="[Base_PJ_Inmobiliaria_INOF].[TIPO_PRODUCTO]" caption="TIPO_PRODUCTO" attribute="1" defaultMemberUniqueName="[Base_PJ_Inmobiliaria_INOF].[TIPO_PRODUCTO].[All]" allUniqueName="[Base_PJ_Inmobiliaria_INOF].[TIPO_PRODUCTO].[All]" dimensionUniqueName="[Base_PJ_Inmobiliaria_INOF]" displayFolder="" count="0" memberValueDatatype="130" unbalanced="0"/>
    <cacheHierarchy uniqueName="[Base_PJ_Inmobiliaria_INOF].[Tipo_Valor]" caption="Tipo_Valor" attribute="1" defaultMemberUniqueName="[Base_PJ_Inmobiliaria_INOF].[Tipo_Valor].[All]" allUniqueName="[Base_PJ_Inmobiliaria_INOF].[Tipo_Valor].[All]" dimensionUniqueName="[Base_PJ_Inmobiliaria_INOF]" displayFolder="" count="0" memberValueDatatype="130" unbalanced="0"/>
    <cacheHierarchy uniqueName="[Base_PJ_Inmobiliaria_INOF].[VP]" caption="VP" attribute="1" defaultMemberUniqueName="[Base_PJ_Inmobiliaria_INOF].[VP].[All]" allUniqueName="[Base_PJ_Inmobiliaria_INOF].[VP].[All]" dimensionUniqueName="[Base_PJ_Inmobiliaria_INOF]" displayFolder="" count="0" memberValueDatatype="130" unbalanced="0"/>
    <cacheHierarchy uniqueName="[Calendario].[AñoMes]" caption="AñoMes" attribute="1" defaultMemberUniqueName="[Calendario].[AñoMes].[All]" allUniqueName="[Calendario].[AñoMes].[All]" dimensionUniqueName="[Calendario]" displayFolder="" count="2" memberValueDatatype="130" unbalanced="0">
      <fieldsUsage count="2">
        <fieldUsage x="-1"/>
        <fieldUsage x="0"/>
      </fieldsUsage>
    </cacheHierarchy>
    <cacheHierarchy uniqueName="[Calendario].[Date]" caption="Date" attribute="1" time="1" defaultMemberUniqueName="[Calendario].[Date].[All]" allUniqueName="[Calendario].[Date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-yy]" caption="Mes-yy" attribute="1" defaultMemberUniqueName="[Calendario].[Mes-yy].[All]" allUniqueName="[Calendario].[Mes-yy].[All]" dimensionUniqueName="[Calendario]" displayFolder="" count="0" memberValueDatatype="130" unbalanced="0"/>
    <cacheHierarchy uniqueName="[Cuentas_INOF_Vehicular].[Cuenta_Contable]" caption="Cuenta_Contable" attribute="1" defaultMemberUniqueName="[Cuentas_INOF_Vehicular].[Cuenta_Contable].[All]" allUniqueName="[Cuentas_INOF_Vehicular].[Cuenta_Contable].[All]" dimensionUniqueName="[Cuentas_INOF_Vehicular]" displayFolder="" count="0" memberValueDatatype="130" unbalanced="0"/>
    <cacheHierarchy uniqueName="[Cuentas_INOF_Vehicular].[Fuente]" caption="Fuente" attribute="1" defaultMemberUniqueName="[Cuentas_INOF_Vehicular].[Fuente].[All]" allUniqueName="[Cuentas_INOF_Vehicular].[Fuente].[All]" dimensionUniqueName="[Cuentas_INOF_Vehicular]" displayFolder="" count="0" memberValueDatatype="130" unbalanced="0"/>
    <cacheHierarchy uniqueName="[Cuentas_INOF_Vehicular].[PRODUCTO]" caption="PRODUCTO" attribute="1" defaultMemberUniqueName="[Cuentas_INOF_Vehicular].[PRODUCTO].[All]" allUniqueName="[Cuentas_INOF_Vehicular].[PRODUCTO].[All]" dimensionUniqueName="[Cuentas_INOF_Vehicular]" displayFolder="" count="0" memberValueDatatype="130" unbalanced="0"/>
    <cacheHierarchy uniqueName="[Cuentas_INOF_Vehicular].[Sub Producto]" caption="Sub Producto" attribute="1" defaultMemberUniqueName="[Cuentas_INOF_Vehicular].[Sub Producto].[All]" allUniqueName="[Cuentas_INOF_Vehicular].[Sub Producto].[All]" dimensionUniqueName="[Cuentas_INOF_Vehicular]" displayFolder="" count="0" memberValueDatatype="130" unbalanced="0"/>
    <cacheHierarchy uniqueName="[Cuentas_INOF_Vehicular].[VP]" caption="VP" attribute="1" defaultMemberUniqueName="[Cuentas_INOF_Vehicular].[VP].[All]" allUniqueName="[Cuentas_INOF_Vehicular].[VP].[All]" dimensionUniqueName="[Cuentas_INOF_Vehicular]" displayFolder="" count="0" memberValueDatatype="130" unbalanced="0"/>
    <cacheHierarchy uniqueName="[EGyP_Consolidado_INOF_GARANTIAS].[Cuenta_Contable]" caption="Cuenta_Contable" attribute="1" defaultMemberUniqueName="[EGyP_Consolidado_INOF_GARANTIAS].[Cuenta_Contable].[All]" allUniqueName="[EGyP_Consolidado_INOF_GARANTIAS].[Cuenta_Contable].[All]" dimensionUniqueName="[EGyP_Consolidado_INOF_GARANTIAS]" displayFolder="" count="0" memberValueDatatype="130" unbalanced="0"/>
    <cacheHierarchy uniqueName="[EGyP_Consolidado_INOF_GARANTIAS].[Descripcion_Cta_Contable]" caption="Descripcion_Cta_Contable" attribute="1" defaultMemberUniqueName="[EGyP_Consolidado_INOF_GARANTIAS].[Descripcion_Cta_Contable].[All]" allUniqueName="[EGyP_Consolidado_INOF_GARANTIAS].[Descripcion_Cta_Contable].[All]" dimensionUniqueName="[EGyP_Consolidado_INOF_GARANTIAS]" displayFolder="" count="0" memberValueDatatype="130" unbalanced="0"/>
    <cacheHierarchy uniqueName="[EGyP_Consolidado_INOF_GARANTIAS].[Driver]" caption="Driver" attribute="1" defaultMemberUniqueName="[EGyP_Consolidado_INOF_GARANTIAS].[Driver].[All]" allUniqueName="[EGyP_Consolidado_INOF_GARANTIAS].[Driver].[All]" dimensionUniqueName="[EGyP_Consolidado_INOF_GARANTIAS]" displayFolder="" count="0" memberValueDatatype="5" unbalanced="0"/>
    <cacheHierarchy uniqueName="[EGyP_Consolidado_INOF_GARANTIAS].[FECHA]" caption="FECHA" attribute="1" time="1" defaultMemberUniqueName="[EGyP_Consolidado_INOF_GARANTIAS].[FECHA].[All]" allUniqueName="[EGyP_Consolidado_INOF_GARANTIAS].[FECHA].[All]" dimensionUniqueName="[EGyP_Consolidado_INOF_GARANTIAS]" displayFolder="" count="0" memberValueDatatype="7" unbalanced="0"/>
    <cacheHierarchy uniqueName="[EGyP_Consolidado_INOF_GARANTIAS].[Fuente]" caption="Fuente" attribute="1" defaultMemberUniqueName="[EGyP_Consolidado_INOF_GARANTIAS].[Fuente].[All]" allUniqueName="[EGyP_Consolidado_INOF_GARANTIAS].[Fuente].[All]" dimensionUniqueName="[EGyP_Consolidado_INOF_GARANTIAS]" displayFolder="" count="0" memberValueDatatype="130" unbalanced="0"/>
    <cacheHierarchy uniqueName="[EGyP_Consolidado_INOF_GARANTIAS].[Importe]" caption="Importe" attribute="1" defaultMemberUniqueName="[EGyP_Consolidado_INOF_GARANTIAS].[Importe].[All]" allUniqueName="[EGyP_Consolidado_INOF_GARANTIAS].[Importe].[All]" dimensionUniqueName="[EGyP_Consolidado_INOF_GARANTIAS]" displayFolder="" count="0" memberValueDatatype="5" unbalanced="0"/>
    <cacheHierarchy uniqueName="[EGyP_Consolidado_INOF_GARANTIAS].[Importe_Original]" caption="Importe_Original" attribute="1" defaultMemberUniqueName="[EGyP_Consolidado_INOF_GARANTIAS].[Importe_Original].[All]" allUniqueName="[EGyP_Consolidado_INOF_GARANTIAS].[Importe_Original].[All]" dimensionUniqueName="[EGyP_Consolidado_INOF_GARANTIAS]" displayFolder="" count="0" memberValueDatatype="5" unbalanced="0"/>
    <cacheHierarchy uniqueName="[EGyP_Consolidado_INOF_GARANTIAS].[Metrica]" caption="Metrica" attribute="1" defaultMemberUniqueName="[EGyP_Consolidado_INOF_GARANTIAS].[Metrica].[All]" allUniqueName="[EGyP_Consolidado_INOF_GARANTIAS].[Metrica].[All]" dimensionUniqueName="[EGyP_Consolidado_INOF_GARANTIAS]" displayFolder="" count="0" memberValueDatatype="130" unbalanced="0"/>
    <cacheHierarchy uniqueName="[EGyP_Consolidado_INOF_GARANTIAS].[PRODUCTO]" caption="PRODUCTO" attribute="1" defaultMemberUniqueName="[EGyP_Consolidado_INOF_GARANTIAS].[PRODUCTO].[All]" allUniqueName="[EGyP_Consolidado_INOF_GARANTIAS].[PRODUCTO].[All]" dimensionUniqueName="[EGyP_Consolidado_INOF_GARANTIAS]" displayFolder="" count="0" memberValueDatatype="130" unbalanced="0"/>
    <cacheHierarchy uniqueName="[EGyP_Consolidado_INOF_GARANTIAS].[SEGMENTO_DESCRIP]" caption="SEGMENTO_DESCRIP" attribute="1" defaultMemberUniqueName="[EGyP_Consolidado_INOF_GARANTIAS].[SEGMENTO_DESCRIP].[All]" allUniqueName="[EGyP_Consolidado_INOF_GARANTIAS].[SEGMENTO_DESCRIP].[All]" dimensionUniqueName="[EGyP_Consolidado_INOF_GARANTIAS]" displayFolder="" count="0" memberValueDatatype="130" unbalanced="0"/>
    <cacheHierarchy uniqueName="[EGyP_Consolidado_INOF_GARANTIAS].[SITUACION]" caption="SITUACION" attribute="1" defaultMemberUniqueName="[EGyP_Consolidado_INOF_GARANTIAS].[SITUACION].[All]" allUniqueName="[EGyP_Consolidado_INOF_GARANTIAS].[SITUACION].[All]" dimensionUniqueName="[EGyP_Consolidado_INOF_GARANTIAS]" displayFolder="" count="0" memberValueDatatype="130" unbalanced="0"/>
    <cacheHierarchy uniqueName="[EGyP_Consolidado_INOF_GARANTIAS].[Sub Producto]" caption="Sub Producto" attribute="1" defaultMemberUniqueName="[EGyP_Consolidado_INOF_GARANTIAS].[Sub Producto].[All]" allUniqueName="[EGyP_Consolidado_INOF_GARANTIAS].[Sub Producto].[All]" dimensionUniqueName="[EGyP_Consolidado_INOF_GARANTIAS]" displayFolder="" count="0" memberValueDatatype="130" unbalanced="0"/>
    <cacheHierarchy uniqueName="[EGyP_Consolidado_INOF_GARANTIAS].[Tipo_Valor]" caption="Tipo_Valor" attribute="1" defaultMemberUniqueName="[EGyP_Consolidado_INOF_GARANTIAS].[Tipo_Valor].[All]" allUniqueName="[EGyP_Consolidado_INOF_GARANTIAS].[Tipo_Valor].[All]" dimensionUniqueName="[EGyP_Consolidado_INOF_GARANTIAS]" displayFolder="" count="0" memberValueDatatype="130" unbalanced="0"/>
    <cacheHierarchy uniqueName="[EGyP_Consolidado_INOF_GARANTIAS].[VP]" caption="VP" attribute="1" defaultMemberUniqueName="[EGyP_Consolidado_INOF_GARANTIAS].[VP].[All]" allUniqueName="[EGyP_Consolidado_INOF_GARANTIAS].[VP].[All]" dimensionUniqueName="[EGyP_Consolidado_INOF_GARANTIAS]" displayFolder="" count="0" memberValueDatatype="130" unbalanced="0"/>
    <cacheHierarchy uniqueName="[DateTableTemplate_72f0a05c-07b2-47d1-a3b4-b7bc7dd6241b].[Año]" caption="Año" attribute="1" defaultMemberUniqueName="[DateTableTemplate_72f0a05c-07b2-47d1-a3b4-b7bc7dd6241b].[Año].[All]" allUniqueName="[DateTableTemplate_72f0a05c-07b2-47d1-a3b4-b7bc7dd6241b].[Año].[All]" dimensionUniqueName="[DateTableTemplate_72f0a05c-07b2-47d1-a3b4-b7bc7dd6241b]" displayFolder="" count="0" memberValueDatatype="20" unbalanced="0" hidden="1"/>
    <cacheHierarchy uniqueName="[DateTableTemplate_72f0a05c-07b2-47d1-a3b4-b7bc7dd6241b].[Date]" caption="Date" attribute="1" time="1" defaultMemberUniqueName="[DateTableTemplate_72f0a05c-07b2-47d1-a3b4-b7bc7dd6241b].[Date].[All]" allUniqueName="[DateTableTemplate_72f0a05c-07b2-47d1-a3b4-b7bc7dd6241b].[Date].[All]" dimensionUniqueName="[DateTableTemplate_72f0a05c-07b2-47d1-a3b4-b7bc7dd6241b]" displayFolder="" count="0" memberValueDatatype="7" unbalanced="0" hidden="1"/>
    <cacheHierarchy uniqueName="[DateTableTemplate_72f0a05c-07b2-47d1-a3b4-b7bc7dd6241b].[Día]" caption="Día" attribute="1" defaultMemberUniqueName="[DateTableTemplate_72f0a05c-07b2-47d1-a3b4-b7bc7dd6241b].[Día].[All]" allUniqueName="[DateTableTemplate_72f0a05c-07b2-47d1-a3b4-b7bc7dd6241b].[Día].[All]" dimensionUniqueName="[DateTableTemplate_72f0a05c-07b2-47d1-a3b4-b7bc7dd6241b]" displayFolder="" count="0" memberValueDatatype="20" unbalanced="0" hidden="1"/>
    <cacheHierarchy uniqueName="[DateTableTemplate_72f0a05c-07b2-47d1-a3b4-b7bc7dd6241b].[Jerarquía de fechas]" caption="Jerarquía de fechas" defaultMemberUniqueName="[DateTableTemplate_72f0a05c-07b2-47d1-a3b4-b7bc7dd6241b].[Jerarquía de fechas].[All]" allUniqueName="[DateTableTemplate_72f0a05c-07b2-47d1-a3b4-b7bc7dd6241b].[Jerarquía de fechas].[All]" dimensionUniqueName="[DateTableTemplate_72f0a05c-07b2-47d1-a3b4-b7bc7dd6241b]" displayFolder="" count="0" unbalanced="0" hidden="1"/>
    <cacheHierarchy uniqueName="[DateTableTemplate_72f0a05c-07b2-47d1-a3b4-b7bc7dd6241b].[Mes]" caption="Mes" attribute="1" defaultMemberUniqueName="[DateTableTemplate_72f0a05c-07b2-47d1-a3b4-b7bc7dd6241b].[Mes].[All]" allUniqueName="[DateTableTemplate_72f0a05c-07b2-47d1-a3b4-b7bc7dd6241b].[Mes].[All]" dimensionUniqueName="[DateTableTemplate_72f0a05c-07b2-47d1-a3b4-b7bc7dd6241b]" displayFolder="" count="0" memberValueDatatype="130" unbalanced="0" hidden="1"/>
    <cacheHierarchy uniqueName="[DateTableTemplate_72f0a05c-07b2-47d1-a3b4-b7bc7dd6241b].[NroMes]" caption="NroMes" attribute="1" defaultMemberUniqueName="[DateTableTemplate_72f0a05c-07b2-47d1-a3b4-b7bc7dd6241b].[NroMes].[All]" allUniqueName="[DateTableTemplate_72f0a05c-07b2-47d1-a3b4-b7bc7dd6241b].[NroMes].[All]" dimensionUniqueName="[DateTableTemplate_72f0a05c-07b2-47d1-a3b4-b7bc7dd6241b]" displayFolder="" count="0" memberValueDatatype="20" unbalanced="0" hidden="1"/>
    <cacheHierarchy uniqueName="[DateTableTemplate_72f0a05c-07b2-47d1-a3b4-b7bc7dd6241b].[NroTrimestre]" caption="NroTrimestre" attribute="1" defaultMemberUniqueName="[DateTableTemplate_72f0a05c-07b2-47d1-a3b4-b7bc7dd6241b].[NroTrimestre].[All]" allUniqueName="[DateTableTemplate_72f0a05c-07b2-47d1-a3b4-b7bc7dd6241b].[NroTrimestre].[All]" dimensionUniqueName="[DateTableTemplate_72f0a05c-07b2-47d1-a3b4-b7bc7dd6241b]" displayFolder="" count="0" memberValueDatatype="20" unbalanced="0" hidden="1"/>
    <cacheHierarchy uniqueName="[DateTableTemplate_72f0a05c-07b2-47d1-a3b4-b7bc7dd6241b].[Trimestre]" caption="Trimestre" attribute="1" defaultMemberUniqueName="[DateTableTemplate_72f0a05c-07b2-47d1-a3b4-b7bc7dd6241b].[Trimestre].[All]" allUniqueName="[DateTableTemplate_72f0a05c-07b2-47d1-a3b4-b7bc7dd6241b].[Trimestre].[All]" dimensionUniqueName="[DateTableTemplate_72f0a05c-07b2-47d1-a3b4-b7bc7dd6241b]" displayFolder="" count="0" memberValueDatatype="130" unbalanced="0" hidden="1"/>
    <cacheHierarchy uniqueName="[LocalDateTable_2a6e7bd2-0c34-420f-a738-8eda02a7b610].[Año]" caption="Año" attribute="1" defaultMemberUniqueName="[LocalDateTable_2a6e7bd2-0c34-420f-a738-8eda02a7b610].[Año].[All]" allUniqueName="[LocalDateTable_2a6e7bd2-0c34-420f-a738-8eda02a7b610].[Año].[All]" dimensionUniqueName="[LocalDateTable_2a6e7bd2-0c34-420f-a738-8eda02a7b610]" displayFolder="" count="0" memberValueDatatype="20" unbalanced="0" hidden="1"/>
    <cacheHierarchy uniqueName="[LocalDateTable_2a6e7bd2-0c34-420f-a738-8eda02a7b610].[Date]" caption="Date" attribute="1" time="1" defaultMemberUniqueName="[LocalDateTable_2a6e7bd2-0c34-420f-a738-8eda02a7b610].[Date].[All]" allUniqueName="[LocalDateTable_2a6e7bd2-0c34-420f-a738-8eda02a7b610].[Date].[All]" dimensionUniqueName="[LocalDateTable_2a6e7bd2-0c34-420f-a738-8eda02a7b610]" displayFolder="" count="0" memberValueDatatype="7" unbalanced="0" hidden="1"/>
    <cacheHierarchy uniqueName="[LocalDateTable_2a6e7bd2-0c34-420f-a738-8eda02a7b610].[Día]" caption="Día" attribute="1" defaultMemberUniqueName="[LocalDateTable_2a6e7bd2-0c34-420f-a738-8eda02a7b610].[Día].[All]" allUniqueName="[LocalDateTable_2a6e7bd2-0c34-420f-a738-8eda02a7b610].[Día].[All]" dimensionUniqueName="[LocalDateTable_2a6e7bd2-0c34-420f-a738-8eda02a7b610]" displayFolder="" count="0" memberValueDatatype="20" unbalanced="0" hidden="1"/>
    <cacheHierarchy uniqueName="[LocalDateTable_2a6e7bd2-0c34-420f-a738-8eda02a7b610].[Jerarquía de fechas]" caption="Jerarquía de fechas" defaultMemberUniqueName="[LocalDateTable_2a6e7bd2-0c34-420f-a738-8eda02a7b610].[Jerarquía de fechas].[All]" allUniqueName="[LocalDateTable_2a6e7bd2-0c34-420f-a738-8eda02a7b610].[Jerarquía de fechas].[All]" dimensionUniqueName="[LocalDateTable_2a6e7bd2-0c34-420f-a738-8eda02a7b610]" displayFolder="" count="0" unbalanced="0" hidden="1"/>
    <cacheHierarchy uniqueName="[LocalDateTable_2a6e7bd2-0c34-420f-a738-8eda02a7b610].[Mes]" caption="Mes" attribute="1" defaultMemberUniqueName="[LocalDateTable_2a6e7bd2-0c34-420f-a738-8eda02a7b610].[Mes].[All]" allUniqueName="[LocalDateTable_2a6e7bd2-0c34-420f-a738-8eda02a7b610].[Mes].[All]" dimensionUniqueName="[LocalDateTable_2a6e7bd2-0c34-420f-a738-8eda02a7b610]" displayFolder="" count="0" memberValueDatatype="130" unbalanced="0" hidden="1"/>
    <cacheHierarchy uniqueName="[LocalDateTable_2a6e7bd2-0c34-420f-a738-8eda02a7b610].[NroMes]" caption="NroMes" attribute="1" defaultMemberUniqueName="[LocalDateTable_2a6e7bd2-0c34-420f-a738-8eda02a7b610].[NroMes].[All]" allUniqueName="[LocalDateTable_2a6e7bd2-0c34-420f-a738-8eda02a7b610].[NroMes].[All]" dimensionUniqueName="[LocalDateTable_2a6e7bd2-0c34-420f-a738-8eda02a7b610]" displayFolder="" count="0" memberValueDatatype="20" unbalanced="0" hidden="1"/>
    <cacheHierarchy uniqueName="[LocalDateTable_2a6e7bd2-0c34-420f-a738-8eda02a7b610].[NroTrimestre]" caption="NroTrimestre" attribute="1" defaultMemberUniqueName="[LocalDateTable_2a6e7bd2-0c34-420f-a738-8eda02a7b610].[NroTrimestre].[All]" allUniqueName="[LocalDateTable_2a6e7bd2-0c34-420f-a738-8eda02a7b610].[NroTrimestre].[All]" dimensionUniqueName="[LocalDateTable_2a6e7bd2-0c34-420f-a738-8eda02a7b610]" displayFolder="" count="0" memberValueDatatype="20" unbalanced="0" hidden="1"/>
    <cacheHierarchy uniqueName="[LocalDateTable_2a6e7bd2-0c34-420f-a738-8eda02a7b610].[Trimestre]" caption="Trimestre" attribute="1" defaultMemberUniqueName="[LocalDateTable_2a6e7bd2-0c34-420f-a738-8eda02a7b610].[Trimestre].[All]" allUniqueName="[LocalDateTable_2a6e7bd2-0c34-420f-a738-8eda02a7b610].[Trimestre].[All]" dimensionUniqueName="[LocalDateTable_2a6e7bd2-0c34-420f-a738-8eda02a7b610]" displayFolder="" count="0" memberValueDatatype="130" unbalanced="0" hidden="1"/>
    <cacheHierarchy uniqueName="[LocalDateTable_43a050e6-86be-40f5-952e-e2ada6730267].[Año]" caption="Año" attribute="1" defaultMemberUniqueName="[LocalDateTable_43a050e6-86be-40f5-952e-e2ada6730267].[Año].[All]" allUniqueName="[LocalDateTable_43a050e6-86be-40f5-952e-e2ada6730267].[Año].[All]" dimensionUniqueName="[LocalDateTable_43a050e6-86be-40f5-952e-e2ada6730267]" displayFolder="" count="0" memberValueDatatype="20" unbalanced="0" hidden="1"/>
    <cacheHierarchy uniqueName="[LocalDateTable_43a050e6-86be-40f5-952e-e2ada6730267].[Date]" caption="Date" attribute="1" time="1" defaultMemberUniqueName="[LocalDateTable_43a050e6-86be-40f5-952e-e2ada6730267].[Date].[All]" allUniqueName="[LocalDateTable_43a050e6-86be-40f5-952e-e2ada6730267].[Date].[All]" dimensionUniqueName="[LocalDateTable_43a050e6-86be-40f5-952e-e2ada6730267]" displayFolder="" count="0" memberValueDatatype="7" unbalanced="0" hidden="1"/>
    <cacheHierarchy uniqueName="[LocalDateTable_43a050e6-86be-40f5-952e-e2ada6730267].[Día]" caption="Día" attribute="1" defaultMemberUniqueName="[LocalDateTable_43a050e6-86be-40f5-952e-e2ada6730267].[Día].[All]" allUniqueName="[LocalDateTable_43a050e6-86be-40f5-952e-e2ada6730267].[Día].[All]" dimensionUniqueName="[LocalDateTable_43a050e6-86be-40f5-952e-e2ada6730267]" displayFolder="" count="0" memberValueDatatype="20" unbalanced="0" hidden="1"/>
    <cacheHierarchy uniqueName="[LocalDateTable_43a050e6-86be-40f5-952e-e2ada6730267].[Jerarquía de fechas]" caption="Jerarquía de fechas" defaultMemberUniqueName="[LocalDateTable_43a050e6-86be-40f5-952e-e2ada6730267].[Jerarquía de fechas].[All]" allUniqueName="[LocalDateTable_43a050e6-86be-40f5-952e-e2ada6730267].[Jerarquía de fechas].[All]" dimensionUniqueName="[LocalDateTable_43a050e6-86be-40f5-952e-e2ada6730267]" displayFolder="" count="0" unbalanced="0" hidden="1"/>
    <cacheHierarchy uniqueName="[LocalDateTable_43a050e6-86be-40f5-952e-e2ada6730267].[Mes]" caption="Mes" attribute="1" defaultMemberUniqueName="[LocalDateTable_43a050e6-86be-40f5-952e-e2ada6730267].[Mes].[All]" allUniqueName="[LocalDateTable_43a050e6-86be-40f5-952e-e2ada6730267].[Mes].[All]" dimensionUniqueName="[LocalDateTable_43a050e6-86be-40f5-952e-e2ada6730267]" displayFolder="" count="0" memberValueDatatype="130" unbalanced="0" hidden="1"/>
    <cacheHierarchy uniqueName="[LocalDateTable_43a050e6-86be-40f5-952e-e2ada6730267].[NroMes]" caption="NroMes" attribute="1" defaultMemberUniqueName="[LocalDateTable_43a050e6-86be-40f5-952e-e2ada6730267].[NroMes].[All]" allUniqueName="[LocalDateTable_43a050e6-86be-40f5-952e-e2ada6730267].[NroMes].[All]" dimensionUniqueName="[LocalDateTable_43a050e6-86be-40f5-952e-e2ada6730267]" displayFolder="" count="0" memberValueDatatype="20" unbalanced="0" hidden="1"/>
    <cacheHierarchy uniqueName="[LocalDateTable_43a050e6-86be-40f5-952e-e2ada6730267].[NroTrimestre]" caption="NroTrimestre" attribute="1" defaultMemberUniqueName="[LocalDateTable_43a050e6-86be-40f5-952e-e2ada6730267].[NroTrimestre].[All]" allUniqueName="[LocalDateTable_43a050e6-86be-40f5-952e-e2ada6730267].[NroTrimestre].[All]" dimensionUniqueName="[LocalDateTable_43a050e6-86be-40f5-952e-e2ada6730267]" displayFolder="" count="0" memberValueDatatype="20" unbalanced="0" hidden="1"/>
    <cacheHierarchy uniqueName="[LocalDateTable_43a050e6-86be-40f5-952e-e2ada6730267].[Trimestre]" caption="Trimestre" attribute="1" defaultMemberUniqueName="[LocalDateTable_43a050e6-86be-40f5-952e-e2ada6730267].[Trimestre].[All]" allUniqueName="[LocalDateTable_43a050e6-86be-40f5-952e-e2ada6730267].[Trimestre].[All]" dimensionUniqueName="[LocalDateTable_43a050e6-86be-40f5-952e-e2ada6730267]" displayFolder="" count="0" memberValueDatatype="130" unbalanced="0" hidden="1"/>
    <cacheHierarchy uniqueName="[LocalDateTable_56b3bae5-31f9-4935-91ee-2be8289cdc9a].[Año]" caption="Año" attribute="1" defaultMemberUniqueName="[LocalDateTable_56b3bae5-31f9-4935-91ee-2be8289cdc9a].[Año].[All]" allUniqueName="[LocalDateTable_56b3bae5-31f9-4935-91ee-2be8289cdc9a].[Año].[All]" dimensionUniqueName="[LocalDateTable_56b3bae5-31f9-4935-91ee-2be8289cdc9a]" displayFolder="" count="0" memberValueDatatype="20" unbalanced="0" hidden="1"/>
    <cacheHierarchy uniqueName="[LocalDateTable_56b3bae5-31f9-4935-91ee-2be8289cdc9a].[Date]" caption="Date" attribute="1" time="1" defaultMemberUniqueName="[LocalDateTable_56b3bae5-31f9-4935-91ee-2be8289cdc9a].[Date].[All]" allUniqueName="[LocalDateTable_56b3bae5-31f9-4935-91ee-2be8289cdc9a].[Date].[All]" dimensionUniqueName="[LocalDateTable_56b3bae5-31f9-4935-91ee-2be8289cdc9a]" displayFolder="" count="0" memberValueDatatype="7" unbalanced="0" hidden="1"/>
    <cacheHierarchy uniqueName="[LocalDateTable_56b3bae5-31f9-4935-91ee-2be8289cdc9a].[Día]" caption="Día" attribute="1" defaultMemberUniqueName="[LocalDateTable_56b3bae5-31f9-4935-91ee-2be8289cdc9a].[Día].[All]" allUniqueName="[LocalDateTable_56b3bae5-31f9-4935-91ee-2be8289cdc9a].[Día].[All]" dimensionUniqueName="[LocalDateTable_56b3bae5-31f9-4935-91ee-2be8289cdc9a]" displayFolder="" count="0" memberValueDatatype="20" unbalanced="0" hidden="1"/>
    <cacheHierarchy uniqueName="[LocalDateTable_56b3bae5-31f9-4935-91ee-2be8289cdc9a].[Jerarquía de fechas]" caption="Jerarquía de fechas" defaultMemberUniqueName="[LocalDateTable_56b3bae5-31f9-4935-91ee-2be8289cdc9a].[Jerarquía de fechas].[All]" allUniqueName="[LocalDateTable_56b3bae5-31f9-4935-91ee-2be8289cdc9a].[Jerarquía de fechas].[All]" dimensionUniqueName="[LocalDateTable_56b3bae5-31f9-4935-91ee-2be8289cdc9a]" displayFolder="" count="0" unbalanced="0" hidden="1"/>
    <cacheHierarchy uniqueName="[LocalDateTable_56b3bae5-31f9-4935-91ee-2be8289cdc9a].[Mes]" caption="Mes" attribute="1" defaultMemberUniqueName="[LocalDateTable_56b3bae5-31f9-4935-91ee-2be8289cdc9a].[Mes].[All]" allUniqueName="[LocalDateTable_56b3bae5-31f9-4935-91ee-2be8289cdc9a].[Mes].[All]" dimensionUniqueName="[LocalDateTable_56b3bae5-31f9-4935-91ee-2be8289cdc9a]" displayFolder="" count="0" memberValueDatatype="130" unbalanced="0" hidden="1"/>
    <cacheHierarchy uniqueName="[LocalDateTable_56b3bae5-31f9-4935-91ee-2be8289cdc9a].[NroMes]" caption="NroMes" attribute="1" defaultMemberUniqueName="[LocalDateTable_56b3bae5-31f9-4935-91ee-2be8289cdc9a].[NroMes].[All]" allUniqueName="[LocalDateTable_56b3bae5-31f9-4935-91ee-2be8289cdc9a].[NroMes].[All]" dimensionUniqueName="[LocalDateTable_56b3bae5-31f9-4935-91ee-2be8289cdc9a]" displayFolder="" count="0" memberValueDatatype="20" unbalanced="0" hidden="1"/>
    <cacheHierarchy uniqueName="[LocalDateTable_56b3bae5-31f9-4935-91ee-2be8289cdc9a].[NroTrimestre]" caption="NroTrimestre" attribute="1" defaultMemberUniqueName="[LocalDateTable_56b3bae5-31f9-4935-91ee-2be8289cdc9a].[NroTrimestre].[All]" allUniqueName="[LocalDateTable_56b3bae5-31f9-4935-91ee-2be8289cdc9a].[NroTrimestre].[All]" dimensionUniqueName="[LocalDateTable_56b3bae5-31f9-4935-91ee-2be8289cdc9a]" displayFolder="" count="0" memberValueDatatype="20" unbalanced="0" hidden="1"/>
    <cacheHierarchy uniqueName="[LocalDateTable_56b3bae5-31f9-4935-91ee-2be8289cdc9a].[Trimestre]" caption="Trimestre" attribute="1" defaultMemberUniqueName="[LocalDateTable_56b3bae5-31f9-4935-91ee-2be8289cdc9a].[Trimestre].[All]" allUniqueName="[LocalDateTable_56b3bae5-31f9-4935-91ee-2be8289cdc9a].[Trimestre].[All]" dimensionUniqueName="[LocalDateTable_56b3bae5-31f9-4935-91ee-2be8289cdc9a]" displayFolder="" count="0" memberValueDatatype="130" unbalanced="0" hidden="1"/>
    <cacheHierarchy uniqueName="[LocalDateTable_6751b8f4-599e-441c-84de-b28316bd8278].[Año]" caption="Año" attribute="1" defaultMemberUniqueName="[LocalDateTable_6751b8f4-599e-441c-84de-b28316bd8278].[Año].[All]" allUniqueName="[LocalDateTable_6751b8f4-599e-441c-84de-b28316bd8278].[Año].[All]" dimensionUniqueName="[LocalDateTable_6751b8f4-599e-441c-84de-b28316bd8278]" displayFolder="" count="0" memberValueDatatype="20" unbalanced="0" hidden="1"/>
    <cacheHierarchy uniqueName="[LocalDateTable_6751b8f4-599e-441c-84de-b28316bd8278].[Date]" caption="Date" attribute="1" time="1" defaultMemberUniqueName="[LocalDateTable_6751b8f4-599e-441c-84de-b28316bd8278].[Date].[All]" allUniqueName="[LocalDateTable_6751b8f4-599e-441c-84de-b28316bd8278].[Date].[All]" dimensionUniqueName="[LocalDateTable_6751b8f4-599e-441c-84de-b28316bd8278]" displayFolder="" count="0" memberValueDatatype="7" unbalanced="0" hidden="1"/>
    <cacheHierarchy uniqueName="[LocalDateTable_6751b8f4-599e-441c-84de-b28316bd8278].[Día]" caption="Día" attribute="1" defaultMemberUniqueName="[LocalDateTable_6751b8f4-599e-441c-84de-b28316bd8278].[Día].[All]" allUniqueName="[LocalDateTable_6751b8f4-599e-441c-84de-b28316bd8278].[Día].[All]" dimensionUniqueName="[LocalDateTable_6751b8f4-599e-441c-84de-b28316bd8278]" displayFolder="" count="0" memberValueDatatype="20" unbalanced="0" hidden="1"/>
    <cacheHierarchy uniqueName="[LocalDateTable_6751b8f4-599e-441c-84de-b28316bd8278].[Jerarquía de fechas]" caption="Jerarquía de fechas" defaultMemberUniqueName="[LocalDateTable_6751b8f4-599e-441c-84de-b28316bd8278].[Jerarquía de fechas].[All]" allUniqueName="[LocalDateTable_6751b8f4-599e-441c-84de-b28316bd8278].[Jerarquía de fechas].[All]" dimensionUniqueName="[LocalDateTable_6751b8f4-599e-441c-84de-b28316bd8278]" displayFolder="" count="0" unbalanced="0" hidden="1"/>
    <cacheHierarchy uniqueName="[LocalDateTable_6751b8f4-599e-441c-84de-b28316bd8278].[Mes]" caption="Mes" attribute="1" defaultMemberUniqueName="[LocalDateTable_6751b8f4-599e-441c-84de-b28316bd8278].[Mes].[All]" allUniqueName="[LocalDateTable_6751b8f4-599e-441c-84de-b28316bd8278].[Mes].[All]" dimensionUniqueName="[LocalDateTable_6751b8f4-599e-441c-84de-b28316bd8278]" displayFolder="" count="0" memberValueDatatype="130" unbalanced="0" hidden="1"/>
    <cacheHierarchy uniqueName="[LocalDateTable_6751b8f4-599e-441c-84de-b28316bd8278].[NroMes]" caption="NroMes" attribute="1" defaultMemberUniqueName="[LocalDateTable_6751b8f4-599e-441c-84de-b28316bd8278].[NroMes].[All]" allUniqueName="[LocalDateTable_6751b8f4-599e-441c-84de-b28316bd8278].[NroMes].[All]" dimensionUniqueName="[LocalDateTable_6751b8f4-599e-441c-84de-b28316bd8278]" displayFolder="" count="0" memberValueDatatype="20" unbalanced="0" hidden="1"/>
    <cacheHierarchy uniqueName="[LocalDateTable_6751b8f4-599e-441c-84de-b28316bd8278].[NroTrimestre]" caption="NroTrimestre" attribute="1" defaultMemberUniqueName="[LocalDateTable_6751b8f4-599e-441c-84de-b28316bd8278].[NroTrimestre].[All]" allUniqueName="[LocalDateTable_6751b8f4-599e-441c-84de-b28316bd8278].[NroTrimestre].[All]" dimensionUniqueName="[LocalDateTable_6751b8f4-599e-441c-84de-b28316bd8278]" displayFolder="" count="0" memberValueDatatype="20" unbalanced="0" hidden="1"/>
    <cacheHierarchy uniqueName="[LocalDateTable_6751b8f4-599e-441c-84de-b28316bd8278].[Trimestre]" caption="Trimestre" attribute="1" defaultMemberUniqueName="[LocalDateTable_6751b8f4-599e-441c-84de-b28316bd8278].[Trimestre].[All]" allUniqueName="[LocalDateTable_6751b8f4-599e-441c-84de-b28316bd8278].[Trimestre].[All]" dimensionUniqueName="[LocalDateTable_6751b8f4-599e-441c-84de-b28316bd8278]" displayFolder="" count="0" memberValueDatatype="130" unbalanced="0" hidden="1"/>
    <cacheHierarchy uniqueName="[LocalDateTable_95fc77b1-0b61-482a-8be4-a0215fb0eb6b].[Año]" caption="Año" attribute="1" defaultMemberUniqueName="[LocalDateTable_95fc77b1-0b61-482a-8be4-a0215fb0eb6b].[Año].[All]" allUniqueName="[LocalDateTable_95fc77b1-0b61-482a-8be4-a0215fb0eb6b].[Año].[All]" dimensionUniqueName="[LocalDateTable_95fc77b1-0b61-482a-8be4-a0215fb0eb6b]" displayFolder="" count="0" memberValueDatatype="20" unbalanced="0" hidden="1"/>
    <cacheHierarchy uniqueName="[LocalDateTable_95fc77b1-0b61-482a-8be4-a0215fb0eb6b].[Date]" caption="Date" attribute="1" time="1" defaultMemberUniqueName="[LocalDateTable_95fc77b1-0b61-482a-8be4-a0215fb0eb6b].[Date].[All]" allUniqueName="[LocalDateTable_95fc77b1-0b61-482a-8be4-a0215fb0eb6b].[Date].[All]" dimensionUniqueName="[LocalDateTable_95fc77b1-0b61-482a-8be4-a0215fb0eb6b]" displayFolder="" count="0" memberValueDatatype="7" unbalanced="0" hidden="1"/>
    <cacheHierarchy uniqueName="[LocalDateTable_95fc77b1-0b61-482a-8be4-a0215fb0eb6b].[Día]" caption="Día" attribute="1" defaultMemberUniqueName="[LocalDateTable_95fc77b1-0b61-482a-8be4-a0215fb0eb6b].[Día].[All]" allUniqueName="[LocalDateTable_95fc77b1-0b61-482a-8be4-a0215fb0eb6b].[Día].[All]" dimensionUniqueName="[LocalDateTable_95fc77b1-0b61-482a-8be4-a0215fb0eb6b]" displayFolder="" count="0" memberValueDatatype="20" unbalanced="0" hidden="1"/>
    <cacheHierarchy uniqueName="[LocalDateTable_95fc77b1-0b61-482a-8be4-a0215fb0eb6b].[Jerarquía de fechas]" caption="Jerarquía de fechas" defaultMemberUniqueName="[LocalDateTable_95fc77b1-0b61-482a-8be4-a0215fb0eb6b].[Jerarquía de fechas].[All]" allUniqueName="[LocalDateTable_95fc77b1-0b61-482a-8be4-a0215fb0eb6b].[Jerarquía de fechas].[All]" dimensionUniqueName="[LocalDateTable_95fc77b1-0b61-482a-8be4-a0215fb0eb6b]" displayFolder="" count="0" unbalanced="0" hidden="1"/>
    <cacheHierarchy uniqueName="[LocalDateTable_95fc77b1-0b61-482a-8be4-a0215fb0eb6b].[Mes]" caption="Mes" attribute="1" defaultMemberUniqueName="[LocalDateTable_95fc77b1-0b61-482a-8be4-a0215fb0eb6b].[Mes].[All]" allUniqueName="[LocalDateTable_95fc77b1-0b61-482a-8be4-a0215fb0eb6b].[Mes].[All]" dimensionUniqueName="[LocalDateTable_95fc77b1-0b61-482a-8be4-a0215fb0eb6b]" displayFolder="" count="0" memberValueDatatype="130" unbalanced="0" hidden="1"/>
    <cacheHierarchy uniqueName="[LocalDateTable_95fc77b1-0b61-482a-8be4-a0215fb0eb6b].[NroMes]" caption="NroMes" attribute="1" defaultMemberUniqueName="[LocalDateTable_95fc77b1-0b61-482a-8be4-a0215fb0eb6b].[NroMes].[All]" allUniqueName="[LocalDateTable_95fc77b1-0b61-482a-8be4-a0215fb0eb6b].[NroMes].[All]" dimensionUniqueName="[LocalDateTable_95fc77b1-0b61-482a-8be4-a0215fb0eb6b]" displayFolder="" count="0" memberValueDatatype="20" unbalanced="0" hidden="1"/>
    <cacheHierarchy uniqueName="[LocalDateTable_95fc77b1-0b61-482a-8be4-a0215fb0eb6b].[NroTrimestre]" caption="NroTrimestre" attribute="1" defaultMemberUniqueName="[LocalDateTable_95fc77b1-0b61-482a-8be4-a0215fb0eb6b].[NroTrimestre].[All]" allUniqueName="[LocalDateTable_95fc77b1-0b61-482a-8be4-a0215fb0eb6b].[NroTrimestre].[All]" dimensionUniqueName="[LocalDateTable_95fc77b1-0b61-482a-8be4-a0215fb0eb6b]" displayFolder="" count="0" memberValueDatatype="20" unbalanced="0" hidden="1"/>
    <cacheHierarchy uniqueName="[LocalDateTable_95fc77b1-0b61-482a-8be4-a0215fb0eb6b].[Trimestre]" caption="Trimestre" attribute="1" defaultMemberUniqueName="[LocalDateTable_95fc77b1-0b61-482a-8be4-a0215fb0eb6b].[Trimestre].[All]" allUniqueName="[LocalDateTable_95fc77b1-0b61-482a-8be4-a0215fb0eb6b].[Trimestre].[All]" dimensionUniqueName="[LocalDateTable_95fc77b1-0b61-482a-8be4-a0215fb0eb6b]" displayFolder="" count="0" memberValueDatatype="130" unbalanced="0" hidden="1"/>
    <cacheHierarchy uniqueName="[Measures].[__Default measure]" caption="__Default measure" measure="1" displayFolder="" count="0" hidden="1"/>
    <cacheHierarchy uniqueName="Unsupported0" caption="FECHA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8">
    <dimension name="Anexar1" uniqueName="[Anexar1]" caption="Anexar1"/>
    <dimension name="Base" uniqueName="[Base]" caption="Base"/>
    <dimension name="Base_PJ_Inmobiliaria" uniqueName="[Base_PJ_Inmobiliaria]" caption="Base_PJ_Inmobiliaria"/>
    <dimension name="Base_PJ_Inmobiliaria_INOF" uniqueName="[Base_PJ_Inmobiliaria_INOF]" caption="Base_PJ_Inmobiliaria_INOF"/>
    <dimension name="Calendario" uniqueName="[Calendario]" caption="Calendario"/>
    <dimension name="Cuentas_INOF_Vehicular" uniqueName="[Cuentas_INOF_Vehicular]" caption="Cuentas_INOF_Vehicular"/>
    <dimension name="EGyP_Consolidado_INOF_GARANTIAS" uniqueName="[EGyP_Consolidado_INOF_GARANTIAS]" caption="EGyP_Consolidado_INOF_GARANTIAS"/>
    <dimension measure="1" name="Measures" uniqueName="[Measures]" caption="Measures"/>
  </dimensions>
  <measureGroups count="13">
    <measureGroup name="Anexar1" caption="Anexar1"/>
    <measureGroup name="Base" caption="Base"/>
    <measureGroup name="Base_PJ_Inmobiliaria" caption="Base_PJ_Inmobiliaria"/>
    <measureGroup name="Base_PJ_Inmobiliaria_INOF" caption="Base_PJ_Inmobiliaria_INOF"/>
    <measureGroup name="Calendario" caption="Calendario"/>
    <measureGroup name="Cuentas_INOF_Vehicular" caption="Cuentas_INOF_Vehicular"/>
    <measureGroup name="DateTableTemplate_72f0a05c-07b2-47d1-a3b4-b7bc7dd6241b" caption="DateTableTemplate_72f0a05c-07b2-47d1-a3b4-b7bc7dd6241b"/>
    <measureGroup name="EGyP_Consolidado_INOF_GARANTIAS" caption="EGyP_Consolidado_INOF_GARANTIAS"/>
    <measureGroup name="LocalDateTable_2a6e7bd2-0c34-420f-a738-8eda02a7b610" caption="LocalDateTable_2a6e7bd2-0c34-420f-a738-8eda02a7b610"/>
    <measureGroup name="LocalDateTable_43a050e6-86be-40f5-952e-e2ada6730267" caption="LocalDateTable_43a050e6-86be-40f5-952e-e2ada6730267"/>
    <measureGroup name="LocalDateTable_56b3bae5-31f9-4935-91ee-2be8289cdc9a" caption="LocalDateTable_56b3bae5-31f9-4935-91ee-2be8289cdc9a"/>
    <measureGroup name="LocalDateTable_6751b8f4-599e-441c-84de-b28316bd8278" caption="LocalDateTable_6751b8f4-599e-441c-84de-b28316bd8278"/>
    <measureGroup name="LocalDateTable_95fc77b1-0b61-482a-8be4-a0215fb0eb6b" caption="LocalDateTable_95fc77b1-0b61-482a-8be4-a0215fb0eb6b"/>
  </measureGroups>
  <maps count="9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5"/>
    <map measureGroup="7" dimension="5"/>
    <map measureGroup="7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68C22-D2B0-490D-A8C4-0EB85CF946A2}" name="BasesPerformance" cacheId="9" applyNumberFormats="0" applyBorderFormats="0" applyFontFormats="0" applyPatternFormats="0" applyAlignmentFormats="0" applyWidthHeightFormats="1" dataCaption="Valores" updatedVersion="8" minRefreshableVersion="3" subtotalHiddenItems="1" rowGrandTotals="0" colGrandTotals="0" itemPrintTitles="1" createdVersion="8" indent="0" outline="1" outlineData="1" multipleFieldFilters="0" fieldListSortAscending="1">
  <location ref="A5:AQ134" firstHeaderRow="1" firstDataRow="2" firstDataCol="1" rowPageCount="2" colPageCount="1"/>
  <pivotFields count="8">
    <pivotField axis="axisCol" allDrilled="1" showAll="0" dataSourceSort="1" defaultAttributeDrillState="1">
      <items count="4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t="default"/>
      </items>
    </pivotField>
    <pivotField axis="axisRow" allDrilled="1" showAll="0" defaultAttributeDrillState="1">
      <items count="11">
        <item s="1" x="8"/>
        <item s="1" x="9"/>
        <item s="1" x="4"/>
        <item s="1" x="1"/>
        <item s="1" x="2"/>
        <item s="1" x="6"/>
        <item s="1" x="5"/>
        <item s="1" x="3"/>
        <item s="1" x="0"/>
        <item s="1" x="7"/>
        <item t="default"/>
      </items>
    </pivotField>
    <pivotField axis="axisRow" allDrilled="1" showAll="0" defaultAttributeDrillState="1">
      <items count="5">
        <item x="3"/>
        <item x="1"/>
        <item x="0"/>
        <item x="2"/>
        <item t="default"/>
      </items>
    </pivotField>
    <pivotField axis="axisRow" allDrilled="1" showAll="0" defaultAttributeDrillState="1">
      <items count="15">
        <item x="4"/>
        <item x="2"/>
        <item x="3"/>
        <item x="5"/>
        <item x="12"/>
        <item x="6"/>
        <item x="7"/>
        <item x="8"/>
        <item x="9"/>
        <item x="10"/>
        <item x="13"/>
        <item x="0"/>
        <item x="11"/>
        <item x="1"/>
        <item t="default"/>
      </items>
    </pivotField>
    <pivotField allDrilled="1" showAll="0" dataSourceSort="1" defaultAttributeDrillState="1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3">
    <field x="1"/>
    <field x="2"/>
    <field x="3"/>
  </rowFields>
  <rowItems count="128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>
      <x v="4"/>
    </i>
    <i r="1">
      <x/>
    </i>
    <i r="2">
      <x v="3"/>
    </i>
    <i r="1">
      <x v="1"/>
    </i>
    <i r="2">
      <x v="3"/>
    </i>
    <i r="1">
      <x v="2"/>
    </i>
    <i r="2">
      <x v="3"/>
    </i>
    <i>
      <x v="5"/>
    </i>
    <i r="1">
      <x/>
    </i>
    <i r="2">
      <x v="4"/>
    </i>
    <i r="1">
      <x v="1"/>
    </i>
    <i r="2">
      <x v="4"/>
    </i>
    <i r="1">
      <x v="2"/>
    </i>
    <i r="2">
      <x v="4"/>
    </i>
    <i>
      <x v="6"/>
    </i>
    <i r="1">
      <x/>
    </i>
    <i r="2">
      <x v="8"/>
    </i>
    <i r="2">
      <x v="9"/>
    </i>
    <i r="2">
      <x v="12"/>
    </i>
    <i r="1">
      <x v="1"/>
    </i>
    <i r="2">
      <x v="8"/>
    </i>
    <i r="2">
      <x v="9"/>
    </i>
    <i r="2">
      <x v="12"/>
    </i>
    <i r="1">
      <x v="2"/>
    </i>
    <i r="2">
      <x v="8"/>
    </i>
    <i r="2">
      <x v="9"/>
    </i>
    <i r="2">
      <x v="12"/>
    </i>
    <i r="1">
      <x v="3"/>
    </i>
    <i r="2">
      <x v="12"/>
    </i>
    <i>
      <x v="7"/>
    </i>
    <i r="1">
      <x/>
    </i>
    <i r="2">
      <x v="5"/>
    </i>
    <i r="2">
      <x v="6"/>
    </i>
    <i r="2">
      <x v="7"/>
    </i>
    <i r="1">
      <x v="1"/>
    </i>
    <i r="2">
      <x v="5"/>
    </i>
    <i r="2">
      <x v="6"/>
    </i>
    <i r="2">
      <x v="7"/>
    </i>
    <i r="1">
      <x v="2"/>
    </i>
    <i r="2">
      <x v="5"/>
    </i>
    <i r="2">
      <x v="6"/>
    </i>
    <i r="2">
      <x v="7"/>
    </i>
    <i>
      <x v="8"/>
    </i>
    <i r="1">
      <x/>
    </i>
    <i r="2">
      <x v="11"/>
    </i>
    <i r="2">
      <x v="13"/>
    </i>
    <i r="1">
      <x v="1"/>
    </i>
    <i r="2">
      <x v="11"/>
    </i>
    <i r="2">
      <x v="13"/>
    </i>
    <i r="1">
      <x v="2"/>
    </i>
    <i r="2">
      <x v="11"/>
    </i>
    <i r="2">
      <x v="13"/>
    </i>
    <i r="1">
      <x v="3"/>
    </i>
    <i r="2">
      <x v="11"/>
    </i>
    <i r="2">
      <x v="13"/>
    </i>
    <i>
      <x v="9"/>
    </i>
    <i r="1">
      <x/>
    </i>
    <i r="2">
      <x v="10"/>
    </i>
    <i r="1">
      <x v="1"/>
    </i>
    <i r="2">
      <x v="10"/>
    </i>
    <i r="1">
      <x v="2"/>
    </i>
    <i r="2">
      <x v="10"/>
    </i>
    <i r="1">
      <x v="3"/>
    </i>
    <i r="2">
      <x v="10"/>
    </i>
  </rowItems>
  <colFields count="1">
    <field x="0"/>
  </colFields>
  <col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</colItems>
  <pageFields count="2">
    <pageField fld="5" hier="19" name="[Base].[PRODUCTO].&amp;[Convenios]" cap="Convenios"/>
    <pageField fld="6" hier="24" name="[Base].[Tipo_Valor].&amp;[Solarizado]" cap="Solarizado"/>
  </pageFields>
  <dataFields count="1">
    <dataField name="Suma de Importe" fld="7" baseField="0" baseItem="0" numFmtId="164">
      <extLst>
        <ext xmlns:xxpim="http://schemas.microsoft.com/office/spreadsheetml/2020/pivotNov2020" uri="{122EB659-6506-43C2-A71E-23821C81ECCF}">
          <xxpim:dataFieldFutureData version="7" sourceField="4"/>
        </ext>
      </extLst>
    </dataField>
  </dataFields>
  <formats count="1">
    <format dxfId="1">
      <pivotArea outline="0" collapsedLevelsAreSubtotals="1" fieldPosition="0"/>
    </format>
  </formats>
  <pivotHierarchies count="12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3">
    <rowHierarchyUsage hierarchyUsage="16"/>
    <rowHierarchyUsage hierarchyUsage="20"/>
    <rowHierarchyUsage hierarchyUsage="21"/>
  </rowHierarchiesUsage>
  <colHierarchiesUsage count="1">
    <colHierarchyUsage hierarchyUsage="4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2EF34-8876-4829-9D89-CE79BCB96B87}" name="DataSetPPTO26PPECONVVEH" cacheId="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fieldListSortAscending="1">
  <location ref="A5:N131" firstHeaderRow="1" firstDataRow="2" firstDataCol="1" rowPageCount="2" colPageCount="1"/>
  <pivotFields count="8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efaultSubtotal="0" defaultAttributeDrillState="1">
      <items count="10">
        <item x="8"/>
        <item x="9"/>
        <item x="4"/>
        <item x="1"/>
        <item x="2"/>
        <item x="6"/>
        <item x="5"/>
        <item x="3"/>
        <item x="7"/>
        <item x="0"/>
      </items>
    </pivotField>
    <pivotField axis="axisRow" allDrilled="1" subtotalTop="0" showAll="0" defaultSubtotal="0" defaultAttributeDrillState="1">
      <items count="3">
        <item x="2"/>
        <item x="0"/>
        <item x="1"/>
      </items>
    </pivotField>
    <pivotField axis="axisRow" allDrilled="1" subtotalTop="0" showAll="0" defaultSubtotal="0" defaultAttributeDrillState="1">
      <items count="19">
        <item x="3"/>
        <item x="1"/>
        <item x="2"/>
        <item x="0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3">
    <field x="3"/>
    <field x="4"/>
    <field x="5"/>
  </rowFields>
  <rowItems count="125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4"/>
    </i>
    <i r="1">
      <x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>
      <x v="5"/>
    </i>
    <i r="1">
      <x/>
    </i>
    <i r="2">
      <x v="17"/>
    </i>
    <i r="1">
      <x v="1"/>
    </i>
    <i r="2">
      <x v="17"/>
    </i>
    <i r="1">
      <x v="2"/>
    </i>
    <i r="2">
      <x v="17"/>
    </i>
    <i>
      <x v="6"/>
    </i>
    <i r="1">
      <x/>
    </i>
    <i r="2">
      <x v="14"/>
    </i>
    <i r="2">
      <x v="15"/>
    </i>
    <i r="2">
      <x v="16"/>
    </i>
    <i r="1">
      <x v="1"/>
    </i>
    <i r="2">
      <x v="14"/>
    </i>
    <i r="2">
      <x v="15"/>
    </i>
    <i r="2">
      <x v="16"/>
    </i>
    <i r="1">
      <x v="2"/>
    </i>
    <i r="2">
      <x v="14"/>
    </i>
    <i r="2">
      <x v="15"/>
    </i>
    <i r="2">
      <x v="16"/>
    </i>
    <i>
      <x v="7"/>
    </i>
    <i r="1">
      <x/>
    </i>
    <i r="2">
      <x v="11"/>
    </i>
    <i r="2">
      <x v="12"/>
    </i>
    <i r="2">
      <x v="13"/>
    </i>
    <i r="1">
      <x v="1"/>
    </i>
    <i r="2">
      <x v="11"/>
    </i>
    <i r="2">
      <x v="12"/>
    </i>
    <i r="2">
      <x v="13"/>
    </i>
    <i r="1">
      <x v="2"/>
    </i>
    <i r="2">
      <x v="11"/>
    </i>
    <i r="2">
      <x v="12"/>
    </i>
    <i r="2">
      <x v="13"/>
    </i>
    <i>
      <x v="8"/>
    </i>
    <i r="1">
      <x/>
    </i>
    <i r="2">
      <x v="18"/>
    </i>
    <i r="1">
      <x v="1"/>
    </i>
    <i r="2">
      <x v="18"/>
    </i>
    <i r="1">
      <x v="2"/>
    </i>
    <i r="2">
      <x v="18"/>
    </i>
    <i>
      <x v="9"/>
    </i>
    <i r="1">
      <x/>
    </i>
    <i r="2">
      <x v="3"/>
    </i>
    <i r="1">
      <x v="1"/>
    </i>
    <i r="2">
      <x v="3"/>
    </i>
    <i r="1">
      <x v="2"/>
    </i>
    <i r="2">
      <x v="3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2">
    <pageField fld="0" hier="4" name="[BASE_CONVE_PPTO].[PRODUCTO].&amp;[Convenios]" cap="Convenios"/>
    <pageField fld="1" hier="9" name="[BASE_CONVE_PPTO].[Tipo_Valor].&amp;[Solarizado]" cap="Solarizado"/>
  </pageFields>
  <dataFields count="1">
    <dataField name="Suma de Importe" fld="7" baseField="0" baseItem="0">
      <extLst>
        <ext xmlns:xxpim="http://schemas.microsoft.com/office/spreadsheetml/2020/pivotNov2020" uri="{122EB659-6506-43C2-A71E-23821C81ECCF}">
          <xxpim:dataFieldFutureData version="7" sourceField="6"/>
        </ext>
      </extLst>
    </dataField>
  </dataFields>
  <pivotHierarchies count="10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3">
    <rowHierarchyUsage hierarchyUsage="2"/>
    <rowHierarchyUsage hierarchyUsage="5"/>
    <rowHierarchyUsage hierarchyUsage="6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328BB5A-830E-4AC3-BCAE-FBCB47EFE111}">
  <we:reference id="wa200003696" version="1.2.0.0" store="es-ES" storeType="OMEX"/>
  <we:alternateReferences>
    <we:reference id="WA200003696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88CD-6088-4040-9C91-BA0F601FE0CF}">
  <sheetPr codeName="Hoja1"/>
  <dimension ref="B2:F17"/>
  <sheetViews>
    <sheetView workbookViewId="0">
      <selection activeCell="F10" sqref="F10"/>
    </sheetView>
  </sheetViews>
  <sheetFormatPr baseColWidth="10" defaultRowHeight="15" x14ac:dyDescent="0.25"/>
  <sheetData>
    <row r="2" spans="2:6" x14ac:dyDescent="0.25">
      <c r="B2" t="s">
        <v>3</v>
      </c>
      <c r="C2" t="s">
        <v>4</v>
      </c>
    </row>
    <row r="4" spans="2:6" x14ac:dyDescent="0.25">
      <c r="B4" t="s">
        <v>88</v>
      </c>
      <c r="C4">
        <v>2026</v>
      </c>
    </row>
    <row r="6" spans="2:6" x14ac:dyDescent="0.25">
      <c r="B6" t="s">
        <v>95</v>
      </c>
      <c r="C6" s="21">
        <f>EOMONTH(DATE($C$4,1,1),0)</f>
        <v>46053</v>
      </c>
      <c r="E6" t="s">
        <v>96</v>
      </c>
      <c r="F6" t="s">
        <v>97</v>
      </c>
    </row>
    <row r="7" spans="2:6" x14ac:dyDescent="0.25">
      <c r="C7" s="21">
        <f>EOMONTH(C6,1)</f>
        <v>46081</v>
      </c>
      <c r="F7" t="s">
        <v>47</v>
      </c>
    </row>
    <row r="8" spans="2:6" x14ac:dyDescent="0.25">
      <c r="C8" s="21">
        <f t="shared" ref="C8:C17" si="0">EOMONTH(C7,1)</f>
        <v>46112</v>
      </c>
      <c r="F8" t="s">
        <v>98</v>
      </c>
    </row>
    <row r="9" spans="2:6" x14ac:dyDescent="0.25">
      <c r="C9" s="21">
        <f t="shared" si="0"/>
        <v>46142</v>
      </c>
      <c r="F9" t="s">
        <v>99</v>
      </c>
    </row>
    <row r="10" spans="2:6" x14ac:dyDescent="0.25">
      <c r="C10" s="21">
        <f t="shared" si="0"/>
        <v>46173</v>
      </c>
    </row>
    <row r="11" spans="2:6" x14ac:dyDescent="0.25">
      <c r="C11" s="21">
        <f t="shared" si="0"/>
        <v>46203</v>
      </c>
    </row>
    <row r="12" spans="2:6" x14ac:dyDescent="0.25">
      <c r="C12" s="21">
        <f t="shared" si="0"/>
        <v>46234</v>
      </c>
    </row>
    <row r="13" spans="2:6" x14ac:dyDescent="0.25">
      <c r="C13" s="21">
        <f t="shared" si="0"/>
        <v>46265</v>
      </c>
    </row>
    <row r="14" spans="2:6" x14ac:dyDescent="0.25">
      <c r="C14" s="21">
        <f t="shared" si="0"/>
        <v>46295</v>
      </c>
    </row>
    <row r="15" spans="2:6" x14ac:dyDescent="0.25">
      <c r="C15" s="21">
        <f t="shared" si="0"/>
        <v>46326</v>
      </c>
    </row>
    <row r="16" spans="2:6" x14ac:dyDescent="0.25">
      <c r="C16" s="21">
        <f t="shared" si="0"/>
        <v>46356</v>
      </c>
    </row>
    <row r="17" spans="3:3" x14ac:dyDescent="0.25">
      <c r="C17" s="21">
        <f t="shared" si="0"/>
        <v>46387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010E-0CA9-49A7-A922-CCB5319D8036}">
  <sheetPr codeName="Hoja2">
    <tabColor rgb="FFFF0000"/>
  </sheetPr>
  <dimension ref="A1:CC102"/>
  <sheetViews>
    <sheetView showGridLines="0" zoomScale="70" zoomScaleNormal="70" workbookViewId="0">
      <pane xSplit="3" ySplit="6" topLeftCell="Z47" activePane="bottomRight" state="frozen"/>
      <selection activeCell="AO57" sqref="AO57"/>
      <selection pane="topRight" activeCell="AO57" sqref="AO57"/>
      <selection pane="bottomLeft" activeCell="AO57" sqref="AO57"/>
      <selection pane="bottomRight" activeCell="P94" sqref="P94:AA94"/>
    </sheetView>
  </sheetViews>
  <sheetFormatPr baseColWidth="10" defaultRowHeight="15" outlineLevelRow="1" outlineLevelCol="1" x14ac:dyDescent="0.25"/>
  <cols>
    <col min="1" max="1" width="7.140625" customWidth="1"/>
    <col min="2" max="2" width="6.28515625" customWidth="1"/>
    <col min="3" max="3" width="22.85546875" bestFit="1" customWidth="1"/>
    <col min="4" max="14" width="11.28515625" customWidth="1" outlineLevel="1"/>
    <col min="15" max="15" width="11.28515625" bestFit="1" customWidth="1"/>
    <col min="16" max="26" width="11.28515625" customWidth="1" outlineLevel="1"/>
    <col min="27" max="27" width="11.28515625" bestFit="1" customWidth="1"/>
    <col min="28" max="38" width="11.28515625" hidden="1" customWidth="1" outlineLevel="1"/>
    <col min="39" max="39" width="11.28515625" bestFit="1" customWidth="1" collapsed="1"/>
    <col min="40" max="40" width="11.28515625" bestFit="1" customWidth="1"/>
    <col min="41" max="41" width="10.5703125" customWidth="1"/>
    <col min="42" max="51" width="10.5703125" hidden="1" customWidth="1"/>
    <col min="52" max="63" width="10.5703125" customWidth="1"/>
  </cols>
  <sheetData>
    <row r="1" spans="1:81" ht="15.75" x14ac:dyDescent="0.25">
      <c r="D1" s="55" t="s">
        <v>92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6" t="s">
        <v>93</v>
      </c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O1" s="54" t="s">
        <v>89</v>
      </c>
      <c r="BP1" s="54"/>
      <c r="BQ1" s="54"/>
      <c r="BR1" s="54"/>
      <c r="BS1" s="54"/>
      <c r="BT1" s="54"/>
      <c r="BW1" s="54" t="s">
        <v>90</v>
      </c>
      <c r="BX1" s="54"/>
      <c r="BY1" s="54"/>
      <c r="BZ1" s="54"/>
      <c r="CA1" s="54"/>
      <c r="CB1" s="54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5">
        <f t="shared" ref="BO2:BT2" si="0">DATE(YEAR(BO6),1,1)</f>
        <v>46023</v>
      </c>
      <c r="BP2" s="25">
        <f t="shared" si="0"/>
        <v>46023</v>
      </c>
      <c r="BQ2" s="25">
        <f t="shared" si="0"/>
        <v>46023</v>
      </c>
      <c r="BR2" s="25">
        <f t="shared" si="0"/>
        <v>45658</v>
      </c>
      <c r="BS2" s="25">
        <f t="shared" si="0"/>
        <v>45292</v>
      </c>
      <c r="BT2" s="25">
        <f t="shared" si="0"/>
        <v>44927</v>
      </c>
    </row>
    <row r="3" spans="1:81" x14ac:dyDescent="0.25">
      <c r="C3" s="13" t="s">
        <v>61</v>
      </c>
      <c r="D3" s="12">
        <v>30</v>
      </c>
      <c r="E3" s="12">
        <v>30</v>
      </c>
      <c r="F3" s="12">
        <v>30</v>
      </c>
      <c r="G3" s="12">
        <v>30</v>
      </c>
      <c r="H3" s="12">
        <v>30</v>
      </c>
      <c r="I3" s="12">
        <v>30</v>
      </c>
      <c r="J3" s="12">
        <v>30</v>
      </c>
      <c r="K3" s="12">
        <v>30</v>
      </c>
      <c r="L3" s="12">
        <v>30</v>
      </c>
      <c r="M3" s="12">
        <v>30</v>
      </c>
      <c r="N3" s="12">
        <v>30</v>
      </c>
      <c r="O3" s="12">
        <v>30</v>
      </c>
      <c r="P3" s="12">
        <v>30</v>
      </c>
      <c r="Q3" s="12">
        <v>30</v>
      </c>
      <c r="R3" s="12">
        <v>30</v>
      </c>
      <c r="S3" s="12">
        <v>30</v>
      </c>
      <c r="T3" s="12">
        <v>30</v>
      </c>
      <c r="U3" s="12">
        <v>30</v>
      </c>
      <c r="V3" s="12">
        <v>30</v>
      </c>
      <c r="W3" s="12">
        <v>30</v>
      </c>
      <c r="X3" s="12">
        <v>30</v>
      </c>
      <c r="Y3" s="12">
        <v>30</v>
      </c>
      <c r="Z3" s="12">
        <v>30</v>
      </c>
      <c r="AA3" s="12">
        <v>30</v>
      </c>
      <c r="AB3" s="12">
        <v>30</v>
      </c>
      <c r="AC3" s="12">
        <v>30</v>
      </c>
      <c r="AD3" s="12">
        <v>30</v>
      </c>
      <c r="AE3" s="12">
        <v>30</v>
      </c>
      <c r="AF3" s="12">
        <v>30</v>
      </c>
      <c r="AG3" s="12">
        <v>30</v>
      </c>
      <c r="AH3" s="12">
        <v>30</v>
      </c>
      <c r="AI3" s="12">
        <v>30</v>
      </c>
      <c r="AJ3" s="12">
        <v>30</v>
      </c>
      <c r="AK3" s="12">
        <v>30</v>
      </c>
      <c r="AL3" s="12">
        <v>30</v>
      </c>
      <c r="AM3" s="12">
        <v>30</v>
      </c>
      <c r="AN3" s="12">
        <v>30</v>
      </c>
      <c r="AO3" s="12">
        <v>30</v>
      </c>
      <c r="AP3" s="12">
        <v>30</v>
      </c>
      <c r="AQ3" s="12">
        <v>30</v>
      </c>
      <c r="AR3" s="12">
        <v>30</v>
      </c>
      <c r="AS3" s="12">
        <v>30</v>
      </c>
      <c r="AT3" s="12">
        <v>30</v>
      </c>
      <c r="AU3" s="12">
        <v>30</v>
      </c>
      <c r="AV3" s="12">
        <v>30</v>
      </c>
      <c r="AW3" s="12">
        <v>30</v>
      </c>
      <c r="AX3" s="12">
        <v>30</v>
      </c>
      <c r="AY3" s="12">
        <v>30</v>
      </c>
      <c r="AZ3" s="12">
        <v>30</v>
      </c>
      <c r="BA3" s="12">
        <v>30</v>
      </c>
      <c r="BB3" s="12">
        <v>30</v>
      </c>
      <c r="BC3" s="12">
        <v>30</v>
      </c>
      <c r="BD3" s="12">
        <v>30</v>
      </c>
      <c r="BE3" s="12">
        <v>30</v>
      </c>
      <c r="BF3" s="12">
        <v>30</v>
      </c>
      <c r="BG3" s="12">
        <v>30</v>
      </c>
      <c r="BH3" s="12">
        <v>30</v>
      </c>
      <c r="BI3" s="12">
        <v>30</v>
      </c>
      <c r="BJ3" s="12">
        <v>30</v>
      </c>
      <c r="BK3" s="12">
        <v>30</v>
      </c>
      <c r="BO3" s="12">
        <f>AVERAGEIFS($D3:$BM3,$D$6:$BM$6,"&gt;="&amp;BO$2,$D$6:$BM$6,"&lt;="&amp;BO$6,$D$5:$BM$5,BO$5)</f>
        <v>30</v>
      </c>
      <c r="BP3" s="12">
        <f t="shared" ref="BP3:BT4" si="1">AVERAGEIFS($D3:$BM3,$D$6:$BM$6,"&gt;="&amp;BP$2,$D$6:$BM$6,"&lt;="&amp;BP$6,$D$5:$BM$5,BP$5)</f>
        <v>30</v>
      </c>
      <c r="BQ3" s="12">
        <f t="shared" si="1"/>
        <v>30</v>
      </c>
      <c r="BR3" s="12">
        <f t="shared" si="1"/>
        <v>30</v>
      </c>
      <c r="BS3" s="12">
        <f t="shared" si="1"/>
        <v>30</v>
      </c>
      <c r="BT3" s="12">
        <f t="shared" si="1"/>
        <v>30</v>
      </c>
    </row>
    <row r="4" spans="1:81" x14ac:dyDescent="0.25">
      <c r="C4" s="13" t="s">
        <v>62</v>
      </c>
      <c r="D4" s="12">
        <f>DAY(D6)</f>
        <v>31</v>
      </c>
      <c r="E4" s="12">
        <f t="shared" ref="E4:BK4" si="2">DAY(E6)</f>
        <v>28</v>
      </c>
      <c r="F4" s="12">
        <f t="shared" si="2"/>
        <v>31</v>
      </c>
      <c r="G4" s="12">
        <f t="shared" si="2"/>
        <v>30</v>
      </c>
      <c r="H4" s="12">
        <f t="shared" si="2"/>
        <v>31</v>
      </c>
      <c r="I4" s="12">
        <f t="shared" si="2"/>
        <v>30</v>
      </c>
      <c r="J4" s="12">
        <f t="shared" si="2"/>
        <v>31</v>
      </c>
      <c r="K4" s="12">
        <f t="shared" si="2"/>
        <v>31</v>
      </c>
      <c r="L4" s="12">
        <f t="shared" si="2"/>
        <v>30</v>
      </c>
      <c r="M4" s="12">
        <f t="shared" si="2"/>
        <v>31</v>
      </c>
      <c r="N4" s="12">
        <f t="shared" si="2"/>
        <v>30</v>
      </c>
      <c r="O4" s="12">
        <f t="shared" si="2"/>
        <v>31</v>
      </c>
      <c r="P4" s="12">
        <f t="shared" si="2"/>
        <v>31</v>
      </c>
      <c r="Q4" s="12">
        <f t="shared" si="2"/>
        <v>29</v>
      </c>
      <c r="R4" s="12">
        <f t="shared" si="2"/>
        <v>31</v>
      </c>
      <c r="S4" s="12">
        <f t="shared" si="2"/>
        <v>30</v>
      </c>
      <c r="T4" s="12">
        <f t="shared" si="2"/>
        <v>31</v>
      </c>
      <c r="U4" s="12">
        <f t="shared" si="2"/>
        <v>30</v>
      </c>
      <c r="V4" s="12">
        <f t="shared" si="2"/>
        <v>31</v>
      </c>
      <c r="W4" s="12">
        <f t="shared" si="2"/>
        <v>31</v>
      </c>
      <c r="X4" s="12">
        <f t="shared" si="2"/>
        <v>30</v>
      </c>
      <c r="Y4" s="12">
        <f t="shared" si="2"/>
        <v>31</v>
      </c>
      <c r="Z4" s="12">
        <f t="shared" si="2"/>
        <v>30</v>
      </c>
      <c r="AA4" s="12">
        <f t="shared" si="2"/>
        <v>31</v>
      </c>
      <c r="AB4" s="12">
        <f t="shared" si="2"/>
        <v>31</v>
      </c>
      <c r="AC4" s="12">
        <f t="shared" si="2"/>
        <v>28</v>
      </c>
      <c r="AD4" s="12">
        <f t="shared" si="2"/>
        <v>31</v>
      </c>
      <c r="AE4" s="12">
        <f t="shared" si="2"/>
        <v>30</v>
      </c>
      <c r="AF4" s="12">
        <f t="shared" si="2"/>
        <v>31</v>
      </c>
      <c r="AG4" s="12">
        <f t="shared" si="2"/>
        <v>30</v>
      </c>
      <c r="AH4" s="12">
        <f t="shared" si="2"/>
        <v>31</v>
      </c>
      <c r="AI4" s="12">
        <f t="shared" si="2"/>
        <v>31</v>
      </c>
      <c r="AJ4" s="12">
        <f t="shared" si="2"/>
        <v>30</v>
      </c>
      <c r="AK4" s="12">
        <f t="shared" si="2"/>
        <v>31</v>
      </c>
      <c r="AL4" s="12">
        <f t="shared" si="2"/>
        <v>30</v>
      </c>
      <c r="AM4" s="12">
        <f t="shared" si="2"/>
        <v>31</v>
      </c>
      <c r="AN4" s="12">
        <f t="shared" si="2"/>
        <v>31</v>
      </c>
      <c r="AO4" s="12">
        <f t="shared" si="2"/>
        <v>28</v>
      </c>
      <c r="AP4" s="12">
        <f t="shared" si="2"/>
        <v>31</v>
      </c>
      <c r="AQ4" s="12">
        <f t="shared" si="2"/>
        <v>30</v>
      </c>
      <c r="AR4" s="12">
        <f t="shared" si="2"/>
        <v>31</v>
      </c>
      <c r="AS4" s="12">
        <f t="shared" si="2"/>
        <v>30</v>
      </c>
      <c r="AT4" s="12">
        <f t="shared" si="2"/>
        <v>31</v>
      </c>
      <c r="AU4" s="12">
        <f t="shared" si="2"/>
        <v>31</v>
      </c>
      <c r="AV4" s="12">
        <f t="shared" si="2"/>
        <v>30</v>
      </c>
      <c r="AW4" s="12">
        <f t="shared" si="2"/>
        <v>31</v>
      </c>
      <c r="AX4" s="12">
        <f t="shared" si="2"/>
        <v>30</v>
      </c>
      <c r="AY4" s="12">
        <f t="shared" si="2"/>
        <v>31</v>
      </c>
      <c r="AZ4" s="12">
        <f t="shared" si="2"/>
        <v>31</v>
      </c>
      <c r="BA4" s="12">
        <f t="shared" si="2"/>
        <v>28</v>
      </c>
      <c r="BB4" s="12">
        <f t="shared" si="2"/>
        <v>31</v>
      </c>
      <c r="BC4" s="12">
        <f t="shared" si="2"/>
        <v>30</v>
      </c>
      <c r="BD4" s="12">
        <f t="shared" si="2"/>
        <v>31</v>
      </c>
      <c r="BE4" s="12">
        <f t="shared" si="2"/>
        <v>30</v>
      </c>
      <c r="BF4" s="12">
        <f t="shared" si="2"/>
        <v>31</v>
      </c>
      <c r="BG4" s="12">
        <f t="shared" si="2"/>
        <v>31</v>
      </c>
      <c r="BH4" s="12">
        <f t="shared" si="2"/>
        <v>30</v>
      </c>
      <c r="BI4" s="12">
        <f t="shared" si="2"/>
        <v>31</v>
      </c>
      <c r="BJ4" s="12">
        <f t="shared" si="2"/>
        <v>30</v>
      </c>
      <c r="BK4" s="12">
        <f t="shared" si="2"/>
        <v>31</v>
      </c>
      <c r="BO4" s="27">
        <f>AVERAGEIFS($D4:$BM4,$D$6:$BM$6,"&gt;="&amp;BO$2,$D$6:$BM$6,"&lt;="&amp;BO$6,$D$5:$BM$5,BO$5)</f>
        <v>30.2</v>
      </c>
      <c r="BP4" s="27">
        <f t="shared" si="1"/>
        <v>30.2</v>
      </c>
      <c r="BQ4" s="27">
        <f t="shared" si="1"/>
        <v>30</v>
      </c>
      <c r="BR4" s="27">
        <f t="shared" si="1"/>
        <v>30.2</v>
      </c>
      <c r="BS4" s="27">
        <f t="shared" si="1"/>
        <v>30.4</v>
      </c>
      <c r="BT4" s="27">
        <f t="shared" si="1"/>
        <v>30.2</v>
      </c>
    </row>
    <row r="5" spans="1:81" ht="15.75" thickBot="1" x14ac:dyDescent="0.3">
      <c r="C5" s="13" t="s">
        <v>85</v>
      </c>
      <c r="D5" s="12" t="s">
        <v>86</v>
      </c>
      <c r="E5" s="12" t="s">
        <v>86</v>
      </c>
      <c r="F5" s="12" t="s">
        <v>86</v>
      </c>
      <c r="G5" s="12" t="s">
        <v>86</v>
      </c>
      <c r="H5" s="12" t="s">
        <v>86</v>
      </c>
      <c r="I5" s="12" t="s">
        <v>86</v>
      </c>
      <c r="J5" s="12" t="s">
        <v>86</v>
      </c>
      <c r="K5" s="12" t="s">
        <v>86</v>
      </c>
      <c r="L5" s="12" t="s">
        <v>86</v>
      </c>
      <c r="M5" s="12" t="s">
        <v>86</v>
      </c>
      <c r="N5" s="12" t="s">
        <v>86</v>
      </c>
      <c r="O5" s="12" t="s">
        <v>86</v>
      </c>
      <c r="P5" s="12" t="s">
        <v>86</v>
      </c>
      <c r="Q5" s="12" t="s">
        <v>86</v>
      </c>
      <c r="R5" s="12" t="s">
        <v>86</v>
      </c>
      <c r="S5" s="12" t="s">
        <v>86</v>
      </c>
      <c r="T5" s="12" t="s">
        <v>86</v>
      </c>
      <c r="U5" s="12" t="s">
        <v>86</v>
      </c>
      <c r="V5" s="12" t="s">
        <v>86</v>
      </c>
      <c r="W5" s="12" t="s">
        <v>86</v>
      </c>
      <c r="X5" s="12" t="s">
        <v>86</v>
      </c>
      <c r="Y5" s="12" t="s">
        <v>86</v>
      </c>
      <c r="Z5" s="12" t="s">
        <v>86</v>
      </c>
      <c r="AA5" s="12" t="s">
        <v>86</v>
      </c>
      <c r="AB5" s="12" t="s">
        <v>86</v>
      </c>
      <c r="AC5" s="12" t="s">
        <v>86</v>
      </c>
      <c r="AD5" s="12" t="s">
        <v>86</v>
      </c>
      <c r="AE5" s="12" t="s">
        <v>86</v>
      </c>
      <c r="AF5" s="12" t="s">
        <v>86</v>
      </c>
      <c r="AG5" s="12" t="s">
        <v>86</v>
      </c>
      <c r="AH5" s="12" t="s">
        <v>86</v>
      </c>
      <c r="AI5" s="12" t="s">
        <v>86</v>
      </c>
      <c r="AJ5" s="12" t="s">
        <v>86</v>
      </c>
      <c r="AK5" s="12" t="s">
        <v>86</v>
      </c>
      <c r="AL5" s="12" t="s">
        <v>86</v>
      </c>
      <c r="AM5" s="12" t="s">
        <v>86</v>
      </c>
      <c r="AN5" s="12" t="s">
        <v>86</v>
      </c>
      <c r="AO5" s="12" t="s">
        <v>86</v>
      </c>
      <c r="AP5" s="12" t="s">
        <v>86</v>
      </c>
      <c r="AQ5" s="12" t="s">
        <v>86</v>
      </c>
      <c r="AR5" s="12" t="s">
        <v>86</v>
      </c>
      <c r="AS5" s="12" t="s">
        <v>86</v>
      </c>
      <c r="AT5" s="12" t="s">
        <v>86</v>
      </c>
      <c r="AU5" s="12" t="s">
        <v>86</v>
      </c>
      <c r="AV5" s="12" t="s">
        <v>86</v>
      </c>
      <c r="AW5" s="12" t="s">
        <v>86</v>
      </c>
      <c r="AX5" s="12" t="s">
        <v>86</v>
      </c>
      <c r="AY5" s="12" t="s">
        <v>86</v>
      </c>
      <c r="AZ5" s="12" t="s">
        <v>87</v>
      </c>
      <c r="BA5" s="12" t="s">
        <v>87</v>
      </c>
      <c r="BB5" s="12" t="s">
        <v>87</v>
      </c>
      <c r="BC5" s="12" t="s">
        <v>87</v>
      </c>
      <c r="BD5" s="12" t="s">
        <v>87</v>
      </c>
      <c r="BE5" s="12" t="s">
        <v>87</v>
      </c>
      <c r="BF5" s="12" t="s">
        <v>87</v>
      </c>
      <c r="BG5" s="12" t="s">
        <v>87</v>
      </c>
      <c r="BH5" s="12" t="s">
        <v>87</v>
      </c>
      <c r="BI5" s="12" t="s">
        <v>87</v>
      </c>
      <c r="BJ5" s="12" t="s">
        <v>87</v>
      </c>
      <c r="BK5" s="12" t="s">
        <v>87</v>
      </c>
      <c r="BO5" s="12" t="s">
        <v>86</v>
      </c>
      <c r="BP5" s="12" t="s">
        <v>87</v>
      </c>
      <c r="BQ5" s="12" t="s">
        <v>86</v>
      </c>
      <c r="BR5" s="12" t="s">
        <v>86</v>
      </c>
      <c r="BS5" s="12" t="s">
        <v>86</v>
      </c>
      <c r="BT5" s="12" t="s">
        <v>86</v>
      </c>
    </row>
    <row r="6" spans="1:81" ht="16.5" thickTop="1" thickBot="1" x14ac:dyDescent="0.3">
      <c r="C6" s="45" t="s">
        <v>91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30">
        <v>46053</v>
      </c>
      <c r="BA6" s="30">
        <v>46081</v>
      </c>
      <c r="BB6" s="30">
        <v>46112</v>
      </c>
      <c r="BC6" s="30">
        <v>46142</v>
      </c>
      <c r="BD6" s="30">
        <v>46173</v>
      </c>
      <c r="BE6" s="30">
        <v>46203</v>
      </c>
      <c r="BF6" s="30">
        <v>46234</v>
      </c>
      <c r="BG6" s="30">
        <v>46265</v>
      </c>
      <c r="BH6" s="30">
        <v>46295</v>
      </c>
      <c r="BI6" s="30">
        <v>46326</v>
      </c>
      <c r="BJ6" s="30">
        <v>46356</v>
      </c>
      <c r="BK6" s="30">
        <v>46387</v>
      </c>
      <c r="BO6" s="1">
        <f>Desempeño_Financiero!$B$1</f>
        <v>46173</v>
      </c>
      <c r="BP6" s="22">
        <f>BO6</f>
        <v>46173</v>
      </c>
      <c r="BQ6" s="1">
        <f>EOMONTH(BO6,-1)</f>
        <v>46142</v>
      </c>
      <c r="BR6" s="1">
        <f>EOMONTH(BO6,-12)</f>
        <v>45808</v>
      </c>
      <c r="BS6" s="1">
        <f>EOMONTH(BO6,-24)</f>
        <v>45443</v>
      </c>
      <c r="BT6" s="1">
        <f>EOMONTH(BO6,-36)</f>
        <v>45077</v>
      </c>
      <c r="BW6" s="1">
        <f>BO6</f>
        <v>46173</v>
      </c>
      <c r="BX6" s="22">
        <f t="shared" ref="BX6:CB6" si="3">BP6</f>
        <v>46173</v>
      </c>
      <c r="BY6" s="1">
        <f t="shared" si="3"/>
        <v>46142</v>
      </c>
      <c r="BZ6" s="1">
        <f t="shared" si="3"/>
        <v>45808</v>
      </c>
      <c r="CA6" s="1">
        <f t="shared" si="3"/>
        <v>45443</v>
      </c>
      <c r="CB6" s="1">
        <f t="shared" si="3"/>
        <v>45077</v>
      </c>
      <c r="CC6" s="26"/>
    </row>
    <row r="7" spans="1:81" ht="15.75" thickTop="1" x14ac:dyDescent="0.25"/>
    <row r="8" spans="1:81" hidden="1" outlineLevel="1" x14ac:dyDescent="0.25">
      <c r="A8" s="11" t="s">
        <v>51</v>
      </c>
      <c r="C8" s="2" t="s">
        <v>0</v>
      </c>
      <c r="D8" s="8">
        <f>Renta_Alta!D8+Masivo!D8+Consumo_Inicial!D8</f>
        <v>4679803.1926679993</v>
      </c>
      <c r="E8" s="8">
        <f>Renta_Alta!E8+Masivo!E8+Consumo_Inicial!E8</f>
        <v>4747839.51029626</v>
      </c>
      <c r="F8" s="8">
        <f>Renta_Alta!F8+Masivo!F8+Consumo_Inicial!F8</f>
        <v>4827253.4448342184</v>
      </c>
      <c r="G8" s="8">
        <f>Renta_Alta!G8+Masivo!G8+Consumo_Inicial!G8</f>
        <v>4875774.2369400002</v>
      </c>
      <c r="H8" s="8">
        <f>Renta_Alta!H8+Masivo!H8+Consumo_Inicial!H8</f>
        <v>4938856.9915799992</v>
      </c>
      <c r="I8" s="8">
        <f>Renta_Alta!I8+Masivo!I8+Consumo_Inicial!I8</f>
        <v>5002096.1883584</v>
      </c>
      <c r="J8" s="8">
        <f>Renta_Alta!J8+Masivo!J8+Consumo_Inicial!J8</f>
        <v>5048290.554400879</v>
      </c>
      <c r="K8" s="8">
        <f>Renta_Alta!K8+Masivo!K8+Consumo_Inicial!K8</f>
        <v>5124035.3717042496</v>
      </c>
      <c r="L8" s="8">
        <f>Renta_Alta!L8+Masivo!L8+Consumo_Inicial!L8</f>
        <v>5165836.7618669793</v>
      </c>
      <c r="M8" s="8">
        <f>Renta_Alta!M8+Masivo!M8+Consumo_Inicial!M8</f>
        <v>5228650.6869991813</v>
      </c>
      <c r="N8" s="8">
        <f>Renta_Alta!N8+Masivo!N8+Consumo_Inicial!N8</f>
        <v>5282256.7311444813</v>
      </c>
      <c r="O8" s="8">
        <f>Renta_Alta!O8+Masivo!O8+Consumo_Inicial!O8</f>
        <v>5299604.7755217198</v>
      </c>
      <c r="P8" s="8">
        <f>Renta_Alta!P8+Masivo!P8+Consumo_Inicial!P8</f>
        <v>5352731.4373059589</v>
      </c>
      <c r="Q8" s="8">
        <f>Renta_Alta!Q8+Masivo!Q8+Consumo_Inicial!Q8</f>
        <v>5419475.269933599</v>
      </c>
      <c r="R8" s="8">
        <f>Renta_Alta!R8+Masivo!R8+Consumo_Inicial!R8</f>
        <v>5490522.4316938194</v>
      </c>
      <c r="S8" s="8">
        <f>Renta_Alta!S8+Masivo!S8+Consumo_Inicial!S8</f>
        <v>5589309.4165944206</v>
      </c>
      <c r="T8" s="8">
        <f>Renta_Alta!T8+Masivo!T8+Consumo_Inicial!T8</f>
        <v>5684127.7979403995</v>
      </c>
      <c r="U8" s="8">
        <f>Renta_Alta!U8+Masivo!U8+Consumo_Inicial!U8</f>
        <v>5753537.6580814999</v>
      </c>
      <c r="V8" s="8">
        <f>Renta_Alta!V8+Masivo!V8+Consumo_Inicial!V8</f>
        <v>5829303.5352179995</v>
      </c>
      <c r="W8" s="8">
        <f>Renta_Alta!W8+Masivo!W8+Consumo_Inicial!W8</f>
        <v>5857154.1023949999</v>
      </c>
      <c r="X8" s="8">
        <f>Renta_Alta!X8+Masivo!X8+Consumo_Inicial!X8</f>
        <v>5860445.8688974008</v>
      </c>
      <c r="Y8" s="8">
        <f>Renta_Alta!Y8+Masivo!Y8+Consumo_Inicial!Y8</f>
        <v>5834791.4928762997</v>
      </c>
      <c r="Z8" s="8">
        <f>Renta_Alta!Z8+Masivo!Z8+Consumo_Inicial!Z8</f>
        <v>5762456.6062109713</v>
      </c>
      <c r="AA8" s="8">
        <f>Renta_Alta!AA8+Masivo!AA8+Consumo_Inicial!AA8</f>
        <v>5687884.0783591</v>
      </c>
      <c r="AB8" s="8">
        <f>Renta_Alta!AB8+Masivo!AB8+Consumo_Inicial!AB8</f>
        <v>5651870.8248346001</v>
      </c>
      <c r="AC8" s="8">
        <f>Renta_Alta!AC8+Masivo!AC8+Consumo_Inicial!AC8</f>
        <v>5637575.6434649006</v>
      </c>
      <c r="AD8" s="8">
        <f>Renta_Alta!AD8+Masivo!AD8+Consumo_Inicial!AD8</f>
        <v>5624212.892781999</v>
      </c>
      <c r="AE8" s="8">
        <f>Renta_Alta!AE8+Masivo!AE8+Consumo_Inicial!AE8</f>
        <v>5633559.3817173</v>
      </c>
      <c r="AF8" s="8">
        <f>Renta_Alta!AF8+Masivo!AF8+Consumo_Inicial!AF8</f>
        <v>5643386.6728008008</v>
      </c>
      <c r="AG8" s="8">
        <f>Renta_Alta!AG8+Masivo!AG8+Consumo_Inicial!AG8</f>
        <v>5656883.2053207001</v>
      </c>
      <c r="AH8" s="8">
        <f>Renta_Alta!AH8+Masivo!AH8+Consumo_Inicial!AH8</f>
        <v>5684037.16321389</v>
      </c>
      <c r="AI8" s="8">
        <f>Renta_Alta!AI8+Masivo!AI8+Consumo_Inicial!AI8</f>
        <v>5718222.9276032997</v>
      </c>
      <c r="AJ8" s="8">
        <f>Renta_Alta!AJ8+Masivo!AJ8+Consumo_Inicial!AJ8</f>
        <v>5727025.4689049004</v>
      </c>
      <c r="AK8" s="8">
        <f>Renta_Alta!AK8+Masivo!AK8+Consumo_Inicial!AK8</f>
        <v>5684365.6912551001</v>
      </c>
      <c r="AL8" s="8">
        <f>Renta_Alta!AL8+Masivo!AL8+Consumo_Inicial!AL8</f>
        <v>5634040.0453280993</v>
      </c>
      <c r="AM8" s="8">
        <f>Renta_Alta!AM8+Masivo!AM8+Consumo_Inicial!AM8</f>
        <v>5576888.3187645003</v>
      </c>
      <c r="AN8" s="8">
        <f>Renta_Alta!AN8+Masivo!AN8+Consumo_Inicial!AN8</f>
        <v>5553181.7700000005</v>
      </c>
      <c r="AO8" s="8">
        <f>Renta_Alta!AO8+Masivo!AO8+Consumo_Inicial!AO8</f>
        <v>5507831.3999999994</v>
      </c>
      <c r="AP8" s="8">
        <f>Renta_Alta!AP8+Masivo!AP8+Consumo_Inicial!AP8</f>
        <v>5525140.6600000001</v>
      </c>
      <c r="AQ8" s="8">
        <f>Renta_Alta!AQ8+Masivo!AQ8+Consumo_Inicial!AQ8</f>
        <v>5548588.6593402009</v>
      </c>
      <c r="AR8" s="8">
        <f>Renta_Alta!AR8+Masivo!AR8+Consumo_Inicial!AR8</f>
        <v>5562013.8986927401</v>
      </c>
      <c r="AS8" s="8">
        <f>Renta_Alta!AS8+Masivo!AS8+Consumo_Inicial!AS8</f>
        <v>5587942.2483483972</v>
      </c>
      <c r="AT8" s="8">
        <f>Renta_Alta!AT8+Masivo!AT8+Consumo_Inicial!AT8</f>
        <v>0</v>
      </c>
      <c r="AU8" s="8">
        <f>Renta_Alta!AU8+Masivo!AU8+Consumo_Inicial!AU8</f>
        <v>0</v>
      </c>
      <c r="AV8" s="8">
        <f>Renta_Alta!AV8+Masivo!AV8+Consumo_Inicial!AV8</f>
        <v>0</v>
      </c>
      <c r="AW8" s="8">
        <f>Renta_Alta!AW8+Masivo!AW8+Consumo_Inicial!AW8</f>
        <v>0</v>
      </c>
      <c r="AX8" s="8">
        <f>Renta_Alta!AX8+Masivo!AX8+Consumo_Inicial!AX8</f>
        <v>0</v>
      </c>
      <c r="AY8" s="8">
        <f>Renta_Alta!AY8+Masivo!AY8+Consumo_Inicial!AY8</f>
        <v>0</v>
      </c>
      <c r="AZ8" s="8">
        <f>Renta_Alta!AZ8+Masivo!AZ8+Consumo_Inicial!AZ8</f>
        <v>5798509.7906403476</v>
      </c>
      <c r="BA8" s="8">
        <f>Renta_Alta!BA8+Masivo!BA8+Consumo_Inicial!BA8</f>
        <v>5818932.7459382853</v>
      </c>
      <c r="BB8" s="8">
        <f>Renta_Alta!BB8+Masivo!BB8+Consumo_Inicial!BB8</f>
        <v>5855971.1270385375</v>
      </c>
      <c r="BC8" s="8">
        <f>Renta_Alta!BC8+Masivo!BC8+Consumo_Inicial!BC8</f>
        <v>5880030.8816588698</v>
      </c>
      <c r="BD8" s="8">
        <f>Renta_Alta!BD8+Masivo!BD8+Consumo_Inicial!BD8</f>
        <v>5902822.3118670015</v>
      </c>
      <c r="BE8" s="8">
        <f>Renta_Alta!BE8+Masivo!BE8+Consumo_Inicial!BE8</f>
        <v>5932942.4163366733</v>
      </c>
      <c r="BF8" s="8">
        <f>Renta_Alta!BF8+Masivo!BF8+Consumo_Inicial!BF8</f>
        <v>5963848.2104483405</v>
      </c>
      <c r="BG8" s="8">
        <f>Renta_Alta!BG8+Masivo!BG8+Consumo_Inicial!BG8</f>
        <v>5992236.5429284852</v>
      </c>
      <c r="BH8" s="8">
        <f>Renta_Alta!BH8+Masivo!BH8+Consumo_Inicial!BH8</f>
        <v>6032672.4666692521</v>
      </c>
      <c r="BI8" s="8">
        <f>Renta_Alta!BI8+Masivo!BI8+Consumo_Inicial!BI8</f>
        <v>6061741.509885422</v>
      </c>
      <c r="BJ8" s="8">
        <f>Renta_Alta!BJ8+Masivo!BJ8+Consumo_Inicial!BJ8</f>
        <v>6090173.9308673572</v>
      </c>
      <c r="BK8" s="8">
        <f>Renta_Alta!BK8+Masivo!BK8+Consumo_Inicial!BK8</f>
        <v>6111590.2049975134</v>
      </c>
      <c r="BO8" s="24">
        <f t="shared" ref="BO8:BO10" si="4">_xlfn.XLOOKUP(BO$6,$D$6:$BM$6,$D8:$BM8,,0,1)</f>
        <v>5562013.8986927401</v>
      </c>
      <c r="BP8" s="24">
        <f>_xlfn.XLOOKUP(BP$6,$D$6:$BM$6,$D8:$BM8,,0,-1)</f>
        <v>5902822.3118670015</v>
      </c>
      <c r="BQ8" s="24">
        <f t="shared" ref="BQ8:BT10" si="5">_xlfn.XLOOKUP(BQ$6,$D$6:$BM$6,$D8:$BM8,,0,1)</f>
        <v>5548588.6593402009</v>
      </c>
      <c r="BR8" s="24">
        <f t="shared" si="5"/>
        <v>5643386.6728008008</v>
      </c>
      <c r="BS8" s="24">
        <f t="shared" si="5"/>
        <v>5684127.7979403995</v>
      </c>
      <c r="BT8" s="24">
        <f t="shared" si="5"/>
        <v>4938856.9915799992</v>
      </c>
    </row>
    <row r="9" spans="1:81" hidden="1" outlineLevel="1" x14ac:dyDescent="0.25">
      <c r="A9" s="11" t="s">
        <v>51</v>
      </c>
      <c r="C9" s="2" t="s">
        <v>1</v>
      </c>
      <c r="D9" s="8">
        <f>Renta_Alta!D9+Masivo!D9+Consumo_Inicial!D9</f>
        <v>28879.687440000002</v>
      </c>
      <c r="E9" s="8">
        <f>Renta_Alta!E9+Masivo!E9+Consumo_Inicial!E9</f>
        <v>29227.26816</v>
      </c>
      <c r="F9" s="8">
        <f>Renta_Alta!F9+Masivo!F9+Consumo_Inicial!F9</f>
        <v>29811.0602</v>
      </c>
      <c r="G9" s="8">
        <f>Renta_Alta!G9+Masivo!G9+Consumo_Inicial!G9</f>
        <v>29204.002840000001</v>
      </c>
      <c r="H9" s="8">
        <f>Renta_Alta!H9+Masivo!H9+Consumo_Inicial!H9</f>
        <v>29479.237349999996</v>
      </c>
      <c r="I9" s="8">
        <f>Renta_Alta!I9+Masivo!I9+Consumo_Inicial!I9</f>
        <v>29701.681920000003</v>
      </c>
      <c r="J9" s="8">
        <f>Renta_Alta!J9+Masivo!J9+Consumo_Inicial!J9</f>
        <v>29449.713330000002</v>
      </c>
      <c r="K9" s="8">
        <f>Renta_Alta!K9+Masivo!K9+Consumo_Inicial!K9</f>
        <v>28793.92425</v>
      </c>
      <c r="L9" s="8">
        <f>Renta_Alta!L9+Masivo!L9+Consumo_Inicial!L9</f>
        <v>27932.407619999998</v>
      </c>
      <c r="M9" s="8">
        <f>Renta_Alta!M9+Masivo!M9+Consumo_Inicial!M9</f>
        <v>27350.856110000001</v>
      </c>
      <c r="N9" s="8">
        <f>Renta_Alta!N9+Masivo!N9+Consumo_Inicial!N9</f>
        <v>27299.738509999999</v>
      </c>
      <c r="O9" s="8">
        <f>Renta_Alta!O9+Masivo!O9+Consumo_Inicial!O9</f>
        <v>27337.9578</v>
      </c>
      <c r="P9" s="8">
        <f>Renta_Alta!P9+Masivo!P9+Consumo_Inicial!P9</f>
        <v>26554.066879999998</v>
      </c>
      <c r="Q9" s="8">
        <f>Renta_Alta!Q9+Masivo!Q9+Consumo_Inicial!Q9</f>
        <v>25835.368600000002</v>
      </c>
      <c r="R9" s="8">
        <f>Renta_Alta!R9+Masivo!R9+Consumo_Inicial!R9</f>
        <v>24356.218970000002</v>
      </c>
      <c r="S9" s="8">
        <f>Renta_Alta!S9+Masivo!S9+Consumo_Inicial!S9</f>
        <v>23926.742380000003</v>
      </c>
      <c r="T9" s="8">
        <f>Renta_Alta!T9+Masivo!T9+Consumo_Inicial!T9</f>
        <v>22700.678050000002</v>
      </c>
      <c r="U9" s="8">
        <f>Renta_Alta!U9+Masivo!U9+Consumo_Inicial!U9</f>
        <v>22236.875669999998</v>
      </c>
      <c r="V9" s="8">
        <f>Renta_Alta!V9+Masivo!V9+Consumo_Inicial!V9</f>
        <v>21019.896119999998</v>
      </c>
      <c r="W9" s="8">
        <f>Renta_Alta!W9+Masivo!W9+Consumo_Inicial!W9</f>
        <v>20473.69659</v>
      </c>
      <c r="X9" s="8">
        <f>Renta_Alta!X9+Masivo!X9+Consumo_Inicial!X9</f>
        <v>19589.406349999997</v>
      </c>
      <c r="Y9" s="8">
        <f>Renta_Alta!Y9+Masivo!Y9+Consumo_Inicial!Y9</f>
        <v>20096.479800000001</v>
      </c>
      <c r="Z9" s="8">
        <f>Renta_Alta!Z9+Masivo!Z9+Consumo_Inicial!Z9</f>
        <v>21617.462269999996</v>
      </c>
      <c r="AA9" s="8">
        <f>Renta_Alta!AA9+Masivo!AA9+Consumo_Inicial!AA9</f>
        <v>22122.304749999999</v>
      </c>
      <c r="AB9" s="8">
        <f>Renta_Alta!AB9+Masivo!AB9+Consumo_Inicial!AB9</f>
        <v>22424.962189999998</v>
      </c>
      <c r="AC9" s="8">
        <f>Renta_Alta!AC9+Masivo!AC9+Consumo_Inicial!AC9</f>
        <v>23858.211869999999</v>
      </c>
      <c r="AD9" s="8">
        <f>Renta_Alta!AD9+Masivo!AD9+Consumo_Inicial!AD9</f>
        <v>24779.827959999999</v>
      </c>
      <c r="AE9" s="8">
        <f>Renta_Alta!AE9+Masivo!AE9+Consumo_Inicial!AE9</f>
        <v>27181.877169999996</v>
      </c>
      <c r="AF9" s="8">
        <f>Renta_Alta!AF9+Masivo!AF9+Consumo_Inicial!AF9</f>
        <v>28019.411960000001</v>
      </c>
      <c r="AG9" s="8">
        <f>Renta_Alta!AG9+Masivo!AG9+Consumo_Inicial!AG9</f>
        <v>30021.09549</v>
      </c>
      <c r="AH9" s="8">
        <f>Renta_Alta!AH9+Masivo!AH9+Consumo_Inicial!AH9</f>
        <v>29973.718869999997</v>
      </c>
      <c r="AI9" s="8">
        <f>Renta_Alta!AI9+Masivo!AI9+Consumo_Inicial!AI9</f>
        <v>29839.663429999997</v>
      </c>
      <c r="AJ9" s="8">
        <f>Renta_Alta!AJ9+Masivo!AJ9+Consumo_Inicial!AJ9</f>
        <v>29411.042560000002</v>
      </c>
      <c r="AK9" s="8">
        <f>Renta_Alta!AK9+Masivo!AK9+Consumo_Inicial!AK9</f>
        <v>29847.253959999998</v>
      </c>
      <c r="AL9" s="8">
        <f>Renta_Alta!AL9+Masivo!AL9+Consumo_Inicial!AL9</f>
        <v>29922.716689999997</v>
      </c>
      <c r="AM9" s="8">
        <f>Renta_Alta!AM9+Masivo!AM9+Consumo_Inicial!AM9</f>
        <v>30923.320229999998</v>
      </c>
      <c r="AN9" s="8">
        <f>Renta_Alta!AN9+Masivo!AN9+Consumo_Inicial!AN9</f>
        <v>30587.52</v>
      </c>
      <c r="AO9" s="8">
        <f>Renta_Alta!AO9+Masivo!AO9+Consumo_Inicial!AO9</f>
        <v>30020.87</v>
      </c>
      <c r="AP9" s="8">
        <f>Renta_Alta!AP9+Masivo!AP9+Consumo_Inicial!AP9</f>
        <v>29720.39</v>
      </c>
      <c r="AQ9" s="8">
        <f>Renta_Alta!AQ9+Masivo!AQ9+Consumo_Inicial!AQ9</f>
        <v>28987.812520000014</v>
      </c>
      <c r="AR9" s="8">
        <f>Renta_Alta!AR9+Masivo!AR9+Consumo_Inicial!AR9</f>
        <v>28277.738950000006</v>
      </c>
      <c r="AS9" s="8">
        <f>Renta_Alta!AS9+Masivo!AS9+Consumo_Inicial!AS9</f>
        <v>27681.196929999998</v>
      </c>
      <c r="AT9" s="8">
        <f>Renta_Alta!AT9+Masivo!AT9+Consumo_Inicial!AT9</f>
        <v>0</v>
      </c>
      <c r="AU9" s="8">
        <f>Renta_Alta!AU9+Masivo!AU9+Consumo_Inicial!AU9</f>
        <v>0</v>
      </c>
      <c r="AV9" s="8">
        <f>Renta_Alta!AV9+Masivo!AV9+Consumo_Inicial!AV9</f>
        <v>0</v>
      </c>
      <c r="AW9" s="8">
        <f>Renta_Alta!AW9+Masivo!AW9+Consumo_Inicial!AW9</f>
        <v>0</v>
      </c>
      <c r="AX9" s="8">
        <f>Renta_Alta!AX9+Masivo!AX9+Consumo_Inicial!AX9</f>
        <v>0</v>
      </c>
      <c r="AY9" s="8">
        <f>Renta_Alta!AY9+Masivo!AY9+Consumo_Inicial!AY9</f>
        <v>0</v>
      </c>
      <c r="AZ9" s="8">
        <f>Renta_Alta!AZ9+Masivo!AZ9+Consumo_Inicial!AZ9</f>
        <v>29415.157008869784</v>
      </c>
      <c r="BA9" s="8">
        <f>Renta_Alta!BA9+Masivo!BA9+Consumo_Inicial!BA9</f>
        <v>29533.443097819105</v>
      </c>
      <c r="BB9" s="8">
        <f>Renta_Alta!BB9+Masivo!BB9+Consumo_Inicial!BB9</f>
        <v>29689.501187187532</v>
      </c>
      <c r="BC9" s="8">
        <f>Renta_Alta!BC9+Masivo!BC9+Consumo_Inicial!BC9</f>
        <v>30366.338470831153</v>
      </c>
      <c r="BD9" s="8">
        <f>Renta_Alta!BD9+Masivo!BD9+Consumo_Inicial!BD9</f>
        <v>30703.860817813482</v>
      </c>
      <c r="BE9" s="8">
        <f>Renta_Alta!BE9+Masivo!BE9+Consumo_Inicial!BE9</f>
        <v>31169.815940972159</v>
      </c>
      <c r="BF9" s="8">
        <f>Renta_Alta!BF9+Masivo!BF9+Consumo_Inicial!BF9</f>
        <v>31357.857283165053</v>
      </c>
      <c r="BG9" s="8">
        <f>Renta_Alta!BG9+Masivo!BG9+Consumo_Inicial!BG9</f>
        <v>31596.943144860124</v>
      </c>
      <c r="BH9" s="8">
        <f>Renta_Alta!BH9+Masivo!BH9+Consumo_Inicial!BH9</f>
        <v>31752.814550884206</v>
      </c>
      <c r="BI9" s="8">
        <f>Renta_Alta!BI9+Masivo!BI9+Consumo_Inicial!BI9</f>
        <v>31973.013710997933</v>
      </c>
      <c r="BJ9" s="8">
        <f>Renta_Alta!BJ9+Masivo!BJ9+Consumo_Inicial!BJ9</f>
        <v>32121.80048998577</v>
      </c>
      <c r="BK9" s="8">
        <f>Renta_Alta!BK9+Masivo!BK9+Consumo_Inicial!BK9</f>
        <v>32247.399296874708</v>
      </c>
      <c r="BO9" s="24">
        <f t="shared" si="4"/>
        <v>28277.738950000006</v>
      </c>
      <c r="BP9" s="24">
        <f t="shared" ref="BP9:BP10" si="6">_xlfn.XLOOKUP(BP$6,$D$6:$BM$6,$D9:$BM9,,0,-1)</f>
        <v>30703.860817813482</v>
      </c>
      <c r="BQ9" s="24">
        <f t="shared" si="5"/>
        <v>28987.812520000014</v>
      </c>
      <c r="BR9" s="24">
        <f t="shared" si="5"/>
        <v>28019.411960000001</v>
      </c>
      <c r="BS9" s="24">
        <f t="shared" si="5"/>
        <v>22700.678050000002</v>
      </c>
      <c r="BT9" s="24">
        <f t="shared" si="5"/>
        <v>29479.237349999996</v>
      </c>
    </row>
    <row r="10" spans="1:81" ht="14.45" hidden="1" customHeight="1" outlineLevel="1" x14ac:dyDescent="0.25">
      <c r="A10" s="11" t="s">
        <v>51</v>
      </c>
      <c r="C10" s="2" t="s">
        <v>45</v>
      </c>
      <c r="D10" s="8">
        <f>Renta_Alta!D10+Masivo!D10+Consumo_Inicial!D10</f>
        <v>72271.196019999988</v>
      </c>
      <c r="E10" s="8">
        <f>Renta_Alta!E10+Masivo!E10+Consumo_Inicial!E10</f>
        <v>73895.677779999998</v>
      </c>
      <c r="F10" s="8">
        <f>Renta_Alta!F10+Masivo!F10+Consumo_Inicial!F10</f>
        <v>73945.90006</v>
      </c>
      <c r="G10" s="8">
        <f>Renta_Alta!G10+Masivo!G10+Consumo_Inicial!G10</f>
        <v>71847.883740000005</v>
      </c>
      <c r="H10" s="8">
        <f>Renta_Alta!H10+Masivo!H10+Consumo_Inicial!H10</f>
        <v>67763.653459999987</v>
      </c>
      <c r="I10" s="8">
        <f>Renta_Alta!I10+Masivo!I10+Consumo_Inicial!I10</f>
        <v>63617.763620000005</v>
      </c>
      <c r="J10" s="8">
        <f>Renta_Alta!J10+Masivo!J10+Consumo_Inicial!J10</f>
        <v>63955.170579999998</v>
      </c>
      <c r="K10" s="8">
        <f>Renta_Alta!K10+Masivo!K10+Consumo_Inicial!K10</f>
        <v>61241.075770000003</v>
      </c>
      <c r="L10" s="8">
        <f>Renta_Alta!L10+Masivo!L10+Consumo_Inicial!L10</f>
        <v>67281.56194</v>
      </c>
      <c r="M10" s="8">
        <f>Renta_Alta!M10+Masivo!M10+Consumo_Inicial!M10</f>
        <v>64679.455170000001</v>
      </c>
      <c r="N10" s="8">
        <f>Renta_Alta!N10+Masivo!N10+Consumo_Inicial!N10</f>
        <v>66643.574800000002</v>
      </c>
      <c r="O10" s="8">
        <f>Renta_Alta!O10+Masivo!O10+Consumo_Inicial!O10</f>
        <v>68717.125410000008</v>
      </c>
      <c r="P10" s="8">
        <f>Renta_Alta!P10+Masivo!P10+Consumo_Inicial!P10</f>
        <v>69804.218139999997</v>
      </c>
      <c r="Q10" s="8">
        <f>Renta_Alta!Q10+Masivo!Q10+Consumo_Inicial!Q10</f>
        <v>69245.744420000003</v>
      </c>
      <c r="R10" s="8">
        <f>Renta_Alta!R10+Masivo!R10+Consumo_Inicial!R10</f>
        <v>70201.600950000007</v>
      </c>
      <c r="S10" s="8">
        <f>Renta_Alta!S10+Masivo!S10+Consumo_Inicial!S10</f>
        <v>68195.992530000003</v>
      </c>
      <c r="T10" s="8">
        <f>Renta_Alta!T10+Masivo!T10+Consumo_Inicial!T10</f>
        <v>66766.564360000004</v>
      </c>
      <c r="U10" s="8">
        <f>Renta_Alta!U10+Masivo!U10+Consumo_Inicial!U10</f>
        <v>67221.778600000005</v>
      </c>
      <c r="V10" s="8">
        <f>Renta_Alta!V10+Masivo!V10+Consumo_Inicial!V10</f>
        <v>71116.511090000015</v>
      </c>
      <c r="W10" s="8">
        <f>Renta_Alta!W10+Masivo!W10+Consumo_Inicial!W10</f>
        <v>77916.505720000016</v>
      </c>
      <c r="X10" s="8">
        <f>Renta_Alta!X10+Masivo!X10+Consumo_Inicial!X10</f>
        <v>81413.519390000016</v>
      </c>
      <c r="Y10" s="8">
        <f>Renta_Alta!Y10+Masivo!Y10+Consumo_Inicial!Y10</f>
        <v>82707.448099999994</v>
      </c>
      <c r="Z10" s="8">
        <f>Renta_Alta!Z10+Masivo!Z10+Consumo_Inicial!Z10</f>
        <v>81173.438620000001</v>
      </c>
      <c r="AA10" s="8">
        <f>Renta_Alta!AA10+Masivo!AA10+Consumo_Inicial!AA10</f>
        <v>91003.55713999999</v>
      </c>
      <c r="AB10" s="8">
        <f>Renta_Alta!AB10+Masivo!AB10+Consumo_Inicial!AB10</f>
        <v>89814.192540000004</v>
      </c>
      <c r="AC10" s="8">
        <f>Renta_Alta!AC10+Masivo!AC10+Consumo_Inicial!AC10</f>
        <v>89151.668239999999</v>
      </c>
      <c r="AD10" s="8">
        <f>Renta_Alta!AD10+Masivo!AD10+Consumo_Inicial!AD10</f>
        <v>91973.851760000005</v>
      </c>
      <c r="AE10" s="8">
        <f>Renta_Alta!AE10+Masivo!AE10+Consumo_Inicial!AE10</f>
        <v>90731.792600000001</v>
      </c>
      <c r="AF10" s="8">
        <f>Renta_Alta!AF10+Masivo!AF10+Consumo_Inicial!AF10</f>
        <v>92392.453339999993</v>
      </c>
      <c r="AG10" s="8">
        <f>Renta_Alta!AG10+Masivo!AG10+Consumo_Inicial!AG10</f>
        <v>94874.544039999979</v>
      </c>
      <c r="AH10" s="8">
        <f>Renta_Alta!AH10+Masivo!AH10+Consumo_Inicial!AH10</f>
        <v>94603.502690000008</v>
      </c>
      <c r="AI10" s="8">
        <f>Renta_Alta!AI10+Masivo!AI10+Consumo_Inicial!AI10</f>
        <v>98682.503129999997</v>
      </c>
      <c r="AJ10" s="8">
        <f>Renta_Alta!AJ10+Masivo!AJ10+Consumo_Inicial!AJ10</f>
        <v>104428.19696999998</v>
      </c>
      <c r="AK10" s="8">
        <f>Renta_Alta!AK10+Masivo!AK10+Consumo_Inicial!AK10</f>
        <v>113299.23358</v>
      </c>
      <c r="AL10" s="8">
        <f>Renta_Alta!AL10+Masivo!AL10+Consumo_Inicial!AL10</f>
        <v>115314.55829000002</v>
      </c>
      <c r="AM10" s="8">
        <f>Renta_Alta!AM10+Masivo!AM10+Consumo_Inicial!AM10</f>
        <v>117509.96374000002</v>
      </c>
      <c r="AN10" s="8">
        <f>Renta_Alta!AN10+Masivo!AN10+Consumo_Inicial!AN10</f>
        <v>121321.53000000001</v>
      </c>
      <c r="AO10" s="8">
        <f>Renta_Alta!AO10+Masivo!AO10+Consumo_Inicial!AO10</f>
        <v>121589.26999999999</v>
      </c>
      <c r="AP10" s="8">
        <f>Renta_Alta!AP10+Masivo!AP10+Consumo_Inicial!AP10</f>
        <v>118710.40999999999</v>
      </c>
      <c r="AQ10" s="8">
        <f>Renta_Alta!AQ10+Masivo!AQ10+Consumo_Inicial!AQ10</f>
        <v>118196.06991999997</v>
      </c>
      <c r="AR10" s="8">
        <f>Renta_Alta!AR10+Masivo!AR10+Consumo_Inicial!AR10</f>
        <v>118475.51559</v>
      </c>
      <c r="AS10" s="8">
        <f>Renta_Alta!AS10+Masivo!AS10+Consumo_Inicial!AS10</f>
        <v>114331.61092999998</v>
      </c>
      <c r="AT10" s="8">
        <f>Renta_Alta!AT10+Masivo!AT10+Consumo_Inicial!AT10</f>
        <v>0</v>
      </c>
      <c r="AU10" s="8">
        <f>Renta_Alta!AU10+Masivo!AU10+Consumo_Inicial!AU10</f>
        <v>0</v>
      </c>
      <c r="AV10" s="8">
        <f>Renta_Alta!AV10+Masivo!AV10+Consumo_Inicial!AV10</f>
        <v>0</v>
      </c>
      <c r="AW10" s="8">
        <f>Renta_Alta!AW10+Masivo!AW10+Consumo_Inicial!AW10</f>
        <v>0</v>
      </c>
      <c r="AX10" s="8">
        <f>Renta_Alta!AX10+Masivo!AX10+Consumo_Inicial!AX10</f>
        <v>0</v>
      </c>
      <c r="AY10" s="8">
        <f>Renta_Alta!AY10+Masivo!AY10+Consumo_Inicial!AY10</f>
        <v>0</v>
      </c>
      <c r="AZ10" s="8">
        <f>Renta_Alta!AZ10+Masivo!AZ10+Consumo_Inicial!AZ10</f>
        <v>118256.64508670228</v>
      </c>
      <c r="BA10" s="8">
        <f>Renta_Alta!BA10+Masivo!BA10+Consumo_Inicial!BA10</f>
        <v>115818.62028996334</v>
      </c>
      <c r="BB10" s="8">
        <f>Renta_Alta!BB10+Masivo!BB10+Consumo_Inicial!BB10</f>
        <v>113938.40893380516</v>
      </c>
      <c r="BC10" s="8">
        <f>Renta_Alta!BC10+Masivo!BC10+Consumo_Inicial!BC10</f>
        <v>111183.5894620188</v>
      </c>
      <c r="BD10" s="8">
        <f>Renta_Alta!BD10+Masivo!BD10+Consumo_Inicial!BD10</f>
        <v>110380.99000103529</v>
      </c>
      <c r="BE10" s="8">
        <f>Renta_Alta!BE10+Masivo!BE10+Consumo_Inicial!BE10</f>
        <v>109612.26918172599</v>
      </c>
      <c r="BF10" s="8">
        <f>Renta_Alta!BF10+Masivo!BF10+Consumo_Inicial!BF10</f>
        <v>108398.50850060025</v>
      </c>
      <c r="BG10" s="8">
        <f>Renta_Alta!BG10+Masivo!BG10+Consumo_Inicial!BG10</f>
        <v>108987.76569126234</v>
      </c>
      <c r="BH10" s="8">
        <f>Renta_Alta!BH10+Masivo!BH10+Consumo_Inicial!BH10</f>
        <v>108051.32541008767</v>
      </c>
      <c r="BI10" s="8">
        <f>Renta_Alta!BI10+Masivo!BI10+Consumo_Inicial!BI10</f>
        <v>107771.56773515043</v>
      </c>
      <c r="BJ10" s="8">
        <f>Renta_Alta!BJ10+Masivo!BJ10+Consumo_Inicial!BJ10</f>
        <v>107778.95621972223</v>
      </c>
      <c r="BK10" s="8">
        <f>Renta_Alta!BK10+Masivo!BK10+Consumo_Inicial!BK10</f>
        <v>107955.09082894631</v>
      </c>
      <c r="BO10" s="24">
        <f t="shared" si="4"/>
        <v>118475.51559</v>
      </c>
      <c r="BP10" s="24">
        <f t="shared" si="6"/>
        <v>110380.99000103529</v>
      </c>
      <c r="BQ10" s="24">
        <f t="shared" si="5"/>
        <v>118196.06991999997</v>
      </c>
      <c r="BR10" s="24">
        <f t="shared" si="5"/>
        <v>92392.453339999993</v>
      </c>
      <c r="BS10" s="24">
        <f t="shared" si="5"/>
        <v>66766.564360000004</v>
      </c>
      <c r="BT10" s="24">
        <f t="shared" si="5"/>
        <v>67763.653459999987</v>
      </c>
    </row>
    <row r="11" spans="1:81" collapsed="1" x14ac:dyDescent="0.25">
      <c r="C11" s="3" t="s">
        <v>2</v>
      </c>
      <c r="D11" s="10">
        <f>SUM(D8:D10)</f>
        <v>4780954.0761279985</v>
      </c>
      <c r="E11" s="10">
        <f t="shared" ref="E11:BK11" si="7">SUM(E8:E10)</f>
        <v>4850962.45623626</v>
      </c>
      <c r="F11" s="10">
        <f t="shared" si="7"/>
        <v>4931010.4050942184</v>
      </c>
      <c r="G11" s="10">
        <f t="shared" si="7"/>
        <v>4976826.1235200008</v>
      </c>
      <c r="H11" s="10">
        <f t="shared" si="7"/>
        <v>5036099.882389999</v>
      </c>
      <c r="I11" s="10">
        <f t="shared" si="7"/>
        <v>5095415.6338984007</v>
      </c>
      <c r="J11" s="10">
        <f t="shared" si="7"/>
        <v>5141695.4383108784</v>
      </c>
      <c r="K11" s="10">
        <f t="shared" si="7"/>
        <v>5214070.3717242498</v>
      </c>
      <c r="L11" s="10">
        <f t="shared" si="7"/>
        <v>5261050.7314269794</v>
      </c>
      <c r="M11" s="10">
        <f t="shared" si="7"/>
        <v>5320680.9982791813</v>
      </c>
      <c r="N11" s="10">
        <f t="shared" si="7"/>
        <v>5376200.0444544805</v>
      </c>
      <c r="O11" s="10">
        <f t="shared" si="7"/>
        <v>5395659.8587317197</v>
      </c>
      <c r="P11" s="10">
        <f t="shared" si="7"/>
        <v>5449089.7223259583</v>
      </c>
      <c r="Q11" s="10">
        <f t="shared" si="7"/>
        <v>5514556.3829535991</v>
      </c>
      <c r="R11" s="10">
        <f t="shared" si="7"/>
        <v>5585080.251613819</v>
      </c>
      <c r="S11" s="10">
        <f t="shared" si="7"/>
        <v>5681432.1515044207</v>
      </c>
      <c r="T11" s="10">
        <f t="shared" si="7"/>
        <v>5773595.0403503999</v>
      </c>
      <c r="U11" s="10">
        <f t="shared" si="7"/>
        <v>5842996.3123514997</v>
      </c>
      <c r="V11" s="10">
        <f t="shared" si="7"/>
        <v>5921439.9424279993</v>
      </c>
      <c r="W11" s="10">
        <f t="shared" si="7"/>
        <v>5955544.3047049996</v>
      </c>
      <c r="X11" s="10">
        <f t="shared" si="7"/>
        <v>5961448.7946374007</v>
      </c>
      <c r="Y11" s="10">
        <f t="shared" si="7"/>
        <v>5937595.4207762992</v>
      </c>
      <c r="Z11" s="10">
        <f t="shared" si="7"/>
        <v>5865247.5071009714</v>
      </c>
      <c r="AA11" s="10">
        <f t="shared" si="7"/>
        <v>5801009.9402491003</v>
      </c>
      <c r="AB11" s="10">
        <f t="shared" si="7"/>
        <v>5764109.9795646006</v>
      </c>
      <c r="AC11" s="10">
        <f t="shared" si="7"/>
        <v>5750585.5235748999</v>
      </c>
      <c r="AD11" s="10">
        <f t="shared" si="7"/>
        <v>5740966.5725019993</v>
      </c>
      <c r="AE11" s="10">
        <f t="shared" si="7"/>
        <v>5751473.0514873005</v>
      </c>
      <c r="AF11" s="10">
        <f t="shared" si="7"/>
        <v>5763798.5381008005</v>
      </c>
      <c r="AG11" s="10">
        <f t="shared" si="7"/>
        <v>5781778.8448507003</v>
      </c>
      <c r="AH11" s="10">
        <f t="shared" si="7"/>
        <v>5808614.3847738905</v>
      </c>
      <c r="AI11" s="10">
        <f t="shared" si="7"/>
        <v>5846745.0941632995</v>
      </c>
      <c r="AJ11" s="10">
        <f t="shared" si="7"/>
        <v>5860864.7084349003</v>
      </c>
      <c r="AK11" s="10">
        <f t="shared" si="7"/>
        <v>5827512.1787951002</v>
      </c>
      <c r="AL11" s="10">
        <f t="shared" si="7"/>
        <v>5779277.3203080995</v>
      </c>
      <c r="AM11" s="10">
        <f t="shared" si="7"/>
        <v>5725321.6027344996</v>
      </c>
      <c r="AN11" s="10">
        <f t="shared" si="7"/>
        <v>5705090.8200000003</v>
      </c>
      <c r="AO11" s="10">
        <f t="shared" si="7"/>
        <v>5659441.5399999991</v>
      </c>
      <c r="AP11" s="10">
        <f t="shared" si="7"/>
        <v>5673571.46</v>
      </c>
      <c r="AQ11" s="10">
        <f t="shared" si="7"/>
        <v>5695772.5417802008</v>
      </c>
      <c r="AR11" s="10">
        <f t="shared" si="7"/>
        <v>5708767.1532327402</v>
      </c>
      <c r="AS11" s="10">
        <f t="shared" si="7"/>
        <v>5729955.0562083973</v>
      </c>
      <c r="AT11" s="10">
        <f t="shared" si="7"/>
        <v>0</v>
      </c>
      <c r="AU11" s="10">
        <f t="shared" si="7"/>
        <v>0</v>
      </c>
      <c r="AV11" s="10">
        <f t="shared" si="7"/>
        <v>0</v>
      </c>
      <c r="AW11" s="10">
        <f t="shared" si="7"/>
        <v>0</v>
      </c>
      <c r="AX11" s="10">
        <f t="shared" si="7"/>
        <v>0</v>
      </c>
      <c r="AY11" s="10">
        <f t="shared" si="7"/>
        <v>0</v>
      </c>
      <c r="AZ11" s="10">
        <f t="shared" si="7"/>
        <v>5946181.5927359192</v>
      </c>
      <c r="BA11" s="10">
        <f t="shared" si="7"/>
        <v>5964284.8093260676</v>
      </c>
      <c r="BB11" s="10">
        <f t="shared" si="7"/>
        <v>5999599.0371595304</v>
      </c>
      <c r="BC11" s="10">
        <f t="shared" si="7"/>
        <v>6021580.8095917199</v>
      </c>
      <c r="BD11" s="10">
        <f t="shared" si="7"/>
        <v>6043907.1626858497</v>
      </c>
      <c r="BE11" s="10">
        <f t="shared" si="7"/>
        <v>6073724.5014593713</v>
      </c>
      <c r="BF11" s="10">
        <f t="shared" si="7"/>
        <v>6103604.5762321055</v>
      </c>
      <c r="BG11" s="10">
        <f t="shared" si="7"/>
        <v>6132821.2517646076</v>
      </c>
      <c r="BH11" s="10">
        <f t="shared" si="7"/>
        <v>6172476.6066302238</v>
      </c>
      <c r="BI11" s="10">
        <f t="shared" si="7"/>
        <v>6201486.0913315704</v>
      </c>
      <c r="BJ11" s="10">
        <f t="shared" si="7"/>
        <v>6230074.6875770651</v>
      </c>
      <c r="BK11" s="10">
        <f t="shared" si="7"/>
        <v>6251792.6951233344</v>
      </c>
      <c r="BO11" s="23">
        <f>SUM(BO8:BO10)</f>
        <v>5708767.1532327402</v>
      </c>
      <c r="BP11" s="23">
        <f>SUM(BP8:BP10)</f>
        <v>6043907.1626858497</v>
      </c>
      <c r="BQ11" s="23">
        <f t="shared" ref="BQ11:BT11" si="8">SUM(BQ8:BQ10)</f>
        <v>5695772.5417802008</v>
      </c>
      <c r="BR11" s="23">
        <f t="shared" si="8"/>
        <v>5763798.5381008005</v>
      </c>
      <c r="BS11" s="23">
        <f t="shared" si="8"/>
        <v>5773595.0403503999</v>
      </c>
      <c r="BT11" s="23">
        <f t="shared" si="8"/>
        <v>5036099.882389999</v>
      </c>
    </row>
    <row r="12" spans="1:81" x14ac:dyDescent="0.25">
      <c r="D12" s="9">
        <f>'[1]Desempeño Financiero (Evol)'!BE58</f>
        <v>4780954.0762579981</v>
      </c>
      <c r="E12" s="9">
        <f>'[1]Desempeño Financiero (Evol)'!BF58</f>
        <v>4850962.4564662604</v>
      </c>
      <c r="F12" s="9">
        <f>'[1]Desempeño Financiero (Evol)'!BG58</f>
        <v>4931010.4048242187</v>
      </c>
      <c r="G12" s="9">
        <f>'[1]Desempeño Financiero (Evol)'!BH58</f>
        <v>4976826.1239999998</v>
      </c>
      <c r="H12" s="9">
        <f>'[1]Desempeño Financiero (Evol)'!BI58</f>
        <v>5036099.882629999</v>
      </c>
      <c r="I12" s="9">
        <f>'[1]Desempeño Financiero (Evol)'!BJ58</f>
        <v>5095415.6337184003</v>
      </c>
      <c r="J12" s="9">
        <f>'[1]Desempeño Financiero (Evol)'!BK58</f>
        <v>5141695.4380708793</v>
      </c>
      <c r="K12" s="9">
        <f>'[1]Desempeño Financiero (Evol)'!BL58</f>
        <v>5214070.3714542501</v>
      </c>
      <c r="L12" s="9">
        <f>'[1]Desempeño Financiero (Evol)'!BM58</f>
        <v>5261050.7310369806</v>
      </c>
      <c r="M12" s="9">
        <f>'[1]Desempeño Financiero (Evol)'!BN58</f>
        <v>5320680.9983591791</v>
      </c>
      <c r="N12" s="9">
        <f>'[1]Desempeño Financiero (Evol)'!BO58</f>
        <v>5376200.0439944807</v>
      </c>
      <c r="O12" s="9">
        <f>'[1]Desempeño Financiero (Evol)'!BP58</f>
        <v>5395659.8588117203</v>
      </c>
      <c r="P12" s="9">
        <f>'[1]Desempeño Financiero (Evol)'!BQ58</f>
        <v>5449089.7223459594</v>
      </c>
      <c r="Q12" s="9">
        <f>'[1]Desempeño Financiero (Evol)'!BR58</f>
        <v>5514556.3828836</v>
      </c>
      <c r="R12" s="9">
        <f>'[1]Desempeño Financiero (Evol)'!BS58</f>
        <v>5585080.2516938606</v>
      </c>
      <c r="S12" s="9">
        <f>'[1]Desempeño Financiero (Evol)'!BT58</f>
        <v>5681432.1513944007</v>
      </c>
      <c r="T12" s="9">
        <f>'[1]Desempeño Financiero (Evol)'!BU58</f>
        <v>5773595.0407003807</v>
      </c>
      <c r="U12" s="9">
        <f>'[1]Desempeño Financiero (Evol)'!BV58</f>
        <v>5842996.3121014601</v>
      </c>
      <c r="V12" s="9">
        <f>'[1]Desempeño Financiero (Evol)'!BW58</f>
        <v>5921439.9423179701</v>
      </c>
      <c r="W12" s="9">
        <f>'[1]Desempeño Financiero (Evol)'!BX58</f>
        <v>5955544.3047820004</v>
      </c>
      <c r="X12" s="9">
        <f>'[1]Desempeño Financiero (Evol)'!BY58</f>
        <v>5961448.7945573302</v>
      </c>
      <c r="Y12" s="9">
        <f>'[1]Desempeño Financiero (Evol)'!BZ58</f>
        <v>5937595.4206962399</v>
      </c>
      <c r="Z12" s="9">
        <f>'[1]Desempeño Financiero (Evol)'!CA58</f>
        <v>5865247.5070760222</v>
      </c>
      <c r="AA12" s="9">
        <f>'[1]Desempeño Financiero (Evol)'!CB58</f>
        <v>5801009.9404090801</v>
      </c>
      <c r="AB12" s="9">
        <f>'[1]Desempeño Financiero (Evol)'!CC58</f>
        <v>5764109.9795345189</v>
      </c>
      <c r="AC12" s="9">
        <f>'[1]Desempeño Financiero (Evol)'!CD58</f>
        <v>5750585.5235549808</v>
      </c>
      <c r="AD12" s="9">
        <f>'[1]Desempeño Financiero (Evol)'!CE58</f>
        <v>5740966.5725920023</v>
      </c>
      <c r="AE12" s="9">
        <f>'[1]Desempeño Financiero (Evol)'!CF58</f>
        <v>5751473.0516772494</v>
      </c>
      <c r="AF12" s="9">
        <f>'[1]Desempeño Financiero (Evol)'!CG58</f>
        <v>5763798.537910861</v>
      </c>
      <c r="AG12" s="9">
        <f>'[1]Desempeño Financiero (Evol)'!CH58</f>
        <v>5781778.8445706591</v>
      </c>
      <c r="AH12" s="9">
        <f>'[1]Desempeño Financiero (Evol)'!CI58</f>
        <v>5808614.3848938895</v>
      </c>
      <c r="AI12" s="9">
        <f>'[1]Desempeño Financiero (Evol)'!CJ58</f>
        <v>5846745.0945328996</v>
      </c>
      <c r="AJ12" s="9">
        <f>'[1]Desempeño Financiero (Evol)'!CK58</f>
        <v>5860864.7079549003</v>
      </c>
      <c r="AK12" s="9">
        <f>'[1]Desempeño Financiero (Evol)'!CL58</f>
        <v>5827512.1792250006</v>
      </c>
      <c r="AL12" s="9">
        <f>'[1]Desempeño Financiero (Evol)'!CM58</f>
        <v>5779277.3200380392</v>
      </c>
      <c r="AM12" s="9">
        <f>'[1]Desempeño Financiero (Evol)'!CN58</f>
        <v>5725321.6032344904</v>
      </c>
      <c r="AN12" s="9">
        <f>'[1]Desempeño Financiero (Evol)'!CO58</f>
        <v>5705090.8200000003</v>
      </c>
      <c r="AO12" s="9">
        <f>'[1]Desempeño Financiero (Evol)'!CP58</f>
        <v>5659441.540000001</v>
      </c>
      <c r="AZ12" s="9">
        <f>'[1]Desempeño Financiero (Evol)'!DA58</f>
        <v>5946181.5927359192</v>
      </c>
      <c r="BA12" s="9">
        <f>'[1]Desempeño Financiero (Evol)'!DB58</f>
        <v>5964284.8093260685</v>
      </c>
      <c r="BB12" s="9">
        <f>'[1]Desempeño Financiero (Evol)'!DC58</f>
        <v>5999599.0371595295</v>
      </c>
      <c r="BC12" s="9">
        <f>'[1]Desempeño Financiero (Evol)'!DD58</f>
        <v>6021580.8095917199</v>
      </c>
      <c r="BD12" s="9">
        <f>'[1]Desempeño Financiero (Evol)'!DE58</f>
        <v>6043907.1626858488</v>
      </c>
      <c r="BE12" s="9">
        <f>'[1]Desempeño Financiero (Evol)'!DF58</f>
        <v>6073724.5014593704</v>
      </c>
      <c r="BF12" s="9">
        <f>'[1]Desempeño Financiero (Evol)'!DG58</f>
        <v>6103604.5762321064</v>
      </c>
      <c r="BG12" s="9">
        <f>'[1]Desempeño Financiero (Evol)'!DH58</f>
        <v>6132821.2517646067</v>
      </c>
      <c r="BH12" s="9">
        <f>'[1]Desempeño Financiero (Evol)'!DI58</f>
        <v>6172476.6066302238</v>
      </c>
      <c r="BI12" s="9">
        <f>'[1]Desempeño Financiero (Evol)'!DJ58</f>
        <v>6201486.0913315695</v>
      </c>
      <c r="BJ12" s="9">
        <f>'[1]Desempeño Financiero (Evol)'!DK58</f>
        <v>6230074.687577066</v>
      </c>
      <c r="BK12" s="9">
        <f>'[1]Desempeño Financiero (Evol)'!DL58</f>
        <v>6251792.6951233344</v>
      </c>
    </row>
    <row r="13" spans="1:81" x14ac:dyDescent="0.25">
      <c r="D13" s="51">
        <f>D12-D11</f>
        <v>1.2999959290027618E-4</v>
      </c>
      <c r="E13" s="51">
        <f t="shared" ref="E13:AN13" si="9">E12-E11</f>
        <v>2.3000035434961319E-4</v>
      </c>
      <c r="F13" s="51">
        <f t="shared" si="9"/>
        <v>-2.6999972760677338E-4</v>
      </c>
      <c r="G13" s="51">
        <f t="shared" si="9"/>
        <v>4.7999899834394455E-4</v>
      </c>
      <c r="H13" s="51">
        <f t="shared" si="9"/>
        <v>2.3999996483325958E-4</v>
      </c>
      <c r="I13" s="51">
        <f t="shared" si="9"/>
        <v>-1.8000043928623199E-4</v>
      </c>
      <c r="J13" s="51">
        <f t="shared" si="9"/>
        <v>-2.3999903351068497E-4</v>
      </c>
      <c r="K13" s="51">
        <f t="shared" si="9"/>
        <v>-2.6999972760677338E-4</v>
      </c>
      <c r="L13" s="51">
        <f t="shared" si="9"/>
        <v>-3.8999877870082855E-4</v>
      </c>
      <c r="M13" s="51">
        <f t="shared" si="9"/>
        <v>7.9997815191745758E-5</v>
      </c>
      <c r="N13" s="51">
        <f t="shared" si="9"/>
        <v>-4.5999977737665176E-4</v>
      </c>
      <c r="O13" s="51">
        <f t="shared" si="9"/>
        <v>8.0000609159469604E-5</v>
      </c>
      <c r="P13" s="51">
        <f t="shared" si="9"/>
        <v>2.0001083612442017E-5</v>
      </c>
      <c r="Q13" s="51">
        <f t="shared" si="9"/>
        <v>-6.9999136030673981E-5</v>
      </c>
      <c r="R13" s="51">
        <f t="shared" si="9"/>
        <v>8.0041587352752686E-5</v>
      </c>
      <c r="S13" s="51">
        <f t="shared" si="9"/>
        <v>-1.1001992970705032E-4</v>
      </c>
      <c r="T13" s="51">
        <f t="shared" si="9"/>
        <v>3.4998077899217606E-4</v>
      </c>
      <c r="U13" s="51">
        <f t="shared" si="9"/>
        <v>-2.5003962218761444E-4</v>
      </c>
      <c r="V13" s="51">
        <f t="shared" si="9"/>
        <v>-1.1002924293279648E-4</v>
      </c>
      <c r="W13" s="51">
        <f t="shared" si="9"/>
        <v>7.7000819146633148E-5</v>
      </c>
      <c r="X13" s="51">
        <f t="shared" si="9"/>
        <v>-8.0070458352565765E-5</v>
      </c>
      <c r="Y13" s="51">
        <f t="shared" si="9"/>
        <v>-8.005928248167038E-5</v>
      </c>
      <c r="Z13" s="51">
        <f t="shared" si="9"/>
        <v>-2.4949200451374054E-5</v>
      </c>
      <c r="AA13" s="51">
        <f t="shared" si="9"/>
        <v>1.5997979789972305E-4</v>
      </c>
      <c r="AB13" s="51">
        <f t="shared" si="9"/>
        <v>-3.0081719160079956E-5</v>
      </c>
      <c r="AC13" s="51">
        <f t="shared" si="9"/>
        <v>-1.9919127225875854E-5</v>
      </c>
      <c r="AD13" s="51">
        <f t="shared" si="9"/>
        <v>9.0003013610839844E-5</v>
      </c>
      <c r="AE13" s="51">
        <f t="shared" si="9"/>
        <v>1.8994882702827454E-4</v>
      </c>
      <c r="AF13" s="51">
        <f t="shared" si="9"/>
        <v>-1.8993951380252838E-4</v>
      </c>
      <c r="AG13" s="51">
        <f t="shared" si="9"/>
        <v>-2.8004124760627747E-4</v>
      </c>
      <c r="AH13" s="51">
        <f t="shared" si="9"/>
        <v>1.1999905109405518E-4</v>
      </c>
      <c r="AI13" s="51">
        <f t="shared" si="9"/>
        <v>3.6960002034902573E-4</v>
      </c>
      <c r="AJ13" s="51">
        <f t="shared" si="9"/>
        <v>-4.7999992966651917E-4</v>
      </c>
      <c r="AK13" s="51">
        <f t="shared" si="9"/>
        <v>4.2990036308765411E-4</v>
      </c>
      <c r="AL13" s="51">
        <f t="shared" si="9"/>
        <v>-2.7006026357412338E-4</v>
      </c>
      <c r="AM13" s="51">
        <f t="shared" si="9"/>
        <v>4.9999076873064041E-4</v>
      </c>
      <c r="AN13" s="51">
        <f t="shared" si="9"/>
        <v>0</v>
      </c>
      <c r="AO13" s="51">
        <f t="shared" ref="AO13" si="10">AO12-AO11</f>
        <v>0</v>
      </c>
      <c r="AZ13" s="51">
        <f t="shared" ref="AZ13:BK13" si="11">AZ12-AZ11</f>
        <v>0</v>
      </c>
      <c r="BA13" s="51">
        <f t="shared" si="11"/>
        <v>0</v>
      </c>
      <c r="BB13" s="51">
        <f t="shared" si="11"/>
        <v>0</v>
      </c>
      <c r="BC13" s="51">
        <f t="shared" si="11"/>
        <v>0</v>
      </c>
      <c r="BD13" s="51">
        <f t="shared" si="11"/>
        <v>0</v>
      </c>
      <c r="BE13" s="51">
        <f t="shared" si="11"/>
        <v>0</v>
      </c>
      <c r="BF13" s="51">
        <f t="shared" si="11"/>
        <v>0</v>
      </c>
      <c r="BG13" s="51">
        <f t="shared" si="11"/>
        <v>0</v>
      </c>
      <c r="BH13" s="51">
        <f t="shared" si="11"/>
        <v>0</v>
      </c>
      <c r="BI13" s="51">
        <f t="shared" si="11"/>
        <v>0</v>
      </c>
      <c r="BJ13" s="51">
        <f t="shared" si="11"/>
        <v>0</v>
      </c>
      <c r="BK13" s="51">
        <f t="shared" si="11"/>
        <v>0</v>
      </c>
    </row>
    <row r="14" spans="1:81" hidden="1" outlineLevel="1" x14ac:dyDescent="0.25">
      <c r="A14" s="11" t="s">
        <v>52</v>
      </c>
      <c r="C14" s="2" t="s">
        <v>0</v>
      </c>
      <c r="D14" s="8">
        <f>Renta_Alta!D14+Masivo!D14+Consumo_Inicial!D14</f>
        <v>4629670.7680456899</v>
      </c>
      <c r="E14" s="8">
        <f>Renta_Alta!E14+Masivo!E14+Consumo_Inicial!E14</f>
        <v>4705225.2920974204</v>
      </c>
      <c r="F14" s="8">
        <f>Renta_Alta!F14+Masivo!F14+Consumo_Inicial!F14</f>
        <v>4769089.5304900007</v>
      </c>
      <c r="G14" s="8">
        <f>Renta_Alta!G14+Masivo!G14+Consumo_Inicial!G14</f>
        <v>4833539.3344806805</v>
      </c>
      <c r="H14" s="8">
        <f>Renta_Alta!H14+Masivo!H14+Consumo_Inicial!H14</f>
        <v>4884943.9586126395</v>
      </c>
      <c r="I14" s="8">
        <f>Renta_Alta!I14+Masivo!I14+Consumo_Inicial!I14</f>
        <v>4948509.1141815009</v>
      </c>
      <c r="J14" s="8">
        <f>Renta_Alta!J14+Masivo!J14+Consumo_Inicial!J14</f>
        <v>5003780.5132038398</v>
      </c>
      <c r="K14" s="8">
        <f>Renta_Alta!K14+Masivo!K14+Consumo_Inicial!K14</f>
        <v>5059584.0614163196</v>
      </c>
      <c r="L14" s="8">
        <f>Renta_Alta!L14+Masivo!L14+Consumo_Inicial!L14</f>
        <v>5118171.3558077002</v>
      </c>
      <c r="M14" s="8">
        <f>Renta_Alta!M14+Masivo!M14+Consumo_Inicial!M14</f>
        <v>5173409.8545437502</v>
      </c>
      <c r="N14" s="8">
        <f>Renta_Alta!N14+Masivo!N14+Consumo_Inicial!N14</f>
        <v>5233828.2707724003</v>
      </c>
      <c r="O14" s="8">
        <f>Renta_Alta!O14+Masivo!O14+Consumo_Inicial!O14</f>
        <v>5272596.8195764301</v>
      </c>
      <c r="P14" s="8">
        <f>Renta_Alta!P14+Masivo!P14+Consumo_Inicial!P14</f>
        <v>5302018.7746449597</v>
      </c>
      <c r="Q14" s="8">
        <f>Renta_Alta!Q14+Masivo!Q14+Consumo_Inicial!Q14</f>
        <v>5365088.5493870396</v>
      </c>
      <c r="R14" s="8">
        <f>Renta_Alta!R14+Masivo!R14+Consumo_Inicial!R14</f>
        <v>5442341.8632078497</v>
      </c>
      <c r="S14" s="8">
        <f>Renta_Alta!S14+Masivo!S14+Consumo_Inicial!S14</f>
        <v>5529592.7332181204</v>
      </c>
      <c r="T14" s="8">
        <f>Renta_Alta!T14+Masivo!T14+Consumo_Inicial!T14</f>
        <v>5605866.7655894002</v>
      </c>
      <c r="U14" s="8">
        <f>Renta_Alta!U14+Masivo!U14+Consumo_Inicial!U14</f>
        <v>5691107.5427086083</v>
      </c>
      <c r="V14" s="8">
        <f>Renta_Alta!V14+Masivo!V14+Consumo_Inicial!V14</f>
        <v>5767874.3459542999</v>
      </c>
      <c r="W14" s="8">
        <f>Renta_Alta!W14+Masivo!W14+Consumo_Inicial!W14</f>
        <v>5810766.2510816008</v>
      </c>
      <c r="X14" s="8">
        <f>Renta_Alta!X14+Masivo!X14+Consumo_Inicial!X14</f>
        <v>5826131.2015853003</v>
      </c>
      <c r="Y14" s="8">
        <f>Renta_Alta!Y14+Masivo!Y14+Consumo_Inicial!Y14</f>
        <v>5624113.8223941997</v>
      </c>
      <c r="Z14" s="8">
        <f>Renta_Alta!Z14+Masivo!Z14+Consumo_Inicial!Z14</f>
        <v>5769295.0498603005</v>
      </c>
      <c r="AA14" s="8">
        <f>Renta_Alta!AA14+Masivo!AA14+Consumo_Inicial!AA14</f>
        <v>5702468.6487793</v>
      </c>
      <c r="AB14" s="8">
        <f>Renta_Alta!AB14+Masivo!AB14+Consumo_Inicial!AB14</f>
        <v>5634742.8795401007</v>
      </c>
      <c r="AC14" s="8">
        <f>Renta_Alta!AC14+Masivo!AC14+Consumo_Inicial!AC14</f>
        <v>5606362.3260770002</v>
      </c>
      <c r="AD14" s="8">
        <f>Renta_Alta!AD14+Masivo!AD14+Consumo_Inicial!AD14</f>
        <v>5597839.9065538999</v>
      </c>
      <c r="AE14" s="8">
        <f>Renta_Alta!AE14+Masivo!AE14+Consumo_Inicial!AE14</f>
        <v>5578481.1501013003</v>
      </c>
      <c r="AF14" s="8">
        <f>Renta_Alta!AF14+Masivo!AF14+Consumo_Inicial!AF14</f>
        <v>5598131.9612609986</v>
      </c>
      <c r="AG14" s="8">
        <f>Renta_Alta!AG14+Masivo!AG14+Consumo_Inicial!AG14</f>
        <v>5608738.8051285995</v>
      </c>
      <c r="AH14" s="8">
        <f>Renta_Alta!AH14+Masivo!AH14+Consumo_Inicial!AH14</f>
        <v>5635063.0068868594</v>
      </c>
      <c r="AI14" s="8">
        <f>Renta_Alta!AI14+Masivo!AI14+Consumo_Inicial!AI14</f>
        <v>5662374.6721899994</v>
      </c>
      <c r="AJ14" s="8">
        <f>Renta_Alta!AJ14+Masivo!AJ14+Consumo_Inicial!AJ14</f>
        <v>5681576.4281465989</v>
      </c>
      <c r="AK14" s="8">
        <f>Renta_Alta!AK14+Masivo!AK14+Consumo_Inicial!AK14</f>
        <v>5662251.6174851004</v>
      </c>
      <c r="AL14" s="8">
        <f>Renta_Alta!AL14+Masivo!AL14+Consumo_Inicial!AL14</f>
        <v>5617656.2679006997</v>
      </c>
      <c r="AM14" s="8">
        <f>Renta_Alta!AM14+Masivo!AM14+Consumo_Inicial!AM14</f>
        <v>5566748.2920844005</v>
      </c>
      <c r="AN14" s="8">
        <f>Renta_Alta!AN14+Masivo!AN14+Consumo_Inicial!AN14</f>
        <v>5515232.6699999999</v>
      </c>
      <c r="AO14" s="8">
        <f>Renta_Alta!AO14+Masivo!AO14+Consumo_Inicial!AO14</f>
        <v>5486130.4800000004</v>
      </c>
      <c r="AP14" s="8">
        <f>Renta_Alta!AP14+Masivo!AP14+Consumo_Inicial!AP14</f>
        <v>5483597.2800000003</v>
      </c>
      <c r="AQ14" s="8">
        <f>Renta_Alta!AQ14+Masivo!AQ14+Consumo_Inicial!AQ14</f>
        <v>5500202.1718746684</v>
      </c>
      <c r="AR14" s="8">
        <f>Renta_Alta!AR14+Masivo!AR14+Consumo_Inicial!AR14</f>
        <v>5520303.6173795313</v>
      </c>
      <c r="AS14" s="8">
        <f>Renta_Alta!AS14+Masivo!AS14+Consumo_Inicial!AS14</f>
        <v>5543462.2162067983</v>
      </c>
      <c r="AT14" s="8">
        <f>Renta_Alta!AT14+Masivo!AT14+Consumo_Inicial!AT14</f>
        <v>0</v>
      </c>
      <c r="AU14" s="8">
        <f>Renta_Alta!AU14+Masivo!AU14+Consumo_Inicial!AU14</f>
        <v>0</v>
      </c>
      <c r="AV14" s="8">
        <f>Renta_Alta!AV14+Masivo!AV14+Consumo_Inicial!AV14</f>
        <v>0</v>
      </c>
      <c r="AW14" s="8">
        <f>Renta_Alta!AW14+Masivo!AW14+Consumo_Inicial!AW14</f>
        <v>0</v>
      </c>
      <c r="AX14" s="8">
        <f>Renta_Alta!AX14+Masivo!AX14+Consumo_Inicial!AX14</f>
        <v>0</v>
      </c>
      <c r="AY14" s="8">
        <f>Renta_Alta!AY14+Masivo!AY14+Consumo_Inicial!AY14</f>
        <v>0</v>
      </c>
      <c r="AZ14" s="8">
        <f>Renta_Alta!AZ14+Masivo!AZ14+Consumo_Inicial!AZ14</f>
        <v>5755020.9672105452</v>
      </c>
      <c r="BA14" s="8">
        <f>Renta_Alta!BA14+Masivo!BA14+Consumo_Inicial!BA14</f>
        <v>5775290.7503437484</v>
      </c>
      <c r="BB14" s="8">
        <f>Renta_Alta!BB14+Masivo!BB14+Consumo_Inicial!BB14</f>
        <v>5810880.149360341</v>
      </c>
      <c r="BC14" s="8">
        <f>Renta_Alta!BC14+Masivo!BC14+Consumo_Inicial!BC14</f>
        <v>5835930.6500464287</v>
      </c>
      <c r="BD14" s="8">
        <f>Renta_Alta!BD14+Masivo!BD14+Consumo_Inicial!BD14</f>
        <v>5858551.1445279988</v>
      </c>
      <c r="BE14" s="8">
        <f>Renta_Alta!BE14+Masivo!BE14+Consumo_Inicial!BE14</f>
        <v>5887258.7597308801</v>
      </c>
      <c r="BF14" s="8">
        <f>Renta_Alta!BF14+Masivo!BF14+Consumo_Inicial!BF14</f>
        <v>5917926.579227889</v>
      </c>
      <c r="BG14" s="8">
        <f>Renta_Alta!BG14+Masivo!BG14+Consumo_Inicial!BG14</f>
        <v>5947294.7688565217</v>
      </c>
      <c r="BH14" s="8">
        <f>Renta_Alta!BH14+Masivo!BH14+Consumo_Inicial!BH14</f>
        <v>5986220.8886758983</v>
      </c>
      <c r="BI14" s="8">
        <f>Renta_Alta!BI14+Masivo!BI14+Consumo_Inicial!BI14</f>
        <v>6016278.448561281</v>
      </c>
      <c r="BJ14" s="8">
        <f>Renta_Alta!BJ14+Masivo!BJ14+Consumo_Inicial!BJ14</f>
        <v>6044497.6263858527</v>
      </c>
      <c r="BK14" s="8">
        <f>Renta_Alta!BK14+Masivo!BK14+Consumo_Inicial!BK14</f>
        <v>6065753.2784600323</v>
      </c>
      <c r="BO14" s="24">
        <f t="shared" ref="BO14:BT16" si="12">IFERROR(AVERAGEIFS($D14:$BM14,$D$6:$BM$6,"&gt;="&amp;BO$2,$D$6:$BM$6,"&lt;="&amp;BO$6,$D$5:$BM$5,BO$5,$D14:$BM14,"&lt;&gt;0"),0)</f>
        <v>5501093.2438508403</v>
      </c>
      <c r="BP14" s="24">
        <f t="shared" si="12"/>
        <v>5807134.7322978117</v>
      </c>
      <c r="BQ14" s="24">
        <f t="shared" si="12"/>
        <v>5496290.650468667</v>
      </c>
      <c r="BR14" s="24">
        <f t="shared" si="12"/>
        <v>5603111.6447066609</v>
      </c>
      <c r="BS14" s="24">
        <f t="shared" si="12"/>
        <v>5448981.7372094737</v>
      </c>
      <c r="BT14" s="24">
        <f t="shared" si="12"/>
        <v>4764493.7767452858</v>
      </c>
      <c r="BW14" s="24">
        <f t="shared" ref="BW14:CB16" si="13">SUMIFS($D14:$BM14,$D$6:$BM$6,"&gt;="&amp;BO$2,$D$6:$BM$6,"&lt;="&amp;BO$6,$D$5:$BM$5,BO$5)</f>
        <v>27505466.219254199</v>
      </c>
      <c r="BX14" s="24">
        <f t="shared" si="13"/>
        <v>29035673.661489058</v>
      </c>
      <c r="BY14" s="24">
        <f t="shared" si="13"/>
        <v>21985162.601874668</v>
      </c>
      <c r="BZ14" s="24">
        <f t="shared" si="13"/>
        <v>28015558.223533303</v>
      </c>
      <c r="CA14" s="24">
        <f t="shared" si="13"/>
        <v>27244908.686047368</v>
      </c>
      <c r="CB14" s="24">
        <f t="shared" si="13"/>
        <v>23822468.883726429</v>
      </c>
    </row>
    <row r="15" spans="1:81" hidden="1" outlineLevel="1" x14ac:dyDescent="0.25">
      <c r="A15" s="11" t="s">
        <v>52</v>
      </c>
      <c r="C15" s="2" t="s">
        <v>1</v>
      </c>
      <c r="D15" s="8">
        <f>Renta_Alta!D15+Masivo!D15+Consumo_Inicial!D15</f>
        <v>28843.465090000002</v>
      </c>
      <c r="E15" s="8">
        <f>Renta_Alta!E15+Masivo!E15+Consumo_Inicial!E15</f>
        <v>28777.059279999998</v>
      </c>
      <c r="F15" s="8">
        <f>Renta_Alta!F15+Masivo!F15+Consumo_Inicial!F15</f>
        <v>29102.630529999999</v>
      </c>
      <c r="G15" s="8">
        <f>Renta_Alta!G15+Masivo!G15+Consumo_Inicial!G15</f>
        <v>29302.208150000002</v>
      </c>
      <c r="H15" s="8">
        <f>Renta_Alta!H15+Masivo!H15+Consumo_Inicial!H15</f>
        <v>28758.026289999998</v>
      </c>
      <c r="I15" s="8">
        <f>Renta_Alta!I15+Masivo!I15+Consumo_Inicial!I15</f>
        <v>29379.684709999998</v>
      </c>
      <c r="J15" s="8">
        <f>Renta_Alta!J15+Masivo!J15+Consumo_Inicial!J15</f>
        <v>29306.466740000003</v>
      </c>
      <c r="K15" s="8">
        <f>Renta_Alta!K15+Masivo!K15+Consumo_Inicial!K15</f>
        <v>28998.534990000004</v>
      </c>
      <c r="L15" s="8">
        <f>Renta_Alta!L15+Masivo!L15+Consumo_Inicial!L15</f>
        <v>28141.876770000003</v>
      </c>
      <c r="M15" s="8">
        <f>Renta_Alta!M15+Masivo!M15+Consumo_Inicial!M15</f>
        <v>27389.625819999997</v>
      </c>
      <c r="N15" s="8">
        <f>Renta_Alta!N15+Masivo!N15+Consumo_Inicial!N15</f>
        <v>26789.759259999999</v>
      </c>
      <c r="O15" s="8">
        <f>Renta_Alta!O15+Masivo!O15+Consumo_Inicial!O15</f>
        <v>27137.573829999998</v>
      </c>
      <c r="P15" s="8">
        <f>Renta_Alta!P15+Masivo!P15+Consumo_Inicial!P15</f>
        <v>26757.110380000006</v>
      </c>
      <c r="Q15" s="8">
        <f>Renta_Alta!Q15+Masivo!Q15+Consumo_Inicial!Q15</f>
        <v>25972.241119999999</v>
      </c>
      <c r="R15" s="8">
        <f>Renta_Alta!R15+Masivo!R15+Consumo_Inicial!R15</f>
        <v>24644.170310000001</v>
      </c>
      <c r="S15" s="8">
        <f>Renta_Alta!S15+Masivo!S15+Consumo_Inicial!S15</f>
        <v>23941.679560000004</v>
      </c>
      <c r="T15" s="8">
        <f>Renta_Alta!T15+Masivo!T15+Consumo_Inicial!T15</f>
        <v>23089.442430000003</v>
      </c>
      <c r="U15" s="8">
        <f>Renta_Alta!U15+Masivo!U15+Consumo_Inicial!U15</f>
        <v>22334.694769999998</v>
      </c>
      <c r="V15" s="8">
        <f>Renta_Alta!V15+Masivo!V15+Consumo_Inicial!V15</f>
        <v>21097.413710000001</v>
      </c>
      <c r="W15" s="8">
        <f>Renta_Alta!W15+Masivo!W15+Consumo_Inicial!W15</f>
        <v>20418.316750000002</v>
      </c>
      <c r="X15" s="8">
        <f>Renta_Alta!X15+Masivo!X15+Consumo_Inicial!X15</f>
        <v>19804.348939999996</v>
      </c>
      <c r="Y15" s="8">
        <f>Renta_Alta!Y15+Masivo!Y15+Consumo_Inicial!Y15</f>
        <v>19235.298290000002</v>
      </c>
      <c r="Z15" s="8">
        <f>Renta_Alta!Z15+Masivo!Z15+Consumo_Inicial!Z15</f>
        <v>20223.039189999996</v>
      </c>
      <c r="AA15" s="8">
        <f>Renta_Alta!AA15+Masivo!AA15+Consumo_Inicial!AA15</f>
        <v>21104.42945</v>
      </c>
      <c r="AB15" s="8">
        <f>Renta_Alta!AB15+Masivo!AB15+Consumo_Inicial!AB15</f>
        <v>21603.313030000001</v>
      </c>
      <c r="AC15" s="8">
        <f>Renta_Alta!AC15+Masivo!AC15+Consumo_Inicial!AC15</f>
        <v>22721.029570000002</v>
      </c>
      <c r="AD15" s="8">
        <f>Renta_Alta!AD15+Masivo!AD15+Consumo_Inicial!AD15</f>
        <v>23871.130239999999</v>
      </c>
      <c r="AE15" s="8">
        <f>Renta_Alta!AE15+Masivo!AE15+Consumo_Inicial!AE15</f>
        <v>25229.133689999999</v>
      </c>
      <c r="AF15" s="8">
        <f>Renta_Alta!AF15+Masivo!AF15+Consumo_Inicial!AF15</f>
        <v>27162.267830000001</v>
      </c>
      <c r="AG15" s="8">
        <f>Renta_Alta!AG15+Masivo!AG15+Consumo_Inicial!AG15</f>
        <v>28180.224190000001</v>
      </c>
      <c r="AH15" s="8">
        <f>Renta_Alta!AH15+Masivo!AH15+Consumo_Inicial!AH15</f>
        <v>29599.72395</v>
      </c>
      <c r="AI15" s="8">
        <f>Renta_Alta!AI15+Masivo!AI15+Consumo_Inicial!AI15</f>
        <v>29447.096600000001</v>
      </c>
      <c r="AJ15" s="8">
        <f>Renta_Alta!AJ15+Masivo!AJ15+Consumo_Inicial!AJ15</f>
        <v>29082.908209999998</v>
      </c>
      <c r="AK15" s="8">
        <f>Renta_Alta!AK15+Masivo!AK15+Consumo_Inicial!AK15</f>
        <v>29037.332900000001</v>
      </c>
      <c r="AL15" s="8">
        <f>Renta_Alta!AL15+Masivo!AL15+Consumo_Inicial!AL15</f>
        <v>29424.055130000001</v>
      </c>
      <c r="AM15" s="8">
        <f>Renta_Alta!AM15+Masivo!AM15+Consumo_Inicial!AM15</f>
        <v>30095.091429999997</v>
      </c>
      <c r="AN15" s="8">
        <f>Renta_Alta!AN15+Masivo!AN15+Consumo_Inicial!AN15</f>
        <v>30361.8</v>
      </c>
      <c r="AO15" s="8">
        <f>Renta_Alta!AO15+Masivo!AO15+Consumo_Inicial!AO15</f>
        <v>30010.489999999998</v>
      </c>
      <c r="AP15" s="8">
        <f>Renta_Alta!AP15+Masivo!AP15+Consumo_Inicial!AP15</f>
        <v>29480.79</v>
      </c>
      <c r="AQ15" s="8">
        <f>Renta_Alta!AQ15+Masivo!AQ15+Consumo_Inicial!AQ15</f>
        <v>29285.745649999993</v>
      </c>
      <c r="AR15" s="8">
        <f>Renta_Alta!AR15+Masivo!AR15+Consumo_Inicial!AR15</f>
        <v>28394.212859999996</v>
      </c>
      <c r="AS15" s="8">
        <f>Renta_Alta!AS15+Masivo!AS15+Consumo_Inicial!AS15</f>
        <v>27661.518309999989</v>
      </c>
      <c r="AT15" s="8">
        <f>Renta_Alta!AT15+Masivo!AT15+Consumo_Inicial!AT15</f>
        <v>0</v>
      </c>
      <c r="AU15" s="8">
        <f>Renta_Alta!AU15+Masivo!AU15+Consumo_Inicial!AU15</f>
        <v>0</v>
      </c>
      <c r="AV15" s="8">
        <f>Renta_Alta!AV15+Masivo!AV15+Consumo_Inicial!AV15</f>
        <v>0</v>
      </c>
      <c r="AW15" s="8">
        <f>Renta_Alta!AW15+Masivo!AW15+Consumo_Inicial!AW15</f>
        <v>0</v>
      </c>
      <c r="AX15" s="8">
        <f>Renta_Alta!AX15+Masivo!AX15+Consumo_Inicial!AX15</f>
        <v>0</v>
      </c>
      <c r="AY15" s="8">
        <f>Renta_Alta!AY15+Masivo!AY15+Consumo_Inicial!AY15</f>
        <v>0</v>
      </c>
      <c r="AZ15" s="8">
        <f>Renta_Alta!AZ15+Masivo!AZ15+Consumo_Inicial!AZ15</f>
        <v>29194.543331303259</v>
      </c>
      <c r="BA15" s="8">
        <f>Renta_Alta!BA15+Masivo!BA15+Consumo_Inicial!BA15</f>
        <v>29311.942274585461</v>
      </c>
      <c r="BB15" s="8">
        <f>Renta_Alta!BB15+Masivo!BB15+Consumo_Inicial!BB15</f>
        <v>29460.892028046186</v>
      </c>
      <c r="BC15" s="8">
        <f>Renta_Alta!BC15+Masivo!BC15+Consumo_Inicial!BC15</f>
        <v>30138.590932299918</v>
      </c>
      <c r="BD15" s="8">
        <f>Renta_Alta!BD15+Masivo!BD15+Consumo_Inicial!BD15</f>
        <v>30473.581861679882</v>
      </c>
      <c r="BE15" s="8">
        <f>Renta_Alta!BE15+Masivo!BE15+Consumo_Inicial!BE15</f>
        <v>30929.80835822667</v>
      </c>
      <c r="BF15" s="8">
        <f>Renta_Alta!BF15+Masivo!BF15+Consumo_Inicial!BF15</f>
        <v>31116.401782084686</v>
      </c>
      <c r="BG15" s="8">
        <f>Renta_Alta!BG15+Masivo!BG15+Consumo_Inicial!BG15</f>
        <v>31359.96607127368</v>
      </c>
      <c r="BH15" s="8">
        <f>Renta_Alta!BH15+Masivo!BH15+Consumo_Inicial!BH15</f>
        <v>31508.317878842397</v>
      </c>
      <c r="BI15" s="8">
        <f>Renta_Alta!BI15+Masivo!BI15+Consumo_Inicial!BI15</f>
        <v>31733.216108165449</v>
      </c>
      <c r="BJ15" s="8">
        <f>Renta_Alta!BJ15+Masivo!BJ15+Consumo_Inicial!BJ15</f>
        <v>31880.886986310878</v>
      </c>
      <c r="BK15" s="8">
        <f>Renta_Alta!BK15+Masivo!BK15+Consumo_Inicial!BK15</f>
        <v>32005.543802148146</v>
      </c>
      <c r="BO15" s="24">
        <f t="shared" si="12"/>
        <v>29506.607701999998</v>
      </c>
      <c r="BP15" s="24">
        <f t="shared" si="12"/>
        <v>29715.910085582942</v>
      </c>
      <c r="BQ15" s="24">
        <f t="shared" si="12"/>
        <v>29784.706412499996</v>
      </c>
      <c r="BR15" s="24">
        <f t="shared" si="12"/>
        <v>24117.374872</v>
      </c>
      <c r="BS15" s="24">
        <f t="shared" si="12"/>
        <v>24880.928760000003</v>
      </c>
      <c r="BT15" s="24">
        <f t="shared" si="12"/>
        <v>28956.677867999999</v>
      </c>
      <c r="BW15" s="24">
        <f t="shared" si="13"/>
        <v>147533.03850999998</v>
      </c>
      <c r="BX15" s="24">
        <f t="shared" si="13"/>
        <v>148579.55042791471</v>
      </c>
      <c r="BY15" s="24">
        <f t="shared" si="13"/>
        <v>119138.82564999998</v>
      </c>
      <c r="BZ15" s="24">
        <f t="shared" si="13"/>
        <v>120586.87436</v>
      </c>
      <c r="CA15" s="24">
        <f t="shared" si="13"/>
        <v>124404.64380000002</v>
      </c>
      <c r="CB15" s="24">
        <f t="shared" si="13"/>
        <v>144783.38933999999</v>
      </c>
    </row>
    <row r="16" spans="1:81" hidden="1" outlineLevel="1" x14ac:dyDescent="0.25">
      <c r="A16" s="11" t="s">
        <v>52</v>
      </c>
      <c r="C16" s="2" t="s">
        <v>45</v>
      </c>
      <c r="D16" s="8">
        <f>Renta_Alta!D16+Masivo!D16+Consumo_Inicial!D16</f>
        <v>81065.628570000015</v>
      </c>
      <c r="E16" s="8">
        <f>Renta_Alta!E16+Masivo!E16+Consumo_Inicial!E16</f>
        <v>79227.389989999996</v>
      </c>
      <c r="F16" s="8">
        <f>Renta_Alta!F16+Masivo!F16+Consumo_Inicial!F16</f>
        <v>80124.131680000006</v>
      </c>
      <c r="G16" s="8">
        <f>Renta_Alta!G16+Masivo!G16+Consumo_Inicial!G16</f>
        <v>78310.974749999994</v>
      </c>
      <c r="H16" s="8">
        <f>Renta_Alta!H16+Masivo!H16+Consumo_Inicial!H16</f>
        <v>75534.136790000004</v>
      </c>
      <c r="I16" s="8">
        <f>Renta_Alta!I16+Masivo!I16+Consumo_Inicial!I16</f>
        <v>72466.009159999987</v>
      </c>
      <c r="J16" s="8">
        <f>Renta_Alta!J16+Masivo!J16+Consumo_Inicial!J16</f>
        <v>67677.076079999999</v>
      </c>
      <c r="K16" s="8">
        <f>Renta_Alta!K16+Masivo!K16+Consumo_Inicial!K16</f>
        <v>69255.945359999998</v>
      </c>
      <c r="L16" s="8">
        <f>Renta_Alta!L16+Masivo!L16+Consumo_Inicial!L16</f>
        <v>71158.077829999995</v>
      </c>
      <c r="M16" s="8">
        <f>Renta_Alta!M16+Masivo!M16+Consumo_Inicial!M16</f>
        <v>72114.095149999994</v>
      </c>
      <c r="N16" s="8">
        <f>Renta_Alta!N16+Masivo!N16+Consumo_Inicial!N16</f>
        <v>70324.225839999985</v>
      </c>
      <c r="O16" s="8">
        <f>Renta_Alta!O16+Masivo!O16+Consumo_Inicial!O16</f>
        <v>70568.57882000001</v>
      </c>
      <c r="P16" s="8">
        <f>Renta_Alta!P16+Masivo!P16+Consumo_Inicial!P16</f>
        <v>76789.28349999999</v>
      </c>
      <c r="Q16" s="8">
        <f>Renta_Alta!Q16+Masivo!Q16+Consumo_Inicial!Q16</f>
        <v>76578.055670000002</v>
      </c>
      <c r="R16" s="8">
        <f>Renta_Alta!R16+Masivo!R16+Consumo_Inicial!R16</f>
        <v>73591.259689999992</v>
      </c>
      <c r="S16" s="8">
        <f>Renta_Alta!S16+Masivo!S16+Consumo_Inicial!S16</f>
        <v>76653.875209999998</v>
      </c>
      <c r="T16" s="8">
        <f>Renta_Alta!T16+Masivo!T16+Consumo_Inicial!T16</f>
        <v>74499.61828000001</v>
      </c>
      <c r="U16" s="8">
        <f>Renta_Alta!U16+Masivo!U16+Consumo_Inicial!U16</f>
        <v>71814.33749999998</v>
      </c>
      <c r="V16" s="8">
        <f>Renta_Alta!V16+Masivo!V16+Consumo_Inicial!V16</f>
        <v>73768.456770000004</v>
      </c>
      <c r="W16" s="8">
        <f>Renta_Alta!W16+Masivo!W16+Consumo_Inicial!W16</f>
        <v>80225.649239999999</v>
      </c>
      <c r="X16" s="8">
        <f>Renta_Alta!X16+Masivo!X16+Consumo_Inicial!X16</f>
        <v>87163.223350000015</v>
      </c>
      <c r="Y16" s="8">
        <f>Renta_Alta!Y16+Masivo!Y16+Consumo_Inicial!Y16</f>
        <v>87142.984549999994</v>
      </c>
      <c r="Z16" s="8">
        <f>Renta_Alta!Z16+Masivo!Z16+Consumo_Inicial!Z16</f>
        <v>85541.502260000008</v>
      </c>
      <c r="AA16" s="8">
        <f>Renta_Alta!AA16+Masivo!AA16+Consumo_Inicial!AA16</f>
        <v>91118.237959999999</v>
      </c>
      <c r="AB16" s="8">
        <f>Renta_Alta!AB16+Masivo!AB16+Consumo_Inicial!AB16</f>
        <v>102021.99403</v>
      </c>
      <c r="AC16" s="8">
        <f>Renta_Alta!AC16+Masivo!AC16+Consumo_Inicial!AC16</f>
        <v>94986.464970000001</v>
      </c>
      <c r="AD16" s="8">
        <f>Renta_Alta!AD16+Masivo!AD16+Consumo_Inicial!AD16</f>
        <v>98724.55399</v>
      </c>
      <c r="AE16" s="8">
        <f>Renta_Alta!AE16+Masivo!AE16+Consumo_Inicial!AE16</f>
        <v>99182.555550000005</v>
      </c>
      <c r="AF16" s="8">
        <f>Renta_Alta!AF16+Masivo!AF16+Consumo_Inicial!AF16</f>
        <v>96660.590920000017</v>
      </c>
      <c r="AG16" s="8">
        <f>Renta_Alta!AG16+Masivo!AG16+Consumo_Inicial!AG16</f>
        <v>101028.97473999999</v>
      </c>
      <c r="AH16" s="8">
        <f>Renta_Alta!AH16+Masivo!AH16+Consumo_Inicial!AH16</f>
        <v>100519.50011000001</v>
      </c>
      <c r="AI16" s="8">
        <f>Renta_Alta!AI16+Masivo!AI16+Consumo_Inicial!AI16</f>
        <v>104992.42253999999</v>
      </c>
      <c r="AJ16" s="8">
        <f>Renta_Alta!AJ16+Masivo!AJ16+Consumo_Inicial!AJ16</f>
        <v>109615.66532</v>
      </c>
      <c r="AK16" s="8">
        <f>Renta_Alta!AK16+Masivo!AK16+Consumo_Inicial!AK16</f>
        <v>119209.69656</v>
      </c>
      <c r="AL16" s="8">
        <f>Renta_Alta!AL16+Masivo!AL16+Consumo_Inicial!AL16</f>
        <v>120069.34238000002</v>
      </c>
      <c r="AM16" s="8">
        <f>Renta_Alta!AM16+Masivo!AM16+Consumo_Inicial!AM16</f>
        <v>119640.88290000001</v>
      </c>
      <c r="AN16" s="8">
        <f>Renta_Alta!AN16+Masivo!AN16+Consumo_Inicial!AN16</f>
        <v>130813.76000000001</v>
      </c>
      <c r="AO16" s="8">
        <f>Renta_Alta!AO16+Masivo!AO16+Consumo_Inicial!AO16</f>
        <v>132225.1</v>
      </c>
      <c r="AP16" s="8">
        <f>Renta_Alta!AP16+Masivo!AP16+Consumo_Inicial!AP16</f>
        <v>126235.12</v>
      </c>
      <c r="AQ16" s="8">
        <f>Renta_Alta!AQ16+Masivo!AQ16+Consumo_Inicial!AQ16</f>
        <v>120999.42267999997</v>
      </c>
      <c r="AR16" s="8">
        <f>Renta_Alta!AR16+Masivo!AR16+Consumo_Inicial!AR16</f>
        <v>122191.47714000003</v>
      </c>
      <c r="AS16" s="8">
        <f>Renta_Alta!AS16+Masivo!AS16+Consumo_Inicial!AS16</f>
        <v>123470.29226999996</v>
      </c>
      <c r="AT16" s="8">
        <f>Renta_Alta!AT16+Masivo!AT16+Consumo_Inicial!AT16</f>
        <v>0</v>
      </c>
      <c r="AU16" s="8">
        <f>Renta_Alta!AU16+Masivo!AU16+Consumo_Inicial!AU16</f>
        <v>0</v>
      </c>
      <c r="AV16" s="8">
        <f>Renta_Alta!AV16+Masivo!AV16+Consumo_Inicial!AV16</f>
        <v>0</v>
      </c>
      <c r="AW16" s="8">
        <f>Renta_Alta!AW16+Masivo!AW16+Consumo_Inicial!AW16</f>
        <v>0</v>
      </c>
      <c r="AX16" s="8">
        <f>Renta_Alta!AX16+Masivo!AX16+Consumo_Inicial!AX16</f>
        <v>0</v>
      </c>
      <c r="AY16" s="8">
        <f>Renta_Alta!AY16+Masivo!AY16+Consumo_Inicial!AY16</f>
        <v>0</v>
      </c>
      <c r="AZ16" s="8">
        <f>Renta_Alta!AZ16+Masivo!AZ16+Consumo_Inicial!AZ16</f>
        <v>117369.72024855202</v>
      </c>
      <c r="BA16" s="8">
        <f>Renta_Alta!BA16+Masivo!BA16+Consumo_Inicial!BA16</f>
        <v>114949.98063778861</v>
      </c>
      <c r="BB16" s="8">
        <f>Renta_Alta!BB16+Masivo!BB16+Consumo_Inicial!BB16</f>
        <v>113061.08318501485</v>
      </c>
      <c r="BC16" s="8">
        <f>Renta_Alta!BC16+Masivo!BC16+Consumo_Inicial!BC16</f>
        <v>110349.71254105367</v>
      </c>
      <c r="BD16" s="8">
        <f>Renta_Alta!BD16+Masivo!BD16+Consumo_Inicial!BD16</f>
        <v>109553.13257602755</v>
      </c>
      <c r="BE16" s="8">
        <f>Renta_Alta!BE16+Masivo!BE16+Consumo_Inicial!BE16</f>
        <v>108768.2547090267</v>
      </c>
      <c r="BF16" s="8">
        <f>Renta_Alta!BF16+Masivo!BF16+Consumo_Inicial!BF16</f>
        <v>107563.83998514563</v>
      </c>
      <c r="BG16" s="8">
        <f>Renta_Alta!BG16+Masivo!BG16+Consumo_Inicial!BG16</f>
        <v>108170.3574485779</v>
      </c>
      <c r="BH16" s="8">
        <f>Renta_Alta!BH16+Masivo!BH16+Consumo_Inicial!BH16</f>
        <v>107219.33020443001</v>
      </c>
      <c r="BI16" s="8">
        <f>Renta_Alta!BI16+Masivo!BI16+Consumo_Inicial!BI16</f>
        <v>106963.28097713682</v>
      </c>
      <c r="BJ16" s="8">
        <f>Renta_Alta!BJ16+Masivo!BJ16+Consumo_Inicial!BJ16</f>
        <v>106970.61404807431</v>
      </c>
      <c r="BK16" s="8">
        <f>Renta_Alta!BK16+Masivo!BK16+Consumo_Inicial!BK16</f>
        <v>107145.42764772922</v>
      </c>
      <c r="BO16" s="24">
        <f t="shared" si="12"/>
        <v>126492.97596399998</v>
      </c>
      <c r="BP16" s="24">
        <f t="shared" si="12"/>
        <v>113056.72583768734</v>
      </c>
      <c r="BQ16" s="24">
        <f t="shared" si="12"/>
        <v>127568.35066999999</v>
      </c>
      <c r="BR16" s="24">
        <f t="shared" si="12"/>
        <v>98315.231891999996</v>
      </c>
      <c r="BS16" s="24">
        <f t="shared" si="12"/>
        <v>75622.418470000004</v>
      </c>
      <c r="BT16" s="24">
        <f t="shared" si="12"/>
        <v>78852.452355999994</v>
      </c>
      <c r="BW16" s="24">
        <f t="shared" si="13"/>
        <v>632464.87981999991</v>
      </c>
      <c r="BX16" s="24">
        <f t="shared" si="13"/>
        <v>565283.62918843667</v>
      </c>
      <c r="BY16" s="24">
        <f t="shared" si="13"/>
        <v>510273.40267999994</v>
      </c>
      <c r="BZ16" s="24">
        <f t="shared" si="13"/>
        <v>491576.15946</v>
      </c>
      <c r="CA16" s="24">
        <f t="shared" si="13"/>
        <v>378112.09234999999</v>
      </c>
      <c r="CB16" s="24">
        <f t="shared" si="13"/>
        <v>394262.26178</v>
      </c>
    </row>
    <row r="17" spans="1:80" collapsed="1" x14ac:dyDescent="0.25">
      <c r="C17" s="3" t="s">
        <v>56</v>
      </c>
      <c r="D17" s="10">
        <f>SUM(D14:D16)</f>
        <v>4739579.8617056897</v>
      </c>
      <c r="E17" s="10">
        <f t="shared" ref="E17:BK17" si="14">SUM(E14:E16)</f>
        <v>4813229.7413674202</v>
      </c>
      <c r="F17" s="10">
        <f t="shared" si="14"/>
        <v>4878316.2927000001</v>
      </c>
      <c r="G17" s="10">
        <f t="shared" si="14"/>
        <v>4941152.5173806809</v>
      </c>
      <c r="H17" s="10">
        <f t="shared" si="14"/>
        <v>4989236.1216926398</v>
      </c>
      <c r="I17" s="10">
        <f t="shared" si="14"/>
        <v>5050354.8080515005</v>
      </c>
      <c r="J17" s="10">
        <f t="shared" si="14"/>
        <v>5100764.0560238399</v>
      </c>
      <c r="K17" s="10">
        <f t="shared" si="14"/>
        <v>5157838.5417663194</v>
      </c>
      <c r="L17" s="10">
        <f t="shared" si="14"/>
        <v>5217471.3104077</v>
      </c>
      <c r="M17" s="10">
        <f t="shared" si="14"/>
        <v>5272913.5755137503</v>
      </c>
      <c r="N17" s="10">
        <f t="shared" si="14"/>
        <v>5330942.2558724005</v>
      </c>
      <c r="O17" s="10">
        <f t="shared" si="14"/>
        <v>5370302.9722264307</v>
      </c>
      <c r="P17" s="10">
        <f t="shared" si="14"/>
        <v>5405565.1685249601</v>
      </c>
      <c r="Q17" s="10">
        <f t="shared" si="14"/>
        <v>5467638.8461770397</v>
      </c>
      <c r="R17" s="10">
        <f t="shared" si="14"/>
        <v>5540577.2932078494</v>
      </c>
      <c r="S17" s="10">
        <f t="shared" si="14"/>
        <v>5630188.2879881207</v>
      </c>
      <c r="T17" s="10">
        <f t="shared" si="14"/>
        <v>5703455.8262994001</v>
      </c>
      <c r="U17" s="10">
        <f t="shared" si="14"/>
        <v>5785256.5749786086</v>
      </c>
      <c r="V17" s="10">
        <f t="shared" si="14"/>
        <v>5862740.2164342999</v>
      </c>
      <c r="W17" s="10">
        <f t="shared" si="14"/>
        <v>5911410.2170716012</v>
      </c>
      <c r="X17" s="10">
        <f t="shared" si="14"/>
        <v>5933098.7738752998</v>
      </c>
      <c r="Y17" s="10">
        <f t="shared" si="14"/>
        <v>5730492.1052342001</v>
      </c>
      <c r="Z17" s="10">
        <f t="shared" si="14"/>
        <v>5875059.5913103009</v>
      </c>
      <c r="AA17" s="10">
        <f t="shared" si="14"/>
        <v>5814691.3161892993</v>
      </c>
      <c r="AB17" s="10">
        <f t="shared" si="14"/>
        <v>5758368.1866001002</v>
      </c>
      <c r="AC17" s="10">
        <f t="shared" si="14"/>
        <v>5724069.8206170006</v>
      </c>
      <c r="AD17" s="10">
        <f t="shared" si="14"/>
        <v>5720435.5907838996</v>
      </c>
      <c r="AE17" s="10">
        <f t="shared" si="14"/>
        <v>5702892.8393412996</v>
      </c>
      <c r="AF17" s="10">
        <f t="shared" si="14"/>
        <v>5721954.8200109992</v>
      </c>
      <c r="AG17" s="10">
        <f t="shared" si="14"/>
        <v>5737948.0040586004</v>
      </c>
      <c r="AH17" s="10">
        <f t="shared" si="14"/>
        <v>5765182.2309468593</v>
      </c>
      <c r="AI17" s="10">
        <f t="shared" si="14"/>
        <v>5796814.1913299989</v>
      </c>
      <c r="AJ17" s="10">
        <f t="shared" si="14"/>
        <v>5820275.0016765986</v>
      </c>
      <c r="AK17" s="10">
        <f t="shared" si="14"/>
        <v>5810498.6469451003</v>
      </c>
      <c r="AL17" s="10">
        <f t="shared" si="14"/>
        <v>5767149.6654107003</v>
      </c>
      <c r="AM17" s="10">
        <f t="shared" si="14"/>
        <v>5716484.2664144002</v>
      </c>
      <c r="AN17" s="10">
        <f t="shared" si="14"/>
        <v>5676408.2299999995</v>
      </c>
      <c r="AO17" s="10">
        <f t="shared" si="14"/>
        <v>5648366.0700000003</v>
      </c>
      <c r="AP17" s="10">
        <f t="shared" si="14"/>
        <v>5639313.1900000004</v>
      </c>
      <c r="AQ17" s="10">
        <f t="shared" si="14"/>
        <v>5650487.3402046682</v>
      </c>
      <c r="AR17" s="10">
        <f t="shared" si="14"/>
        <v>5670889.3073795317</v>
      </c>
      <c r="AS17" s="10">
        <f t="shared" si="14"/>
        <v>5694594.0267867986</v>
      </c>
      <c r="AT17" s="10">
        <f t="shared" si="14"/>
        <v>0</v>
      </c>
      <c r="AU17" s="10">
        <f t="shared" si="14"/>
        <v>0</v>
      </c>
      <c r="AV17" s="10">
        <f t="shared" si="14"/>
        <v>0</v>
      </c>
      <c r="AW17" s="10">
        <f t="shared" si="14"/>
        <v>0</v>
      </c>
      <c r="AX17" s="10">
        <f t="shared" si="14"/>
        <v>0</v>
      </c>
      <c r="AY17" s="10">
        <f t="shared" si="14"/>
        <v>0</v>
      </c>
      <c r="AZ17" s="10">
        <f t="shared" si="14"/>
        <v>5901585.2307904009</v>
      </c>
      <c r="BA17" s="10">
        <f t="shared" si="14"/>
        <v>5919552.6732561225</v>
      </c>
      <c r="BB17" s="10">
        <f t="shared" si="14"/>
        <v>5953402.1245734021</v>
      </c>
      <c r="BC17" s="10">
        <f t="shared" si="14"/>
        <v>5976418.953519783</v>
      </c>
      <c r="BD17" s="10">
        <f t="shared" si="14"/>
        <v>5998577.8589657061</v>
      </c>
      <c r="BE17" s="10">
        <f t="shared" si="14"/>
        <v>6026956.8227981338</v>
      </c>
      <c r="BF17" s="10">
        <f t="shared" si="14"/>
        <v>6056606.8209951185</v>
      </c>
      <c r="BG17" s="10">
        <f t="shared" si="14"/>
        <v>6086825.0923763737</v>
      </c>
      <c r="BH17" s="10">
        <f t="shared" si="14"/>
        <v>6124948.5367591707</v>
      </c>
      <c r="BI17" s="10">
        <f t="shared" si="14"/>
        <v>6154974.9456465831</v>
      </c>
      <c r="BJ17" s="10">
        <f t="shared" si="14"/>
        <v>6183349.1274202373</v>
      </c>
      <c r="BK17" s="10">
        <f t="shared" si="14"/>
        <v>6204904.2499099094</v>
      </c>
      <c r="BO17" s="23">
        <f>SUM(BO14:BO16)</f>
        <v>5657092.8275168408</v>
      </c>
      <c r="BP17" s="23">
        <f t="shared" ref="BP17:BT17" si="15">SUM(BP14:BP16)</f>
        <v>5949907.3682210818</v>
      </c>
      <c r="BQ17" s="23">
        <f t="shared" si="15"/>
        <v>5653643.7075511664</v>
      </c>
      <c r="BR17" s="23">
        <f t="shared" si="15"/>
        <v>5725544.2514706608</v>
      </c>
      <c r="BS17" s="23">
        <f t="shared" si="15"/>
        <v>5549485.0844394732</v>
      </c>
      <c r="BT17" s="23">
        <f t="shared" si="15"/>
        <v>4872302.9069692865</v>
      </c>
      <c r="BW17" s="23">
        <f>SUM(BW14:BW16)</f>
        <v>28285464.137584198</v>
      </c>
      <c r="BX17" s="23">
        <f t="shared" ref="BX17:CB17" si="16">SUM(BX14:BX16)</f>
        <v>29749536.841105409</v>
      </c>
      <c r="BY17" s="23">
        <f t="shared" si="16"/>
        <v>22614574.830204666</v>
      </c>
      <c r="BZ17" s="23">
        <f t="shared" si="16"/>
        <v>28627721.257353302</v>
      </c>
      <c r="CA17" s="23">
        <f t="shared" si="16"/>
        <v>27747425.422197368</v>
      </c>
      <c r="CB17" s="23">
        <f t="shared" si="16"/>
        <v>24361514.534846429</v>
      </c>
    </row>
    <row r="18" spans="1:80" x14ac:dyDescent="0.25">
      <c r="D18" s="9">
        <f>'[1]Desempeño Financiero (Evol)'!BE106</f>
        <v>4739579.8615756901</v>
      </c>
      <c r="E18" s="9">
        <f>'[1]Desempeño Financiero (Evol)'!BF106</f>
        <v>4813229.7409774195</v>
      </c>
      <c r="F18" s="9">
        <f>'[1]Desempeño Financiero (Evol)'!BG106</f>
        <v>4878316.2929800004</v>
      </c>
      <c r="G18" s="9">
        <f>'[1]Desempeño Financiero (Evol)'!BH106</f>
        <v>4941152.5175006809</v>
      </c>
      <c r="H18" s="9">
        <f>'[1]Desempeño Financiero (Evol)'!BI106</f>
        <v>4989236.12147264</v>
      </c>
      <c r="I18" s="9">
        <f>'[1]Desempeño Financiero (Evol)'!BJ106</f>
        <v>5050354.8083515</v>
      </c>
      <c r="J18" s="9">
        <f>'[1]Desempeño Financiero (Evol)'!BK106</f>
        <v>5100764.0555138402</v>
      </c>
      <c r="K18" s="9">
        <f>'[1]Desempeño Financiero (Evol)'!BL106</f>
        <v>5157838.54153632</v>
      </c>
      <c r="L18" s="9">
        <f>'[1]Desempeño Financiero (Evol)'!BM106</f>
        <v>5217471.3106177002</v>
      </c>
      <c r="M18" s="9">
        <f>'[1]Desempeño Financiero (Evol)'!BN106</f>
        <v>5272913.5759137506</v>
      </c>
      <c r="N18" s="9">
        <f>'[1]Desempeño Financiero (Evol)'!BO106</f>
        <v>5330942.2554023992</v>
      </c>
      <c r="O18" s="9">
        <f>'[1]Desempeño Financiero (Evol)'!BP106</f>
        <v>5370302.9725264302</v>
      </c>
      <c r="P18" s="9">
        <f>'[1]Desempeño Financiero (Evol)'!BQ106</f>
        <v>5405565.1680449611</v>
      </c>
      <c r="Q18" s="9">
        <f>'[1]Desempeño Financiero (Evol)'!BR106</f>
        <v>5467638.8464470403</v>
      </c>
      <c r="R18" s="9">
        <f>'[1]Desempeño Financiero (Evol)'!BS106</f>
        <v>5540577.2927648211</v>
      </c>
      <c r="S18" s="9">
        <f>'[1]Desempeño Financiero (Evol)'!BT106</f>
        <v>5630188.2883581603</v>
      </c>
      <c r="T18" s="9">
        <f>'[1]Desempeño Financiero (Evol)'!BU106</f>
        <v>5703455.8262294</v>
      </c>
      <c r="U18" s="9">
        <f>'[1]Desempeño Financiero (Evol)'!BV106</f>
        <v>5785256.5746286102</v>
      </c>
      <c r="V18" s="9">
        <f>'[1]Desempeño Financiero (Evol)'!BW106</f>
        <v>5862740.2163143596</v>
      </c>
      <c r="W18" s="9">
        <f>'[1]Desempeño Financiero (Evol)'!BX106</f>
        <v>5911410.2166595394</v>
      </c>
      <c r="X18" s="9">
        <f>'[1]Desempeño Financiero (Evol)'!BY106</f>
        <v>5933098.7741853595</v>
      </c>
      <c r="Y18" s="9">
        <f>'[1]Desempeño Financiero (Evol)'!BZ106</f>
        <v>5917690.6319900025</v>
      </c>
      <c r="Z18" s="9">
        <f>'[1]Desempeño Financiero (Evol)'!CA106</f>
        <v>5875059.5908703208</v>
      </c>
      <c r="AA18" s="9">
        <f>'[1]Desempeño Financiero (Evol)'!CB106</f>
        <v>5814691.3159392495</v>
      </c>
      <c r="AB18" s="9">
        <f>'[1]Desempeño Financiero (Evol)'!CC106</f>
        <v>5758368.1865201201</v>
      </c>
      <c r="AC18" s="9">
        <f>'[1]Desempeño Financiero (Evol)'!CD106</f>
        <v>5724069.8208369995</v>
      </c>
      <c r="AD18" s="9">
        <f>'[1]Desempeño Financiero (Evol)'!CE106</f>
        <v>5720435.5908438796</v>
      </c>
      <c r="AE18" s="9">
        <f>'[1]Desempeño Financiero (Evol)'!CF106</f>
        <v>5702892.8390412498</v>
      </c>
      <c r="AF18" s="9">
        <f>'[1]Desempeño Financiero (Evol)'!CG106</f>
        <v>5721954.8200110001</v>
      </c>
      <c r="AG18" s="9">
        <f>'[1]Desempeño Financiero (Evol)'!CH106</f>
        <v>5737948.0039885994</v>
      </c>
      <c r="AH18" s="9">
        <f>'[1]Desempeño Financiero (Evol)'!CI106</f>
        <v>5765182.23103684</v>
      </c>
      <c r="AI18" s="9">
        <f>'[1]Desempeño Financiero (Evol)'!CJ106</f>
        <v>5796814.1914899005</v>
      </c>
      <c r="AJ18" s="9">
        <f>'[1]Desempeño Financiero (Evol)'!CK106</f>
        <v>5820275.0016665896</v>
      </c>
      <c r="AK18" s="9">
        <f>'[1]Desempeño Financiero (Evol)'!CL106</f>
        <v>5810498.6471151207</v>
      </c>
      <c r="AL18" s="9">
        <f>'[1]Desempeño Financiero (Evol)'!CM106</f>
        <v>5767149.6653707009</v>
      </c>
      <c r="AM18" s="9">
        <f>'[1]Desempeño Financiero (Evol)'!CN106</f>
        <v>5716484.2659344599</v>
      </c>
      <c r="AN18" s="9">
        <f>'[1]Desempeño Financiero (Evol)'!CO106</f>
        <v>5676408.2300000014</v>
      </c>
      <c r="AO18" s="9">
        <f>'[1]Desempeño Financiero (Evol)'!CP106</f>
        <v>5648366.0700000003</v>
      </c>
      <c r="AZ18" s="9">
        <f>'[1]Desempeño Financiero (Evol)'!DA106</f>
        <v>5901585.2307903999</v>
      </c>
      <c r="BA18" s="9">
        <f>'[1]Desempeño Financiero (Evol)'!DB106</f>
        <v>5919552.6732561225</v>
      </c>
      <c r="BB18" s="9">
        <f>'[1]Desempeño Financiero (Evol)'!DC106</f>
        <v>5953402.1245734021</v>
      </c>
      <c r="BC18" s="9">
        <f>'[1]Desempeño Financiero (Evol)'!DD106</f>
        <v>5976418.9535197821</v>
      </c>
      <c r="BD18" s="9">
        <f>'[1]Desempeño Financiero (Evol)'!DE106</f>
        <v>5998577.8589657061</v>
      </c>
      <c r="BE18" s="9">
        <f>'[1]Desempeño Financiero (Evol)'!DF106</f>
        <v>6026956.8227981329</v>
      </c>
      <c r="BF18" s="9">
        <f>'[1]Desempeño Financiero (Evol)'!DG106</f>
        <v>6056606.8209951194</v>
      </c>
      <c r="BG18" s="9">
        <f>'[1]Desempeño Financiero (Evol)'!DH106</f>
        <v>6086825.0923763728</v>
      </c>
      <c r="BH18" s="9">
        <f>'[1]Desempeño Financiero (Evol)'!DI106</f>
        <v>6124948.5367591707</v>
      </c>
      <c r="BI18" s="9">
        <f>'[1]Desempeño Financiero (Evol)'!DJ106</f>
        <v>6154974.9456465831</v>
      </c>
      <c r="BJ18" s="9">
        <f>'[1]Desempeño Financiero (Evol)'!DK106</f>
        <v>6183349.1274202373</v>
      </c>
      <c r="BK18" s="9">
        <f>'[1]Desempeño Financiero (Evol)'!DL106</f>
        <v>6204904.2499099085</v>
      </c>
    </row>
    <row r="19" spans="1:80" x14ac:dyDescent="0.25">
      <c r="D19" s="51">
        <f>D18-D17</f>
        <v>-1.2999959290027618E-4</v>
      </c>
      <c r="E19" s="51">
        <f t="shared" ref="E19:AN19" si="17">E18-E17</f>
        <v>-3.9000064134597778E-4</v>
      </c>
      <c r="F19" s="51">
        <f t="shared" si="17"/>
        <v>2.8000026941299438E-4</v>
      </c>
      <c r="G19" s="51">
        <f t="shared" si="17"/>
        <v>1.1999998241662979E-4</v>
      </c>
      <c r="H19" s="51">
        <f t="shared" si="17"/>
        <v>-2.1999981254339218E-4</v>
      </c>
      <c r="I19" s="51">
        <f t="shared" si="17"/>
        <v>2.9999949038028717E-4</v>
      </c>
      <c r="J19" s="51">
        <f t="shared" si="17"/>
        <v>-5.0999969244003296E-4</v>
      </c>
      <c r="K19" s="51">
        <f t="shared" si="17"/>
        <v>-2.2999942302703857E-4</v>
      </c>
      <c r="L19" s="51">
        <f t="shared" si="17"/>
        <v>2.1000020205974579E-4</v>
      </c>
      <c r="M19" s="51">
        <f t="shared" si="17"/>
        <v>4.0000025182962418E-4</v>
      </c>
      <c r="N19" s="51">
        <f t="shared" si="17"/>
        <v>-4.7000125050544739E-4</v>
      </c>
      <c r="O19" s="51">
        <f t="shared" si="17"/>
        <v>2.9999949038028717E-4</v>
      </c>
      <c r="P19" s="51">
        <f t="shared" si="17"/>
        <v>-4.7999899834394455E-4</v>
      </c>
      <c r="Q19" s="51">
        <f t="shared" si="17"/>
        <v>2.7000065892934799E-4</v>
      </c>
      <c r="R19" s="51">
        <f t="shared" si="17"/>
        <v>-4.430282860994339E-4</v>
      </c>
      <c r="S19" s="51">
        <f t="shared" si="17"/>
        <v>3.7003960460424423E-4</v>
      </c>
      <c r="T19" s="51">
        <f t="shared" si="17"/>
        <v>-7.0000067353248596E-5</v>
      </c>
      <c r="U19" s="51">
        <f t="shared" si="17"/>
        <v>-3.4999847412109375E-4</v>
      </c>
      <c r="V19" s="51">
        <f t="shared" si="17"/>
        <v>-1.199403777718544E-4</v>
      </c>
      <c r="W19" s="51">
        <f t="shared" si="17"/>
        <v>-4.1206181049346924E-4</v>
      </c>
      <c r="X19" s="51">
        <f t="shared" si="17"/>
        <v>3.1005963683128357E-4</v>
      </c>
      <c r="Y19" s="51">
        <f t="shared" si="17"/>
        <v>187198.52675580233</v>
      </c>
      <c r="Z19" s="51">
        <f t="shared" si="17"/>
        <v>-4.3998006731271744E-4</v>
      </c>
      <c r="AA19" s="51">
        <f t="shared" si="17"/>
        <v>-2.5004986673593521E-4</v>
      </c>
      <c r="AB19" s="51">
        <f t="shared" si="17"/>
        <v>-7.9980120062828064E-5</v>
      </c>
      <c r="AC19" s="51">
        <f t="shared" si="17"/>
        <v>2.1999888122081757E-4</v>
      </c>
      <c r="AD19" s="51">
        <f t="shared" si="17"/>
        <v>5.9979967772960663E-5</v>
      </c>
      <c r="AE19" s="51">
        <f t="shared" si="17"/>
        <v>-3.0004978179931641E-4</v>
      </c>
      <c r="AF19" s="51">
        <f t="shared" si="17"/>
        <v>0</v>
      </c>
      <c r="AG19" s="51">
        <f t="shared" si="17"/>
        <v>-7.0000998675823212E-5</v>
      </c>
      <c r="AH19" s="51">
        <f t="shared" si="17"/>
        <v>8.9980661869049072E-5</v>
      </c>
      <c r="AI19" s="51">
        <f t="shared" si="17"/>
        <v>1.5990156680345535E-4</v>
      </c>
      <c r="AJ19" s="51">
        <f t="shared" si="17"/>
        <v>-1.0008923709392548E-5</v>
      </c>
      <c r="AK19" s="51">
        <f t="shared" si="17"/>
        <v>1.7002038657665253E-4</v>
      </c>
      <c r="AL19" s="51">
        <f t="shared" si="17"/>
        <v>-3.9999373257160187E-5</v>
      </c>
      <c r="AM19" s="51">
        <f t="shared" si="17"/>
        <v>-4.7994032502174377E-4</v>
      </c>
      <c r="AN19" s="51">
        <f t="shared" si="17"/>
        <v>0</v>
      </c>
      <c r="AO19" s="51">
        <f t="shared" ref="AO19" si="18">AO18-AO17</f>
        <v>0</v>
      </c>
      <c r="AZ19" s="51">
        <f t="shared" ref="AZ19:BK19" si="19">AZ18-AZ17</f>
        <v>0</v>
      </c>
      <c r="BA19" s="51">
        <f t="shared" si="19"/>
        <v>0</v>
      </c>
      <c r="BB19" s="51">
        <f t="shared" si="19"/>
        <v>0</v>
      </c>
      <c r="BC19" s="51">
        <f t="shared" si="19"/>
        <v>0</v>
      </c>
      <c r="BD19" s="51">
        <f t="shared" si="19"/>
        <v>0</v>
      </c>
      <c r="BE19" s="51">
        <f t="shared" si="19"/>
        <v>0</v>
      </c>
      <c r="BF19" s="51">
        <f t="shared" si="19"/>
        <v>0</v>
      </c>
      <c r="BG19" s="51">
        <f t="shared" si="19"/>
        <v>0</v>
      </c>
      <c r="BH19" s="51">
        <f t="shared" si="19"/>
        <v>0</v>
      </c>
      <c r="BI19" s="51">
        <f t="shared" si="19"/>
        <v>0</v>
      </c>
      <c r="BJ19" s="51">
        <f t="shared" si="19"/>
        <v>0</v>
      </c>
      <c r="BK19" s="51">
        <f t="shared" si="19"/>
        <v>0</v>
      </c>
    </row>
    <row r="20" spans="1:80" hidden="1" outlineLevel="1" x14ac:dyDescent="0.25">
      <c r="A20" s="11"/>
      <c r="C20" s="2" t="s">
        <v>0</v>
      </c>
      <c r="D20" s="14">
        <f>IFERROR(((1+D38/D14)^(360/D$3))-1,0)</f>
        <v>0.12197166450184027</v>
      </c>
      <c r="E20" s="14">
        <f t="shared" ref="E20:AY23" si="20">IFERROR(((1+E38/E14)^(360/E$3))-1,0)</f>
        <v>0.11955985377614065</v>
      </c>
      <c r="F20" s="14">
        <f t="shared" si="20"/>
        <v>0.11942598067513055</v>
      </c>
      <c r="G20" s="14">
        <f t="shared" si="20"/>
        <v>0.1186527939168156</v>
      </c>
      <c r="H20" s="14">
        <f t="shared" si="20"/>
        <v>0.11933461071174056</v>
      </c>
      <c r="I20" s="14">
        <f t="shared" si="20"/>
        <v>0.12096762956253126</v>
      </c>
      <c r="J20" s="14">
        <f t="shared" si="20"/>
        <v>0.12028551505529661</v>
      </c>
      <c r="K20" s="14">
        <f t="shared" si="20"/>
        <v>0.12117119908341034</v>
      </c>
      <c r="L20" s="14">
        <f t="shared" si="20"/>
        <v>0.12084282887838049</v>
      </c>
      <c r="M20" s="14">
        <f t="shared" si="20"/>
        <v>0.12003951355090225</v>
      </c>
      <c r="N20" s="14">
        <f t="shared" si="20"/>
        <v>0.1199694298947005</v>
      </c>
      <c r="O20" s="14">
        <f t="shared" si="20"/>
        <v>0.12015253766893541</v>
      </c>
      <c r="P20" s="14">
        <f t="shared" si="20"/>
        <v>0.11956772926850467</v>
      </c>
      <c r="Q20" s="14">
        <f t="shared" si="20"/>
        <v>0.12223699173246083</v>
      </c>
      <c r="R20" s="14">
        <f t="shared" si="20"/>
        <v>0.11820568509177098</v>
      </c>
      <c r="S20" s="14">
        <f t="shared" si="20"/>
        <v>0.11583131808286717</v>
      </c>
      <c r="T20" s="14">
        <f t="shared" si="20"/>
        <v>0.11834040373761634</v>
      </c>
      <c r="U20" s="14">
        <f t="shared" si="20"/>
        <v>0.11855584445207024</v>
      </c>
      <c r="V20" s="14">
        <f t="shared" si="20"/>
        <v>0.11903471932343179</v>
      </c>
      <c r="W20" s="14">
        <f t="shared" si="20"/>
        <v>0.11910853921683096</v>
      </c>
      <c r="X20" s="14">
        <f t="shared" si="20"/>
        <v>0.11958655509555727</v>
      </c>
      <c r="Y20" s="14">
        <f t="shared" si="20"/>
        <v>0.12287421176639923</v>
      </c>
      <c r="Z20" s="14">
        <f t="shared" si="20"/>
        <v>0.11912720496824236</v>
      </c>
      <c r="AA20" s="14">
        <f t="shared" si="20"/>
        <v>0.11795390059070243</v>
      </c>
      <c r="AB20" s="14">
        <f t="shared" si="20"/>
        <v>0.11838665960152306</v>
      </c>
      <c r="AC20" s="14">
        <f t="shared" si="20"/>
        <v>0.11767393106166435</v>
      </c>
      <c r="AD20" s="14">
        <f t="shared" si="20"/>
        <v>0.11858115161228544</v>
      </c>
      <c r="AE20" s="14">
        <f t="shared" si="20"/>
        <v>0.11785491941209014</v>
      </c>
      <c r="AF20" s="14">
        <f t="shared" si="20"/>
        <v>0.11892968463275921</v>
      </c>
      <c r="AG20" s="14">
        <f t="shared" si="20"/>
        <v>0.1174834395417037</v>
      </c>
      <c r="AH20" s="14">
        <f t="shared" si="20"/>
        <v>0.11715896252816438</v>
      </c>
      <c r="AI20" s="14">
        <f t="shared" si="20"/>
        <v>0.11561323662275891</v>
      </c>
      <c r="AJ20" s="14">
        <f t="shared" si="20"/>
        <v>0.11624460687116644</v>
      </c>
      <c r="AK20" s="14">
        <f t="shared" si="20"/>
        <v>0.11746785549505034</v>
      </c>
      <c r="AL20" s="14">
        <f t="shared" si="20"/>
        <v>0.11631338014391446</v>
      </c>
      <c r="AM20" s="14">
        <f t="shared" si="20"/>
        <v>0.1160645432782017</v>
      </c>
      <c r="AN20" s="14">
        <f t="shared" si="20"/>
        <v>0.11499837225613652</v>
      </c>
      <c r="AO20" s="14">
        <f t="shared" si="20"/>
        <v>0.11386643801045082</v>
      </c>
      <c r="AP20" s="14">
        <f t="shared" si="20"/>
        <v>0.11418706412933877</v>
      </c>
      <c r="AQ20" s="14">
        <f t="shared" si="20"/>
        <v>0.11363050440025391</v>
      </c>
      <c r="AR20" s="14">
        <f t="shared" si="20"/>
        <v>0.11338470217976071</v>
      </c>
      <c r="AS20" s="14">
        <f t="shared" si="20"/>
        <v>0.11210797707665865</v>
      </c>
      <c r="AT20" s="14">
        <f t="shared" si="20"/>
        <v>0</v>
      </c>
      <c r="AU20" s="14">
        <f t="shared" si="20"/>
        <v>0</v>
      </c>
      <c r="AV20" s="14">
        <f t="shared" si="20"/>
        <v>0</v>
      </c>
      <c r="AW20" s="14">
        <f t="shared" si="20"/>
        <v>0</v>
      </c>
      <c r="AX20" s="14">
        <f t="shared" si="20"/>
        <v>0</v>
      </c>
      <c r="AY20" s="14">
        <f t="shared" si="20"/>
        <v>0</v>
      </c>
      <c r="AZ20" s="14">
        <f t="shared" ref="AZ20:BK20" si="21">IFERROR(((1+AZ38/AZ14)^(360/AZ$3))-1,0)</f>
        <v>0.11461126579049008</v>
      </c>
      <c r="BA20" s="14">
        <f t="shared" si="21"/>
        <v>0.11523367464253487</v>
      </c>
      <c r="BB20" s="14">
        <f t="shared" si="21"/>
        <v>0.11354065776573274</v>
      </c>
      <c r="BC20" s="14">
        <f t="shared" si="21"/>
        <v>0.11392632367420585</v>
      </c>
      <c r="BD20" s="14">
        <f t="shared" si="21"/>
        <v>0.11336707332270701</v>
      </c>
      <c r="BE20" s="14">
        <f t="shared" si="21"/>
        <v>0.1133109538936361</v>
      </c>
      <c r="BF20" s="14">
        <f t="shared" si="21"/>
        <v>0.11353315411623766</v>
      </c>
      <c r="BG20" s="14">
        <f t="shared" si="21"/>
        <v>0.11346847901001</v>
      </c>
      <c r="BH20" s="14">
        <f t="shared" si="21"/>
        <v>0.11315898300546245</v>
      </c>
      <c r="BI20" s="14">
        <f t="shared" si="21"/>
        <v>0.11373665499323704</v>
      </c>
      <c r="BJ20" s="14">
        <f t="shared" si="21"/>
        <v>0.11286645864930422</v>
      </c>
      <c r="BK20" s="14">
        <f t="shared" si="21"/>
        <v>0.11343737716434421</v>
      </c>
      <c r="BO20" s="28">
        <f>IFERROR(((1+BO38/BW14)^(360/BO$3))-1,0)</f>
        <v>0.11401333636761657</v>
      </c>
      <c r="BP20" s="28">
        <f t="shared" ref="BP20:BT23" si="22">IFERROR(((1+BP38/BX14)^(360/BP$3))-1,0)</f>
        <v>0.11413189696859938</v>
      </c>
      <c r="BQ20" s="28">
        <f t="shared" si="22"/>
        <v>0.11417123262650986</v>
      </c>
      <c r="BR20" s="28">
        <f t="shared" si="22"/>
        <v>0.11828543314256157</v>
      </c>
      <c r="BS20" s="28">
        <f t="shared" si="22"/>
        <v>0.11880863703627287</v>
      </c>
      <c r="BT20" s="28">
        <f t="shared" si="22"/>
        <v>0.11977101943585744</v>
      </c>
    </row>
    <row r="21" spans="1:80" hidden="1" outlineLevel="1" x14ac:dyDescent="0.25">
      <c r="A21" s="11"/>
      <c r="C21" s="2" t="s">
        <v>1</v>
      </c>
      <c r="D21" s="14">
        <f t="shared" ref="D21:S23" si="23">IFERROR(((1+D39/D15)^(360/D$3))-1,0)</f>
        <v>0.11559666617575282</v>
      </c>
      <c r="E21" s="14">
        <f t="shared" si="23"/>
        <v>0.11204083788131913</v>
      </c>
      <c r="F21" s="14">
        <f t="shared" si="23"/>
        <v>0.10748942951569029</v>
      </c>
      <c r="G21" s="14">
        <f t="shared" si="23"/>
        <v>0.10999219215874456</v>
      </c>
      <c r="H21" s="14">
        <f t="shared" si="23"/>
        <v>0.10262374320854173</v>
      </c>
      <c r="I21" s="14">
        <f t="shared" si="23"/>
        <v>0.10562022753878608</v>
      </c>
      <c r="J21" s="14">
        <f t="shared" si="23"/>
        <v>0.12399520523030949</v>
      </c>
      <c r="K21" s="14">
        <f t="shared" si="23"/>
        <v>0.11668801698212583</v>
      </c>
      <c r="L21" s="14">
        <f t="shared" si="23"/>
        <v>0.11679284129609502</v>
      </c>
      <c r="M21" s="14">
        <f t="shared" si="23"/>
        <v>0.11635187346941311</v>
      </c>
      <c r="N21" s="14">
        <f t="shared" si="23"/>
        <v>0.1163403446262079</v>
      </c>
      <c r="O21" s="14">
        <f t="shared" si="23"/>
        <v>0.11615096850900852</v>
      </c>
      <c r="P21" s="14">
        <f t="shared" si="23"/>
        <v>0.11401428617968734</v>
      </c>
      <c r="Q21" s="14">
        <f t="shared" si="23"/>
        <v>0.10970792220687109</v>
      </c>
      <c r="R21" s="14">
        <f t="shared" si="23"/>
        <v>0.11393583616888581</v>
      </c>
      <c r="S21" s="14">
        <f t="shared" si="23"/>
        <v>0.10909396035025454</v>
      </c>
      <c r="T21" s="14">
        <f t="shared" si="20"/>
        <v>0.1167099557060971</v>
      </c>
      <c r="U21" s="14">
        <f t="shared" si="20"/>
        <v>0.10480192737218474</v>
      </c>
      <c r="V21" s="14">
        <f t="shared" si="20"/>
        <v>0.11891147016099368</v>
      </c>
      <c r="W21" s="14">
        <f t="shared" si="20"/>
        <v>0.11802998097050987</v>
      </c>
      <c r="X21" s="14">
        <f t="shared" si="20"/>
        <v>0.12094991848043235</v>
      </c>
      <c r="Y21" s="14">
        <f t="shared" si="20"/>
        <v>0.12171806375997019</v>
      </c>
      <c r="Z21" s="14">
        <f t="shared" si="20"/>
        <v>0.11442707563093601</v>
      </c>
      <c r="AA21" s="14">
        <f t="shared" si="20"/>
        <v>0.12159589795353387</v>
      </c>
      <c r="AB21" s="14">
        <f t="shared" si="20"/>
        <v>0.12099930186861774</v>
      </c>
      <c r="AC21" s="14">
        <f t="shared" si="20"/>
        <v>0.11156822162279245</v>
      </c>
      <c r="AD21" s="14">
        <f t="shared" si="20"/>
        <v>0.11424519084754325</v>
      </c>
      <c r="AE21" s="14">
        <f t="shared" si="20"/>
        <v>0.11708087302988668</v>
      </c>
      <c r="AF21" s="14">
        <f t="shared" si="20"/>
        <v>0.11572726898826913</v>
      </c>
      <c r="AG21" s="14">
        <f t="shared" si="20"/>
        <v>0.11183717611245547</v>
      </c>
      <c r="AH21" s="14">
        <f t="shared" si="20"/>
        <v>0.11382317956197929</v>
      </c>
      <c r="AI21" s="14">
        <f t="shared" si="20"/>
        <v>0.12027643485734285</v>
      </c>
      <c r="AJ21" s="14">
        <f t="shared" si="20"/>
        <v>0.11933932550101756</v>
      </c>
      <c r="AK21" s="14">
        <f t="shared" si="20"/>
        <v>0.11900443480844802</v>
      </c>
      <c r="AL21" s="14">
        <f t="shared" si="20"/>
        <v>0.11470888072544461</v>
      </c>
      <c r="AM21" s="14">
        <f t="shared" si="20"/>
        <v>0.1117232887043782</v>
      </c>
      <c r="AN21" s="14">
        <f t="shared" si="20"/>
        <v>0.11555180944688703</v>
      </c>
      <c r="AO21" s="14">
        <f t="shared" si="20"/>
        <v>0.11364984575876114</v>
      </c>
      <c r="AP21" s="14">
        <f t="shared" si="20"/>
        <v>0.10650161023325677</v>
      </c>
      <c r="AQ21" s="14">
        <f t="shared" si="20"/>
        <v>0.11098927284682203</v>
      </c>
      <c r="AR21" s="14">
        <f t="shared" si="20"/>
        <v>0.10778940432719097</v>
      </c>
      <c r="AS21" s="14">
        <f t="shared" si="20"/>
        <v>0.11108880349701944</v>
      </c>
      <c r="AT21" s="14">
        <f t="shared" si="20"/>
        <v>0</v>
      </c>
      <c r="AU21" s="14">
        <f t="shared" si="20"/>
        <v>0</v>
      </c>
      <c r="AV21" s="14">
        <f t="shared" si="20"/>
        <v>0</v>
      </c>
      <c r="AW21" s="14">
        <f t="shared" si="20"/>
        <v>0</v>
      </c>
      <c r="AX21" s="14">
        <f t="shared" si="20"/>
        <v>0</v>
      </c>
      <c r="AY21" s="14">
        <f t="shared" si="20"/>
        <v>0</v>
      </c>
      <c r="AZ21" s="14">
        <f t="shared" ref="AZ21:BK21" si="24">IFERROR(((1+AZ39/AZ15)^(360/AZ$3))-1,0)</f>
        <v>0.11852790758712928</v>
      </c>
      <c r="BA21" s="14">
        <f t="shared" si="24"/>
        <v>0.11907629345768456</v>
      </c>
      <c r="BB21" s="14">
        <f t="shared" si="24"/>
        <v>0.11742939102327821</v>
      </c>
      <c r="BC21" s="14">
        <f t="shared" si="24"/>
        <v>0.11554247467842083</v>
      </c>
      <c r="BD21" s="14">
        <f t="shared" si="24"/>
        <v>0.11403590886317194</v>
      </c>
      <c r="BE21" s="14">
        <f t="shared" si="24"/>
        <v>0.11275298462829375</v>
      </c>
      <c r="BF21" s="14">
        <f t="shared" si="24"/>
        <v>0.11283149990334951</v>
      </c>
      <c r="BG21" s="14">
        <f t="shared" si="24"/>
        <v>0.112377940183648</v>
      </c>
      <c r="BH21" s="14">
        <f t="shared" si="24"/>
        <v>0.11211672661335714</v>
      </c>
      <c r="BI21" s="14">
        <f t="shared" si="24"/>
        <v>0.11236250753424359</v>
      </c>
      <c r="BJ21" s="14">
        <f t="shared" si="24"/>
        <v>0.11140629913186473</v>
      </c>
      <c r="BK21" s="14">
        <f t="shared" si="24"/>
        <v>0.11182968946069582</v>
      </c>
      <c r="BO21" s="28">
        <f t="shared" ref="BO21:BO23" si="25">IFERROR(((1+BO39/BW15)^(360/BO$3))-1,0)</f>
        <v>0.11095200066859157</v>
      </c>
      <c r="BP21" s="28">
        <f t="shared" si="22"/>
        <v>0.11688992569509793</v>
      </c>
      <c r="BQ21" s="28">
        <f t="shared" si="22"/>
        <v>0.11170695872495129</v>
      </c>
      <c r="BR21" s="28">
        <f t="shared" si="22"/>
        <v>0.11587421448268431</v>
      </c>
      <c r="BS21" s="28">
        <f t="shared" si="22"/>
        <v>0.11264978703342932</v>
      </c>
      <c r="BT21" s="28">
        <f t="shared" si="22"/>
        <v>0.10954140857155492</v>
      </c>
    </row>
    <row r="22" spans="1:80" hidden="1" outlineLevel="1" x14ac:dyDescent="0.25">
      <c r="A22" s="11"/>
      <c r="C22" s="2" t="s">
        <v>45</v>
      </c>
      <c r="D22" s="14">
        <f t="shared" si="23"/>
        <v>4.2797695923298296E-2</v>
      </c>
      <c r="E22" s="14">
        <f t="shared" si="20"/>
        <v>5.5663399566258764E-2</v>
      </c>
      <c r="F22" s="14">
        <f t="shared" si="20"/>
        <v>3.8293087887091293E-2</v>
      </c>
      <c r="G22" s="14">
        <f t="shared" si="20"/>
        <v>4.6477680742026628E-2</v>
      </c>
      <c r="H22" s="14">
        <f t="shared" si="20"/>
        <v>4.4821992284606704E-2</v>
      </c>
      <c r="I22" s="14">
        <f t="shared" si="20"/>
        <v>4.7730938264759715E-2</v>
      </c>
      <c r="J22" s="14">
        <f t="shared" si="20"/>
        <v>3.4929190977109892E-2</v>
      </c>
      <c r="K22" s="14">
        <f t="shared" si="20"/>
        <v>2.8079141280485498E-2</v>
      </c>
      <c r="L22" s="14">
        <f t="shared" si="20"/>
        <v>2.8136205178598939E-2</v>
      </c>
      <c r="M22" s="14">
        <f t="shared" si="20"/>
        <v>3.7197648598012778E-2</v>
      </c>
      <c r="N22" s="14">
        <f t="shared" si="20"/>
        <v>2.8552567939543527E-2</v>
      </c>
      <c r="O22" s="14">
        <f t="shared" si="20"/>
        <v>3.1251651591729379E-2</v>
      </c>
      <c r="P22" s="14">
        <f t="shared" si="20"/>
        <v>3.5177625634546628E-2</v>
      </c>
      <c r="Q22" s="14">
        <f t="shared" si="20"/>
        <v>3.8808722293707687E-2</v>
      </c>
      <c r="R22" s="14">
        <f t="shared" si="20"/>
        <v>3.0365489398185952E-2</v>
      </c>
      <c r="S22" s="14">
        <f t="shared" si="20"/>
        <v>3.0009227005744821E-2</v>
      </c>
      <c r="T22" s="14">
        <f t="shared" si="20"/>
        <v>3.8737247934287122E-2</v>
      </c>
      <c r="U22" s="14">
        <f t="shared" si="20"/>
        <v>4.8820897313953893E-2</v>
      </c>
      <c r="V22" s="14">
        <f t="shared" si="20"/>
        <v>3.6087106970080107E-2</v>
      </c>
      <c r="W22" s="14">
        <f t="shared" si="20"/>
        <v>2.7055142760331163E-2</v>
      </c>
      <c r="X22" s="14">
        <f t="shared" si="20"/>
        <v>2.1276664383836463E-2</v>
      </c>
      <c r="Y22" s="14">
        <f t="shared" si="20"/>
        <v>1.8714991697093675E-2</v>
      </c>
      <c r="Z22" s="14">
        <f t="shared" si="20"/>
        <v>2.1123552441122406E-2</v>
      </c>
      <c r="AA22" s="14">
        <f t="shared" si="20"/>
        <v>2.3379917584113397E-2</v>
      </c>
      <c r="AB22" s="14">
        <f t="shared" si="20"/>
        <v>2.2706575445494925E-2</v>
      </c>
      <c r="AC22" s="14">
        <f t="shared" si="20"/>
        <v>2.7729732043769495E-2</v>
      </c>
      <c r="AD22" s="14">
        <f t="shared" si="20"/>
        <v>2.782310120121001E-2</v>
      </c>
      <c r="AE22" s="14">
        <f t="shared" si="20"/>
        <v>2.1412067387066802E-2</v>
      </c>
      <c r="AF22" s="14">
        <f t="shared" si="20"/>
        <v>2.8044434041843314E-2</v>
      </c>
      <c r="AG22" s="14">
        <f t="shared" si="20"/>
        <v>2.6084469840217395E-2</v>
      </c>
      <c r="AH22" s="14">
        <f t="shared" si="20"/>
        <v>2.239361664677797E-2</v>
      </c>
      <c r="AI22" s="14">
        <f t="shared" si="20"/>
        <v>2.6122403300103292E-2</v>
      </c>
      <c r="AJ22" s="14">
        <f t="shared" si="20"/>
        <v>3.4747927355788022E-2</v>
      </c>
      <c r="AK22" s="14">
        <f t="shared" si="20"/>
        <v>2.1254471111511242E-2</v>
      </c>
      <c r="AL22" s="14">
        <f t="shared" si="20"/>
        <v>1.9731711809472197E-2</v>
      </c>
      <c r="AM22" s="14">
        <f t="shared" si="20"/>
        <v>2.0499511729447306E-2</v>
      </c>
      <c r="AN22" s="14">
        <f t="shared" si="20"/>
        <v>2.4649728590612208E-2</v>
      </c>
      <c r="AO22" s="14">
        <f t="shared" si="20"/>
        <v>2.4486399183365481E-2</v>
      </c>
      <c r="AP22" s="14">
        <f t="shared" si="20"/>
        <v>3.188244172146093E-2</v>
      </c>
      <c r="AQ22" s="14">
        <f t="shared" si="20"/>
        <v>2.2940677035199197E-2</v>
      </c>
      <c r="AR22" s="14">
        <f t="shared" si="20"/>
        <v>2.4883357358519875E-2</v>
      </c>
      <c r="AS22" s="14">
        <f t="shared" si="20"/>
        <v>3.3897560831857465E-2</v>
      </c>
      <c r="AT22" s="14">
        <f t="shared" si="20"/>
        <v>0</v>
      </c>
      <c r="AU22" s="14">
        <f t="shared" si="20"/>
        <v>0</v>
      </c>
      <c r="AV22" s="14">
        <f t="shared" si="20"/>
        <v>0</v>
      </c>
      <c r="AW22" s="14">
        <f t="shared" si="20"/>
        <v>0</v>
      </c>
      <c r="AX22" s="14">
        <f t="shared" si="20"/>
        <v>0</v>
      </c>
      <c r="AY22" s="14">
        <f t="shared" si="20"/>
        <v>0</v>
      </c>
      <c r="AZ22" s="14">
        <f t="shared" ref="AZ22:BK22" si="26">IFERROR(((1+AZ40/AZ16)^(360/AZ$3))-1,0)</f>
        <v>3.234290711140031E-2</v>
      </c>
      <c r="BA22" s="14">
        <f t="shared" si="26"/>
        <v>3.3321002942065192E-2</v>
      </c>
      <c r="BB22" s="14">
        <f t="shared" si="26"/>
        <v>3.3613379496753915E-2</v>
      </c>
      <c r="BC22" s="14">
        <f t="shared" si="26"/>
        <v>3.4712444864847702E-2</v>
      </c>
      <c r="BD22" s="14">
        <f t="shared" si="26"/>
        <v>3.4926112043342394E-2</v>
      </c>
      <c r="BE22" s="14">
        <f t="shared" si="26"/>
        <v>3.5335466447651731E-2</v>
      </c>
      <c r="BF22" s="14">
        <f t="shared" si="26"/>
        <v>3.5987095570250816E-2</v>
      </c>
      <c r="BG22" s="14">
        <f t="shared" si="26"/>
        <v>3.5933627821463476E-2</v>
      </c>
      <c r="BH22" s="14">
        <f t="shared" si="26"/>
        <v>3.6367627822194715E-2</v>
      </c>
      <c r="BI22" s="14">
        <f t="shared" si="26"/>
        <v>3.6805787005033563E-2</v>
      </c>
      <c r="BJ22" s="14">
        <f t="shared" si="26"/>
        <v>3.668229552110569E-2</v>
      </c>
      <c r="BK22" s="14">
        <f t="shared" si="26"/>
        <v>3.6910737520131187E-2</v>
      </c>
      <c r="BO22" s="28">
        <f t="shared" si="25"/>
        <v>2.5773004630724516E-2</v>
      </c>
      <c r="BP22" s="28">
        <f t="shared" si="22"/>
        <v>3.3758697682397587E-2</v>
      </c>
      <c r="BQ22" s="28">
        <f t="shared" si="22"/>
        <v>2.5986147049099628E-2</v>
      </c>
      <c r="BR22" s="28">
        <f t="shared" si="22"/>
        <v>2.5489459969385342E-2</v>
      </c>
      <c r="BS22" s="28">
        <f t="shared" si="22"/>
        <v>3.4623467114097251E-2</v>
      </c>
      <c r="BT22" s="28">
        <f t="shared" si="22"/>
        <v>4.5571915062322166E-2</v>
      </c>
    </row>
    <row r="23" spans="1:80" collapsed="1" x14ac:dyDescent="0.25">
      <c r="C23" s="3" t="s">
        <v>59</v>
      </c>
      <c r="D23" s="15">
        <f t="shared" si="23"/>
        <v>0.12053354256028515</v>
      </c>
      <c r="E23" s="15">
        <f t="shared" si="20"/>
        <v>0.11843496249372087</v>
      </c>
      <c r="F23" s="15">
        <f t="shared" si="20"/>
        <v>0.11797627955606438</v>
      </c>
      <c r="G23" s="15">
        <f t="shared" si="20"/>
        <v>0.11742269828199658</v>
      </c>
      <c r="H23" s="15">
        <f t="shared" si="20"/>
        <v>0.11807423959690211</v>
      </c>
      <c r="I23" s="15">
        <f t="shared" si="20"/>
        <v>0.1197946483779051</v>
      </c>
      <c r="J23" s="15">
        <f t="shared" si="20"/>
        <v>0.11913324290561955</v>
      </c>
      <c r="K23" s="15">
        <f t="shared" si="20"/>
        <v>0.11984643263027128</v>
      </c>
      <c r="L23" s="15">
        <f t="shared" si="20"/>
        <v>0.11950667848328633</v>
      </c>
      <c r="M23" s="15">
        <f t="shared" si="20"/>
        <v>0.11884761226548024</v>
      </c>
      <c r="N23" s="15">
        <f t="shared" si="20"/>
        <v>0.11869826453532695</v>
      </c>
      <c r="O23" s="15">
        <f t="shared" si="20"/>
        <v>0.1189199198330142</v>
      </c>
      <c r="P23" s="15">
        <f t="shared" si="20"/>
        <v>0.11829849802791559</v>
      </c>
      <c r="Q23" s="15">
        <f t="shared" si="20"/>
        <v>0.12096754477622951</v>
      </c>
      <c r="R23" s="15">
        <f t="shared" si="20"/>
        <v>0.11697632183718376</v>
      </c>
      <c r="S23" s="15">
        <f t="shared" si="20"/>
        <v>0.11459143530269977</v>
      </c>
      <c r="T23" s="15">
        <f t="shared" si="20"/>
        <v>0.11725893724675163</v>
      </c>
      <c r="U23" s="15">
        <f t="shared" si="20"/>
        <v>0.1176113990700709</v>
      </c>
      <c r="V23" s="15">
        <f t="shared" si="20"/>
        <v>0.11795382511288732</v>
      </c>
      <c r="W23" s="15">
        <f t="shared" si="20"/>
        <v>0.11780648796566173</v>
      </c>
      <c r="X23" s="15">
        <f t="shared" si="20"/>
        <v>0.11808614295958075</v>
      </c>
      <c r="Y23" s="15">
        <f t="shared" si="20"/>
        <v>0.12121589032669289</v>
      </c>
      <c r="Z23" s="15">
        <f t="shared" si="20"/>
        <v>0.11762427989625523</v>
      </c>
      <c r="AA23" s="15">
        <f t="shared" si="20"/>
        <v>0.11642527839191041</v>
      </c>
      <c r="AB23" s="15">
        <f t="shared" si="20"/>
        <v>0.11663218683978149</v>
      </c>
      <c r="AC23" s="15">
        <f t="shared" si="20"/>
        <v>0.11610003804469127</v>
      </c>
      <c r="AD23" s="15">
        <f t="shared" si="20"/>
        <v>0.11693635434458804</v>
      </c>
      <c r="AE23" s="15">
        <f t="shared" si="20"/>
        <v>0.11610522549688862</v>
      </c>
      <c r="AF23" s="15">
        <f t="shared" si="20"/>
        <v>0.11731989596549397</v>
      </c>
      <c r="AG23" s="15">
        <f t="shared" si="20"/>
        <v>0.11578387429824355</v>
      </c>
      <c r="AH23" s="15">
        <f t="shared" si="20"/>
        <v>0.11542280634714475</v>
      </c>
      <c r="AI23" s="15">
        <f t="shared" si="20"/>
        <v>0.11395430796675843</v>
      </c>
      <c r="AJ23" s="15">
        <f t="shared" si="20"/>
        <v>0.11467231432701119</v>
      </c>
      <c r="AK23" s="15">
        <f t="shared" si="20"/>
        <v>0.11542084196249536</v>
      </c>
      <c r="AL23" s="15">
        <f t="shared" si="20"/>
        <v>0.11421177725496912</v>
      </c>
      <c r="AM23" s="15">
        <f t="shared" si="20"/>
        <v>0.11396030129658219</v>
      </c>
      <c r="AN23" s="15">
        <f t="shared" si="20"/>
        <v>0.11283956794426353</v>
      </c>
      <c r="AO23" s="15">
        <f t="shared" si="20"/>
        <v>0.11169375158267547</v>
      </c>
      <c r="AP23" s="15">
        <f t="shared" si="20"/>
        <v>0.11224045446747333</v>
      </c>
      <c r="AQ23" s="15">
        <f t="shared" si="20"/>
        <v>0.11159997234887631</v>
      </c>
      <c r="AR23" s="15">
        <f t="shared" si="20"/>
        <v>0.11137810889782074</v>
      </c>
      <c r="AS23" s="15">
        <f t="shared" si="20"/>
        <v>0.11035128938334693</v>
      </c>
      <c r="AT23" s="15">
        <f t="shared" si="20"/>
        <v>0</v>
      </c>
      <c r="AU23" s="15">
        <f t="shared" si="20"/>
        <v>0</v>
      </c>
      <c r="AV23" s="15">
        <f t="shared" si="20"/>
        <v>0</v>
      </c>
      <c r="AW23" s="15">
        <f t="shared" si="20"/>
        <v>0</v>
      </c>
      <c r="AX23" s="15">
        <f t="shared" si="20"/>
        <v>0</v>
      </c>
      <c r="AY23" s="15">
        <f t="shared" si="20"/>
        <v>0</v>
      </c>
      <c r="AZ23" s="15">
        <f t="shared" ref="AZ23:BK23" si="27">IFERROR(((1+AZ41/AZ17)^(360/AZ$3))-1,0)</f>
        <v>0.11293751556355547</v>
      </c>
      <c r="BA23" s="15">
        <f t="shared" si="27"/>
        <v>0.11360692083685109</v>
      </c>
      <c r="BB23" s="15">
        <f t="shared" si="27"/>
        <v>0.11199060837685559</v>
      </c>
      <c r="BC23" s="15">
        <f t="shared" si="27"/>
        <v>0.11242282329990072</v>
      </c>
      <c r="BD23" s="15">
        <f t="shared" si="27"/>
        <v>0.11189033146697924</v>
      </c>
      <c r="BE23" s="15">
        <f t="shared" si="27"/>
        <v>0.1118544390017282</v>
      </c>
      <c r="BF23" s="15">
        <f t="shared" si="27"/>
        <v>0.11210716858808989</v>
      </c>
      <c r="BG23" s="15">
        <f t="shared" si="27"/>
        <v>0.11203977188447412</v>
      </c>
      <c r="BH23" s="15">
        <f t="shared" si="27"/>
        <v>0.11176568404325304</v>
      </c>
      <c r="BI23" s="15">
        <f t="shared" si="27"/>
        <v>0.11234913449140405</v>
      </c>
      <c r="BJ23" s="15">
        <f t="shared" si="27"/>
        <v>0.11149847008751013</v>
      </c>
      <c r="BK23" s="15">
        <f t="shared" si="27"/>
        <v>0.11206485154690804</v>
      </c>
      <c r="BO23" s="29">
        <f t="shared" si="25"/>
        <v>0.11195056290401917</v>
      </c>
      <c r="BP23" s="29">
        <f t="shared" si="22"/>
        <v>0.11256650679778146</v>
      </c>
      <c r="BQ23" s="29">
        <f t="shared" si="22"/>
        <v>0.11209415533323352</v>
      </c>
      <c r="BR23" s="29">
        <f t="shared" si="22"/>
        <v>0.11661895173165804</v>
      </c>
      <c r="BS23" s="29">
        <f t="shared" si="22"/>
        <v>0.11759279875473028</v>
      </c>
      <c r="BT23" s="29">
        <f t="shared" si="22"/>
        <v>0.11847174226152402</v>
      </c>
    </row>
    <row r="26" spans="1:80" hidden="1" outlineLevel="1" x14ac:dyDescent="0.25">
      <c r="A26" s="11"/>
      <c r="C26" s="2" t="s">
        <v>0</v>
      </c>
      <c r="D26" s="14">
        <f>-IFERROR(((1-D44/D14)^(360/D$4))-1,0)</f>
        <v>-6.0763070308716083E-2</v>
      </c>
      <c r="E26" s="14">
        <f t="shared" ref="E26:AY29" si="28">-IFERROR(((1-E44/E14)^(360/E$4))-1,0)</f>
        <v>-6.2861896722773647E-2</v>
      </c>
      <c r="F26" s="14">
        <f t="shared" si="28"/>
        <v>-6.5107468257103784E-2</v>
      </c>
      <c r="G26" s="14">
        <f t="shared" si="28"/>
        <v>-6.7267469036901506E-2</v>
      </c>
      <c r="H26" s="14">
        <f t="shared" si="28"/>
        <v>-6.8542710826318576E-2</v>
      </c>
      <c r="I26" s="14">
        <f t="shared" si="28"/>
        <v>-6.9743012661840575E-2</v>
      </c>
      <c r="J26" s="14">
        <f t="shared" si="28"/>
        <v>-7.049619874394053E-2</v>
      </c>
      <c r="K26" s="14">
        <f t="shared" si="28"/>
        <v>-7.1403096264519128E-2</v>
      </c>
      <c r="L26" s="14">
        <f t="shared" si="28"/>
        <v>-7.2099669280774048E-2</v>
      </c>
      <c r="M26" s="14">
        <f t="shared" si="28"/>
        <v>-7.2895632470144189E-2</v>
      </c>
      <c r="N26" s="14">
        <f t="shared" si="28"/>
        <v>-7.3494997275666218E-2</v>
      </c>
      <c r="O26" s="14">
        <f t="shared" si="28"/>
        <v>-7.3745170038022945E-2</v>
      </c>
      <c r="P26" s="14">
        <f t="shared" si="28"/>
        <v>-7.3720630946904953E-2</v>
      </c>
      <c r="Q26" s="14">
        <f t="shared" si="28"/>
        <v>-7.339818989651925E-2</v>
      </c>
      <c r="R26" s="14">
        <f t="shared" si="28"/>
        <v>-7.294921268048471E-2</v>
      </c>
      <c r="S26" s="14">
        <f t="shared" si="28"/>
        <v>-7.2595244573046447E-2</v>
      </c>
      <c r="T26" s="14">
        <f t="shared" si="28"/>
        <v>-7.2331259185598018E-2</v>
      </c>
      <c r="U26" s="14">
        <f t="shared" si="28"/>
        <v>-7.1800281378577635E-2</v>
      </c>
      <c r="V26" s="14">
        <f t="shared" si="28"/>
        <v>-7.1341754180713313E-2</v>
      </c>
      <c r="W26" s="14">
        <f t="shared" si="28"/>
        <v>-7.0786880773212379E-2</v>
      </c>
      <c r="X26" s="14">
        <f t="shared" si="28"/>
        <v>-7.0120012976008672E-2</v>
      </c>
      <c r="Y26" s="14">
        <f t="shared" si="28"/>
        <v>-6.9478836305840508E-2</v>
      </c>
      <c r="Z26" s="14">
        <f t="shared" si="28"/>
        <v>-6.8998079284971814E-2</v>
      </c>
      <c r="AA26" s="14">
        <f t="shared" si="28"/>
        <v>-6.8589577267871737E-2</v>
      </c>
      <c r="AB26" s="14">
        <f t="shared" si="28"/>
        <v>-6.8265524703494229E-2</v>
      </c>
      <c r="AC26" s="14">
        <f t="shared" si="28"/>
        <v>-6.7688219881976375E-2</v>
      </c>
      <c r="AD26" s="14">
        <f t="shared" si="28"/>
        <v>-6.679476429940534E-2</v>
      </c>
      <c r="AE26" s="14">
        <f t="shared" si="28"/>
        <v>-6.5885761098200435E-2</v>
      </c>
      <c r="AF26" s="14">
        <f t="shared" si="28"/>
        <v>-6.5226119453547504E-2</v>
      </c>
      <c r="AG26" s="14">
        <f t="shared" si="28"/>
        <v>-6.4471231733521206E-2</v>
      </c>
      <c r="AH26" s="14">
        <f t="shared" si="28"/>
        <v>-6.3423111341744498E-2</v>
      </c>
      <c r="AI26" s="14">
        <f t="shared" si="28"/>
        <v>-6.2425899778876026E-2</v>
      </c>
      <c r="AJ26" s="14">
        <f t="shared" si="28"/>
        <v>-6.1575831421514016E-2</v>
      </c>
      <c r="AK26" s="14">
        <f t="shared" si="28"/>
        <v>-6.0360852672957988E-2</v>
      </c>
      <c r="AL26" s="14">
        <f t="shared" si="28"/>
        <v>-6.0631996944404243E-2</v>
      </c>
      <c r="AM26" s="14">
        <f t="shared" si="28"/>
        <v>-5.9940108887772459E-2</v>
      </c>
      <c r="AN26" s="14">
        <f t="shared" si="28"/>
        <v>-5.9488137635675509E-2</v>
      </c>
      <c r="AO26" s="14">
        <f t="shared" si="28"/>
        <v>-5.8790039559284857E-2</v>
      </c>
      <c r="AP26" s="14">
        <f t="shared" si="28"/>
        <v>-5.8107072568148954E-2</v>
      </c>
      <c r="AQ26" s="14">
        <f t="shared" si="28"/>
        <v>-5.7639054652626864E-2</v>
      </c>
      <c r="AR26" s="14">
        <f t="shared" si="28"/>
        <v>-5.7323725635762157E-2</v>
      </c>
      <c r="AS26" s="14">
        <f t="shared" si="28"/>
        <v>-5.6877598545477692E-2</v>
      </c>
      <c r="AT26" s="14">
        <f t="shared" si="28"/>
        <v>0</v>
      </c>
      <c r="AU26" s="14">
        <f t="shared" si="28"/>
        <v>0</v>
      </c>
      <c r="AV26" s="14">
        <f t="shared" si="28"/>
        <v>0</v>
      </c>
      <c r="AW26" s="14">
        <f t="shared" si="28"/>
        <v>0</v>
      </c>
      <c r="AX26" s="14">
        <f t="shared" si="28"/>
        <v>0</v>
      </c>
      <c r="AY26" s="14">
        <f t="shared" si="28"/>
        <v>0</v>
      </c>
      <c r="AZ26" s="14">
        <f t="shared" ref="AZ26:BK26" si="29">-IFERROR(((1-AZ44/AZ14)^(360/AZ$4))-1,0)</f>
        <v>-5.9025919171882046E-2</v>
      </c>
      <c r="BA26" s="14">
        <f t="shared" si="29"/>
        <v>-5.843518393979874E-2</v>
      </c>
      <c r="BB26" s="14">
        <f t="shared" si="29"/>
        <v>-5.7815470671268132E-2</v>
      </c>
      <c r="BC26" s="14">
        <f t="shared" si="29"/>
        <v>-5.7277803318241283E-2</v>
      </c>
      <c r="BD26" s="14">
        <f t="shared" si="29"/>
        <v>-5.6793005471472702E-2</v>
      </c>
      <c r="BE26" s="14">
        <f t="shared" si="29"/>
        <v>-5.6308678722552186E-2</v>
      </c>
      <c r="BF26" s="14">
        <f t="shared" si="29"/>
        <v>-5.5849551217698634E-2</v>
      </c>
      <c r="BG26" s="14">
        <f t="shared" si="29"/>
        <v>-5.5438588310031234E-2</v>
      </c>
      <c r="BH26" s="14">
        <f t="shared" si="29"/>
        <v>-5.5020217692874018E-2</v>
      </c>
      <c r="BI26" s="14">
        <f t="shared" si="29"/>
        <v>-5.4654904738770771E-2</v>
      </c>
      <c r="BJ26" s="14">
        <f t="shared" si="29"/>
        <v>-5.4320536200542335E-2</v>
      </c>
      <c r="BK26" s="14">
        <f t="shared" si="29"/>
        <v>-5.402483578337125E-2</v>
      </c>
      <c r="BO26" s="28">
        <f>-IFERROR(((1-BO44/BW14)^(360/BO$4))-1,0)</f>
        <v>-5.8266489590054871E-2</v>
      </c>
      <c r="BP26" s="28">
        <f t="shared" ref="BP26:BT29" si="30">-IFERROR(((1-BP44/BX14)^(360/BP$4))-1,0)</f>
        <v>-5.7861331500637991E-2</v>
      </c>
      <c r="BQ26" s="28">
        <f t="shared" si="30"/>
        <v>-5.8509487501390289E-2</v>
      </c>
      <c r="BR26" s="28">
        <f t="shared" si="30"/>
        <v>-6.6763515940362339E-2</v>
      </c>
      <c r="BS26" s="28">
        <f t="shared" si="30"/>
        <v>-7.2994065697968846E-2</v>
      </c>
      <c r="BT26" s="28">
        <f t="shared" si="30"/>
        <v>-6.4995088481226926E-2</v>
      </c>
    </row>
    <row r="27" spans="1:80" hidden="1" outlineLevel="1" x14ac:dyDescent="0.25">
      <c r="A27" s="11"/>
      <c r="C27" s="2" t="s">
        <v>1</v>
      </c>
      <c r="D27" s="14">
        <f t="shared" ref="D27:S29" si="31">-IFERROR(((1-D45/D15)^(360/D$4))-1,0)</f>
        <v>-5.3718359661165893E-2</v>
      </c>
      <c r="E27" s="14">
        <f t="shared" si="31"/>
        <v>-5.5204536286289851E-2</v>
      </c>
      <c r="F27" s="14">
        <f t="shared" si="31"/>
        <v>-5.6860687739715088E-2</v>
      </c>
      <c r="G27" s="14">
        <f t="shared" si="31"/>
        <v>-5.8696449778703919E-2</v>
      </c>
      <c r="H27" s="14">
        <f t="shared" si="31"/>
        <v>-5.967208074151098E-2</v>
      </c>
      <c r="I27" s="14">
        <f t="shared" si="31"/>
        <v>-6.1583078431328264E-2</v>
      </c>
      <c r="J27" s="14">
        <f t="shared" si="31"/>
        <v>-6.163321253611298E-2</v>
      </c>
      <c r="K27" s="14">
        <f t="shared" si="31"/>
        <v>-6.3296428758120804E-2</v>
      </c>
      <c r="L27" s="14">
        <f t="shared" si="31"/>
        <v>-6.3781052668028027E-2</v>
      </c>
      <c r="M27" s="14">
        <f t="shared" si="31"/>
        <v>-6.4641692430536857E-2</v>
      </c>
      <c r="N27" s="14">
        <f t="shared" si="31"/>
        <v>-6.555859395493302E-2</v>
      </c>
      <c r="O27" s="14">
        <f t="shared" si="31"/>
        <v>-6.6515934942816823E-2</v>
      </c>
      <c r="P27" s="14">
        <f t="shared" si="31"/>
        <v>-6.6979505649492399E-2</v>
      </c>
      <c r="Q27" s="14">
        <f t="shared" si="31"/>
        <v>-6.7313075478921736E-2</v>
      </c>
      <c r="R27" s="14">
        <f t="shared" si="31"/>
        <v>-6.8753475177713019E-2</v>
      </c>
      <c r="S27" s="14">
        <f t="shared" si="31"/>
        <v>-6.8996502637625357E-2</v>
      </c>
      <c r="T27" s="14">
        <f t="shared" si="28"/>
        <v>-6.9448694418875689E-2</v>
      </c>
      <c r="U27" s="14">
        <f t="shared" si="28"/>
        <v>-6.9404163461101565E-2</v>
      </c>
      <c r="V27" s="14">
        <f t="shared" si="28"/>
        <v>-6.9434101343424315E-2</v>
      </c>
      <c r="W27" s="14">
        <f t="shared" si="28"/>
        <v>-6.9617538074974838E-2</v>
      </c>
      <c r="X27" s="14">
        <f t="shared" si="28"/>
        <v>-6.9397996338248946E-2</v>
      </c>
      <c r="Y27" s="14">
        <f t="shared" si="28"/>
        <v>-6.9495374472206439E-2</v>
      </c>
      <c r="Z27" s="14">
        <f t="shared" si="28"/>
        <v>-6.9130649998098814E-2</v>
      </c>
      <c r="AA27" s="14">
        <f t="shared" si="28"/>
        <v>-6.8123017192618596E-2</v>
      </c>
      <c r="AB27" s="14">
        <f t="shared" si="28"/>
        <v>-6.7822248462454438E-2</v>
      </c>
      <c r="AC27" s="14">
        <f t="shared" si="28"/>
        <v>-6.7362965387316232E-2</v>
      </c>
      <c r="AD27" s="14">
        <f t="shared" si="28"/>
        <v>-6.6761601158358497E-2</v>
      </c>
      <c r="AE27" s="14">
        <f t="shared" si="28"/>
        <v>-6.5822943605075013E-2</v>
      </c>
      <c r="AF27" s="14">
        <f t="shared" si="28"/>
        <v>-6.508277618623648E-2</v>
      </c>
      <c r="AG27" s="14">
        <f t="shared" si="28"/>
        <v>-6.4487792166007196E-2</v>
      </c>
      <c r="AH27" s="14">
        <f t="shared" si="28"/>
        <v>-6.3804158719763082E-2</v>
      </c>
      <c r="AI27" s="14">
        <f t="shared" si="28"/>
        <v>-6.3452335264227555E-2</v>
      </c>
      <c r="AJ27" s="14">
        <f t="shared" si="28"/>
        <v>-6.3286957815029687E-2</v>
      </c>
      <c r="AK27" s="14">
        <f t="shared" si="28"/>
        <v>-6.3597925457023141E-2</v>
      </c>
      <c r="AL27" s="14">
        <f t="shared" si="28"/>
        <v>-6.2816792874076377E-2</v>
      </c>
      <c r="AM27" s="14">
        <f t="shared" si="28"/>
        <v>-6.2233127988042369E-2</v>
      </c>
      <c r="AN27" s="14">
        <f t="shared" si="28"/>
        <v>-6.190946860831259E-2</v>
      </c>
      <c r="AO27" s="14">
        <f t="shared" si="28"/>
        <v>-6.1584351927736591E-2</v>
      </c>
      <c r="AP27" s="14">
        <f t="shared" si="28"/>
        <v>-6.1425994714542576E-2</v>
      </c>
      <c r="AQ27" s="14">
        <f t="shared" si="28"/>
        <v>-6.1211607879303243E-2</v>
      </c>
      <c r="AR27" s="14">
        <f t="shared" si="28"/>
        <v>-6.1201162142980881E-2</v>
      </c>
      <c r="AS27" s="14">
        <f t="shared" si="28"/>
        <v>-6.1210816105198074E-2</v>
      </c>
      <c r="AT27" s="14">
        <f t="shared" si="28"/>
        <v>0</v>
      </c>
      <c r="AU27" s="14">
        <f t="shared" si="28"/>
        <v>0</v>
      </c>
      <c r="AV27" s="14">
        <f t="shared" si="28"/>
        <v>0</v>
      </c>
      <c r="AW27" s="14">
        <f t="shared" si="28"/>
        <v>0</v>
      </c>
      <c r="AX27" s="14">
        <f t="shared" si="28"/>
        <v>0</v>
      </c>
      <c r="AY27" s="14">
        <f t="shared" si="28"/>
        <v>0</v>
      </c>
      <c r="AZ27" s="14">
        <f t="shared" ref="AZ27:BK27" si="32">-IFERROR(((1-AZ45/AZ15)^(360/AZ$4))-1,0)</f>
        <v>-6.1212185769539351E-2</v>
      </c>
      <c r="BA27" s="14">
        <f t="shared" si="32"/>
        <v>-6.0531870875814464E-2</v>
      </c>
      <c r="BB27" s="14">
        <f t="shared" si="32"/>
        <v>-5.9913342983424656E-2</v>
      </c>
      <c r="BC27" s="14">
        <f t="shared" si="32"/>
        <v>-5.8210804053367093E-2</v>
      </c>
      <c r="BD27" s="14">
        <f t="shared" si="32"/>
        <v>-5.7238902916850298E-2</v>
      </c>
      <c r="BE27" s="14">
        <f t="shared" si="32"/>
        <v>-5.6119293144711868E-2</v>
      </c>
      <c r="BF27" s="14">
        <f t="shared" si="32"/>
        <v>-5.5561529121674447E-2</v>
      </c>
      <c r="BG27" s="14">
        <f t="shared" si="32"/>
        <v>-5.4939256392645408E-2</v>
      </c>
      <c r="BH27" s="14">
        <f t="shared" si="32"/>
        <v>-5.4513175129963454E-2</v>
      </c>
      <c r="BI27" s="14">
        <f t="shared" si="32"/>
        <v>-5.3931051272681385E-2</v>
      </c>
      <c r="BJ27" s="14">
        <f t="shared" si="32"/>
        <v>-5.3500208112869707E-2</v>
      </c>
      <c r="BK27" s="14">
        <f t="shared" si="32"/>
        <v>-5.3097528680754236E-2</v>
      </c>
      <c r="BO27" s="28">
        <f t="shared" ref="BO27:BO29" si="33">-IFERROR(((1-BO45/BW15)^(360/BO$4))-1,0)</f>
        <v>-6.1453175602631527E-2</v>
      </c>
      <c r="BP27" s="28">
        <f t="shared" si="30"/>
        <v>-5.939236733727471E-2</v>
      </c>
      <c r="BQ27" s="28">
        <f t="shared" si="30"/>
        <v>-6.1534928841556757E-2</v>
      </c>
      <c r="BR27" s="28">
        <f t="shared" si="30"/>
        <v>-6.6536457058662624E-2</v>
      </c>
      <c r="BS27" s="28">
        <f t="shared" si="30"/>
        <v>-6.8231683778715135E-2</v>
      </c>
      <c r="BT27" s="28">
        <f t="shared" si="30"/>
        <v>-5.6855971124091242E-2</v>
      </c>
    </row>
    <row r="28" spans="1:80" hidden="1" outlineLevel="1" x14ac:dyDescent="0.25">
      <c r="A28" s="11"/>
      <c r="C28" s="2" t="s">
        <v>45</v>
      </c>
      <c r="D28" s="14">
        <f t="shared" si="31"/>
        <v>-3.5805183251103934E-2</v>
      </c>
      <c r="E28" s="14">
        <f t="shared" si="28"/>
        <v>-3.7732098210431886E-2</v>
      </c>
      <c r="F28" s="14">
        <f t="shared" si="28"/>
        <v>-4.0647536545308727E-2</v>
      </c>
      <c r="G28" s="14">
        <f t="shared" si="28"/>
        <v>-4.1280073067049727E-2</v>
      </c>
      <c r="H28" s="14">
        <f t="shared" si="28"/>
        <v>-3.9940912492100189E-2</v>
      </c>
      <c r="I28" s="14">
        <f t="shared" si="28"/>
        <v>-4.106426459241086E-2</v>
      </c>
      <c r="J28" s="14">
        <f t="shared" si="28"/>
        <v>-4.4588396615683035E-2</v>
      </c>
      <c r="K28" s="14">
        <f t="shared" si="28"/>
        <v>-5.4704210827273725E-2</v>
      </c>
      <c r="L28" s="14">
        <f t="shared" si="28"/>
        <v>-5.1692691960512294E-2</v>
      </c>
      <c r="M28" s="14">
        <f t="shared" si="28"/>
        <v>-5.8372955569745422E-2</v>
      </c>
      <c r="N28" s="14">
        <f t="shared" si="28"/>
        <v>-6.4541109130936247E-2</v>
      </c>
      <c r="O28" s="14">
        <f t="shared" si="28"/>
        <v>-6.5624956625305098E-2</v>
      </c>
      <c r="P28" s="14">
        <f t="shared" si="28"/>
        <v>-6.64775435907905E-2</v>
      </c>
      <c r="Q28" s="14">
        <f t="shared" si="28"/>
        <v>-6.6933620994521492E-2</v>
      </c>
      <c r="R28" s="14">
        <f t="shared" si="28"/>
        <v>-6.7140713646537398E-2</v>
      </c>
      <c r="S28" s="14">
        <f t="shared" si="28"/>
        <v>-6.7929840627316995E-2</v>
      </c>
      <c r="T28" s="14">
        <f t="shared" si="28"/>
        <v>-6.8826652847109093E-2</v>
      </c>
      <c r="U28" s="14">
        <f t="shared" si="28"/>
        <v>-6.8339354490029702E-2</v>
      </c>
      <c r="V28" s="14">
        <f t="shared" si="28"/>
        <v>-6.7973479809771531E-2</v>
      </c>
      <c r="W28" s="14">
        <f t="shared" si="28"/>
        <v>-6.8685837555177098E-2</v>
      </c>
      <c r="X28" s="14">
        <f t="shared" si="28"/>
        <v>-6.9128501077884374E-2</v>
      </c>
      <c r="Y28" s="14">
        <f t="shared" si="28"/>
        <v>-6.8662953045855124E-2</v>
      </c>
      <c r="Z28" s="14">
        <f t="shared" si="28"/>
        <v>-6.7700413277062443E-2</v>
      </c>
      <c r="AA28" s="14">
        <f t="shared" si="28"/>
        <v>-6.7568571743647388E-2</v>
      </c>
      <c r="AB28" s="14">
        <f t="shared" si="28"/>
        <v>-6.7743308919148815E-2</v>
      </c>
      <c r="AC28" s="14">
        <f t="shared" si="28"/>
        <v>-6.6968328177837266E-2</v>
      </c>
      <c r="AD28" s="14">
        <f t="shared" si="28"/>
        <v>-6.6685820051865408E-2</v>
      </c>
      <c r="AE28" s="14">
        <f t="shared" si="28"/>
        <v>-6.6645589523295579E-2</v>
      </c>
      <c r="AF28" s="14">
        <f t="shared" si="28"/>
        <v>-6.5814474859728689E-2</v>
      </c>
      <c r="AG28" s="14">
        <f t="shared" si="28"/>
        <v>-6.5067485653444335E-2</v>
      </c>
      <c r="AH28" s="14">
        <f t="shared" si="28"/>
        <v>-6.5053348247767095E-2</v>
      </c>
      <c r="AI28" s="14">
        <f t="shared" si="28"/>
        <v>-6.4455278937762595E-2</v>
      </c>
      <c r="AJ28" s="14">
        <f t="shared" si="28"/>
        <v>-6.4305103394417085E-2</v>
      </c>
      <c r="AK28" s="14">
        <f t="shared" si="28"/>
        <v>-0.10506247829468651</v>
      </c>
      <c r="AL28" s="14">
        <f t="shared" si="28"/>
        <v>-6.2413997877389882E-2</v>
      </c>
      <c r="AM28" s="14">
        <f t="shared" si="28"/>
        <v>-6.1276080367923758E-2</v>
      </c>
      <c r="AN28" s="14">
        <f t="shared" si="28"/>
        <v>-5.7623792022173381E-2</v>
      </c>
      <c r="AO28" s="14">
        <f t="shared" si="28"/>
        <v>-5.491636856322013E-2</v>
      </c>
      <c r="AP28" s="14">
        <f t="shared" si="28"/>
        <v>-5.5197918262792856E-2</v>
      </c>
      <c r="AQ28" s="14">
        <f t="shared" si="28"/>
        <v>-5.5789993103533719E-2</v>
      </c>
      <c r="AR28" s="14">
        <f t="shared" si="28"/>
        <v>-5.6536271216045542E-2</v>
      </c>
      <c r="AS28" s="14">
        <f t="shared" si="28"/>
        <v>-5.6744430242754662E-2</v>
      </c>
      <c r="AT28" s="14">
        <f t="shared" si="28"/>
        <v>0</v>
      </c>
      <c r="AU28" s="14">
        <f t="shared" si="28"/>
        <v>0</v>
      </c>
      <c r="AV28" s="14">
        <f t="shared" si="28"/>
        <v>0</v>
      </c>
      <c r="AW28" s="14">
        <f t="shared" si="28"/>
        <v>0</v>
      </c>
      <c r="AX28" s="14">
        <f t="shared" si="28"/>
        <v>0</v>
      </c>
      <c r="AY28" s="14">
        <f t="shared" si="28"/>
        <v>0</v>
      </c>
      <c r="AZ28" s="14">
        <f t="shared" ref="AZ28:BK28" si="34">-IFERROR(((1-AZ46/AZ16)^(360/AZ$4))-1,0)</f>
        <v>-5.8198663068525169E-2</v>
      </c>
      <c r="BA28" s="14">
        <f t="shared" si="34"/>
        <v>-5.9057102871358014E-2</v>
      </c>
      <c r="BB28" s="14">
        <f t="shared" si="34"/>
        <v>-5.978899683631389E-2</v>
      </c>
      <c r="BC28" s="14">
        <f t="shared" si="34"/>
        <v>-6.0980555934934566E-2</v>
      </c>
      <c r="BD28" s="14">
        <f t="shared" si="34"/>
        <v>-6.1129681313655926E-2</v>
      </c>
      <c r="BE28" s="14">
        <f t="shared" si="34"/>
        <v>-6.1336570134120416E-2</v>
      </c>
      <c r="BF28" s="14">
        <f t="shared" si="34"/>
        <v>-6.1836121597509175E-2</v>
      </c>
      <c r="BG28" s="14">
        <f t="shared" si="34"/>
        <v>-6.1309616877780027E-2</v>
      </c>
      <c r="BH28" s="14">
        <f t="shared" si="34"/>
        <v>-6.1754164791669064E-2</v>
      </c>
      <c r="BI28" s="14">
        <f t="shared" si="34"/>
        <v>-6.1754893916364129E-2</v>
      </c>
      <c r="BJ28" s="14">
        <f t="shared" si="34"/>
        <v>-6.161248126313601E-2</v>
      </c>
      <c r="BK28" s="14">
        <f t="shared" si="34"/>
        <v>-6.134481488976995E-2</v>
      </c>
      <c r="BO28" s="28">
        <f t="shared" si="33"/>
        <v>-5.6001441551509989E-2</v>
      </c>
      <c r="BP28" s="28">
        <f t="shared" si="30"/>
        <v>-5.9798828835754492E-2</v>
      </c>
      <c r="BQ28" s="28">
        <f t="shared" si="30"/>
        <v>-5.5885258223468792E-2</v>
      </c>
      <c r="BR28" s="28">
        <f t="shared" si="30"/>
        <v>-6.6820171133608941E-2</v>
      </c>
      <c r="BS28" s="28">
        <f t="shared" si="30"/>
        <v>-6.7442073631436061E-2</v>
      </c>
      <c r="BT28" s="28">
        <f t="shared" si="30"/>
        <v>-3.906441266421723E-2</v>
      </c>
    </row>
    <row r="29" spans="1:80" collapsed="1" x14ac:dyDescent="0.25">
      <c r="C29" s="3" t="s">
        <v>60</v>
      </c>
      <c r="D29" s="15">
        <f t="shared" si="31"/>
        <v>-6.0288626500094145E-2</v>
      </c>
      <c r="E29" s="15">
        <f t="shared" si="28"/>
        <v>-6.2397831816652705E-2</v>
      </c>
      <c r="F29" s="15">
        <f t="shared" si="28"/>
        <v>-6.4652162537317981E-2</v>
      </c>
      <c r="G29" s="15">
        <f t="shared" si="28"/>
        <v>-6.680001023167792E-2</v>
      </c>
      <c r="H29" s="15">
        <f t="shared" si="28"/>
        <v>-6.8053084856959822E-2</v>
      </c>
      <c r="I29" s="15">
        <f t="shared" si="28"/>
        <v>-6.9278821723016915E-2</v>
      </c>
      <c r="J29" s="15">
        <f t="shared" si="28"/>
        <v>-7.009754400173196E-2</v>
      </c>
      <c r="K29" s="15">
        <f t="shared" si="28"/>
        <v>-7.1131557634020348E-2</v>
      </c>
      <c r="L29" s="15">
        <f t="shared" si="28"/>
        <v>-7.1773908503522055E-2</v>
      </c>
      <c r="M29" s="15">
        <f t="shared" si="28"/>
        <v>-7.2652775772086509E-2</v>
      </c>
      <c r="N29" s="15">
        <f t="shared" si="28"/>
        <v>-7.3336418124565039E-2</v>
      </c>
      <c r="O29" s="15">
        <f t="shared" si="28"/>
        <v>-7.360146034645787E-2</v>
      </c>
      <c r="P29" s="15">
        <f t="shared" si="28"/>
        <v>-7.3583963842640765E-2</v>
      </c>
      <c r="Q29" s="15">
        <f t="shared" si="28"/>
        <v>-7.327842267694229E-2</v>
      </c>
      <c r="R29" s="15">
        <f t="shared" si="28"/>
        <v>-7.285317941011682E-2</v>
      </c>
      <c r="S29" s="15">
        <f t="shared" si="28"/>
        <v>-7.2516274935131797E-2</v>
      </c>
      <c r="T29" s="15">
        <f t="shared" si="28"/>
        <v>-7.2273730340795428E-2</v>
      </c>
      <c r="U29" s="15">
        <f t="shared" si="28"/>
        <v>-7.1747997182401546E-2</v>
      </c>
      <c r="V29" s="15">
        <f t="shared" si="28"/>
        <v>-7.129244220124642E-2</v>
      </c>
      <c r="W29" s="15">
        <f t="shared" si="28"/>
        <v>-7.0754300708467222E-2</v>
      </c>
      <c r="X29" s="15">
        <f t="shared" si="28"/>
        <v>-7.0103029800798078E-2</v>
      </c>
      <c r="Y29" s="15">
        <f t="shared" si="28"/>
        <v>-6.9466480506468864E-2</v>
      </c>
      <c r="Z29" s="15">
        <f t="shared" si="28"/>
        <v>-6.8979631060174462E-2</v>
      </c>
      <c r="AA29" s="15">
        <f t="shared" si="28"/>
        <v>-6.8571877181784702E-2</v>
      </c>
      <c r="AB29" s="15">
        <f t="shared" si="28"/>
        <v>-6.8254607173356741E-2</v>
      </c>
      <c r="AC29" s="15">
        <f t="shared" si="28"/>
        <v>-6.7674978960522214E-2</v>
      </c>
      <c r="AD29" s="15">
        <f t="shared" si="28"/>
        <v>-6.6792745638952988E-2</v>
      </c>
      <c r="AE29" s="15">
        <f t="shared" si="28"/>
        <v>-6.5898693596124991E-2</v>
      </c>
      <c r="AF29" s="15">
        <f t="shared" si="28"/>
        <v>-6.5235375534262285E-2</v>
      </c>
      <c r="AG29" s="15">
        <f t="shared" si="28"/>
        <v>-6.448180875726961E-2</v>
      </c>
      <c r="AH29" s="15">
        <f t="shared" si="28"/>
        <v>-6.3453472091325125E-2</v>
      </c>
      <c r="AI29" s="15">
        <f t="shared" si="28"/>
        <v>-6.2467836655581976E-2</v>
      </c>
      <c r="AJ29" s="15">
        <f t="shared" si="28"/>
        <v>-6.1635717909222842E-2</v>
      </c>
      <c r="AK29" s="15">
        <f t="shared" si="28"/>
        <v>-6.1277273266562071E-2</v>
      </c>
      <c r="AL29" s="15">
        <f t="shared" si="28"/>
        <v>-6.068020617119374E-2</v>
      </c>
      <c r="AM29" s="15">
        <f t="shared" si="28"/>
        <v>-5.9980114117253347E-2</v>
      </c>
      <c r="AN29" s="15">
        <f t="shared" si="28"/>
        <v>-5.9458076926050651E-2</v>
      </c>
      <c r="AO29" s="15">
        <f t="shared" si="28"/>
        <v>-5.8714036759818011E-2</v>
      </c>
      <c r="AP29" s="15">
        <f t="shared" si="28"/>
        <v>-5.8059196250245693E-2</v>
      </c>
      <c r="AQ29" s="15">
        <f t="shared" si="28"/>
        <v>-5.7617914792827518E-2</v>
      </c>
      <c r="AR29" s="15">
        <f t="shared" si="28"/>
        <v>-5.7326134381774807E-2</v>
      </c>
      <c r="AS29" s="15">
        <f t="shared" si="28"/>
        <v>-5.6895720338260958E-2</v>
      </c>
      <c r="AT29" s="15">
        <f t="shared" si="28"/>
        <v>0</v>
      </c>
      <c r="AU29" s="15">
        <f t="shared" si="28"/>
        <v>0</v>
      </c>
      <c r="AV29" s="15">
        <f t="shared" si="28"/>
        <v>0</v>
      </c>
      <c r="AW29" s="15">
        <f t="shared" si="28"/>
        <v>0</v>
      </c>
      <c r="AX29" s="15">
        <f t="shared" si="28"/>
        <v>0</v>
      </c>
      <c r="AY29" s="15">
        <f t="shared" si="28"/>
        <v>0</v>
      </c>
      <c r="AZ29" s="15">
        <f t="shared" ref="AZ29:BK29" si="35">-IFERROR(((1-AZ47/AZ17)^(360/AZ$4))-1,0)</f>
        <v>-5.9020266032167923E-2</v>
      </c>
      <c r="BA29" s="15">
        <f t="shared" si="35"/>
        <v>-5.8457630468060184E-2</v>
      </c>
      <c r="BB29" s="15">
        <f t="shared" si="35"/>
        <v>-5.7863291083855461E-2</v>
      </c>
      <c r="BC29" s="15">
        <f t="shared" si="35"/>
        <v>-5.7350767587369678E-2</v>
      </c>
      <c r="BD29" s="15">
        <f t="shared" si="35"/>
        <v>-5.687432649780777E-2</v>
      </c>
      <c r="BE29" s="15">
        <f t="shared" si="35"/>
        <v>-5.6398251018870971E-2</v>
      </c>
      <c r="BF29" s="15">
        <f t="shared" si="35"/>
        <v>-5.5954121568960513E-2</v>
      </c>
      <c r="BG29" s="15">
        <f t="shared" si="35"/>
        <v>-5.5540090726972968E-2</v>
      </c>
      <c r="BH29" s="15">
        <f t="shared" si="35"/>
        <v>-5.5135151107286839E-2</v>
      </c>
      <c r="BI29" s="15">
        <f t="shared" si="35"/>
        <v>-5.4774185889276072E-2</v>
      </c>
      <c r="BJ29" s="15">
        <f t="shared" si="35"/>
        <v>-5.44420625188482E-2</v>
      </c>
      <c r="BK29" s="15">
        <f t="shared" si="35"/>
        <v>-5.4146058120059459E-2</v>
      </c>
      <c r="BO29" s="29">
        <f t="shared" si="33"/>
        <v>-5.823239217336118E-2</v>
      </c>
      <c r="BP29" s="29">
        <f t="shared" si="30"/>
        <v>-5.7905758180050393E-2</v>
      </c>
      <c r="BQ29" s="29">
        <f t="shared" si="30"/>
        <v>-5.8466125917575162E-2</v>
      </c>
      <c r="BR29" s="29">
        <f t="shared" si="30"/>
        <v>-6.6763532241838952E-2</v>
      </c>
      <c r="BS29" s="29">
        <f t="shared" si="30"/>
        <v>-7.2896837865202624E-2</v>
      </c>
      <c r="BT29" s="29">
        <f t="shared" si="30"/>
        <v>-6.4522231026847621E-2</v>
      </c>
    </row>
    <row r="32" spans="1:80" hidden="1" outlineLevel="1" x14ac:dyDescent="0.25">
      <c r="A32" s="11"/>
      <c r="C32" s="2" t="s">
        <v>0</v>
      </c>
      <c r="D32" s="14">
        <f>D20+D26</f>
        <v>6.1208594193124188E-2</v>
      </c>
      <c r="E32" s="14">
        <f t="shared" ref="E32:AY32" si="36">E20+E26</f>
        <v>5.6697957053366999E-2</v>
      </c>
      <c r="F32" s="14">
        <f t="shared" si="36"/>
        <v>5.4318512418026765E-2</v>
      </c>
      <c r="G32" s="14">
        <f t="shared" si="36"/>
        <v>5.1385324879914096E-2</v>
      </c>
      <c r="H32" s="14">
        <f t="shared" si="36"/>
        <v>5.0791899885421987E-2</v>
      </c>
      <c r="I32" s="14">
        <f t="shared" si="36"/>
        <v>5.1224616900690689E-2</v>
      </c>
      <c r="J32" s="14">
        <f t="shared" si="36"/>
        <v>4.978931631135608E-2</v>
      </c>
      <c r="K32" s="14">
        <f t="shared" si="36"/>
        <v>4.9768102818891213E-2</v>
      </c>
      <c r="L32" s="14">
        <f t="shared" si="36"/>
        <v>4.8743159597606445E-2</v>
      </c>
      <c r="M32" s="14">
        <f t="shared" si="36"/>
        <v>4.7143881080758065E-2</v>
      </c>
      <c r="N32" s="14">
        <f t="shared" si="36"/>
        <v>4.6474432619034278E-2</v>
      </c>
      <c r="O32" s="14">
        <f t="shared" si="36"/>
        <v>4.6407367630912466E-2</v>
      </c>
      <c r="P32" s="14">
        <f t="shared" si="36"/>
        <v>4.5847098321599722E-2</v>
      </c>
      <c r="Q32" s="14">
        <f t="shared" si="36"/>
        <v>4.8838801835941581E-2</v>
      </c>
      <c r="R32" s="14">
        <f t="shared" si="36"/>
        <v>4.5256472411286275E-2</v>
      </c>
      <c r="S32" s="14">
        <f t="shared" si="36"/>
        <v>4.3236073509820727E-2</v>
      </c>
      <c r="T32" s="14">
        <f t="shared" si="36"/>
        <v>4.6009144552018322E-2</v>
      </c>
      <c r="U32" s="14">
        <f t="shared" si="36"/>
        <v>4.6755563073492601E-2</v>
      </c>
      <c r="V32" s="14">
        <f t="shared" si="36"/>
        <v>4.769296514271848E-2</v>
      </c>
      <c r="W32" s="14">
        <f t="shared" si="36"/>
        <v>4.8321658443618576E-2</v>
      </c>
      <c r="X32" s="14">
        <f t="shared" si="36"/>
        <v>4.9466542119548595E-2</v>
      </c>
      <c r="Y32" s="14">
        <f t="shared" si="36"/>
        <v>5.3395375460558725E-2</v>
      </c>
      <c r="Z32" s="14">
        <f t="shared" si="36"/>
        <v>5.0129125683270548E-2</v>
      </c>
      <c r="AA32" s="14">
        <f t="shared" si="36"/>
        <v>4.9364323322830694E-2</v>
      </c>
      <c r="AB32" s="14">
        <f t="shared" si="36"/>
        <v>5.012113489802883E-2</v>
      </c>
      <c r="AC32" s="14">
        <f t="shared" si="36"/>
        <v>4.9985711179687975E-2</v>
      </c>
      <c r="AD32" s="14">
        <f t="shared" si="36"/>
        <v>5.17863873128801E-2</v>
      </c>
      <c r="AE32" s="14">
        <f t="shared" si="36"/>
        <v>5.1969158313889707E-2</v>
      </c>
      <c r="AF32" s="14">
        <f t="shared" si="36"/>
        <v>5.370356517921171E-2</v>
      </c>
      <c r="AG32" s="14">
        <f t="shared" si="36"/>
        <v>5.3012207808182499E-2</v>
      </c>
      <c r="AH32" s="14">
        <f t="shared" si="36"/>
        <v>5.3735851186419881E-2</v>
      </c>
      <c r="AI32" s="14">
        <f t="shared" si="36"/>
        <v>5.3187336843882882E-2</v>
      </c>
      <c r="AJ32" s="14">
        <f t="shared" si="36"/>
        <v>5.4668775449652429E-2</v>
      </c>
      <c r="AK32" s="14">
        <f t="shared" si="36"/>
        <v>5.7107002822092356E-2</v>
      </c>
      <c r="AL32" s="14">
        <f t="shared" si="36"/>
        <v>5.5681383199510215E-2</v>
      </c>
      <c r="AM32" s="14">
        <f t="shared" si="36"/>
        <v>5.6124434390429245E-2</v>
      </c>
      <c r="AN32" s="14">
        <f t="shared" si="36"/>
        <v>5.5510234620461008E-2</v>
      </c>
      <c r="AO32" s="14">
        <f t="shared" si="36"/>
        <v>5.5076398451165964E-2</v>
      </c>
      <c r="AP32" s="14">
        <f t="shared" si="36"/>
        <v>5.6079991561189813E-2</v>
      </c>
      <c r="AQ32" s="14">
        <f t="shared" si="36"/>
        <v>5.5991449747627042E-2</v>
      </c>
      <c r="AR32" s="14">
        <f t="shared" si="36"/>
        <v>5.6060976543998553E-2</v>
      </c>
      <c r="AS32" s="14">
        <f t="shared" si="36"/>
        <v>5.5230378531180957E-2</v>
      </c>
      <c r="AT32" s="14">
        <f t="shared" si="36"/>
        <v>0</v>
      </c>
      <c r="AU32" s="14">
        <f t="shared" si="36"/>
        <v>0</v>
      </c>
      <c r="AV32" s="14">
        <f t="shared" si="36"/>
        <v>0</v>
      </c>
      <c r="AW32" s="14">
        <f t="shared" si="36"/>
        <v>0</v>
      </c>
      <c r="AX32" s="14">
        <f t="shared" si="36"/>
        <v>0</v>
      </c>
      <c r="AY32" s="14">
        <f t="shared" si="36"/>
        <v>0</v>
      </c>
      <c r="AZ32" s="14">
        <f t="shared" ref="AZ32:BK32" si="37">AZ20+AZ26</f>
        <v>5.5585346618608034E-2</v>
      </c>
      <c r="BA32" s="14">
        <f t="shared" si="37"/>
        <v>5.6798490702736126E-2</v>
      </c>
      <c r="BB32" s="14">
        <f t="shared" si="37"/>
        <v>5.5725187094464612E-2</v>
      </c>
      <c r="BC32" s="14">
        <f t="shared" si="37"/>
        <v>5.6648520355964571E-2</v>
      </c>
      <c r="BD32" s="14">
        <f t="shared" si="37"/>
        <v>5.6574067851234311E-2</v>
      </c>
      <c r="BE32" s="14">
        <f t="shared" si="37"/>
        <v>5.7002275171083916E-2</v>
      </c>
      <c r="BF32" s="14">
        <f t="shared" si="37"/>
        <v>5.7683602898539021E-2</v>
      </c>
      <c r="BG32" s="14">
        <f t="shared" si="37"/>
        <v>5.802989069997877E-2</v>
      </c>
      <c r="BH32" s="14">
        <f t="shared" si="37"/>
        <v>5.8138765312588436E-2</v>
      </c>
      <c r="BI32" s="14">
        <f t="shared" si="37"/>
        <v>5.908175025446627E-2</v>
      </c>
      <c r="BJ32" s="14">
        <f t="shared" si="37"/>
        <v>5.8545922448761889E-2</v>
      </c>
      <c r="BK32" s="14">
        <f t="shared" si="37"/>
        <v>5.9412541380972961E-2</v>
      </c>
      <c r="BO32" s="28">
        <f>BO20+BO26</f>
        <v>5.5746846777561698E-2</v>
      </c>
      <c r="BP32" s="28">
        <f t="shared" ref="BP32:BT32" si="38">BP20+BP26</f>
        <v>5.6270565467961386E-2</v>
      </c>
      <c r="BQ32" s="28">
        <f t="shared" si="38"/>
        <v>5.5661745125119566E-2</v>
      </c>
      <c r="BR32" s="28">
        <f t="shared" si="38"/>
        <v>5.152191720219923E-2</v>
      </c>
      <c r="BS32" s="28">
        <f t="shared" si="38"/>
        <v>4.5814571338304022E-2</v>
      </c>
      <c r="BT32" s="28">
        <f t="shared" si="38"/>
        <v>5.4775930954630514E-2</v>
      </c>
    </row>
    <row r="33" spans="1:72" hidden="1" outlineLevel="1" x14ac:dyDescent="0.25">
      <c r="A33" s="11"/>
      <c r="C33" s="2" t="s">
        <v>1</v>
      </c>
      <c r="D33" s="14">
        <f t="shared" ref="D33:AY35" si="39">D21+D27</f>
        <v>6.1878306514586923E-2</v>
      </c>
      <c r="E33" s="14">
        <f t="shared" si="39"/>
        <v>5.6836301595029282E-2</v>
      </c>
      <c r="F33" s="14">
        <f t="shared" si="39"/>
        <v>5.0628741775975206E-2</v>
      </c>
      <c r="G33" s="14">
        <f t="shared" si="39"/>
        <v>5.1295742380040643E-2</v>
      </c>
      <c r="H33" s="14">
        <f t="shared" si="39"/>
        <v>4.2951662467030749E-2</v>
      </c>
      <c r="I33" s="14">
        <f t="shared" si="39"/>
        <v>4.4037149107457818E-2</v>
      </c>
      <c r="J33" s="14">
        <f t="shared" si="39"/>
        <v>6.2361992694196511E-2</v>
      </c>
      <c r="K33" s="14">
        <f t="shared" si="39"/>
        <v>5.3391588224005027E-2</v>
      </c>
      <c r="L33" s="14">
        <f t="shared" si="39"/>
        <v>5.3011788628066991E-2</v>
      </c>
      <c r="M33" s="14">
        <f t="shared" si="39"/>
        <v>5.1710181038876257E-2</v>
      </c>
      <c r="N33" s="14">
        <f t="shared" si="39"/>
        <v>5.0781750671274883E-2</v>
      </c>
      <c r="O33" s="14">
        <f t="shared" si="39"/>
        <v>4.96350335661917E-2</v>
      </c>
      <c r="P33" s="14">
        <f t="shared" si="39"/>
        <v>4.7034780530194942E-2</v>
      </c>
      <c r="Q33" s="14">
        <f t="shared" si="39"/>
        <v>4.2394846727949353E-2</v>
      </c>
      <c r="R33" s="14">
        <f t="shared" si="39"/>
        <v>4.5182360991172787E-2</v>
      </c>
      <c r="S33" s="14">
        <f t="shared" si="39"/>
        <v>4.0097457712629181E-2</v>
      </c>
      <c r="T33" s="14">
        <f t="shared" si="39"/>
        <v>4.7261261287221412E-2</v>
      </c>
      <c r="U33" s="14">
        <f t="shared" si="39"/>
        <v>3.539776391108318E-2</v>
      </c>
      <c r="V33" s="14">
        <f t="shared" si="39"/>
        <v>4.9477368817569367E-2</v>
      </c>
      <c r="W33" s="14">
        <f t="shared" si="39"/>
        <v>4.8412442895535035E-2</v>
      </c>
      <c r="X33" s="14">
        <f t="shared" si="39"/>
        <v>5.1551922142183404E-2</v>
      </c>
      <c r="Y33" s="14">
        <f t="shared" si="39"/>
        <v>5.2222689287763746E-2</v>
      </c>
      <c r="Z33" s="14">
        <f t="shared" si="39"/>
        <v>4.5296425632837201E-2</v>
      </c>
      <c r="AA33" s="14">
        <f t="shared" si="39"/>
        <v>5.3472880760915276E-2</v>
      </c>
      <c r="AB33" s="14">
        <f t="shared" si="39"/>
        <v>5.3177053406163299E-2</v>
      </c>
      <c r="AC33" s="14">
        <f t="shared" si="39"/>
        <v>4.420525623547622E-2</v>
      </c>
      <c r="AD33" s="14">
        <f t="shared" si="39"/>
        <v>4.7483589689184758E-2</v>
      </c>
      <c r="AE33" s="14">
        <f t="shared" si="39"/>
        <v>5.1257929424811666E-2</v>
      </c>
      <c r="AF33" s="14">
        <f t="shared" si="39"/>
        <v>5.0644492802032648E-2</v>
      </c>
      <c r="AG33" s="14">
        <f t="shared" si="39"/>
        <v>4.7349383946448276E-2</v>
      </c>
      <c r="AH33" s="14">
        <f t="shared" si="39"/>
        <v>5.0019020842216211E-2</v>
      </c>
      <c r="AI33" s="14">
        <f t="shared" si="39"/>
        <v>5.6824099593115296E-2</v>
      </c>
      <c r="AJ33" s="14">
        <f t="shared" si="39"/>
        <v>5.6052367685987869E-2</v>
      </c>
      <c r="AK33" s="14">
        <f t="shared" si="39"/>
        <v>5.5406509351424882E-2</v>
      </c>
      <c r="AL33" s="14">
        <f t="shared" si="39"/>
        <v>5.1892087851368229E-2</v>
      </c>
      <c r="AM33" s="14">
        <f t="shared" si="39"/>
        <v>4.9490160716335829E-2</v>
      </c>
      <c r="AN33" s="14">
        <f t="shared" si="39"/>
        <v>5.3642340838574443E-2</v>
      </c>
      <c r="AO33" s="14">
        <f t="shared" si="39"/>
        <v>5.2065493831024545E-2</v>
      </c>
      <c r="AP33" s="14">
        <f t="shared" si="39"/>
        <v>4.5075615518714196E-2</v>
      </c>
      <c r="AQ33" s="14">
        <f t="shared" si="39"/>
        <v>4.9777664967518787E-2</v>
      </c>
      <c r="AR33" s="14">
        <f t="shared" si="39"/>
        <v>4.6588242184210094E-2</v>
      </c>
      <c r="AS33" s="14">
        <f t="shared" si="39"/>
        <v>4.9877987391821366E-2</v>
      </c>
      <c r="AT33" s="14">
        <f t="shared" si="39"/>
        <v>0</v>
      </c>
      <c r="AU33" s="14">
        <f t="shared" si="39"/>
        <v>0</v>
      </c>
      <c r="AV33" s="14">
        <f t="shared" si="39"/>
        <v>0</v>
      </c>
      <c r="AW33" s="14">
        <f t="shared" si="39"/>
        <v>0</v>
      </c>
      <c r="AX33" s="14">
        <f t="shared" si="39"/>
        <v>0</v>
      </c>
      <c r="AY33" s="14">
        <f t="shared" si="39"/>
        <v>0</v>
      </c>
      <c r="AZ33" s="14">
        <f t="shared" ref="AZ33:BK33" si="40">AZ21+AZ27</f>
        <v>5.7315721817589926E-2</v>
      </c>
      <c r="BA33" s="14">
        <f t="shared" si="40"/>
        <v>5.8544422581870093E-2</v>
      </c>
      <c r="BB33" s="14">
        <f t="shared" si="40"/>
        <v>5.7516048039853551E-2</v>
      </c>
      <c r="BC33" s="14">
        <f t="shared" si="40"/>
        <v>5.7331670625053732E-2</v>
      </c>
      <c r="BD33" s="14">
        <f t="shared" si="40"/>
        <v>5.6797005946321644E-2</v>
      </c>
      <c r="BE33" s="14">
        <f t="shared" si="40"/>
        <v>5.6633691483581883E-2</v>
      </c>
      <c r="BF33" s="14">
        <f t="shared" si="40"/>
        <v>5.7269970781675061E-2</v>
      </c>
      <c r="BG33" s="14">
        <f t="shared" si="40"/>
        <v>5.7438683791002587E-2</v>
      </c>
      <c r="BH33" s="14">
        <f t="shared" si="40"/>
        <v>5.7603551483393689E-2</v>
      </c>
      <c r="BI33" s="14">
        <f t="shared" si="40"/>
        <v>5.8431456261562209E-2</v>
      </c>
      <c r="BJ33" s="14">
        <f t="shared" si="40"/>
        <v>5.7906091018995021E-2</v>
      </c>
      <c r="BK33" s="14">
        <f t="shared" si="40"/>
        <v>5.8732160779941589E-2</v>
      </c>
      <c r="BO33" s="28">
        <f t="shared" ref="BO33:BT35" si="41">BO21+BO27</f>
        <v>4.9498825065960039E-2</v>
      </c>
      <c r="BP33" s="28">
        <f t="shared" si="41"/>
        <v>5.749755835782322E-2</v>
      </c>
      <c r="BQ33" s="28">
        <f t="shared" si="41"/>
        <v>5.0172029883394531E-2</v>
      </c>
      <c r="BR33" s="28">
        <f t="shared" si="41"/>
        <v>4.9337757424021689E-2</v>
      </c>
      <c r="BS33" s="28">
        <f t="shared" si="41"/>
        <v>4.4418103254714181E-2</v>
      </c>
      <c r="BT33" s="28">
        <f t="shared" si="41"/>
        <v>5.2685437447463679E-2</v>
      </c>
    </row>
    <row r="34" spans="1:72" hidden="1" outlineLevel="1" x14ac:dyDescent="0.25">
      <c r="A34" s="11"/>
      <c r="C34" s="2" t="s">
        <v>45</v>
      </c>
      <c r="D34" s="14">
        <f t="shared" si="39"/>
        <v>6.992512672194362E-3</v>
      </c>
      <c r="E34" s="14">
        <f t="shared" si="39"/>
        <v>1.7931301355826879E-2</v>
      </c>
      <c r="F34" s="14">
        <f t="shared" si="39"/>
        <v>-2.354448658217434E-3</v>
      </c>
      <c r="G34" s="14">
        <f t="shared" si="39"/>
        <v>5.1976076749769007E-3</v>
      </c>
      <c r="H34" s="14">
        <f t="shared" si="39"/>
        <v>4.8810797925065152E-3</v>
      </c>
      <c r="I34" s="14">
        <f t="shared" si="39"/>
        <v>6.6666736723488551E-3</v>
      </c>
      <c r="J34" s="14">
        <f t="shared" si="39"/>
        <v>-9.6592056385731428E-3</v>
      </c>
      <c r="K34" s="14">
        <f t="shared" si="39"/>
        <v>-2.6625069546788227E-2</v>
      </c>
      <c r="L34" s="14">
        <f t="shared" si="39"/>
        <v>-2.3556486781913355E-2</v>
      </c>
      <c r="M34" s="14">
        <f t="shared" si="39"/>
        <v>-2.1175306971732644E-2</v>
      </c>
      <c r="N34" s="14">
        <f t="shared" si="39"/>
        <v>-3.598854119139272E-2</v>
      </c>
      <c r="O34" s="14">
        <f t="shared" si="39"/>
        <v>-3.4373305033575718E-2</v>
      </c>
      <c r="P34" s="14">
        <f t="shared" si="39"/>
        <v>-3.1299917956243872E-2</v>
      </c>
      <c r="Q34" s="14">
        <f t="shared" si="39"/>
        <v>-2.8124898700813805E-2</v>
      </c>
      <c r="R34" s="14">
        <f t="shared" si="39"/>
        <v>-3.6775224248351446E-2</v>
      </c>
      <c r="S34" s="14">
        <f t="shared" si="39"/>
        <v>-3.7920613621572175E-2</v>
      </c>
      <c r="T34" s="14">
        <f t="shared" si="39"/>
        <v>-3.0089404912821971E-2</v>
      </c>
      <c r="U34" s="14">
        <f t="shared" si="39"/>
        <v>-1.951845717607581E-2</v>
      </c>
      <c r="V34" s="14">
        <f t="shared" si="39"/>
        <v>-3.1886372839691424E-2</v>
      </c>
      <c r="W34" s="14">
        <f t="shared" si="39"/>
        <v>-4.1630694794845935E-2</v>
      </c>
      <c r="X34" s="14">
        <f t="shared" si="39"/>
        <v>-4.7851836694047911E-2</v>
      </c>
      <c r="Y34" s="14">
        <f t="shared" si="39"/>
        <v>-4.9947961348761449E-2</v>
      </c>
      <c r="Z34" s="14">
        <f t="shared" si="39"/>
        <v>-4.6576860835940037E-2</v>
      </c>
      <c r="AA34" s="14">
        <f t="shared" si="39"/>
        <v>-4.4188654159533991E-2</v>
      </c>
      <c r="AB34" s="14">
        <f t="shared" si="39"/>
        <v>-4.5036733473653889E-2</v>
      </c>
      <c r="AC34" s="14">
        <f t="shared" si="39"/>
        <v>-3.9238596134067771E-2</v>
      </c>
      <c r="AD34" s="14">
        <f t="shared" si="39"/>
        <v>-3.8862718850655398E-2</v>
      </c>
      <c r="AE34" s="14">
        <f t="shared" si="39"/>
        <v>-4.5233522136228776E-2</v>
      </c>
      <c r="AF34" s="14">
        <f t="shared" si="39"/>
        <v>-3.7770040817885375E-2</v>
      </c>
      <c r="AG34" s="14">
        <f t="shared" si="39"/>
        <v>-3.898301581322694E-2</v>
      </c>
      <c r="AH34" s="14">
        <f t="shared" si="39"/>
        <v>-4.2659731600989126E-2</v>
      </c>
      <c r="AI34" s="14">
        <f t="shared" si="39"/>
        <v>-3.8332875637659303E-2</v>
      </c>
      <c r="AJ34" s="14">
        <f t="shared" si="39"/>
        <v>-2.9557176038629063E-2</v>
      </c>
      <c r="AK34" s="14">
        <f t="shared" si="39"/>
        <v>-8.380800718317527E-2</v>
      </c>
      <c r="AL34" s="14">
        <f t="shared" si="39"/>
        <v>-4.2682286067917685E-2</v>
      </c>
      <c r="AM34" s="14">
        <f t="shared" si="39"/>
        <v>-4.0776568638476451E-2</v>
      </c>
      <c r="AN34" s="14">
        <f t="shared" si="39"/>
        <v>-3.2974063431561174E-2</v>
      </c>
      <c r="AO34" s="14">
        <f t="shared" si="39"/>
        <v>-3.0429969379854649E-2</v>
      </c>
      <c r="AP34" s="14">
        <f t="shared" si="39"/>
        <v>-2.3315476541331925E-2</v>
      </c>
      <c r="AQ34" s="14">
        <f t="shared" si="39"/>
        <v>-3.2849316068334522E-2</v>
      </c>
      <c r="AR34" s="14">
        <f t="shared" si="39"/>
        <v>-3.1652913857525666E-2</v>
      </c>
      <c r="AS34" s="14">
        <f t="shared" si="39"/>
        <v>-2.2846869410897197E-2</v>
      </c>
      <c r="AT34" s="14">
        <f t="shared" si="39"/>
        <v>0</v>
      </c>
      <c r="AU34" s="14">
        <f t="shared" si="39"/>
        <v>0</v>
      </c>
      <c r="AV34" s="14">
        <f t="shared" si="39"/>
        <v>0</v>
      </c>
      <c r="AW34" s="14">
        <f t="shared" si="39"/>
        <v>0</v>
      </c>
      <c r="AX34" s="14">
        <f t="shared" si="39"/>
        <v>0</v>
      </c>
      <c r="AY34" s="14">
        <f t="shared" si="39"/>
        <v>0</v>
      </c>
      <c r="AZ34" s="14">
        <f t="shared" ref="AZ34:BK34" si="42">AZ22+AZ28</f>
        <v>-2.585575595712486E-2</v>
      </c>
      <c r="BA34" s="14">
        <f t="shared" si="42"/>
        <v>-2.5736099929292822E-2</v>
      </c>
      <c r="BB34" s="14">
        <f t="shared" si="42"/>
        <v>-2.6175617339559976E-2</v>
      </c>
      <c r="BC34" s="14">
        <f t="shared" si="42"/>
        <v>-2.6268111070086864E-2</v>
      </c>
      <c r="BD34" s="14">
        <f t="shared" si="42"/>
        <v>-2.6203569270313531E-2</v>
      </c>
      <c r="BE34" s="14">
        <f t="shared" si="42"/>
        <v>-2.6001103686468685E-2</v>
      </c>
      <c r="BF34" s="14">
        <f t="shared" si="42"/>
        <v>-2.5849026027258359E-2</v>
      </c>
      <c r="BG34" s="14">
        <f t="shared" si="42"/>
        <v>-2.537598905631655E-2</v>
      </c>
      <c r="BH34" s="14">
        <f t="shared" si="42"/>
        <v>-2.5386536969474349E-2</v>
      </c>
      <c r="BI34" s="14">
        <f t="shared" si="42"/>
        <v>-2.4949106911330565E-2</v>
      </c>
      <c r="BJ34" s="14">
        <f t="shared" si="42"/>
        <v>-2.493018574203032E-2</v>
      </c>
      <c r="BK34" s="14">
        <f t="shared" si="42"/>
        <v>-2.4434077369638763E-2</v>
      </c>
      <c r="BO34" s="28">
        <f t="shared" si="41"/>
        <v>-3.0228436920785473E-2</v>
      </c>
      <c r="BP34" s="28">
        <f t="shared" si="41"/>
        <v>-2.6040131153356905E-2</v>
      </c>
      <c r="BQ34" s="28">
        <f t="shared" si="41"/>
        <v>-2.9899111174369164E-2</v>
      </c>
      <c r="BR34" s="28">
        <f t="shared" si="41"/>
        <v>-4.1330711164223599E-2</v>
      </c>
      <c r="BS34" s="28">
        <f t="shared" si="41"/>
        <v>-3.2818606517338811E-2</v>
      </c>
      <c r="BT34" s="28">
        <f t="shared" si="41"/>
        <v>6.5075023981049362E-3</v>
      </c>
    </row>
    <row r="35" spans="1:72" collapsed="1" x14ac:dyDescent="0.25">
      <c r="C35" s="3" t="s">
        <v>63</v>
      </c>
      <c r="D35" s="15">
        <f t="shared" si="39"/>
        <v>6.0244916060191001E-2</v>
      </c>
      <c r="E35" s="15">
        <f t="shared" si="39"/>
        <v>5.603713067706817E-2</v>
      </c>
      <c r="F35" s="15">
        <f t="shared" si="39"/>
        <v>5.3324117018746398E-2</v>
      </c>
      <c r="G35" s="15">
        <f t="shared" si="39"/>
        <v>5.0622688050318665E-2</v>
      </c>
      <c r="H35" s="15">
        <f t="shared" si="39"/>
        <v>5.0021154739942286E-2</v>
      </c>
      <c r="I35" s="15">
        <f t="shared" si="39"/>
        <v>5.0515826654888185E-2</v>
      </c>
      <c r="J35" s="15">
        <f t="shared" si="39"/>
        <v>4.9035698903887592E-2</v>
      </c>
      <c r="K35" s="15">
        <f t="shared" si="39"/>
        <v>4.8714874996250934E-2</v>
      </c>
      <c r="L35" s="15">
        <f t="shared" si="39"/>
        <v>4.7732769979764278E-2</v>
      </c>
      <c r="M35" s="15">
        <f t="shared" si="39"/>
        <v>4.6194836493393732E-2</v>
      </c>
      <c r="N35" s="15">
        <f t="shared" si="39"/>
        <v>4.5361846410761908E-2</v>
      </c>
      <c r="O35" s="15">
        <f t="shared" si="39"/>
        <v>4.5318459486556328E-2</v>
      </c>
      <c r="P35" s="15">
        <f t="shared" si="39"/>
        <v>4.4714534185274823E-2</v>
      </c>
      <c r="Q35" s="15">
        <f t="shared" si="39"/>
        <v>4.7689122099287218E-2</v>
      </c>
      <c r="R35" s="15">
        <f t="shared" si="39"/>
        <v>4.4123142427066941E-2</v>
      </c>
      <c r="S35" s="15">
        <f t="shared" si="39"/>
        <v>4.2075160367567976E-2</v>
      </c>
      <c r="T35" s="15">
        <f t="shared" si="39"/>
        <v>4.4985206905956199E-2</v>
      </c>
      <c r="U35" s="15">
        <f t="shared" si="39"/>
        <v>4.5863401887669353E-2</v>
      </c>
      <c r="V35" s="15">
        <f t="shared" si="39"/>
        <v>4.6661382911640903E-2</v>
      </c>
      <c r="W35" s="15">
        <f t="shared" si="39"/>
        <v>4.7052187257194511E-2</v>
      </c>
      <c r="X35" s="15">
        <f t="shared" si="39"/>
        <v>4.7983113158782675E-2</v>
      </c>
      <c r="Y35" s="15">
        <f t="shared" si="39"/>
        <v>5.1749409820224024E-2</v>
      </c>
      <c r="Z35" s="15">
        <f t="shared" si="39"/>
        <v>4.8644648836080773E-2</v>
      </c>
      <c r="AA35" s="15">
        <f t="shared" si="39"/>
        <v>4.7853401210125712E-2</v>
      </c>
      <c r="AB35" s="15">
        <f t="shared" si="39"/>
        <v>4.8377579666424753E-2</v>
      </c>
      <c r="AC35" s="15">
        <f t="shared" si="39"/>
        <v>4.8425059084169053E-2</v>
      </c>
      <c r="AD35" s="15">
        <f t="shared" si="39"/>
        <v>5.0143608705635057E-2</v>
      </c>
      <c r="AE35" s="15">
        <f t="shared" si="39"/>
        <v>5.0206531900763629E-2</v>
      </c>
      <c r="AF35" s="15">
        <f t="shared" si="39"/>
        <v>5.2084520431231685E-2</v>
      </c>
      <c r="AG35" s="15">
        <f t="shared" si="39"/>
        <v>5.130206554097394E-2</v>
      </c>
      <c r="AH35" s="15">
        <f t="shared" si="39"/>
        <v>5.1969334255819621E-2</v>
      </c>
      <c r="AI35" s="15">
        <f t="shared" si="39"/>
        <v>5.1486471311176452E-2</v>
      </c>
      <c r="AJ35" s="15">
        <f t="shared" si="39"/>
        <v>5.3036596417788351E-2</v>
      </c>
      <c r="AK35" s="15">
        <f t="shared" si="39"/>
        <v>5.4143568695933286E-2</v>
      </c>
      <c r="AL35" s="15">
        <f t="shared" si="39"/>
        <v>5.3531571083775376E-2</v>
      </c>
      <c r="AM35" s="15">
        <f t="shared" si="39"/>
        <v>5.3980187179328842E-2</v>
      </c>
      <c r="AN35" s="15">
        <f t="shared" si="39"/>
        <v>5.3381491018212879E-2</v>
      </c>
      <c r="AO35" s="15">
        <f t="shared" si="39"/>
        <v>5.297971482285746E-2</v>
      </c>
      <c r="AP35" s="15">
        <f t="shared" si="39"/>
        <v>5.4181258217227635E-2</v>
      </c>
      <c r="AQ35" s="15">
        <f t="shared" si="39"/>
        <v>5.398205755604879E-2</v>
      </c>
      <c r="AR35" s="15">
        <f t="shared" si="39"/>
        <v>5.4051974516045931E-2</v>
      </c>
      <c r="AS35" s="15">
        <f t="shared" si="39"/>
        <v>5.3455569045085971E-2</v>
      </c>
      <c r="AT35" s="15">
        <f t="shared" si="39"/>
        <v>0</v>
      </c>
      <c r="AU35" s="15">
        <f t="shared" si="39"/>
        <v>0</v>
      </c>
      <c r="AV35" s="15">
        <f t="shared" si="39"/>
        <v>0</v>
      </c>
      <c r="AW35" s="15">
        <f t="shared" si="39"/>
        <v>0</v>
      </c>
      <c r="AX35" s="15">
        <f t="shared" si="39"/>
        <v>0</v>
      </c>
      <c r="AY35" s="15">
        <f t="shared" si="39"/>
        <v>0</v>
      </c>
      <c r="AZ35" s="15">
        <f t="shared" ref="AZ35:BK35" si="43">AZ23+AZ29</f>
        <v>5.3917249531387546E-2</v>
      </c>
      <c r="BA35" s="15">
        <f t="shared" si="43"/>
        <v>5.5149290368790904E-2</v>
      </c>
      <c r="BB35" s="15">
        <f t="shared" si="43"/>
        <v>5.4127317293000132E-2</v>
      </c>
      <c r="BC35" s="15">
        <f t="shared" si="43"/>
        <v>5.5072055712531043E-2</v>
      </c>
      <c r="BD35" s="15">
        <f t="shared" si="43"/>
        <v>5.5016004969171473E-2</v>
      </c>
      <c r="BE35" s="15">
        <f t="shared" si="43"/>
        <v>5.545618798285723E-2</v>
      </c>
      <c r="BF35" s="15">
        <f t="shared" si="43"/>
        <v>5.6153047019129376E-2</v>
      </c>
      <c r="BG35" s="15">
        <f t="shared" si="43"/>
        <v>5.6499681157501147E-2</v>
      </c>
      <c r="BH35" s="15">
        <f t="shared" si="43"/>
        <v>5.6630532935966205E-2</v>
      </c>
      <c r="BI35" s="15">
        <f t="shared" si="43"/>
        <v>5.7574948602127973E-2</v>
      </c>
      <c r="BJ35" s="15">
        <f t="shared" si="43"/>
        <v>5.7056407568661927E-2</v>
      </c>
      <c r="BK35" s="15">
        <f t="shared" si="43"/>
        <v>5.791879342684858E-2</v>
      </c>
      <c r="BO35" s="29">
        <f t="shared" si="41"/>
        <v>5.3718170730657988E-2</v>
      </c>
      <c r="BP35" s="29">
        <f t="shared" si="41"/>
        <v>5.466074861773107E-2</v>
      </c>
      <c r="BQ35" s="29">
        <f t="shared" si="41"/>
        <v>5.3628029415658363E-2</v>
      </c>
      <c r="BR35" s="29">
        <f t="shared" si="41"/>
        <v>4.9855419489819086E-2</v>
      </c>
      <c r="BS35" s="29">
        <f t="shared" si="41"/>
        <v>4.4695960889527653E-2</v>
      </c>
      <c r="BT35" s="29">
        <f t="shared" si="41"/>
        <v>5.3949511234676395E-2</v>
      </c>
    </row>
    <row r="38" spans="1:72" hidden="1" outlineLevel="1" x14ac:dyDescent="0.25">
      <c r="A38" s="11" t="s">
        <v>55</v>
      </c>
      <c r="C38" s="2" t="s">
        <v>0</v>
      </c>
      <c r="D38" s="8">
        <f>Renta_Alta!D38+Masivo!D38+Consumo_Inicial!D38</f>
        <v>44615.057664270003</v>
      </c>
      <c r="E38" s="8">
        <f>Renta_Alta!E38+Masivo!E38+Consumo_Inicial!E38</f>
        <v>44491.327036149996</v>
      </c>
      <c r="F38" s="8">
        <f>Renta_Alta!F38+Masivo!F38+Consumo_Inicial!F38</f>
        <v>45047.235260909991</v>
      </c>
      <c r="G38" s="8">
        <f>Renta_Alta!G38+Masivo!G38+Consumo_Inicial!G38</f>
        <v>45375.079679389994</v>
      </c>
      <c r="H38" s="8">
        <f>Renta_Alta!H38+Masivo!H38+Consumo_Inicial!H38</f>
        <v>46108.015957150012</v>
      </c>
      <c r="I38" s="8">
        <f>Renta_Alta!I38+Masivo!I38+Consumo_Inicial!I38</f>
        <v>47314.890678629992</v>
      </c>
      <c r="J38" s="8">
        <f>Renta_Alta!J38+Masivo!J38+Consumo_Inicial!J38</f>
        <v>47587.132001130005</v>
      </c>
      <c r="K38" s="8">
        <f>Renta_Alta!K38+Masivo!K38+Consumo_Inicial!K38</f>
        <v>48454.222245500001</v>
      </c>
      <c r="L38" s="8">
        <f>Renta_Alta!L38+Masivo!L38+Consumo_Inicial!L38</f>
        <v>48889.165043820001</v>
      </c>
      <c r="M38" s="8">
        <f>Renta_Alta!M38+Masivo!M38+Consumo_Inicial!M38</f>
        <v>49104.768756000005</v>
      </c>
      <c r="N38" s="8">
        <f>Renta_Alta!N38+Masivo!N38+Consumo_Inicial!N38</f>
        <v>49650.694941499998</v>
      </c>
      <c r="O38" s="8">
        <f>Renta_Alta!O38+Masivo!O38+Consumo_Inicial!O38</f>
        <v>50090.984991629994</v>
      </c>
      <c r="P38" s="8">
        <f>Renta_Alta!P38+Masivo!P38+Consumo_Inicial!P38</f>
        <v>50137.580880990019</v>
      </c>
      <c r="Q38" s="8">
        <f>Renta_Alta!Q38+Masivo!Q38+Consumo_Inicial!Q38</f>
        <v>51808.84401719</v>
      </c>
      <c r="R38" s="8">
        <f>Renta_Alta!R38+Masivo!R38+Consumo_Inicial!R38</f>
        <v>50907.238521890009</v>
      </c>
      <c r="S38" s="8">
        <f>Renta_Alta!S38+Masivo!S38+Consumo_Inicial!S38</f>
        <v>50734.812843569991</v>
      </c>
      <c r="T38" s="8">
        <f>Renta_Alta!T38+Masivo!T38+Consumo_Inicial!T38</f>
        <v>52493.64268211001</v>
      </c>
      <c r="U38" s="8">
        <f>Renta_Alta!U38+Masivo!U38+Consumo_Inicial!U38</f>
        <v>53384.052142230001</v>
      </c>
      <c r="V38" s="8">
        <f>Renta_Alta!V38+Masivo!V38+Consumo_Inicial!V38</f>
        <v>54311.811991449991</v>
      </c>
      <c r="W38" s="8">
        <f>Renta_Alta!W38+Masivo!W38+Consumo_Inicial!W38</f>
        <v>54747.936655099998</v>
      </c>
      <c r="X38" s="8">
        <f>Renta_Alta!X38+Masivo!X38+Consumo_Inicial!X38</f>
        <v>55101.996314790005</v>
      </c>
      <c r="Y38" s="8">
        <f>Renta_Alta!Y38+Masivo!Y38+Consumo_Inicial!Y38</f>
        <v>54578.783440389998</v>
      </c>
      <c r="Z38" s="8">
        <f>Renta_Alta!Z38+Masivo!Z38+Consumo_Inicial!Z38</f>
        <v>54365.297259190011</v>
      </c>
      <c r="AA38" s="8">
        <f>Renta_Alta!AA38+Masivo!AA38+Consumo_Inicial!AA38</f>
        <v>53232.430746790014</v>
      </c>
      <c r="AB38" s="8">
        <f>Renta_Alta!AB38+Masivo!AB38+Consumo_Inicial!AB38</f>
        <v>52783.643312740009</v>
      </c>
      <c r="AC38" s="8">
        <f>Renta_Alta!AC38+Masivo!AC38+Consumo_Inicial!AC38</f>
        <v>52217.174146060002</v>
      </c>
      <c r="AD38" s="8">
        <f>Renta_Alta!AD38+Masivo!AD38+Consumo_Inicial!AD38</f>
        <v>52519.83081467</v>
      </c>
      <c r="AE38" s="8">
        <f>Renta_Alta!AE38+Masivo!AE38+Consumo_Inicial!AE38</f>
        <v>52033.46515352001</v>
      </c>
      <c r="AF38" s="8">
        <f>Renta_Alta!AF38+Masivo!AF38+Consumo_Inicial!AF38</f>
        <v>52669.271532090002</v>
      </c>
      <c r="AG38" s="8">
        <f>Renta_Alta!AG38+Masivo!AG38+Consumo_Inicial!AG38</f>
        <v>52158.899462430003</v>
      </c>
      <c r="AH38" s="8">
        <f>Renta_Alta!AH38+Masivo!AH38+Consumo_Inicial!AH38</f>
        <v>52266.065436279991</v>
      </c>
      <c r="AI38" s="8">
        <f>Renta_Alta!AI38+Masivo!AI38+Consumo_Inicial!AI38</f>
        <v>51860.029197109994</v>
      </c>
      <c r="AJ38" s="8">
        <f>Renta_Alta!AJ38+Masivo!AJ38+Consumo_Inicial!AJ38</f>
        <v>52306.229086989995</v>
      </c>
      <c r="AK38" s="8">
        <f>Renta_Alta!AK38+Masivo!AK38+Consumo_Inicial!AK38</f>
        <v>52649.90443426001</v>
      </c>
      <c r="AL38" s="8">
        <f>Renta_Alta!AL38+Masivo!AL38+Consumo_Inicial!AL38</f>
        <v>51746.868980330008</v>
      </c>
      <c r="AM38" s="8">
        <f>Renta_Alta!AM38+Masivo!AM38+Consumo_Inicial!AM38</f>
        <v>51173.561765580002</v>
      </c>
      <c r="AN38" s="8">
        <f>Renta_Alta!AN38+Masivo!AN38+Consumo_Inicial!AN38</f>
        <v>50256.70655743</v>
      </c>
      <c r="AO38" s="8">
        <f>Renta_Alta!AO38+Masivo!AO38+Consumo_Inicial!AO38</f>
        <v>49522.948365800003</v>
      </c>
      <c r="AP38" s="8">
        <f>Renta_Alta!AP38+Masivo!AP38+Consumo_Inicial!AP38</f>
        <v>49632.788858510001</v>
      </c>
      <c r="AQ38" s="8">
        <f>Renta_Alta!AQ38+Masivo!AQ38+Consumo_Inicial!AQ38</f>
        <v>49552.001291450004</v>
      </c>
      <c r="AR38" s="8">
        <f>Renta_Alta!AR38+Masivo!AR38+Consumo_Inicial!AR38</f>
        <v>49630.63508426</v>
      </c>
      <c r="AS38" s="8">
        <f>Renta_Alta!AS38+Masivo!AS38+Consumo_Inicial!AS38</f>
        <v>49304.073395400002</v>
      </c>
      <c r="AT38" s="8">
        <f>Renta_Alta!AT38+Masivo!AT38+Consumo_Inicial!AT38</f>
        <v>0</v>
      </c>
      <c r="AU38" s="8">
        <f>Renta_Alta!AU38+Masivo!AU38+Consumo_Inicial!AU38</f>
        <v>0</v>
      </c>
      <c r="AV38" s="8">
        <f>Renta_Alta!AV38+Masivo!AV38+Consumo_Inicial!AV38</f>
        <v>0</v>
      </c>
      <c r="AW38" s="8">
        <f>Renta_Alta!AW38+Masivo!AW38+Consumo_Inicial!AW38</f>
        <v>0</v>
      </c>
      <c r="AX38" s="8">
        <f>Renta_Alta!AX38+Masivo!AX38+Consumo_Inicial!AX38</f>
        <v>0</v>
      </c>
      <c r="AY38" s="8">
        <f>Renta_Alta!AY38+Masivo!AY38+Consumo_Inicial!AY38</f>
        <v>0</v>
      </c>
      <c r="AZ38" s="8">
        <f>Renta_Alta!AZ38+Masivo!AZ38+Consumo_Inicial!AZ38</f>
        <v>52273.69351507743</v>
      </c>
      <c r="BA38" s="8">
        <f>Renta_Alta!BA38+Masivo!BA38+Consumo_Inicial!BA38</f>
        <v>52728.926413376888</v>
      </c>
      <c r="BB38" s="8">
        <f>Renta_Alta!BB38+Masivo!BB38+Consumo_Inicial!BB38</f>
        <v>52311.516152781776</v>
      </c>
      <c r="BC38" s="8">
        <f>Renta_Alta!BC38+Masivo!BC38+Consumo_Inicial!BC38</f>
        <v>52706.954270624199</v>
      </c>
      <c r="BD38" s="8">
        <f>Renta_Alta!BD38+Masivo!BD38+Consumo_Inicial!BD38</f>
        <v>52663.870937288666</v>
      </c>
      <c r="BE38" s="8">
        <f>Renta_Alta!BE38+Masivo!BE38+Consumo_Inicial!BE38</f>
        <v>52896.978446200315</v>
      </c>
      <c r="BF38" s="8">
        <f>Renta_Alta!BF38+Masivo!BF38+Consumo_Inicial!BF38</f>
        <v>53271.831347530519</v>
      </c>
      <c r="BG38" s="8">
        <f>Renta_Alta!BG38+Masivo!BG38+Consumo_Inicial!BG38</f>
        <v>53507.151832895688</v>
      </c>
      <c r="BH38" s="8">
        <f>Renta_Alta!BH38+Masivo!BH38+Consumo_Inicial!BH38</f>
        <v>53717.441315317446</v>
      </c>
      <c r="BI38" s="8">
        <f>Renta_Alta!BI38+Masivo!BI38+Consumo_Inicial!BI38</f>
        <v>54249.613700093272</v>
      </c>
      <c r="BJ38" s="8">
        <f>Renta_Alta!BJ38+Masivo!BJ38+Consumo_Inicial!BJ38</f>
        <v>54106.816340021964</v>
      </c>
      <c r="BK38" s="8">
        <f>Renta_Alta!BK38+Masivo!BK38+Consumo_Inicial!BK38</f>
        <v>54558.663448697291</v>
      </c>
      <c r="BO38" s="24">
        <f t="shared" ref="BO38:BT40" si="44">SUMIFS($D38:$BM38,$D$6:$BM$6,"&gt;="&amp;BO$2,$D$6:$BM$6,"&lt;="&amp;BO$6,$D$5:$BM$5,BO$5)</f>
        <v>248595.08015744999</v>
      </c>
      <c r="BP38" s="24">
        <f t="shared" si="44"/>
        <v>262684.96128914895</v>
      </c>
      <c r="BQ38" s="24">
        <f t="shared" si="44"/>
        <v>198964.44507319</v>
      </c>
      <c r="BR38" s="24">
        <f t="shared" si="44"/>
        <v>262223.38495908002</v>
      </c>
      <c r="BS38" s="24">
        <f t="shared" si="44"/>
        <v>256082.11894575003</v>
      </c>
      <c r="BT38" s="24">
        <f t="shared" si="44"/>
        <v>225636.71559787</v>
      </c>
    </row>
    <row r="39" spans="1:72" hidden="1" outlineLevel="1" x14ac:dyDescent="0.25">
      <c r="A39" s="11" t="s">
        <v>55</v>
      </c>
      <c r="C39" s="2" t="s">
        <v>1</v>
      </c>
      <c r="D39" s="8">
        <f>Renta_Alta!D39+Masivo!D39+Consumo_Inicial!D39</f>
        <v>264.13281000000001</v>
      </c>
      <c r="E39" s="8">
        <f>Renta_Alta!E39+Masivo!E39+Consumo_Inicial!E39</f>
        <v>255.79980000999998</v>
      </c>
      <c r="F39" s="8">
        <f>Renta_Alta!F39+Masivo!F39+Consumo_Inicial!F39</f>
        <v>248.66070002000001</v>
      </c>
      <c r="G39" s="8">
        <f>Renta_Alta!G39+Masivo!G39+Consumo_Inicial!G39</f>
        <v>255.92556003999999</v>
      </c>
      <c r="H39" s="8">
        <f>Renta_Alta!H39+Masivo!H39+Consumo_Inicial!H39</f>
        <v>235.07602003</v>
      </c>
      <c r="I39" s="8">
        <f>Renta_Alta!I39+Masivo!I39+Consumo_Inicial!I39</f>
        <v>246.85718001000001</v>
      </c>
      <c r="J39" s="8">
        <f>Renta_Alta!J39+Masivo!J39+Consumo_Inicial!J39</f>
        <v>286.86302004999999</v>
      </c>
      <c r="K39" s="8">
        <f>Renta_Alta!K39+Masivo!K39+Consumo_Inicial!K39</f>
        <v>267.93746002</v>
      </c>
      <c r="L39" s="8">
        <f>Renta_Alta!L39+Masivo!L39+Consumo_Inicial!L39</f>
        <v>260.24437005000004</v>
      </c>
      <c r="M39" s="8">
        <f>Renta_Alta!M39+Masivo!M39+Consumo_Inicial!M39</f>
        <v>252.37813000999998</v>
      </c>
      <c r="N39" s="8">
        <f>Renta_Alta!N39+Masivo!N39+Consumo_Inicial!N39</f>
        <v>246.82747000999998</v>
      </c>
      <c r="O39" s="8">
        <f>Renta_Alta!O39+Masivo!O39+Consumo_Inicial!O39</f>
        <v>249.64486000000002</v>
      </c>
      <c r="P39" s="8">
        <f>Renta_Alta!P39+Masivo!P39+Consumo_Inicial!P39</f>
        <v>241.83333995999999</v>
      </c>
      <c r="Q39" s="8">
        <f>Renta_Alta!Q39+Masivo!Q39+Consumo_Inicial!Q39</f>
        <v>226.28241997999999</v>
      </c>
      <c r="R39" s="8">
        <f>Renta_Alta!R39+Masivo!R39+Consumo_Inicial!R39</f>
        <v>222.59045005999997</v>
      </c>
      <c r="S39" s="8">
        <f>Renta_Alta!S39+Masivo!S39+Consumo_Inicial!S39</f>
        <v>207.47747003999996</v>
      </c>
      <c r="T39" s="8">
        <f>Renta_Alta!T39+Masivo!T39+Consumo_Inicial!T39</f>
        <v>213.37743005000002</v>
      </c>
      <c r="U39" s="8">
        <f>Renta_Alta!U39+Masivo!U39+Consumo_Inicial!U39</f>
        <v>186.27340998000003</v>
      </c>
      <c r="V39" s="8">
        <f>Renta_Alta!V39+Masivo!V39+Consumo_Inicial!V39</f>
        <v>198.46329004</v>
      </c>
      <c r="W39" s="8">
        <f>Renta_Alta!W39+Masivo!W39+Consumo_Inicial!W39</f>
        <v>190.72145001999999</v>
      </c>
      <c r="X39" s="8">
        <f>Renta_Alta!X39+Masivo!X39+Consumo_Inicial!X39</f>
        <v>189.33184001000001</v>
      </c>
      <c r="Y39" s="8">
        <f>Renta_Alta!Y39+Masivo!Y39+Consumo_Inicial!Y39</f>
        <v>185.00023997</v>
      </c>
      <c r="Z39" s="8">
        <f>Renta_Alta!Z39+Masivo!Z39+Consumo_Inicial!Z39</f>
        <v>183.40776999999997</v>
      </c>
      <c r="AA39" s="8">
        <f>Renta_Alta!AA39+Masivo!AA39+Consumo_Inicial!AA39</f>
        <v>202.78367999</v>
      </c>
      <c r="AB39" s="8">
        <f>Renta_Alta!AB39+Masivo!AB39+Consumo_Inicial!AB39</f>
        <v>206.61021005000001</v>
      </c>
      <c r="AC39" s="8">
        <f>Renta_Alta!AC39+Masivo!AC39+Consumo_Inicial!AC39</f>
        <v>201.15563001999999</v>
      </c>
      <c r="AD39" s="8">
        <f>Renta_Alta!AD39+Masivo!AD39+Consumo_Inicial!AD39</f>
        <v>216.16557996</v>
      </c>
      <c r="AE39" s="8">
        <f>Renta_Alta!AE39+Masivo!AE39+Consumo_Inicial!AE39</f>
        <v>233.85571995000001</v>
      </c>
      <c r="AF39" s="8">
        <f>Renta_Alta!AF39+Masivo!AF39+Consumo_Inicial!AF39</f>
        <v>249.00471995999999</v>
      </c>
      <c r="AG39" s="8">
        <f>Renta_Alta!AG39+Masivo!AG39+Consumo_Inicial!AG39</f>
        <v>250.06057997000002</v>
      </c>
      <c r="AH39" s="8">
        <f>Renta_Alta!AH39+Masivo!AH39+Consumo_Inicial!AH39</f>
        <v>267.09814998000002</v>
      </c>
      <c r="AI39" s="8">
        <f>Renta_Alta!AI39+Masivo!AI39+Consumo_Inicial!AI39</f>
        <v>280.02875001999996</v>
      </c>
      <c r="AJ39" s="8">
        <f>Renta_Alta!AJ39+Masivo!AJ39+Consumo_Inicial!AJ39</f>
        <v>274.51809997999999</v>
      </c>
      <c r="AK39" s="8">
        <f>Renta_Alta!AK39+Masivo!AK39+Consumo_Inicial!AK39</f>
        <v>273.35700998999999</v>
      </c>
      <c r="AL39" s="8">
        <f>Renta_Alta!AL39+Masivo!AL39+Consumo_Inicial!AL39</f>
        <v>267.47965999999997</v>
      </c>
      <c r="AM39" s="8">
        <f>Renta_Alta!AM39+Masivo!AM39+Consumo_Inicial!AM39</f>
        <v>266.79320002999998</v>
      </c>
      <c r="AN39" s="8">
        <f>Renta_Alta!AN39+Masivo!AN39+Consumo_Inicial!AN39</f>
        <v>277.93422999000001</v>
      </c>
      <c r="AO39" s="8">
        <f>Renta_Alta!AO39+Masivo!AO39+Consumo_Inicial!AO39</f>
        <v>270.41204000000005</v>
      </c>
      <c r="AP39" s="8">
        <f>Renta_Alta!AP39+Masivo!AP39+Consumo_Inicial!AP39</f>
        <v>249.68090000000001</v>
      </c>
      <c r="AQ39" s="8">
        <f>Renta_Alta!AQ39+Masivo!AQ39+Consumo_Inicial!AQ39</f>
        <v>257.99223999999998</v>
      </c>
      <c r="AR39" s="8">
        <f>Renta_Alta!AR39+Masivo!AR39+Consumo_Inicial!AR39</f>
        <v>243.25409000000002</v>
      </c>
      <c r="AS39" s="8">
        <f>Renta_Alta!AS39+Masivo!AS39+Consumo_Inicial!AS39</f>
        <v>243.89195999999998</v>
      </c>
      <c r="AT39" s="8">
        <f>Renta_Alta!AT39+Masivo!AT39+Consumo_Inicial!AT39</f>
        <v>0</v>
      </c>
      <c r="AU39" s="8">
        <f>Renta_Alta!AU39+Masivo!AU39+Consumo_Inicial!AU39</f>
        <v>0</v>
      </c>
      <c r="AV39" s="8">
        <f>Renta_Alta!AV39+Masivo!AV39+Consumo_Inicial!AV39</f>
        <v>0</v>
      </c>
      <c r="AW39" s="8">
        <f>Renta_Alta!AW39+Masivo!AW39+Consumo_Inicial!AW39</f>
        <v>0</v>
      </c>
      <c r="AX39" s="8">
        <f>Renta_Alta!AX39+Masivo!AX39+Consumo_Inicial!AX39</f>
        <v>0</v>
      </c>
      <c r="AY39" s="8">
        <f>Renta_Alta!AY39+Masivo!AY39+Consumo_Inicial!AY39</f>
        <v>0</v>
      </c>
      <c r="AZ39" s="8">
        <f>Renta_Alta!AZ39+Masivo!AZ39+Consumo_Inicial!AZ39</f>
        <v>273.7909895827874</v>
      </c>
      <c r="BA39" s="8">
        <f>Renta_Alta!BA39+Masivo!BA39+Consumo_Inicial!BA39</f>
        <v>276.10050989050211</v>
      </c>
      <c r="BB39" s="8">
        <f>Renta_Alta!BB39+Masivo!BB39+Consumo_Inicial!BB39</f>
        <v>273.85398979958075</v>
      </c>
      <c r="BC39" s="8">
        <f>Renta_Alta!BC39+Masivo!BC39+Consumo_Inicial!BC39</f>
        <v>275.86974845222699</v>
      </c>
      <c r="BD39" s="8">
        <f>Renta_Alta!BD39+Masivo!BD39+Consumo_Inicial!BD39</f>
        <v>275.47290236241389</v>
      </c>
      <c r="BE39" s="8">
        <f>Renta_Alta!BE39+Masivo!BE39+Consumo_Inicial!BE39</f>
        <v>276.60042022224332</v>
      </c>
      <c r="BF39" s="8">
        <f>Renta_Alta!BF39+Masivo!BF39+Consumo_Inicial!BF39</f>
        <v>278.453689258932</v>
      </c>
      <c r="BG39" s="8">
        <f>Renta_Alta!BG39+Masivo!BG39+Consumo_Inicial!BG39</f>
        <v>279.55843690075073</v>
      </c>
      <c r="BH39" s="8">
        <f>Renta_Alta!BH39+Masivo!BH39+Consumo_Inicial!BH39</f>
        <v>280.25877871450791</v>
      </c>
      <c r="BI39" s="8">
        <f>Renta_Alta!BI39+Masivo!BI39+Consumo_Inicial!BI39</f>
        <v>282.84875955625961</v>
      </c>
      <c r="BJ39" s="8">
        <f>Renta_Alta!BJ39+Masivo!BJ39+Consumo_Inicial!BJ39</f>
        <v>281.85994921047222</v>
      </c>
      <c r="BK39" s="8">
        <f>Renta_Alta!BK39+Masivo!BK39+Consumo_Inicial!BK39</f>
        <v>283.98689097352258</v>
      </c>
      <c r="BO39" s="24">
        <f t="shared" si="44"/>
        <v>1299.2734999900003</v>
      </c>
      <c r="BP39" s="24">
        <f t="shared" si="44"/>
        <v>1375.0881400875112</v>
      </c>
      <c r="BQ39" s="24">
        <f t="shared" si="44"/>
        <v>1056.0194099900002</v>
      </c>
      <c r="BR39" s="24">
        <f t="shared" si="44"/>
        <v>1106.79185994</v>
      </c>
      <c r="BS39" s="24">
        <f t="shared" si="44"/>
        <v>1111.5611100899998</v>
      </c>
      <c r="BT39" s="24">
        <f t="shared" si="44"/>
        <v>1259.5948901000002</v>
      </c>
    </row>
    <row r="40" spans="1:72" hidden="1" outlineLevel="1" x14ac:dyDescent="0.25">
      <c r="A40" s="11" t="s">
        <v>55</v>
      </c>
      <c r="C40" s="2" t="s">
        <v>45</v>
      </c>
      <c r="D40" s="8">
        <f>Renta_Alta!D40+Masivo!D40+Consumo_Inicial!D40</f>
        <v>283.59766001999998</v>
      </c>
      <c r="E40" s="8">
        <f>Renta_Alta!E40+Masivo!E40+Consumo_Inicial!E40</f>
        <v>358.45001003999994</v>
      </c>
      <c r="F40" s="8">
        <f>Renta_Alta!F40+Masivo!F40+Consumo_Inicial!F40</f>
        <v>251.30268004999994</v>
      </c>
      <c r="G40" s="8">
        <f>Renta_Alta!G40+Masivo!G40+Consumo_Inicial!G40</f>
        <v>297.03377998000002</v>
      </c>
      <c r="H40" s="8">
        <f>Renta_Alta!H40+Masivo!H40+Consumo_Inicial!H40</f>
        <v>276.49731006999997</v>
      </c>
      <c r="I40" s="8">
        <f>Renta_Alta!I40+Masivo!I40+Consumo_Inicial!I40</f>
        <v>282.11934004000005</v>
      </c>
      <c r="J40" s="8">
        <f>Renta_Alta!J40+Masivo!J40+Consumo_Inicial!J40</f>
        <v>193.90706999000002</v>
      </c>
      <c r="K40" s="8">
        <f>Renta_Alta!K40+Masivo!K40+Consumo_Inicial!K40</f>
        <v>160.00504999</v>
      </c>
      <c r="L40" s="8">
        <f>Renta_Alta!L40+Masivo!L40+Consumo_Inicial!L40</f>
        <v>164.72952000999996</v>
      </c>
      <c r="M40" s="8">
        <f>Renta_Alta!M40+Masivo!M40+Consumo_Inicial!M40</f>
        <v>219.81664002999997</v>
      </c>
      <c r="N40" s="8">
        <f>Renta_Alta!N40+Masivo!N40+Consumo_Inicial!N40</f>
        <v>165.17747997999999</v>
      </c>
      <c r="O40" s="8">
        <f>Renta_Alta!O40+Masivo!O40+Consumo_Inicial!O40</f>
        <v>181.20100998999999</v>
      </c>
      <c r="P40" s="8">
        <f>Renta_Alta!P40+Masivo!P40+Consumo_Inicial!P40</f>
        <v>221.55553001000004</v>
      </c>
      <c r="Q40" s="8">
        <f>Renta_Alta!Q40+Masivo!Q40+Consumo_Inicial!Q40</f>
        <v>243.35908999</v>
      </c>
      <c r="R40" s="8">
        <f>Renta_Alta!R40+Masivo!R40+Consumo_Inicial!R40</f>
        <v>183.67703001000001</v>
      </c>
      <c r="S40" s="8">
        <f>Renta_Alta!S40+Masivo!S40+Consumo_Inicial!S40</f>
        <v>189.10650002000003</v>
      </c>
      <c r="T40" s="8">
        <f>Renta_Alta!T40+Masivo!T40+Consumo_Inicial!T40</f>
        <v>236.32545008</v>
      </c>
      <c r="U40" s="8">
        <f>Renta_Alta!U40+Masivo!U40+Consumo_Inicial!U40</f>
        <v>285.82928996999999</v>
      </c>
      <c r="V40" s="8">
        <f>Renta_Alta!V40+Masivo!V40+Consumo_Inicial!V40</f>
        <v>218.25405001000001</v>
      </c>
      <c r="W40" s="8">
        <f>Renta_Alta!W40+Masivo!W40+Consumo_Inicial!W40</f>
        <v>178.67147</v>
      </c>
      <c r="X40" s="8">
        <f>Renta_Alta!X40+Masivo!X40+Consumo_Inicial!X40</f>
        <v>153.05829999000002</v>
      </c>
      <c r="Y40" s="8">
        <f>Renta_Alta!Y40+Masivo!Y40+Consumo_Inicial!Y40</f>
        <v>134.75467000999998</v>
      </c>
      <c r="Z40" s="8">
        <f>Renta_Alta!Z40+Masivo!Z40+Consumo_Inicial!Z40</f>
        <v>149.13990000999999</v>
      </c>
      <c r="AA40" s="8">
        <f>Renta_Alta!AA40+Masivo!AA40+Consumo_Inicial!AA40</f>
        <v>175.65366000999998</v>
      </c>
      <c r="AB40" s="8">
        <f>Renta_Alta!AB40+Masivo!AB40+Consumo_Inicial!AB40</f>
        <v>191.06710000999999</v>
      </c>
      <c r="AC40" s="8">
        <f>Renta_Alta!AC40+Masivo!AC40+Consumo_Inicial!AC40</f>
        <v>216.75454001999998</v>
      </c>
      <c r="AD40" s="8">
        <f>Renta_Alta!AD40+Masivo!AD40+Consumo_Inicial!AD40</f>
        <v>226.03378003</v>
      </c>
      <c r="AE40" s="8">
        <f>Renta_Alta!AE40+Masivo!AE40+Consumo_Inicial!AE40</f>
        <v>175.26188001000003</v>
      </c>
      <c r="AF40" s="8">
        <f>Renta_Alta!AF40+Masivo!AF40+Consumo_Inicial!AF40</f>
        <v>223.04663997999998</v>
      </c>
      <c r="AG40" s="8">
        <f>Renta_Alta!AG40+Masivo!AG40+Consumo_Inicial!AG40</f>
        <v>217.02471999999997</v>
      </c>
      <c r="AH40" s="8">
        <f>Renta_Alta!AH40+Masivo!AH40+Consumo_Inicial!AH40</f>
        <v>185.68472998999999</v>
      </c>
      <c r="AI40" s="8">
        <f>Renta_Alta!AI40+Masivo!AI40+Consumo_Inicial!AI40</f>
        <v>225.86291998999999</v>
      </c>
      <c r="AJ40" s="8">
        <f>Renta_Alta!AJ40+Masivo!AJ40+Consumo_Inicial!AJ40</f>
        <v>312.46411000000001</v>
      </c>
      <c r="AK40" s="8">
        <f>Renta_Alta!AK40+Masivo!AK40+Consumo_Inicial!AK40</f>
        <v>209.11553003999998</v>
      </c>
      <c r="AL40" s="8">
        <f>Renta_Alta!AL40+Masivo!AL40+Consumo_Inicial!AL40</f>
        <v>195.66782004000001</v>
      </c>
      <c r="AM40" s="8">
        <f>Renta_Alta!AM40+Masivo!AM40+Consumo_Inicial!AM40</f>
        <v>202.48612998000002</v>
      </c>
      <c r="AN40" s="8">
        <f>Renta_Alta!AN40+Masivo!AN40+Consumo_Inicial!AN40</f>
        <v>265.72144000999998</v>
      </c>
      <c r="AO40" s="8">
        <f>Renta_Alta!AO40+Masivo!AO40+Consumo_Inicial!AO40</f>
        <v>266.82819999999992</v>
      </c>
      <c r="AP40" s="8">
        <f>Renta_Alta!AP40+Masivo!AP40+Consumo_Inicial!AP40</f>
        <v>330.58689999999996</v>
      </c>
      <c r="AQ40" s="8">
        <f>Renta_Alta!AQ40+Masivo!AQ40+Consumo_Inicial!AQ40</f>
        <v>228.92026998999998</v>
      </c>
      <c r="AR40" s="8">
        <f>Renta_Alta!AR40+Masivo!AR40+Consumo_Inicial!AR40</f>
        <v>250.53322997999996</v>
      </c>
      <c r="AS40" s="8">
        <f>Renta_Alta!AS40+Masivo!AS40+Consumo_Inicial!AS40</f>
        <v>343.47425000999999</v>
      </c>
      <c r="AT40" s="8">
        <f>Renta_Alta!AT40+Masivo!AT40+Consumo_Inicial!AT40</f>
        <v>0</v>
      </c>
      <c r="AU40" s="8">
        <f>Renta_Alta!AU40+Masivo!AU40+Consumo_Inicial!AU40</f>
        <v>0</v>
      </c>
      <c r="AV40" s="8">
        <f>Renta_Alta!AV40+Masivo!AV40+Consumo_Inicial!AV40</f>
        <v>0</v>
      </c>
      <c r="AW40" s="8">
        <f>Renta_Alta!AW40+Masivo!AW40+Consumo_Inicial!AW40</f>
        <v>0</v>
      </c>
      <c r="AX40" s="8">
        <f>Renta_Alta!AX40+Masivo!AX40+Consumo_Inicial!AX40</f>
        <v>0</v>
      </c>
      <c r="AY40" s="8">
        <f>Renta_Alta!AY40+Masivo!AY40+Consumo_Inicial!AY40</f>
        <v>0</v>
      </c>
      <c r="AZ40" s="8">
        <f>Renta_Alta!AZ40+Masivo!AZ40+Consumo_Inicial!AZ40</f>
        <v>311.74513142656093</v>
      </c>
      <c r="BA40" s="8">
        <f>Renta_Alta!BA40+Masivo!BA40+Consumo_Inicial!BA40</f>
        <v>314.41403354511903</v>
      </c>
      <c r="BB40" s="8">
        <f>Renta_Alta!BB40+Masivo!BB40+Consumo_Inicial!BB40</f>
        <v>311.92029093380393</v>
      </c>
      <c r="BC40" s="8">
        <f>Renta_Alta!BC40+Masivo!BC40+Consumo_Inicial!BC40</f>
        <v>314.24030588937893</v>
      </c>
      <c r="BD40" s="8">
        <f>Renta_Alta!BD40+Masivo!BD40+Consumo_Inicial!BD40</f>
        <v>313.86231177700324</v>
      </c>
      <c r="BE40" s="8">
        <f>Renta_Alta!BE40+Masivo!BE40+Consumo_Inicial!BE40</f>
        <v>315.20849003673828</v>
      </c>
      <c r="BF40" s="8">
        <f>Renta_Alta!BF40+Masivo!BF40+Consumo_Inicial!BF40</f>
        <v>317.37446317673152</v>
      </c>
      <c r="BG40" s="8">
        <f>Renta_Alta!BG40+Masivo!BG40+Consumo_Inicial!BG40</f>
        <v>318.69742405865787</v>
      </c>
      <c r="BH40" s="8">
        <f>Renta_Alta!BH40+Masivo!BH40+Consumo_Inicial!BH40</f>
        <v>319.64902044510882</v>
      </c>
      <c r="BI40" s="8">
        <f>Renta_Alta!BI40+Masivo!BI40+Consumo_Inicial!BI40</f>
        <v>322.66469938826839</v>
      </c>
      <c r="BJ40" s="8">
        <f>Renta_Alta!BJ40+Masivo!BJ40+Consumo_Inicial!BJ40</f>
        <v>321.62180787327605</v>
      </c>
      <c r="BK40" s="8">
        <f>Renta_Alta!BK40+Masivo!BK40+Consumo_Inicial!BK40</f>
        <v>324.12066119946235</v>
      </c>
      <c r="BO40" s="24">
        <f t="shared" si="44"/>
        <v>1342.5900399799998</v>
      </c>
      <c r="BP40" s="24">
        <f t="shared" si="44"/>
        <v>1566.1820735718661</v>
      </c>
      <c r="BQ40" s="24">
        <f t="shared" si="44"/>
        <v>1092.0568099999998</v>
      </c>
      <c r="BR40" s="24">
        <f t="shared" si="44"/>
        <v>1032.1639400499998</v>
      </c>
      <c r="BS40" s="24">
        <f t="shared" si="44"/>
        <v>1074.02360011</v>
      </c>
      <c r="BT40" s="24">
        <f t="shared" si="44"/>
        <v>1466.8814401599998</v>
      </c>
    </row>
    <row r="41" spans="1:72" collapsed="1" x14ac:dyDescent="0.25">
      <c r="C41" s="3" t="s">
        <v>57</v>
      </c>
      <c r="D41" s="10">
        <f>SUM(D38:D40)</f>
        <v>45162.788134290007</v>
      </c>
      <c r="E41" s="10">
        <f t="shared" ref="E41:BK41" si="45">SUM(E38:E40)</f>
        <v>45105.576846199991</v>
      </c>
      <c r="F41" s="10">
        <f t="shared" si="45"/>
        <v>45547.198640979994</v>
      </c>
      <c r="G41" s="10">
        <f t="shared" si="45"/>
        <v>45928.039019409996</v>
      </c>
      <c r="H41" s="10">
        <f t="shared" si="45"/>
        <v>46619.589287250012</v>
      </c>
      <c r="I41" s="10">
        <f t="shared" si="45"/>
        <v>47843.867198679996</v>
      </c>
      <c r="J41" s="10">
        <f t="shared" si="45"/>
        <v>48067.902091169999</v>
      </c>
      <c r="K41" s="10">
        <f t="shared" si="45"/>
        <v>48882.164755510006</v>
      </c>
      <c r="L41" s="10">
        <f t="shared" si="45"/>
        <v>49314.13893388</v>
      </c>
      <c r="M41" s="10">
        <f t="shared" si="45"/>
        <v>49576.96352604001</v>
      </c>
      <c r="N41" s="10">
        <f t="shared" si="45"/>
        <v>50062.699891489996</v>
      </c>
      <c r="O41" s="10">
        <f t="shared" si="45"/>
        <v>50521.830861619994</v>
      </c>
      <c r="P41" s="10">
        <f t="shared" si="45"/>
        <v>50600.969750960023</v>
      </c>
      <c r="Q41" s="10">
        <f t="shared" si="45"/>
        <v>52278.485527160003</v>
      </c>
      <c r="R41" s="10">
        <f t="shared" si="45"/>
        <v>51313.506001960013</v>
      </c>
      <c r="S41" s="10">
        <f t="shared" si="45"/>
        <v>51131.396813629995</v>
      </c>
      <c r="T41" s="10">
        <f t="shared" si="45"/>
        <v>52943.345562240014</v>
      </c>
      <c r="U41" s="10">
        <f t="shared" si="45"/>
        <v>53856.154842180003</v>
      </c>
      <c r="V41" s="10">
        <f t="shared" si="45"/>
        <v>54728.529331499994</v>
      </c>
      <c r="W41" s="10">
        <f t="shared" si="45"/>
        <v>55117.329575119998</v>
      </c>
      <c r="X41" s="10">
        <f t="shared" si="45"/>
        <v>55444.386454790008</v>
      </c>
      <c r="Y41" s="10">
        <f t="shared" si="45"/>
        <v>54898.53835037</v>
      </c>
      <c r="Z41" s="10">
        <f t="shared" si="45"/>
        <v>54697.844929200008</v>
      </c>
      <c r="AA41" s="10">
        <f t="shared" si="45"/>
        <v>53610.868086790018</v>
      </c>
      <c r="AB41" s="10">
        <f t="shared" si="45"/>
        <v>53181.320622800005</v>
      </c>
      <c r="AC41" s="10">
        <f t="shared" si="45"/>
        <v>52635.084316100008</v>
      </c>
      <c r="AD41" s="10">
        <f t="shared" si="45"/>
        <v>52962.030174659994</v>
      </c>
      <c r="AE41" s="10">
        <f t="shared" si="45"/>
        <v>52442.582753480012</v>
      </c>
      <c r="AF41" s="10">
        <f t="shared" si="45"/>
        <v>53141.322892030003</v>
      </c>
      <c r="AG41" s="10">
        <f t="shared" si="45"/>
        <v>52625.984762400003</v>
      </c>
      <c r="AH41" s="10">
        <f t="shared" si="45"/>
        <v>52718.848316249991</v>
      </c>
      <c r="AI41" s="10">
        <f t="shared" si="45"/>
        <v>52365.920867119996</v>
      </c>
      <c r="AJ41" s="10">
        <f t="shared" si="45"/>
        <v>52893.211296969996</v>
      </c>
      <c r="AK41" s="10">
        <f t="shared" si="45"/>
        <v>53132.376974290011</v>
      </c>
      <c r="AL41" s="10">
        <f t="shared" si="45"/>
        <v>52210.016460370003</v>
      </c>
      <c r="AM41" s="10">
        <f t="shared" si="45"/>
        <v>51642.841095590004</v>
      </c>
      <c r="AN41" s="10">
        <f t="shared" si="45"/>
        <v>50800.36222743</v>
      </c>
      <c r="AO41" s="10">
        <f t="shared" si="45"/>
        <v>50060.188605800009</v>
      </c>
      <c r="AP41" s="10">
        <f t="shared" si="45"/>
        <v>50213.056658510002</v>
      </c>
      <c r="AQ41" s="10">
        <f t="shared" si="45"/>
        <v>50038.913801440001</v>
      </c>
      <c r="AR41" s="10">
        <f t="shared" si="45"/>
        <v>50124.422404240002</v>
      </c>
      <c r="AS41" s="10">
        <f t="shared" si="45"/>
        <v>49891.43960541</v>
      </c>
      <c r="AT41" s="10">
        <f t="shared" si="45"/>
        <v>0</v>
      </c>
      <c r="AU41" s="10">
        <f t="shared" si="45"/>
        <v>0</v>
      </c>
      <c r="AV41" s="10">
        <f t="shared" si="45"/>
        <v>0</v>
      </c>
      <c r="AW41" s="10">
        <f t="shared" si="45"/>
        <v>0</v>
      </c>
      <c r="AX41" s="10">
        <f t="shared" si="45"/>
        <v>0</v>
      </c>
      <c r="AY41" s="10">
        <f t="shared" si="45"/>
        <v>0</v>
      </c>
      <c r="AZ41" s="10">
        <f t="shared" si="45"/>
        <v>52859.229636086784</v>
      </c>
      <c r="BA41" s="10">
        <f t="shared" si="45"/>
        <v>53319.440956812505</v>
      </c>
      <c r="BB41" s="10">
        <f t="shared" si="45"/>
        <v>52897.290433515162</v>
      </c>
      <c r="BC41" s="10">
        <f t="shared" si="45"/>
        <v>53297.064324965802</v>
      </c>
      <c r="BD41" s="10">
        <f t="shared" si="45"/>
        <v>53253.206151428087</v>
      </c>
      <c r="BE41" s="10">
        <f t="shared" si="45"/>
        <v>53488.787356459303</v>
      </c>
      <c r="BF41" s="10">
        <f t="shared" si="45"/>
        <v>53867.659499966183</v>
      </c>
      <c r="BG41" s="10">
        <f t="shared" si="45"/>
        <v>54105.407693855093</v>
      </c>
      <c r="BH41" s="10">
        <f t="shared" si="45"/>
        <v>54317.349114477067</v>
      </c>
      <c r="BI41" s="10">
        <f t="shared" si="45"/>
        <v>54855.127159037802</v>
      </c>
      <c r="BJ41" s="10">
        <f t="shared" si="45"/>
        <v>54710.298097105711</v>
      </c>
      <c r="BK41" s="10">
        <f t="shared" si="45"/>
        <v>55166.771000870278</v>
      </c>
      <c r="BO41" s="23">
        <f>SUM(BO38:BO40)</f>
        <v>251236.94369741998</v>
      </c>
      <c r="BP41" s="23">
        <f t="shared" ref="BP41:BT41" si="46">SUM(BP38:BP40)</f>
        <v>265626.23150280834</v>
      </c>
      <c r="BQ41" s="23">
        <f t="shared" si="46"/>
        <v>201112.52129318001</v>
      </c>
      <c r="BR41" s="23">
        <f t="shared" si="46"/>
        <v>264362.34075907001</v>
      </c>
      <c r="BS41" s="23">
        <f t="shared" si="46"/>
        <v>258267.70365595003</v>
      </c>
      <c r="BT41" s="23">
        <f t="shared" si="46"/>
        <v>228363.19192813002</v>
      </c>
    </row>
    <row r="42" spans="1:72" x14ac:dyDescent="0.25">
      <c r="D42" s="9">
        <f>'[1]Desempeño Financiero (Evol)'!BE298</f>
        <v>45162.788131119996</v>
      </c>
      <c r="E42" s="9">
        <f>'[1]Desempeño Financiero (Evol)'!BF298</f>
        <v>45105.576844329997</v>
      </c>
      <c r="F42" s="9">
        <f>'[1]Desempeño Financiero (Evol)'!BG298</f>
        <v>45547.198639399998</v>
      </c>
      <c r="G42" s="9">
        <f>'[1]Desempeño Financiero (Evol)'!BH298</f>
        <v>45928.03901765999</v>
      </c>
      <c r="H42" s="9">
        <f>'[1]Desempeño Financiero (Evol)'!BI298</f>
        <v>46619.589289920004</v>
      </c>
      <c r="I42" s="9">
        <f>'[1]Desempeño Financiero (Evol)'!BJ298</f>
        <v>47843.867195010011</v>
      </c>
      <c r="J42" s="9">
        <f>'[1]Desempeño Financiero (Evol)'!BK298</f>
        <v>48067.902087640003</v>
      </c>
      <c r="K42" s="9">
        <f>'[1]Desempeño Financiero (Evol)'!BL298</f>
        <v>48882.164752950011</v>
      </c>
      <c r="L42" s="9">
        <f>'[1]Desempeño Financiero (Evol)'!BM298</f>
        <v>49314.13893714</v>
      </c>
      <c r="M42" s="9">
        <f>'[1]Desempeño Financiero (Evol)'!BN298</f>
        <v>49576.963526440006</v>
      </c>
      <c r="N42" s="9">
        <f>'[1]Desempeño Financiero (Evol)'!BO298</f>
        <v>50062.699889150012</v>
      </c>
      <c r="O42" s="9">
        <f>'[1]Desempeño Financiero (Evol)'!BP298</f>
        <v>50521.83086390001</v>
      </c>
      <c r="P42" s="9">
        <f>'[1]Desempeño Financiero (Evol)'!BQ298</f>
        <v>50600.969748720003</v>
      </c>
      <c r="Q42" s="9">
        <f>'[1]Desempeño Financiero (Evol)'!BR298</f>
        <v>52278.485526809993</v>
      </c>
      <c r="R42" s="9">
        <f>'[1]Desempeño Financiero (Evol)'!BS298</f>
        <v>51313.506003009999</v>
      </c>
      <c r="S42" s="9">
        <f>'[1]Desempeño Financiero (Evol)'!BT298</f>
        <v>51131.396811540006</v>
      </c>
      <c r="T42" s="9">
        <f>'[1]Desempeño Financiero (Evol)'!BU298</f>
        <v>52943.345558449997</v>
      </c>
      <c r="U42" s="9">
        <f>'[1]Desempeño Financiero (Evol)'!BV298</f>
        <v>53856.154837659997</v>
      </c>
      <c r="V42" s="9">
        <f>'[1]Desempeño Financiero (Evol)'!BW298</f>
        <v>54728.529333390004</v>
      </c>
      <c r="W42" s="9">
        <f>'[1]Desempeño Financiero (Evol)'!BX298</f>
        <v>55117.329571270006</v>
      </c>
      <c r="X42" s="9">
        <f>'[1]Desempeño Financiero (Evol)'!BY298</f>
        <v>55444.386456950007</v>
      </c>
      <c r="Y42" s="9">
        <f>'[1]Desempeño Financiero (Evol)'!BZ298</f>
        <v>54898.538348490001</v>
      </c>
      <c r="Z42" s="9">
        <f>'[1]Desempeño Financiero (Evol)'!CA298</f>
        <v>54697.844931670013</v>
      </c>
      <c r="AA42" s="9">
        <f>'[1]Desempeño Financiero (Evol)'!CB298</f>
        <v>53610.868082810004</v>
      </c>
      <c r="AB42" s="9">
        <f>'[1]Desempeño Financiero (Evol)'!CC298</f>
        <v>53181.320621790008</v>
      </c>
      <c r="AC42" s="9">
        <f>'[1]Desempeño Financiero (Evol)'!CD298</f>
        <v>52635.084312010011</v>
      </c>
      <c r="AD42" s="9">
        <f>'[1]Desempeño Financiero (Evol)'!CE298</f>
        <v>52962.030169140002</v>
      </c>
      <c r="AE42" s="9">
        <f>'[1]Desempeño Financiero (Evol)'!CF298</f>
        <v>52442.582756529999</v>
      </c>
      <c r="AF42" s="9">
        <f>'[1]Desempeño Financiero (Evol)'!CG298</f>
        <v>53141.32288901</v>
      </c>
      <c r="AG42" s="9">
        <f>'[1]Desempeño Financiero (Evol)'!CH298</f>
        <v>52625.984759660001</v>
      </c>
      <c r="AH42" s="9">
        <f>'[1]Desempeño Financiero (Evol)'!CI298</f>
        <v>52718.848313039998</v>
      </c>
      <c r="AI42" s="9">
        <f>'[1]Desempeño Financiero (Evol)'!CJ298</f>
        <v>52365.920866329994</v>
      </c>
      <c r="AJ42" s="9">
        <f>'[1]Desempeño Financiero (Evol)'!CK298</f>
        <v>52893.211300369992</v>
      </c>
      <c r="AK42" s="9">
        <f>'[1]Desempeño Financiero (Evol)'!CL298</f>
        <v>53132.376976420004</v>
      </c>
      <c r="AL42" s="9">
        <f>'[1]Desempeño Financiero (Evol)'!CM298</f>
        <v>52210.016464739994</v>
      </c>
      <c r="AM42" s="9">
        <f>'[1]Desempeño Financiero (Evol)'!CN298</f>
        <v>51642.841099040001</v>
      </c>
      <c r="AN42" s="9">
        <f>'[1]Desempeño Financiero (Evol)'!CO298</f>
        <v>50800.362227430007</v>
      </c>
      <c r="AO42" s="9">
        <f>'[1]Desempeño Financiero (Evol)'!CP298</f>
        <v>50060.188605800002</v>
      </c>
      <c r="AZ42" s="9">
        <f>'[1]Desempeño Financiero (Evol)'!DA298</f>
        <v>52859.229636086777</v>
      </c>
      <c r="BA42" s="9">
        <f>'[1]Desempeño Financiero (Evol)'!DB298</f>
        <v>53319.440956812497</v>
      </c>
      <c r="BB42" s="9">
        <f>'[1]Desempeño Financiero (Evol)'!DC298</f>
        <v>52897.290433515162</v>
      </c>
      <c r="BC42" s="9">
        <f>'[1]Desempeño Financiero (Evol)'!DD298</f>
        <v>53297.06432496581</v>
      </c>
      <c r="BD42" s="9">
        <f>'[1]Desempeño Financiero (Evol)'!DE298</f>
        <v>53253.206151428079</v>
      </c>
      <c r="BE42" s="9">
        <f>'[1]Desempeño Financiero (Evol)'!DF298</f>
        <v>53488.787356459303</v>
      </c>
      <c r="BF42" s="9">
        <f>'[1]Desempeño Financiero (Evol)'!DG298</f>
        <v>53867.659499966183</v>
      </c>
      <c r="BG42" s="9">
        <f>'[1]Desempeño Financiero (Evol)'!DH298</f>
        <v>54105.407693855086</v>
      </c>
      <c r="BH42" s="9">
        <f>'[1]Desempeño Financiero (Evol)'!DI298</f>
        <v>54317.349114477067</v>
      </c>
      <c r="BI42" s="9">
        <f>'[1]Desempeño Financiero (Evol)'!DJ298</f>
        <v>54855.127159037802</v>
      </c>
      <c r="BJ42" s="9">
        <f>'[1]Desempeño Financiero (Evol)'!DK298</f>
        <v>54710.298097105711</v>
      </c>
      <c r="BK42" s="9">
        <f>'[1]Desempeño Financiero (Evol)'!DL298</f>
        <v>55166.771000870278</v>
      </c>
    </row>
    <row r="43" spans="1:72" x14ac:dyDescent="0.25">
      <c r="D43" s="51">
        <f>D42-D41</f>
        <v>-3.1700110412202775E-6</v>
      </c>
      <c r="E43" s="51">
        <f t="shared" ref="E43:AN43" si="47">E42-E41</f>
        <v>-1.8699938664212823E-6</v>
      </c>
      <c r="F43" s="51">
        <f t="shared" si="47"/>
        <v>-1.5799960237927735E-6</v>
      </c>
      <c r="G43" s="51">
        <f t="shared" si="47"/>
        <v>-1.7500060494057834E-6</v>
      </c>
      <c r="H43" s="51">
        <f t="shared" si="47"/>
        <v>2.6699926820583642E-6</v>
      </c>
      <c r="I43" s="51">
        <f t="shared" si="47"/>
        <v>-3.6699857446365058E-6</v>
      </c>
      <c r="J43" s="51">
        <f t="shared" si="47"/>
        <v>-3.5299963201396167E-6</v>
      </c>
      <c r="K43" s="51">
        <f t="shared" si="47"/>
        <v>-2.5599947548471391E-6</v>
      </c>
      <c r="L43" s="51">
        <f t="shared" si="47"/>
        <v>3.2600000849924982E-6</v>
      </c>
      <c r="M43" s="51">
        <f t="shared" si="47"/>
        <v>3.9999576983973384E-7</v>
      </c>
      <c r="N43" s="51">
        <f t="shared" si="47"/>
        <v>-2.3399843485094607E-6</v>
      </c>
      <c r="O43" s="51">
        <f t="shared" si="47"/>
        <v>2.2800159058533609E-6</v>
      </c>
      <c r="P43" s="51">
        <f t="shared" si="47"/>
        <v>-2.2400199668481946E-6</v>
      </c>
      <c r="Q43" s="51">
        <f t="shared" si="47"/>
        <v>-3.500099410302937E-7</v>
      </c>
      <c r="R43" s="51">
        <f t="shared" si="47"/>
        <v>1.049986167345196E-6</v>
      </c>
      <c r="S43" s="51">
        <f t="shared" si="47"/>
        <v>-2.0899897208437324E-6</v>
      </c>
      <c r="T43" s="51">
        <f t="shared" si="47"/>
        <v>-3.7900172173976898E-6</v>
      </c>
      <c r="U43" s="51">
        <f t="shared" si="47"/>
        <v>-4.5200067688710988E-6</v>
      </c>
      <c r="V43" s="51">
        <f t="shared" si="47"/>
        <v>1.8900100258179009E-6</v>
      </c>
      <c r="W43" s="51">
        <f t="shared" si="47"/>
        <v>-3.8499929360114038E-6</v>
      </c>
      <c r="X43" s="51">
        <f t="shared" si="47"/>
        <v>2.1599989850074053E-6</v>
      </c>
      <c r="Y43" s="51">
        <f t="shared" si="47"/>
        <v>-1.8799983081407845E-6</v>
      </c>
      <c r="Z43" s="51">
        <f t="shared" si="47"/>
        <v>2.4700057110749185E-6</v>
      </c>
      <c r="AA43" s="51">
        <f t="shared" si="47"/>
        <v>-3.9800142985768616E-6</v>
      </c>
      <c r="AB43" s="51">
        <f t="shared" si="47"/>
        <v>-1.0099975042976439E-6</v>
      </c>
      <c r="AC43" s="51">
        <f t="shared" si="47"/>
        <v>-4.0899976738728583E-6</v>
      </c>
      <c r="AD43" s="51">
        <f t="shared" si="47"/>
        <v>-5.5199925554916263E-6</v>
      </c>
      <c r="AE43" s="51">
        <f t="shared" si="47"/>
        <v>3.0499868444167078E-6</v>
      </c>
      <c r="AF43" s="51">
        <f t="shared" si="47"/>
        <v>-3.0200026230886579E-6</v>
      </c>
      <c r="AG43" s="51">
        <f t="shared" si="47"/>
        <v>-2.7400019462220371E-6</v>
      </c>
      <c r="AH43" s="51">
        <f t="shared" si="47"/>
        <v>-3.2099924283102155E-6</v>
      </c>
      <c r="AI43" s="51">
        <f t="shared" si="47"/>
        <v>-7.9000164987519383E-7</v>
      </c>
      <c r="AJ43" s="51">
        <f t="shared" si="47"/>
        <v>3.3999967854470015E-6</v>
      </c>
      <c r="AK43" s="51">
        <f t="shared" si="47"/>
        <v>2.1299929358065128E-6</v>
      </c>
      <c r="AL43" s="51">
        <f t="shared" si="47"/>
        <v>4.3699910747818649E-6</v>
      </c>
      <c r="AM43" s="51">
        <f t="shared" si="47"/>
        <v>3.44999716617167E-6</v>
      </c>
      <c r="AN43" s="51">
        <f t="shared" si="47"/>
        <v>0</v>
      </c>
      <c r="AO43" s="51">
        <f t="shared" ref="AO43" si="48">AO42-AO41</f>
        <v>0</v>
      </c>
      <c r="AZ43" s="51">
        <f t="shared" ref="AZ43:BK43" si="49">AZ42-AZ41</f>
        <v>0</v>
      </c>
      <c r="BA43" s="51">
        <f t="shared" si="49"/>
        <v>0</v>
      </c>
      <c r="BB43" s="51">
        <f t="shared" si="49"/>
        <v>0</v>
      </c>
      <c r="BC43" s="51">
        <f t="shared" si="49"/>
        <v>0</v>
      </c>
      <c r="BD43" s="51">
        <f t="shared" si="49"/>
        <v>0</v>
      </c>
      <c r="BE43" s="51">
        <f t="shared" si="49"/>
        <v>0</v>
      </c>
      <c r="BF43" s="51">
        <f t="shared" si="49"/>
        <v>0</v>
      </c>
      <c r="BG43" s="51">
        <f t="shared" si="49"/>
        <v>0</v>
      </c>
      <c r="BH43" s="51">
        <f t="shared" si="49"/>
        <v>0</v>
      </c>
      <c r="BI43" s="51">
        <f t="shared" si="49"/>
        <v>0</v>
      </c>
      <c r="BJ43" s="51">
        <f t="shared" si="49"/>
        <v>0</v>
      </c>
      <c r="BK43" s="51">
        <f t="shared" si="49"/>
        <v>0</v>
      </c>
    </row>
    <row r="44" spans="1:72" hidden="1" outlineLevel="1" x14ac:dyDescent="0.25">
      <c r="A44" s="11" t="s">
        <v>50</v>
      </c>
      <c r="C44" s="2" t="s">
        <v>0</v>
      </c>
      <c r="D44" s="8">
        <f>Renta_Alta!D44+Masivo!D44+Consumo_Inicial!D44</f>
        <v>-23576.554216370001</v>
      </c>
      <c r="E44" s="8">
        <f>Renta_Alta!E44+Masivo!E44+Consumo_Inicial!E44</f>
        <v>-22363.91443999</v>
      </c>
      <c r="F44" s="8">
        <f>Renta_Alta!F44+Masivo!F44+Consumo_Inicial!F44</f>
        <v>-25973.874810600002</v>
      </c>
      <c r="G44" s="8">
        <f>Renta_Alta!G44+Masivo!G44+Consumo_Inicial!G44</f>
        <v>-26293.860695920001</v>
      </c>
      <c r="H44" s="8">
        <f>Renta_Alta!H44+Masivo!H44+Consumo_Inicial!H44</f>
        <v>-27966.931784720004</v>
      </c>
      <c r="I44" s="8">
        <f>Renta_Alta!I44+Masivo!I44+Consumo_Inicial!I44</f>
        <v>-27879.976634500003</v>
      </c>
      <c r="J44" s="8">
        <f>Renta_Alta!J44+Masivo!J44+Consumo_Inicial!J44</f>
        <v>-29438.863135169999</v>
      </c>
      <c r="K44" s="8">
        <f>Renta_Alta!K44+Masivo!K44+Consumo_Inicial!K44</f>
        <v>-30138.303996800001</v>
      </c>
      <c r="L44" s="8">
        <f>Renta_Alta!L44+Masivo!L44+Consumo_Inicial!L44</f>
        <v>-29779.81342916</v>
      </c>
      <c r="M44" s="8">
        <f>Renta_Alta!M44+Masivo!M44+Consumo_Inicial!M44</f>
        <v>-31440.221721949998</v>
      </c>
      <c r="N44" s="8">
        <f>Renta_Alta!N44+Masivo!N44+Consumo_Inicial!N44</f>
        <v>-31023.368032639999</v>
      </c>
      <c r="O44" s="8">
        <f>Renta_Alta!O44+Masivo!O44+Consumo_Inicial!O44</f>
        <v>-32404.570227100005</v>
      </c>
      <c r="P44" s="8">
        <f>Renta_Alta!P44+Masivo!P44+Consumo_Inicial!P44</f>
        <v>-32574.894642480001</v>
      </c>
      <c r="Q44" s="8">
        <f>Renta_Alta!Q44+Masivo!Q44+Consumo_Inicial!Q44</f>
        <v>-30699.132368119997</v>
      </c>
      <c r="R44" s="8">
        <f>Renta_Alta!R44+Masivo!R44+Consumo_Inicial!R44</f>
        <v>-33098.140633199997</v>
      </c>
      <c r="S44" s="8">
        <f>Renta_Alta!S44+Masivo!S44+Consumo_Inicial!S44</f>
        <v>-32387.844580000001</v>
      </c>
      <c r="T44" s="8">
        <f>Renta_Alta!T44+Masivo!T44+Consumo_Inicial!T44</f>
        <v>-33812.847419899997</v>
      </c>
      <c r="U44" s="8">
        <f>Renta_Alta!U44+Masivo!U44+Consumo_Inicial!U44</f>
        <v>-32980.186533320004</v>
      </c>
      <c r="V44" s="8">
        <f>Renta_Alta!V44+Masivo!V44+Consumo_Inicial!V44</f>
        <v>-34328.752952620009</v>
      </c>
      <c r="W44" s="8">
        <f>Renta_Alta!W44+Masivo!W44+Consumo_Inicial!W44</f>
        <v>-34323.274946149999</v>
      </c>
      <c r="X44" s="8">
        <f>Renta_Alta!X44+Masivo!X44+Consumo_Inicial!X44</f>
        <v>-32996.553657479999</v>
      </c>
      <c r="Y44" s="8">
        <f>Renta_Alta!Y44+Masivo!Y44+Consumo_Inicial!Y44</f>
        <v>-32625.315419760002</v>
      </c>
      <c r="Z44" s="8">
        <f>Renta_Alta!Z44+Masivo!Z44+Consumo_Inicial!Z44</f>
        <v>-32167.508103559994</v>
      </c>
      <c r="AA44" s="8">
        <f>Renta_Alta!AA44+Masivo!AA44+Consumo_Inicial!AA44</f>
        <v>-32669.025888550001</v>
      </c>
      <c r="AB44" s="8">
        <f>Renta_Alta!AB44+Masivo!AB44+Consumo_Inicial!AB44</f>
        <v>-32133.024034310001</v>
      </c>
      <c r="AC44" s="8">
        <f>Renta_Alta!AC44+Masivo!AC44+Consumo_Inicial!AC44</f>
        <v>-28632.322723000005</v>
      </c>
      <c r="AD44" s="8">
        <f>Renta_Alta!AD44+Masivo!AD44+Consumo_Inicial!AD44</f>
        <v>-31254.719038709998</v>
      </c>
      <c r="AE44" s="8">
        <f>Renta_Alta!AE44+Masivo!AE44+Consumo_Inicial!AE44</f>
        <v>-29740.784110160006</v>
      </c>
      <c r="AF44" s="8">
        <f>Renta_Alta!AF44+Masivo!AF44+Consumo_Inicial!AF44</f>
        <v>-30543.076114000003</v>
      </c>
      <c r="AG44" s="8">
        <f>Renta_Alta!AG44+Masivo!AG44+Consumo_Inicial!AG44</f>
        <v>-29278.135031559999</v>
      </c>
      <c r="AH44" s="8">
        <f>Renta_Alta!AH44+Masivo!AH44+Consumo_Inicial!AH44</f>
        <v>-29918.126499820002</v>
      </c>
      <c r="AI44" s="8">
        <f>Renta_Alta!AI44+Masivo!AI44+Consumo_Inicial!AI44</f>
        <v>-29603.272592400001</v>
      </c>
      <c r="AJ44" s="8">
        <f>Renta_Alta!AJ44+Masivo!AJ44+Consumo_Inicial!AJ44</f>
        <v>-28362.173643540002</v>
      </c>
      <c r="AK44" s="8">
        <f>Renta_Alta!AK44+Masivo!AK44+Consumo_Inicial!AK44</f>
        <v>-28649.108148399999</v>
      </c>
      <c r="AL44" s="8">
        <f>Renta_Alta!AL44+Masivo!AL44+Consumo_Inicial!AL44</f>
        <v>-27624.622838419997</v>
      </c>
      <c r="AM44" s="8">
        <f>Renta_Alta!AM44+Masivo!AM44+Consumo_Inicial!AM44</f>
        <v>-27974.689807779996</v>
      </c>
      <c r="AN44" s="8">
        <f>Renta_Alta!AN44+Masivo!AN44+Consumo_Inicial!AN44</f>
        <v>-27512.23715986</v>
      </c>
      <c r="AO44" s="8">
        <f>Renta_Alta!AO44+Masivo!AO44+Consumo_Inicial!AO44</f>
        <v>-24430.177574910002</v>
      </c>
      <c r="AP44" s="8">
        <f>Renta_Alta!AP44+Masivo!AP44+Consumo_Inicial!AP44</f>
        <v>-26735.466782</v>
      </c>
      <c r="AQ44" s="8">
        <f>Renta_Alta!AQ44+Masivo!AQ44+Consumo_Inicial!AQ44</f>
        <v>-25745.607702729998</v>
      </c>
      <c r="AR44" s="8">
        <f>Renta_Alta!AR44+Masivo!AR44+Consumo_Inicial!AR44</f>
        <v>-26560.67207362489</v>
      </c>
      <c r="AS44" s="8">
        <f>Renta_Alta!AS44+Masivo!AS44+Consumo_Inicial!AS44</f>
        <v>-25613.845756250001</v>
      </c>
      <c r="AT44" s="8">
        <f>Renta_Alta!AT44+Masivo!AT44+Consumo_Inicial!AT44</f>
        <v>0</v>
      </c>
      <c r="AU44" s="8">
        <f>Renta_Alta!AU44+Masivo!AU44+Consumo_Inicial!AU44</f>
        <v>0</v>
      </c>
      <c r="AV44" s="8">
        <f>Renta_Alta!AV44+Masivo!AV44+Consumo_Inicial!AV44</f>
        <v>0</v>
      </c>
      <c r="AW44" s="8">
        <f>Renta_Alta!AW44+Masivo!AW44+Consumo_Inicial!AW44</f>
        <v>0</v>
      </c>
      <c r="AX44" s="8">
        <f>Renta_Alta!AX44+Masivo!AX44+Consumo_Inicial!AX44</f>
        <v>0</v>
      </c>
      <c r="AY44" s="8">
        <f>Renta_Alta!AY44+Masivo!AY44+Consumo_Inicial!AY44</f>
        <v>0</v>
      </c>
      <c r="AZ44" s="8">
        <f>Renta_Alta!AZ44+Masivo!AZ44+Consumo_Inicial!AZ44</f>
        <v>-28491.076674123953</v>
      </c>
      <c r="BA44" s="8">
        <f>Renta_Alta!BA44+Masivo!BA44+Consumo_Inicial!BA44</f>
        <v>-25566.590908257607</v>
      </c>
      <c r="BB44" s="8">
        <f>Renta_Alta!BB44+Masivo!BB44+Consumo_Inicial!BB44</f>
        <v>-28192.556631874551</v>
      </c>
      <c r="BC44" s="8">
        <f>Renta_Alta!BC44+Masivo!BC44+Consumo_Inicial!BC44</f>
        <v>-27150.185898097534</v>
      </c>
      <c r="BD44" s="8">
        <f>Renta_Alta!BD44+Masivo!BD44+Consumo_Inicial!BD44</f>
        <v>-27933.631559678026</v>
      </c>
      <c r="BE44" s="8">
        <f>Renta_Alta!BE44+Masivo!BE44+Consumo_Inicial!BE44</f>
        <v>-26936.995394745638</v>
      </c>
      <c r="BF44" s="8">
        <f>Renta_Alta!BF44+Masivo!BF44+Consumo_Inicial!BF44</f>
        <v>-27759.432646513971</v>
      </c>
      <c r="BG44" s="8">
        <f>Renta_Alta!BG44+Masivo!BG44+Consumo_Inicial!BG44</f>
        <v>-27696.887413447865</v>
      </c>
      <c r="BH44" s="8">
        <f>Renta_Alta!BH44+Masivo!BH44+Consumo_Inicial!BH44</f>
        <v>-26778.179969536683</v>
      </c>
      <c r="BI44" s="8">
        <f>Renta_Alta!BI44+Masivo!BI44+Consumo_Inicial!BI44</f>
        <v>-27631.549833370427</v>
      </c>
      <c r="BJ44" s="8">
        <f>Renta_Alta!BJ44+Masivo!BJ44+Consumo_Inicial!BJ44</f>
        <v>-26703.217650862953</v>
      </c>
      <c r="BK44" s="8">
        <f>Renta_Alta!BK44+Masivo!BK44+Consumo_Inicial!BK44</f>
        <v>-27545.210765775515</v>
      </c>
      <c r="BO44" s="24">
        <f t="shared" ref="BO44:BT46" si="50">SUMIFS($D44:$BM44,$D$6:$BM$6,"&gt;="&amp;BO$2,$D$6:$BM$6,"&lt;="&amp;BO$6,$D$5:$BM$5,BO$5)</f>
        <v>-130984.1612931249</v>
      </c>
      <c r="BP44" s="24">
        <f t="shared" si="50"/>
        <v>-137334.04167203169</v>
      </c>
      <c r="BQ44" s="24">
        <f t="shared" si="50"/>
        <v>-104423.48921950001</v>
      </c>
      <c r="BR44" s="24">
        <f t="shared" si="50"/>
        <v>-152303.92602018002</v>
      </c>
      <c r="BS44" s="24">
        <f t="shared" si="50"/>
        <v>-162572.85964370001</v>
      </c>
      <c r="BT44" s="24">
        <f t="shared" si="50"/>
        <v>-126175.13594759999</v>
      </c>
    </row>
    <row r="45" spans="1:72" hidden="1" outlineLevel="1" x14ac:dyDescent="0.25">
      <c r="A45" s="11" t="s">
        <v>50</v>
      </c>
      <c r="C45" s="2" t="s">
        <v>1</v>
      </c>
      <c r="D45" s="8">
        <f>Renta_Alta!D45+Masivo!D45+Consumo_Inicial!D45</f>
        <v>-130.25558000000001</v>
      </c>
      <c r="E45" s="8">
        <f>Renta_Alta!E45+Masivo!E45+Consumo_Inicial!E45</f>
        <v>-120.52135</v>
      </c>
      <c r="F45" s="8">
        <f>Renta_Alta!F45+Masivo!F45+Consumo_Inicial!F45</f>
        <v>-138.92289999999997</v>
      </c>
      <c r="G45" s="8">
        <f>Renta_Alta!G45+Masivo!G45+Consumo_Inicial!G45</f>
        <v>-139.61076</v>
      </c>
      <c r="H45" s="8">
        <f>Renta_Alta!H45+Masivo!H45+Consumo_Inicial!H45</f>
        <v>-143.88884999999999</v>
      </c>
      <c r="I45" s="8">
        <f>Renta_Alta!I45+Masivo!I45+Consumo_Inicial!I45</f>
        <v>-146.67886000000004</v>
      </c>
      <c r="J45" s="8">
        <f>Renta_Alta!J45+Masivo!J45+Consumo_Inicial!J45</f>
        <v>-151.32277999999999</v>
      </c>
      <c r="K45" s="8">
        <f>Renta_Alta!K45+Masivo!K45+Consumo_Inicial!K45</f>
        <v>-153.66227000000001</v>
      </c>
      <c r="L45" s="8">
        <f>Renta_Alta!L45+Masivo!L45+Consumo_Inicial!L45</f>
        <v>-145.37425999999999</v>
      </c>
      <c r="M45" s="8">
        <f>Renta_Alta!M45+Masivo!M45+Consumo_Inicial!M45</f>
        <v>-148.13479000000001</v>
      </c>
      <c r="N45" s="8">
        <f>Renta_Alta!N45+Masivo!N45+Consumo_Inicial!N45</f>
        <v>-142.13634000000002</v>
      </c>
      <c r="O45" s="8">
        <f>Renta_Alta!O45+Masivo!O45+Consumo_Inicial!O45</f>
        <v>-150.90439999999998</v>
      </c>
      <c r="P45" s="8">
        <f>Renta_Alta!P45+Masivo!P45+Consumo_Inicial!P45</f>
        <v>-149.79561000000001</v>
      </c>
      <c r="Q45" s="8">
        <f>Renta_Alta!Q45+Masivo!Q45+Consumo_Inicial!Q45</f>
        <v>-136.65378999999999</v>
      </c>
      <c r="R45" s="8">
        <f>Renta_Alta!R45+Masivo!R45+Consumo_Inicial!R45</f>
        <v>-141.51197999999999</v>
      </c>
      <c r="S45" s="8">
        <f>Renta_Alta!S45+Masivo!S45+Consumo_Inicial!S45</f>
        <v>-133.48721</v>
      </c>
      <c r="T45" s="8">
        <f>Renta_Alta!T45+Masivo!T45+Consumo_Inicial!T45</f>
        <v>-133.88479999999998</v>
      </c>
      <c r="U45" s="8">
        <f>Renta_Alta!U45+Masivo!U45+Consumo_Inicial!U45</f>
        <v>-125.24104999999999</v>
      </c>
      <c r="V45" s="8">
        <f>Renta_Alta!V45+Masivo!V45+Consumo_Inicial!V45</f>
        <v>-122.30903000000001</v>
      </c>
      <c r="W45" s="8">
        <f>Renta_Alta!W45+Masivo!W45+Consumo_Inicial!W45</f>
        <v>-118.67537999999999</v>
      </c>
      <c r="X45" s="8">
        <f>Renta_Alta!X45+Masivo!X45+Consumo_Inicial!X45</f>
        <v>-111.04265000000001</v>
      </c>
      <c r="Y45" s="8">
        <f>Renta_Alta!Y45+Masivo!Y45+Consumo_Inicial!Y45</f>
        <v>-111.60915</v>
      </c>
      <c r="Z45" s="8">
        <f>Renta_Alta!Z45+Masivo!Z45+Consumo_Inicial!Z45</f>
        <v>-112.96651999999999</v>
      </c>
      <c r="AA45" s="8">
        <f>Renta_Alta!AA45+Masivo!AA45+Consumo_Inicial!AA45</f>
        <v>-120.10756000000001</v>
      </c>
      <c r="AB45" s="8">
        <f>Renta_Alta!AB45+Masivo!AB45+Consumo_Inicial!AB45</f>
        <v>-122.41988000000001</v>
      </c>
      <c r="AC45" s="8">
        <f>Renta_Alta!AC45+Masivo!AC45+Consumo_Inicial!AC45</f>
        <v>-115.49768000000002</v>
      </c>
      <c r="AD45" s="8">
        <f>Renta_Alta!AD45+Masivo!AD45+Consumo_Inicial!AD45</f>
        <v>-133.2167</v>
      </c>
      <c r="AE45" s="8">
        <f>Renta_Alta!AE45+Masivo!AE45+Consumo_Inicial!AE45</f>
        <v>-134.38054000000002</v>
      </c>
      <c r="AF45" s="8">
        <f>Renta_Alta!AF45+Masivo!AF45+Consumo_Inicial!AF45</f>
        <v>-147.87924000000001</v>
      </c>
      <c r="AG45" s="8">
        <f>Renta_Alta!AG45+Masivo!AG45+Consumo_Inicial!AG45</f>
        <v>-147.14009999999999</v>
      </c>
      <c r="AH45" s="8">
        <f>Renta_Alta!AH45+Masivo!AH45+Consumo_Inicial!AH45</f>
        <v>-158.07123000000001</v>
      </c>
      <c r="AI45" s="8">
        <f>Renta_Alta!AI45+Masivo!AI45+Consumo_Inicial!AI45</f>
        <v>-156.41293000000002</v>
      </c>
      <c r="AJ45" s="8">
        <f>Renta_Alta!AJ45+Masivo!AJ45+Consumo_Inicial!AJ45</f>
        <v>-149.10366999999999</v>
      </c>
      <c r="AK45" s="8">
        <f>Renta_Alta!AK45+Masivo!AK45+Consumo_Inicial!AK45</f>
        <v>-154.58051999999998</v>
      </c>
      <c r="AL45" s="8">
        <f>Renta_Alta!AL45+Masivo!AL45+Consumo_Inicial!AL45</f>
        <v>-149.76266999999999</v>
      </c>
      <c r="AM45" s="8">
        <f>Renta_Alta!AM45+Masivo!AM45+Consumo_Inicial!AM45</f>
        <v>-156.86642999999998</v>
      </c>
      <c r="AN45" s="8">
        <f>Renta_Alta!AN45+Masivo!AN45+Consumo_Inicial!AN45</f>
        <v>-157.45572000000001</v>
      </c>
      <c r="AO45" s="8">
        <f>Renta_Alta!AO45+Masivo!AO45+Consumo_Inicial!AO45</f>
        <v>-139.81921</v>
      </c>
      <c r="AP45" s="8">
        <f>Renta_Alta!AP45+Masivo!AP45+Consumo_Inicial!AP45</f>
        <v>-151.72477999999998</v>
      </c>
      <c r="AQ45" s="8">
        <f>Renta_Alta!AQ45+Masivo!AQ45+Consumo_Inicial!AQ45</f>
        <v>-145.35149000000001</v>
      </c>
      <c r="AR45" s="8">
        <f>Renta_Alta!AR45+Masivo!AR45+Consumo_Inicial!AR45</f>
        <v>-145.61201</v>
      </c>
      <c r="AS45" s="8">
        <f>Renta_Alta!AS45+Masivo!AS45+Consumo_Inicial!AS45</f>
        <v>-137.28836999999999</v>
      </c>
      <c r="AT45" s="8">
        <f>Renta_Alta!AT45+Masivo!AT45+Consumo_Inicial!AT45</f>
        <v>0</v>
      </c>
      <c r="AU45" s="8">
        <f>Renta_Alta!AU45+Masivo!AU45+Consumo_Inicial!AU45</f>
        <v>0</v>
      </c>
      <c r="AV45" s="8">
        <f>Renta_Alta!AV45+Masivo!AV45+Consumo_Inicial!AV45</f>
        <v>0</v>
      </c>
      <c r="AW45" s="8">
        <f>Renta_Alta!AW45+Masivo!AW45+Consumo_Inicial!AW45</f>
        <v>0</v>
      </c>
      <c r="AX45" s="8">
        <f>Renta_Alta!AX45+Masivo!AX45+Consumo_Inicial!AX45</f>
        <v>0</v>
      </c>
      <c r="AY45" s="8">
        <f>Renta_Alta!AY45+Masivo!AY45+Consumo_Inicial!AY45</f>
        <v>0</v>
      </c>
      <c r="AZ45" s="8">
        <f>Renta_Alta!AZ45+Masivo!AZ45+Consumo_Inicial!AZ45</f>
        <v>-149.74253614211489</v>
      </c>
      <c r="BA45" s="8">
        <f>Renta_Alta!BA45+Masivo!BA45+Consumo_Inicial!BA45</f>
        <v>-134.29283108093944</v>
      </c>
      <c r="BB45" s="8">
        <f>Renta_Alta!BB45+Masivo!BB45+Consumo_Inicial!BB45</f>
        <v>-147.98601538279416</v>
      </c>
      <c r="BC45" s="8">
        <f>Renta_Alta!BC45+Masivo!BC45+Consumo_Inicial!BC45</f>
        <v>-142.43788520395972</v>
      </c>
      <c r="BD45" s="8">
        <f>Renta_Alta!BD45+Masivo!BD45+Consumo_Inicial!BD45</f>
        <v>-146.41061786227522</v>
      </c>
      <c r="BE45" s="8">
        <f>Renta_Alta!BE45+Masivo!BE45+Consumo_Inicial!BE45</f>
        <v>-141.05424334108639</v>
      </c>
      <c r="BF45" s="8">
        <f>Renta_Alta!BF45+Masivo!BF45+Consumo_Inicial!BF45</f>
        <v>-145.22438906299465</v>
      </c>
      <c r="BG45" s="8">
        <f>Renta_Alta!BG45+Masivo!BG45+Consumo_Inicial!BG45</f>
        <v>-144.76131571790444</v>
      </c>
      <c r="BH45" s="8">
        <f>Renta_Alta!BH45+Masivo!BH45+Consumo_Inicial!BH45</f>
        <v>-139.67842152897771</v>
      </c>
      <c r="BI45" s="8">
        <f>Renta_Alta!BI45+Masivo!BI45+Consumo_Inicial!BI45</f>
        <v>-143.85955228148495</v>
      </c>
      <c r="BJ45" s="8">
        <f>Renta_Alta!BJ45+Masivo!BJ45+Consumo_Inicial!BJ45</f>
        <v>-138.76553263824755</v>
      </c>
      <c r="BK45" s="8">
        <f>Renta_Alta!BK45+Masivo!BK45+Consumo_Inicial!BK45</f>
        <v>-142.90378717527682</v>
      </c>
      <c r="BO45" s="24">
        <f t="shared" si="50"/>
        <v>-739.96321000000012</v>
      </c>
      <c r="BP45" s="24">
        <f t="shared" si="50"/>
        <v>-720.86988567208346</v>
      </c>
      <c r="BQ45" s="24">
        <f t="shared" si="50"/>
        <v>-594.35120000000006</v>
      </c>
      <c r="BR45" s="24">
        <f t="shared" si="50"/>
        <v>-653.39404000000002</v>
      </c>
      <c r="BS45" s="24">
        <f t="shared" si="50"/>
        <v>-695.33339000000001</v>
      </c>
      <c r="BT45" s="24">
        <f t="shared" si="50"/>
        <v>-673.19943999999987</v>
      </c>
    </row>
    <row r="46" spans="1:72" hidden="1" outlineLevel="1" x14ac:dyDescent="0.25">
      <c r="A46" s="11" t="s">
        <v>50</v>
      </c>
      <c r="C46" s="2" t="s">
        <v>45</v>
      </c>
      <c r="D46" s="8">
        <f>Renta_Alta!D46+Masivo!D46+Consumo_Inicial!D46</f>
        <v>-245.94521999999998</v>
      </c>
      <c r="E46" s="8">
        <f>Renta_Alta!E46+Masivo!E46+Consumo_Inicial!E46</f>
        <v>-228.55992000000001</v>
      </c>
      <c r="F46" s="8">
        <f>Renta_Alta!F46+Masivo!F46+Consumo_Inicial!F46</f>
        <v>-275.37304999999998</v>
      </c>
      <c r="G46" s="8">
        <f>Renta_Alta!G46+Masivo!G46+Consumo_Inicial!G46</f>
        <v>-264.42385999999999</v>
      </c>
      <c r="H46" s="8">
        <f>Renta_Alta!H46+Masivo!H46+Consumo_Inicial!H46</f>
        <v>-255.16487000000001</v>
      </c>
      <c r="I46" s="8">
        <f>Renta_Alta!I46+Masivo!I46+Consumo_Inicial!I46</f>
        <v>-243.43191000000002</v>
      </c>
      <c r="J46" s="8">
        <f>Renta_Alta!J46+Masivo!J46+Consumo_Inicial!J46</f>
        <v>-254.70152999999996</v>
      </c>
      <c r="K46" s="8">
        <f>Renta_Alta!K46+Masivo!K46+Consumo_Inicial!K46</f>
        <v>-318.35863000000001</v>
      </c>
      <c r="L46" s="8">
        <f>Renta_Alta!L46+Masivo!L46+Consumo_Inicial!L46</f>
        <v>-299.49809999999997</v>
      </c>
      <c r="M46" s="8">
        <f>Renta_Alta!M46+Masivo!M46+Consumo_Inicial!M46</f>
        <v>-353.16258999999997</v>
      </c>
      <c r="N46" s="8">
        <f>Renta_Alta!N46+Masivo!N46+Consumo_Inicial!N46</f>
        <v>-367.48566</v>
      </c>
      <c r="O46" s="8">
        <f>Renta_Alta!O46+Masivo!O46+Consumo_Inicial!O46</f>
        <v>-387.30522999999999</v>
      </c>
      <c r="P46" s="8">
        <f>Renta_Alta!P46+Masivo!P46+Consumo_Inicial!P46</f>
        <v>-426.76421000000005</v>
      </c>
      <c r="Q46" s="8">
        <f>Renta_Alta!Q46+Masivo!Q46+Consumo_Inicial!Q46</f>
        <v>-400.71287999999998</v>
      </c>
      <c r="R46" s="8">
        <f>Renta_Alta!R46+Masivo!R46+Consumo_Inicial!R46</f>
        <v>-412.95220999999998</v>
      </c>
      <c r="S46" s="8">
        <f>Renta_Alta!S46+Masivo!S46+Consumo_Inicial!S46</f>
        <v>-420.97253999999998</v>
      </c>
      <c r="T46" s="8">
        <f>Renta_Alta!T46+Masivo!T46+Consumo_Inicial!T46</f>
        <v>-428.23414999999994</v>
      </c>
      <c r="U46" s="8">
        <f>Renta_Alta!U46+Masivo!U46+Consumo_Inicial!U46</f>
        <v>-396.70151999999996</v>
      </c>
      <c r="V46" s="8">
        <f>Renta_Alta!V46+Masivo!V46+Consumo_Inicial!V46</f>
        <v>-418.92971999999997</v>
      </c>
      <c r="W46" s="8">
        <f>Renta_Alta!W46+Masivo!W46+Consumo_Inicial!W46</f>
        <v>-460.23273000000012</v>
      </c>
      <c r="X46" s="8">
        <f>Renta_Alta!X46+Masivo!X46+Consumo_Inicial!X46</f>
        <v>-486.88177000000002</v>
      </c>
      <c r="Y46" s="8">
        <f>Renta_Alta!Y46+Masivo!Y46+Consumo_Inicial!Y46</f>
        <v>-499.75398999999999</v>
      </c>
      <c r="Z46" s="8">
        <f>Renta_Alta!Z46+Masivo!Z46+Consumo_Inicial!Z46</f>
        <v>-468.24216999999999</v>
      </c>
      <c r="AA46" s="8">
        <f>Renta_Alta!AA46+Masivo!AA46+Consumo_Inicial!AA46</f>
        <v>-514.46658000000002</v>
      </c>
      <c r="AB46" s="8">
        <f>Renta_Alta!AB46+Masivo!AB46+Consumo_Inicial!AB46</f>
        <v>-577.47669999999994</v>
      </c>
      <c r="AC46" s="8">
        <f>Renta_Alta!AC46+Masivo!AC46+Consumo_Inicial!AC46</f>
        <v>-480.09829000000002</v>
      </c>
      <c r="AD46" s="8">
        <f>Renta_Alta!AD46+Masivo!AD46+Consumo_Inicial!AD46</f>
        <v>-550.34101999999996</v>
      </c>
      <c r="AE46" s="8">
        <f>Renta_Alta!AE46+Masivo!AE46+Consumo_Inicial!AE46</f>
        <v>-534.69743000000005</v>
      </c>
      <c r="AF46" s="8">
        <f>Renta_Alta!AF46+Masivo!AF46+Consumo_Inicial!AF46</f>
        <v>-531.99571000000003</v>
      </c>
      <c r="AG46" s="8">
        <f>Renta_Alta!AG46+Masivo!AG46+Consumo_Inicial!AG46</f>
        <v>-532.11986000000013</v>
      </c>
      <c r="AH46" s="8">
        <f>Renta_Alta!AH46+Masivo!AH46+Consumo_Inicial!AH46</f>
        <v>-547.01675999999998</v>
      </c>
      <c r="AI46" s="8">
        <f>Renta_Alta!AI46+Masivo!AI46+Consumo_Inicial!AI46</f>
        <v>-566.25211999999999</v>
      </c>
      <c r="AJ46" s="8">
        <f>Renta_Alta!AJ46+Masivo!AJ46+Consumo_Inicial!AJ46</f>
        <v>-570.77075000000002</v>
      </c>
      <c r="AK46" s="8">
        <f>Renta_Alta!AK46+Masivo!AK46+Consumo_Inicial!AK46</f>
        <v>-1029.94444</v>
      </c>
      <c r="AL46" s="8">
        <f>Renta_Alta!AL46+Masivo!AL46+Consumo_Inicial!AL46</f>
        <v>-607.31736999999987</v>
      </c>
      <c r="AM46" s="8">
        <f>Renta_Alta!AM46+Masivo!AM46+Consumo_Inicial!AM46</f>
        <v>-614.27681000000007</v>
      </c>
      <c r="AN46" s="8">
        <f>Renta_Alta!AN46+Masivo!AN46+Consumo_Inicial!AN46</f>
        <v>-632.61585000000002</v>
      </c>
      <c r="AO46" s="8">
        <f>Renta_Alta!AO46+Masivo!AO46+Consumo_Inicial!AO46</f>
        <v>-550.95198000000005</v>
      </c>
      <c r="AP46" s="8">
        <f>Renta_Alta!AP46+Masivo!AP46+Consumo_Inicial!AP46</f>
        <v>-585.39354999999989</v>
      </c>
      <c r="AQ46" s="8">
        <f>Renta_Alta!AQ46+Masivo!AQ46+Consumo_Inicial!AQ46</f>
        <v>-548.65460000000007</v>
      </c>
      <c r="AR46" s="8">
        <f>Renta_Alta!AR46+Masivo!AR46+Consumo_Inicial!AR46</f>
        <v>-580.04154000000017</v>
      </c>
      <c r="AS46" s="8">
        <f>Renta_Alta!AS46+Masivo!AS46+Consumo_Inicial!AS46</f>
        <v>-569.19817</v>
      </c>
      <c r="AT46" s="8">
        <f>Renta_Alta!AT46+Masivo!AT46+Consumo_Inicial!AT46</f>
        <v>0</v>
      </c>
      <c r="AU46" s="8">
        <f>Renta_Alta!AU46+Masivo!AU46+Consumo_Inicial!AU46</f>
        <v>0</v>
      </c>
      <c r="AV46" s="8">
        <f>Renta_Alta!AV46+Masivo!AV46+Consumo_Inicial!AV46</f>
        <v>0</v>
      </c>
      <c r="AW46" s="8">
        <f>Renta_Alta!AW46+Masivo!AW46+Consumo_Inicial!AW46</f>
        <v>0</v>
      </c>
      <c r="AX46" s="8">
        <f>Renta_Alta!AX46+Masivo!AX46+Consumo_Inicial!AX46</f>
        <v>0</v>
      </c>
      <c r="AY46" s="8">
        <f>Renta_Alta!AY46+Masivo!AY46+Consumo_Inicial!AY46</f>
        <v>0</v>
      </c>
      <c r="AZ46" s="8">
        <f>Renta_Alta!AZ46+Masivo!AZ46+Consumo_Inicial!AZ46</f>
        <v>-573.11918580411225</v>
      </c>
      <c r="BA46" s="8">
        <f>Renta_Alta!BA46+Masivo!BA46+Consumo_Inicial!BA46</f>
        <v>-514.1463470275869</v>
      </c>
      <c r="BB46" s="8">
        <f>Renta_Alta!BB46+Masivo!BB46+Consumo_Inicial!BB46</f>
        <v>-566.77301953425956</v>
      </c>
      <c r="BC46" s="8">
        <f>Renta_Alta!BC46+Masivo!BC46+Consumo_Inicial!BC46</f>
        <v>-545.67719887210819</v>
      </c>
      <c r="BD46" s="8">
        <f>Renta_Alta!BD46+Masivo!BD46+Consumo_Inicial!BD46</f>
        <v>-561.17477020907722</v>
      </c>
      <c r="BE46" s="8">
        <f>Renta_Alta!BE46+Masivo!BE46+Consumo_Inicial!BE46</f>
        <v>-540.91294124984393</v>
      </c>
      <c r="BF46" s="8">
        <f>Renta_Alta!BF46+Masivo!BF46+Consumo_Inicial!BF46</f>
        <v>-557.18093478070773</v>
      </c>
      <c r="BG46" s="8">
        <f>Renta_Alta!BG46+Masivo!BG46+Consumo_Inicial!BG46</f>
        <v>-555.6790999491501</v>
      </c>
      <c r="BH46" s="8">
        <f>Renta_Alta!BH46+Masivo!BH46+Consumo_Inicial!BH46</f>
        <v>-536.74241905286101</v>
      </c>
      <c r="BI46" s="8">
        <f>Renta_Alta!BI46+Masivo!BI46+Consumo_Inicial!BI46</f>
        <v>-553.36176670939028</v>
      </c>
      <c r="BJ46" s="8">
        <f>Renta_Alta!BJ46+Masivo!BJ46+Consumo_Inicial!BJ46</f>
        <v>-534.30177344458502</v>
      </c>
      <c r="BK46" s="8">
        <f>Renta_Alta!BK46+Masivo!BK46+Consumo_Inicial!BK46</f>
        <v>-550.72151840179515</v>
      </c>
      <c r="BO46" s="24">
        <f t="shared" si="50"/>
        <v>-2897.6575199999997</v>
      </c>
      <c r="BP46" s="24">
        <f t="shared" si="50"/>
        <v>-2760.8905214471442</v>
      </c>
      <c r="BQ46" s="24">
        <f t="shared" si="50"/>
        <v>-2317.6159799999996</v>
      </c>
      <c r="BR46" s="24">
        <f t="shared" si="50"/>
        <v>-2674.6091500000002</v>
      </c>
      <c r="BS46" s="24">
        <f t="shared" si="50"/>
        <v>-2089.6359899999998</v>
      </c>
      <c r="BT46" s="24">
        <f t="shared" si="50"/>
        <v>-1269.4669199999998</v>
      </c>
    </row>
    <row r="47" spans="1:72" collapsed="1" x14ac:dyDescent="0.25">
      <c r="C47" s="3" t="s">
        <v>58</v>
      </c>
      <c r="D47" s="10">
        <f>SUM(D44:D46)</f>
        <v>-23952.755016370003</v>
      </c>
      <c r="E47" s="10">
        <f t="shared" ref="E47:BK47" si="51">SUM(E44:E46)</f>
        <v>-22712.995709989998</v>
      </c>
      <c r="F47" s="10">
        <f t="shared" si="51"/>
        <v>-26388.170760600002</v>
      </c>
      <c r="G47" s="10">
        <f t="shared" si="51"/>
        <v>-26697.895315919999</v>
      </c>
      <c r="H47" s="10">
        <f t="shared" si="51"/>
        <v>-28365.985504720004</v>
      </c>
      <c r="I47" s="10">
        <f t="shared" si="51"/>
        <v>-28270.087404500002</v>
      </c>
      <c r="J47" s="10">
        <f t="shared" si="51"/>
        <v>-29844.887445169996</v>
      </c>
      <c r="K47" s="10">
        <f t="shared" si="51"/>
        <v>-30610.324896800001</v>
      </c>
      <c r="L47" s="10">
        <f t="shared" si="51"/>
        <v>-30224.685789160001</v>
      </c>
      <c r="M47" s="10">
        <f t="shared" si="51"/>
        <v>-31941.519101949998</v>
      </c>
      <c r="N47" s="10">
        <f t="shared" si="51"/>
        <v>-31532.990032639998</v>
      </c>
      <c r="O47" s="10">
        <f t="shared" si="51"/>
        <v>-32942.779857100002</v>
      </c>
      <c r="P47" s="10">
        <f t="shared" si="51"/>
        <v>-33151.454462480004</v>
      </c>
      <c r="Q47" s="10">
        <f t="shared" si="51"/>
        <v>-31236.499038119997</v>
      </c>
      <c r="R47" s="10">
        <f t="shared" si="51"/>
        <v>-33652.604823200003</v>
      </c>
      <c r="S47" s="10">
        <f t="shared" si="51"/>
        <v>-32942.304329999999</v>
      </c>
      <c r="T47" s="10">
        <f t="shared" si="51"/>
        <v>-34374.966369899994</v>
      </c>
      <c r="U47" s="10">
        <f t="shared" si="51"/>
        <v>-33502.129103320003</v>
      </c>
      <c r="V47" s="10">
        <f t="shared" si="51"/>
        <v>-34869.991702620006</v>
      </c>
      <c r="W47" s="10">
        <f t="shared" si="51"/>
        <v>-34902.183056150003</v>
      </c>
      <c r="X47" s="10">
        <f t="shared" si="51"/>
        <v>-33594.478077480002</v>
      </c>
      <c r="Y47" s="10">
        <f t="shared" si="51"/>
        <v>-33236.678559760003</v>
      </c>
      <c r="Z47" s="10">
        <f t="shared" si="51"/>
        <v>-32748.716793559997</v>
      </c>
      <c r="AA47" s="10">
        <f t="shared" si="51"/>
        <v>-33303.600028549998</v>
      </c>
      <c r="AB47" s="10">
        <f t="shared" si="51"/>
        <v>-32832.920614310002</v>
      </c>
      <c r="AC47" s="10">
        <f t="shared" si="51"/>
        <v>-29227.918693000007</v>
      </c>
      <c r="AD47" s="10">
        <f t="shared" si="51"/>
        <v>-31938.276758709999</v>
      </c>
      <c r="AE47" s="10">
        <f t="shared" si="51"/>
        <v>-30409.862080160005</v>
      </c>
      <c r="AF47" s="10">
        <f t="shared" si="51"/>
        <v>-31222.951064000001</v>
      </c>
      <c r="AG47" s="10">
        <f t="shared" si="51"/>
        <v>-29957.394991559999</v>
      </c>
      <c r="AH47" s="10">
        <f t="shared" si="51"/>
        <v>-30623.214489820002</v>
      </c>
      <c r="AI47" s="10">
        <f t="shared" si="51"/>
        <v>-30325.9376424</v>
      </c>
      <c r="AJ47" s="10">
        <f t="shared" si="51"/>
        <v>-29082.048063540002</v>
      </c>
      <c r="AK47" s="10">
        <f t="shared" si="51"/>
        <v>-29833.633108399998</v>
      </c>
      <c r="AL47" s="10">
        <f t="shared" si="51"/>
        <v>-28381.702878419997</v>
      </c>
      <c r="AM47" s="10">
        <f t="shared" si="51"/>
        <v>-28745.833047779994</v>
      </c>
      <c r="AN47" s="10">
        <f t="shared" si="51"/>
        <v>-28302.30872986</v>
      </c>
      <c r="AO47" s="10">
        <f t="shared" si="51"/>
        <v>-25120.948764910005</v>
      </c>
      <c r="AP47" s="10">
        <f t="shared" si="51"/>
        <v>-27472.585112000001</v>
      </c>
      <c r="AQ47" s="10">
        <f t="shared" si="51"/>
        <v>-26439.613792730001</v>
      </c>
      <c r="AR47" s="10">
        <f t="shared" si="51"/>
        <v>-27286.325623624893</v>
      </c>
      <c r="AS47" s="10">
        <f t="shared" si="51"/>
        <v>-26320.332296249999</v>
      </c>
      <c r="AT47" s="10">
        <f t="shared" si="51"/>
        <v>0</v>
      </c>
      <c r="AU47" s="10">
        <f t="shared" si="51"/>
        <v>0</v>
      </c>
      <c r="AV47" s="10">
        <f t="shared" si="51"/>
        <v>0</v>
      </c>
      <c r="AW47" s="10">
        <f t="shared" si="51"/>
        <v>0</v>
      </c>
      <c r="AX47" s="10">
        <f t="shared" si="51"/>
        <v>0</v>
      </c>
      <c r="AY47" s="10">
        <f t="shared" si="51"/>
        <v>0</v>
      </c>
      <c r="AZ47" s="10">
        <f t="shared" si="51"/>
        <v>-29213.938396070182</v>
      </c>
      <c r="BA47" s="10">
        <f t="shared" si="51"/>
        <v>-26215.030086366136</v>
      </c>
      <c r="BB47" s="10">
        <f t="shared" si="51"/>
        <v>-28907.315666791605</v>
      </c>
      <c r="BC47" s="10">
        <f t="shared" si="51"/>
        <v>-27838.300982173601</v>
      </c>
      <c r="BD47" s="10">
        <f t="shared" si="51"/>
        <v>-28641.216947749377</v>
      </c>
      <c r="BE47" s="10">
        <f t="shared" si="51"/>
        <v>-27618.962579336567</v>
      </c>
      <c r="BF47" s="10">
        <f t="shared" si="51"/>
        <v>-28461.837970357672</v>
      </c>
      <c r="BG47" s="10">
        <f t="shared" si="51"/>
        <v>-28397.327829114918</v>
      </c>
      <c r="BH47" s="10">
        <f t="shared" si="51"/>
        <v>-27454.600810118522</v>
      </c>
      <c r="BI47" s="10">
        <f t="shared" si="51"/>
        <v>-28328.771152361303</v>
      </c>
      <c r="BJ47" s="10">
        <f t="shared" si="51"/>
        <v>-27376.284956945787</v>
      </c>
      <c r="BK47" s="10">
        <f t="shared" si="51"/>
        <v>-28238.836071352587</v>
      </c>
      <c r="BO47" s="23">
        <f>SUM(BO44:BO46)</f>
        <v>-134621.78202312489</v>
      </c>
      <c r="BP47" s="23">
        <f t="shared" ref="BP47:BT47" si="52">SUM(BP44:BP46)</f>
        <v>-140815.80207915092</v>
      </c>
      <c r="BQ47" s="23">
        <f t="shared" si="52"/>
        <v>-107335.45639950002</v>
      </c>
      <c r="BR47" s="23">
        <f t="shared" si="52"/>
        <v>-155631.92921018004</v>
      </c>
      <c r="BS47" s="23">
        <f t="shared" si="52"/>
        <v>-165357.82902370003</v>
      </c>
      <c r="BT47" s="23">
        <f t="shared" si="52"/>
        <v>-128117.8023076</v>
      </c>
    </row>
    <row r="48" spans="1:72" x14ac:dyDescent="0.25">
      <c r="D48" s="9">
        <f>'[1]Desempeño Financiero (Evol)'!BE346</f>
        <v>-23952.75501637</v>
      </c>
      <c r="E48" s="9">
        <f>'[1]Desempeño Financiero (Evol)'!BF346</f>
        <v>-22712.995709990002</v>
      </c>
      <c r="F48" s="9">
        <f>'[1]Desempeño Financiero (Evol)'!BG346</f>
        <v>-26388.170760600002</v>
      </c>
      <c r="G48" s="9">
        <f>'[1]Desempeño Financiero (Evol)'!BH346</f>
        <v>-26697.895315920003</v>
      </c>
      <c r="H48" s="9">
        <f>'[1]Desempeño Financiero (Evol)'!BI346</f>
        <v>-28365.98550472</v>
      </c>
      <c r="I48" s="9">
        <f>'[1]Desempeño Financiero (Evol)'!BJ346</f>
        <v>-28270.087404499998</v>
      </c>
      <c r="J48" s="9">
        <f>'[1]Desempeño Financiero (Evol)'!BK346</f>
        <v>-29844.887445169999</v>
      </c>
      <c r="K48" s="9">
        <f>'[1]Desempeño Financiero (Evol)'!BL346</f>
        <v>-30610.324896800001</v>
      </c>
      <c r="L48" s="9">
        <f>'[1]Desempeño Financiero (Evol)'!BM346</f>
        <v>-30224.685789159994</v>
      </c>
      <c r="M48" s="9">
        <f>'[1]Desempeño Financiero (Evol)'!BN346</f>
        <v>-31941.519101950002</v>
      </c>
      <c r="N48" s="9">
        <f>'[1]Desempeño Financiero (Evol)'!BO346</f>
        <v>-31532.990032639995</v>
      </c>
      <c r="O48" s="9">
        <f>'[1]Desempeño Financiero (Evol)'!BP346</f>
        <v>-32942.779857099995</v>
      </c>
      <c r="P48" s="9">
        <f>'[1]Desempeño Financiero (Evol)'!BQ346</f>
        <v>-33151.454462479996</v>
      </c>
      <c r="Q48" s="9">
        <f>'[1]Desempeño Financiero (Evol)'!BR346</f>
        <v>-31236.499038119997</v>
      </c>
      <c r="R48" s="9">
        <f>'[1]Desempeño Financiero (Evol)'!BS346</f>
        <v>-33652.604823199996</v>
      </c>
      <c r="S48" s="9">
        <f>'[1]Desempeño Financiero (Evol)'!BT346</f>
        <v>-32942.304329999999</v>
      </c>
      <c r="T48" s="9">
        <f>'[1]Desempeño Financiero (Evol)'!BU346</f>
        <v>-34374.966369899994</v>
      </c>
      <c r="U48" s="9">
        <f>'[1]Desempeño Financiero (Evol)'!BV346</f>
        <v>-33502.129103320003</v>
      </c>
      <c r="V48" s="9">
        <f>'[1]Desempeño Financiero (Evol)'!BW346</f>
        <v>-34869.991702619991</v>
      </c>
      <c r="W48" s="9">
        <f>'[1]Desempeño Financiero (Evol)'!BX346</f>
        <v>-34902.183051670007</v>
      </c>
      <c r="X48" s="9">
        <f>'[1]Desempeño Financiero (Evol)'!BY346</f>
        <v>-33594.478077480002</v>
      </c>
      <c r="Y48" s="9">
        <f>'[1]Desempeño Financiero (Evol)'!BZ346</f>
        <v>-33236.678559760003</v>
      </c>
      <c r="Z48" s="9">
        <f>'[1]Desempeño Financiero (Evol)'!CA346</f>
        <v>-32748.716793559997</v>
      </c>
      <c r="AA48" s="9">
        <f>'[1]Desempeño Financiero (Evol)'!CB346</f>
        <v>-33303.600028549998</v>
      </c>
      <c r="AB48" s="9">
        <f>'[1]Desempeño Financiero (Evol)'!CC346</f>
        <v>-32832.920614309995</v>
      </c>
      <c r="AC48" s="9">
        <f>'[1]Desempeño Financiero (Evol)'!CD346</f>
        <v>-29227.918693000007</v>
      </c>
      <c r="AD48" s="9">
        <f>'[1]Desempeño Financiero (Evol)'!CE346</f>
        <v>-31938.276758710002</v>
      </c>
      <c r="AE48" s="9">
        <f>'[1]Desempeño Financiero (Evol)'!CF346</f>
        <v>-30409.862080160001</v>
      </c>
      <c r="AF48" s="9">
        <f>'[1]Desempeño Financiero (Evol)'!CG346</f>
        <v>-31222.951063999997</v>
      </c>
      <c r="AG48" s="9">
        <f>'[1]Desempeño Financiero (Evol)'!CH346</f>
        <v>-29957.394991559999</v>
      </c>
      <c r="AH48" s="9">
        <f>'[1]Desempeño Financiero (Evol)'!CI346</f>
        <v>-30623.214489819995</v>
      </c>
      <c r="AI48" s="9">
        <f>'[1]Desempeño Financiero (Evol)'!CJ346</f>
        <v>-30325.9376424</v>
      </c>
      <c r="AJ48" s="9">
        <f>'[1]Desempeño Financiero (Evol)'!CK346</f>
        <v>-29082.048063539994</v>
      </c>
      <c r="AK48" s="9">
        <f>'[1]Desempeño Financiero (Evol)'!CL346</f>
        <v>-29833.633108399998</v>
      </c>
      <c r="AL48" s="9">
        <f>'[1]Desempeño Financiero (Evol)'!CM346</f>
        <v>-28381.702878420001</v>
      </c>
      <c r="AM48" s="9">
        <f>'[1]Desempeño Financiero (Evol)'!CN346</f>
        <v>-28745.833047779997</v>
      </c>
      <c r="AN48" s="9">
        <f>'[1]Desempeño Financiero (Evol)'!CO346</f>
        <v>-28302.30872986</v>
      </c>
      <c r="AO48" s="9">
        <f>'[1]Desempeño Financiero (Evol)'!CP346</f>
        <v>-25120.948764909997</v>
      </c>
      <c r="AZ48" s="9">
        <f>'[1]Desempeño Financiero (Evol)'!DA346</f>
        <v>-29213.938396070178</v>
      </c>
      <c r="BA48" s="9">
        <f>'[1]Desempeño Financiero (Evol)'!DB346</f>
        <v>-26215.030086366136</v>
      </c>
      <c r="BB48" s="9">
        <f>'[1]Desempeño Financiero (Evol)'!DC346</f>
        <v>-28907.315666791605</v>
      </c>
      <c r="BC48" s="9">
        <f>'[1]Desempeño Financiero (Evol)'!DD346</f>
        <v>-27838.300982173601</v>
      </c>
      <c r="BD48" s="9">
        <f>'[1]Desempeño Financiero (Evol)'!DE346</f>
        <v>-28641.216947749377</v>
      </c>
      <c r="BE48" s="9">
        <f>'[1]Desempeño Financiero (Evol)'!DF346</f>
        <v>-27618.962579336567</v>
      </c>
      <c r="BF48" s="9">
        <f>'[1]Desempeño Financiero (Evol)'!DG346</f>
        <v>-28461.837970357676</v>
      </c>
      <c r="BG48" s="9">
        <f>'[1]Desempeño Financiero (Evol)'!DH346</f>
        <v>-28397.327829114914</v>
      </c>
      <c r="BH48" s="9">
        <f>'[1]Desempeño Financiero (Evol)'!DI346</f>
        <v>-27454.600810118518</v>
      </c>
      <c r="BI48" s="9">
        <f>'[1]Desempeño Financiero (Evol)'!DJ346</f>
        <v>-28328.771152361307</v>
      </c>
      <c r="BJ48" s="9">
        <f>'[1]Desempeño Financiero (Evol)'!DK346</f>
        <v>-27376.284956945787</v>
      </c>
      <c r="BK48" s="9">
        <f>'[1]Desempeño Financiero (Evol)'!DL346</f>
        <v>-28238.836071352584</v>
      </c>
    </row>
    <row r="49" spans="1:72" x14ac:dyDescent="0.25">
      <c r="D49" s="51">
        <f>D48-D47</f>
        <v>0</v>
      </c>
      <c r="E49" s="51">
        <f t="shared" ref="E49:AN49" si="53">E48-E47</f>
        <v>0</v>
      </c>
      <c r="F49" s="51">
        <f t="shared" si="53"/>
        <v>0</v>
      </c>
      <c r="G49" s="51">
        <f t="shared" si="53"/>
        <v>0</v>
      </c>
      <c r="H49" s="51">
        <f t="shared" si="53"/>
        <v>0</v>
      </c>
      <c r="I49" s="51">
        <f t="shared" si="53"/>
        <v>0</v>
      </c>
      <c r="J49" s="51">
        <f t="shared" si="53"/>
        <v>0</v>
      </c>
      <c r="K49" s="51">
        <f t="shared" si="53"/>
        <v>0</v>
      </c>
      <c r="L49" s="51">
        <f t="shared" si="53"/>
        <v>0</v>
      </c>
      <c r="M49" s="51">
        <f t="shared" si="53"/>
        <v>0</v>
      </c>
      <c r="N49" s="51">
        <f t="shared" si="53"/>
        <v>0</v>
      </c>
      <c r="O49" s="51">
        <f t="shared" si="53"/>
        <v>0</v>
      </c>
      <c r="P49" s="51">
        <f t="shared" si="53"/>
        <v>0</v>
      </c>
      <c r="Q49" s="51">
        <f t="shared" si="53"/>
        <v>0</v>
      </c>
      <c r="R49" s="51">
        <f t="shared" si="53"/>
        <v>0</v>
      </c>
      <c r="S49" s="51">
        <f t="shared" si="53"/>
        <v>0</v>
      </c>
      <c r="T49" s="51">
        <f t="shared" si="53"/>
        <v>0</v>
      </c>
      <c r="U49" s="51">
        <f t="shared" si="53"/>
        <v>0</v>
      </c>
      <c r="V49" s="51">
        <f t="shared" si="53"/>
        <v>0</v>
      </c>
      <c r="W49" s="51">
        <f t="shared" si="53"/>
        <v>4.4799962779507041E-6</v>
      </c>
      <c r="X49" s="51">
        <f t="shared" si="53"/>
        <v>0</v>
      </c>
      <c r="Y49" s="51">
        <f t="shared" si="53"/>
        <v>0</v>
      </c>
      <c r="Z49" s="51">
        <f t="shared" si="53"/>
        <v>0</v>
      </c>
      <c r="AA49" s="51">
        <f t="shared" si="53"/>
        <v>0</v>
      </c>
      <c r="AB49" s="51">
        <f t="shared" si="53"/>
        <v>0</v>
      </c>
      <c r="AC49" s="51">
        <f t="shared" si="53"/>
        <v>0</v>
      </c>
      <c r="AD49" s="51">
        <f t="shared" si="53"/>
        <v>0</v>
      </c>
      <c r="AE49" s="51">
        <f t="shared" si="53"/>
        <v>0</v>
      </c>
      <c r="AF49" s="51">
        <f t="shared" si="53"/>
        <v>0</v>
      </c>
      <c r="AG49" s="51">
        <f t="shared" si="53"/>
        <v>0</v>
      </c>
      <c r="AH49" s="51">
        <f t="shared" si="53"/>
        <v>0</v>
      </c>
      <c r="AI49" s="51">
        <f t="shared" si="53"/>
        <v>0</v>
      </c>
      <c r="AJ49" s="51">
        <f t="shared" si="53"/>
        <v>0</v>
      </c>
      <c r="AK49" s="51">
        <f t="shared" si="53"/>
        <v>0</v>
      </c>
      <c r="AL49" s="51">
        <f t="shared" si="53"/>
        <v>0</v>
      </c>
      <c r="AM49" s="51">
        <f t="shared" si="53"/>
        <v>0</v>
      </c>
      <c r="AN49" s="51">
        <f t="shared" si="53"/>
        <v>0</v>
      </c>
      <c r="AO49" s="51">
        <f t="shared" ref="AO49" si="54">AO48-AO47</f>
        <v>0</v>
      </c>
      <c r="AZ49" s="51">
        <f t="shared" ref="AZ49:BK49" si="55">AZ48-AZ47</f>
        <v>0</v>
      </c>
      <c r="BA49" s="51">
        <f t="shared" si="55"/>
        <v>0</v>
      </c>
      <c r="BB49" s="51">
        <f t="shared" si="55"/>
        <v>0</v>
      </c>
      <c r="BC49" s="51">
        <f t="shared" si="55"/>
        <v>0</v>
      </c>
      <c r="BD49" s="51">
        <f t="shared" si="55"/>
        <v>0</v>
      </c>
      <c r="BE49" s="51">
        <f t="shared" si="55"/>
        <v>0</v>
      </c>
      <c r="BF49" s="51">
        <f t="shared" si="55"/>
        <v>0</v>
      </c>
      <c r="BG49" s="51">
        <f t="shared" si="55"/>
        <v>0</v>
      </c>
      <c r="BH49" s="51">
        <f t="shared" si="55"/>
        <v>0</v>
      </c>
      <c r="BI49" s="51">
        <f t="shared" si="55"/>
        <v>0</v>
      </c>
      <c r="BJ49" s="51">
        <f t="shared" si="55"/>
        <v>0</v>
      </c>
      <c r="BK49" s="51">
        <f t="shared" si="55"/>
        <v>0</v>
      </c>
    </row>
    <row r="50" spans="1:72" hidden="1" outlineLevel="1" x14ac:dyDescent="0.25">
      <c r="A50" s="11"/>
      <c r="C50" s="2" t="s">
        <v>0</v>
      </c>
      <c r="D50" s="8">
        <f>D38+D44</f>
        <v>21038.503447900002</v>
      </c>
      <c r="E50" s="8">
        <f t="shared" ref="E50:AY50" si="56">E38+E44</f>
        <v>22127.412596159997</v>
      </c>
      <c r="F50" s="8">
        <f t="shared" si="56"/>
        <v>19073.360450309989</v>
      </c>
      <c r="G50" s="8">
        <f t="shared" si="56"/>
        <v>19081.218983469993</v>
      </c>
      <c r="H50" s="8">
        <f t="shared" si="56"/>
        <v>18141.084172430008</v>
      </c>
      <c r="I50" s="8">
        <f t="shared" si="56"/>
        <v>19434.91404412999</v>
      </c>
      <c r="J50" s="8">
        <f t="shared" si="56"/>
        <v>18148.268865960006</v>
      </c>
      <c r="K50" s="8">
        <f t="shared" si="56"/>
        <v>18315.9182487</v>
      </c>
      <c r="L50" s="8">
        <f t="shared" si="56"/>
        <v>19109.351614660001</v>
      </c>
      <c r="M50" s="8">
        <f t="shared" si="56"/>
        <v>17664.547034050007</v>
      </c>
      <c r="N50" s="8">
        <f t="shared" si="56"/>
        <v>18627.326908859999</v>
      </c>
      <c r="O50" s="8">
        <f t="shared" si="56"/>
        <v>17686.414764529989</v>
      </c>
      <c r="P50" s="8">
        <f t="shared" si="56"/>
        <v>17562.686238510018</v>
      </c>
      <c r="Q50" s="8">
        <f t="shared" si="56"/>
        <v>21109.711649070003</v>
      </c>
      <c r="R50" s="8">
        <f t="shared" si="56"/>
        <v>17809.097888690012</v>
      </c>
      <c r="S50" s="8">
        <f t="shared" si="56"/>
        <v>18346.96826356999</v>
      </c>
      <c r="T50" s="8">
        <f t="shared" si="56"/>
        <v>18680.795262210013</v>
      </c>
      <c r="U50" s="8">
        <f t="shared" si="56"/>
        <v>20403.865608909997</v>
      </c>
      <c r="V50" s="8">
        <f t="shared" si="56"/>
        <v>19983.059038829982</v>
      </c>
      <c r="W50" s="8">
        <f t="shared" si="56"/>
        <v>20424.66170895</v>
      </c>
      <c r="X50" s="8">
        <f t="shared" si="56"/>
        <v>22105.442657310006</v>
      </c>
      <c r="Y50" s="8">
        <f t="shared" si="56"/>
        <v>21953.468020629996</v>
      </c>
      <c r="Z50" s="8">
        <f t="shared" si="56"/>
        <v>22197.789155630016</v>
      </c>
      <c r="AA50" s="8">
        <f t="shared" si="56"/>
        <v>20563.404858240014</v>
      </c>
      <c r="AB50" s="8">
        <f t="shared" si="56"/>
        <v>20650.619278430007</v>
      </c>
      <c r="AC50" s="8">
        <f t="shared" si="56"/>
        <v>23584.851423059998</v>
      </c>
      <c r="AD50" s="8">
        <f t="shared" si="56"/>
        <v>21265.111775960002</v>
      </c>
      <c r="AE50" s="8">
        <f t="shared" si="56"/>
        <v>22292.681043360004</v>
      </c>
      <c r="AF50" s="8">
        <f t="shared" si="56"/>
        <v>22126.195418089999</v>
      </c>
      <c r="AG50" s="8">
        <f t="shared" si="56"/>
        <v>22880.764430870004</v>
      </c>
      <c r="AH50" s="8">
        <f t="shared" si="56"/>
        <v>22347.938936459988</v>
      </c>
      <c r="AI50" s="8">
        <f t="shared" si="56"/>
        <v>22256.756604709994</v>
      </c>
      <c r="AJ50" s="8">
        <f t="shared" si="56"/>
        <v>23944.055443449994</v>
      </c>
      <c r="AK50" s="8">
        <f t="shared" si="56"/>
        <v>24000.796285860011</v>
      </c>
      <c r="AL50" s="8">
        <f t="shared" si="56"/>
        <v>24122.246141910011</v>
      </c>
      <c r="AM50" s="8">
        <f t="shared" si="56"/>
        <v>23198.871957800005</v>
      </c>
      <c r="AN50" s="8">
        <f t="shared" si="56"/>
        <v>22744.469397569999</v>
      </c>
      <c r="AO50" s="8">
        <f t="shared" si="56"/>
        <v>25092.770790890001</v>
      </c>
      <c r="AP50" s="8">
        <f t="shared" si="56"/>
        <v>22897.322076510001</v>
      </c>
      <c r="AQ50" s="8">
        <f t="shared" si="56"/>
        <v>23806.393588720006</v>
      </c>
      <c r="AR50" s="8">
        <f t="shared" si="56"/>
        <v>23069.963010635111</v>
      </c>
      <c r="AS50" s="8">
        <f t="shared" si="56"/>
        <v>23690.227639150002</v>
      </c>
      <c r="AT50" s="8">
        <f t="shared" si="56"/>
        <v>0</v>
      </c>
      <c r="AU50" s="8">
        <f t="shared" si="56"/>
        <v>0</v>
      </c>
      <c r="AV50" s="8">
        <f t="shared" si="56"/>
        <v>0</v>
      </c>
      <c r="AW50" s="8">
        <f t="shared" si="56"/>
        <v>0</v>
      </c>
      <c r="AX50" s="8">
        <f t="shared" si="56"/>
        <v>0</v>
      </c>
      <c r="AY50" s="8">
        <f t="shared" si="56"/>
        <v>0</v>
      </c>
      <c r="AZ50" s="8">
        <f t="shared" ref="AZ50:BK50" si="57">AZ38+AZ44</f>
        <v>23782.616840953477</v>
      </c>
      <c r="BA50" s="8">
        <f t="shared" si="57"/>
        <v>27162.335505119281</v>
      </c>
      <c r="BB50" s="8">
        <f t="shared" si="57"/>
        <v>24118.959520907225</v>
      </c>
      <c r="BC50" s="8">
        <f t="shared" si="57"/>
        <v>25556.768372526665</v>
      </c>
      <c r="BD50" s="8">
        <f t="shared" si="57"/>
        <v>24730.23937761064</v>
      </c>
      <c r="BE50" s="8">
        <f t="shared" si="57"/>
        <v>25959.983051454677</v>
      </c>
      <c r="BF50" s="8">
        <f t="shared" si="57"/>
        <v>25512.398701016547</v>
      </c>
      <c r="BG50" s="8">
        <f t="shared" si="57"/>
        <v>25810.264419447823</v>
      </c>
      <c r="BH50" s="8">
        <f t="shared" si="57"/>
        <v>26939.261345780764</v>
      </c>
      <c r="BI50" s="8">
        <f t="shared" si="57"/>
        <v>26618.063866722845</v>
      </c>
      <c r="BJ50" s="8">
        <f t="shared" si="57"/>
        <v>27403.598689159011</v>
      </c>
      <c r="BK50" s="8">
        <f t="shared" si="57"/>
        <v>27013.452682921776</v>
      </c>
      <c r="BO50" s="24">
        <f>BO38+BO44</f>
        <v>117610.9188643251</v>
      </c>
      <c r="BP50" s="24">
        <f t="shared" ref="BP50:BT50" si="58">BP38+BP44</f>
        <v>125350.91961711727</v>
      </c>
      <c r="BQ50" s="24">
        <f t="shared" si="58"/>
        <v>94540.955853689986</v>
      </c>
      <c r="BR50" s="24">
        <f t="shared" si="58"/>
        <v>109919.4589389</v>
      </c>
      <c r="BS50" s="24">
        <f t="shared" si="58"/>
        <v>93509.259302050021</v>
      </c>
      <c r="BT50" s="24">
        <f t="shared" si="58"/>
        <v>99461.57965027001</v>
      </c>
    </row>
    <row r="51" spans="1:72" hidden="1" outlineLevel="1" x14ac:dyDescent="0.25">
      <c r="A51" s="11"/>
      <c r="C51" s="2" t="s">
        <v>1</v>
      </c>
      <c r="D51" s="8">
        <f t="shared" ref="D51:AY53" si="59">D39+D45</f>
        <v>133.87723</v>
      </c>
      <c r="E51" s="8">
        <f t="shared" si="59"/>
        <v>135.27845000999997</v>
      </c>
      <c r="F51" s="8">
        <f t="shared" si="59"/>
        <v>109.73780002000004</v>
      </c>
      <c r="G51" s="8">
        <f t="shared" si="59"/>
        <v>116.31480003999999</v>
      </c>
      <c r="H51" s="8">
        <f t="shared" si="59"/>
        <v>91.187170030000004</v>
      </c>
      <c r="I51" s="8">
        <f t="shared" si="59"/>
        <v>100.17832000999996</v>
      </c>
      <c r="J51" s="8">
        <f t="shared" si="59"/>
        <v>135.54024004999999</v>
      </c>
      <c r="K51" s="8">
        <f t="shared" si="59"/>
        <v>114.27519002</v>
      </c>
      <c r="L51" s="8">
        <f t="shared" si="59"/>
        <v>114.87011005000005</v>
      </c>
      <c r="M51" s="8">
        <f t="shared" si="59"/>
        <v>104.24334000999997</v>
      </c>
      <c r="N51" s="8">
        <f t="shared" si="59"/>
        <v>104.69113000999997</v>
      </c>
      <c r="O51" s="8">
        <f t="shared" si="59"/>
        <v>98.740460000000041</v>
      </c>
      <c r="P51" s="8">
        <f t="shared" si="59"/>
        <v>92.037729959999979</v>
      </c>
      <c r="Q51" s="8">
        <f t="shared" si="59"/>
        <v>89.628629979999999</v>
      </c>
      <c r="R51" s="8">
        <f t="shared" si="59"/>
        <v>81.078470059999972</v>
      </c>
      <c r="S51" s="8">
        <f t="shared" si="59"/>
        <v>73.990260039999953</v>
      </c>
      <c r="T51" s="8">
        <f t="shared" si="59"/>
        <v>79.492630050000031</v>
      </c>
      <c r="U51" s="8">
        <f t="shared" si="59"/>
        <v>61.032359980000038</v>
      </c>
      <c r="V51" s="8">
        <f t="shared" si="59"/>
        <v>76.154260039999997</v>
      </c>
      <c r="W51" s="8">
        <f t="shared" si="59"/>
        <v>72.046070020000002</v>
      </c>
      <c r="X51" s="8">
        <f t="shared" si="59"/>
        <v>78.289190009999999</v>
      </c>
      <c r="Y51" s="8">
        <f t="shared" si="59"/>
        <v>73.391089969999996</v>
      </c>
      <c r="Z51" s="8">
        <f t="shared" si="59"/>
        <v>70.441249999999982</v>
      </c>
      <c r="AA51" s="8">
        <f t="shared" si="59"/>
        <v>82.676119989999989</v>
      </c>
      <c r="AB51" s="8">
        <f t="shared" si="59"/>
        <v>84.19033005</v>
      </c>
      <c r="AC51" s="8">
        <f t="shared" si="59"/>
        <v>85.657950019999973</v>
      </c>
      <c r="AD51" s="8">
        <f t="shared" si="59"/>
        <v>82.948879959999999</v>
      </c>
      <c r="AE51" s="8">
        <f t="shared" si="59"/>
        <v>99.475179949999983</v>
      </c>
      <c r="AF51" s="8">
        <f t="shared" si="59"/>
        <v>101.12547995999998</v>
      </c>
      <c r="AG51" s="8">
        <f t="shared" si="59"/>
        <v>102.92047997000003</v>
      </c>
      <c r="AH51" s="8">
        <f t="shared" si="59"/>
        <v>109.02691998</v>
      </c>
      <c r="AI51" s="8">
        <f t="shared" si="59"/>
        <v>123.61582001999994</v>
      </c>
      <c r="AJ51" s="8">
        <f t="shared" si="59"/>
        <v>125.41442997999999</v>
      </c>
      <c r="AK51" s="8">
        <f t="shared" si="59"/>
        <v>118.77648999000002</v>
      </c>
      <c r="AL51" s="8">
        <f t="shared" si="59"/>
        <v>117.71698999999998</v>
      </c>
      <c r="AM51" s="8">
        <f t="shared" si="59"/>
        <v>109.92677003</v>
      </c>
      <c r="AN51" s="8">
        <f t="shared" si="59"/>
        <v>120.47850998999999</v>
      </c>
      <c r="AO51" s="8">
        <f t="shared" si="59"/>
        <v>130.59283000000005</v>
      </c>
      <c r="AP51" s="8">
        <f t="shared" si="59"/>
        <v>97.956120000000027</v>
      </c>
      <c r="AQ51" s="8">
        <f t="shared" si="59"/>
        <v>112.64074999999997</v>
      </c>
      <c r="AR51" s="8">
        <f t="shared" si="59"/>
        <v>97.642080000000021</v>
      </c>
      <c r="AS51" s="8">
        <f t="shared" si="59"/>
        <v>106.60359</v>
      </c>
      <c r="AT51" s="8">
        <f t="shared" si="59"/>
        <v>0</v>
      </c>
      <c r="AU51" s="8">
        <f t="shared" si="59"/>
        <v>0</v>
      </c>
      <c r="AV51" s="8">
        <f t="shared" si="59"/>
        <v>0</v>
      </c>
      <c r="AW51" s="8">
        <f t="shared" si="59"/>
        <v>0</v>
      </c>
      <c r="AX51" s="8">
        <f t="shared" si="59"/>
        <v>0</v>
      </c>
      <c r="AY51" s="8">
        <f t="shared" si="59"/>
        <v>0</v>
      </c>
      <c r="AZ51" s="8">
        <f t="shared" ref="AZ51:BK51" si="60">AZ39+AZ45</f>
        <v>124.04845344067252</v>
      </c>
      <c r="BA51" s="8">
        <f t="shared" si="60"/>
        <v>141.80767880956267</v>
      </c>
      <c r="BB51" s="8">
        <f t="shared" si="60"/>
        <v>125.86797441678658</v>
      </c>
      <c r="BC51" s="8">
        <f t="shared" si="60"/>
        <v>133.43186324826726</v>
      </c>
      <c r="BD51" s="8">
        <f t="shared" si="60"/>
        <v>129.06228450013867</v>
      </c>
      <c r="BE51" s="8">
        <f t="shared" si="60"/>
        <v>135.54617688115692</v>
      </c>
      <c r="BF51" s="8">
        <f t="shared" si="60"/>
        <v>133.22930019593736</v>
      </c>
      <c r="BG51" s="8">
        <f t="shared" si="60"/>
        <v>134.7971211828463</v>
      </c>
      <c r="BH51" s="8">
        <f t="shared" si="60"/>
        <v>140.5803571855302</v>
      </c>
      <c r="BI51" s="8">
        <f t="shared" si="60"/>
        <v>138.98920727477466</v>
      </c>
      <c r="BJ51" s="8">
        <f t="shared" si="60"/>
        <v>143.09441657222467</v>
      </c>
      <c r="BK51" s="8">
        <f t="shared" si="60"/>
        <v>141.08310379824576</v>
      </c>
      <c r="BO51" s="24">
        <f t="shared" ref="BO51:BT52" si="61">BO39+BO45</f>
        <v>559.31028999000023</v>
      </c>
      <c r="BP51" s="24">
        <f t="shared" si="61"/>
        <v>654.21825441542774</v>
      </c>
      <c r="BQ51" s="24">
        <f t="shared" si="61"/>
        <v>461.66820999000015</v>
      </c>
      <c r="BR51" s="24">
        <f t="shared" si="61"/>
        <v>453.39781993999998</v>
      </c>
      <c r="BS51" s="24">
        <f t="shared" si="61"/>
        <v>416.22772008999982</v>
      </c>
      <c r="BT51" s="24">
        <f t="shared" si="61"/>
        <v>586.39545010000029</v>
      </c>
    </row>
    <row r="52" spans="1:72" hidden="1" outlineLevel="1" x14ac:dyDescent="0.25">
      <c r="A52" s="11"/>
      <c r="C52" s="2" t="s">
        <v>45</v>
      </c>
      <c r="D52" s="8">
        <f t="shared" si="59"/>
        <v>37.65244002</v>
      </c>
      <c r="E52" s="8">
        <f t="shared" si="59"/>
        <v>129.89009003999993</v>
      </c>
      <c r="F52" s="8">
        <f t="shared" si="59"/>
        <v>-24.070369950000043</v>
      </c>
      <c r="G52" s="8">
        <f t="shared" si="59"/>
        <v>32.609919980000029</v>
      </c>
      <c r="H52" s="8">
        <f t="shared" si="59"/>
        <v>21.332440069999961</v>
      </c>
      <c r="I52" s="8">
        <f t="shared" si="59"/>
        <v>38.687430040000038</v>
      </c>
      <c r="J52" s="8">
        <f t="shared" si="59"/>
        <v>-60.794460009999938</v>
      </c>
      <c r="K52" s="8">
        <f t="shared" si="59"/>
        <v>-158.35358001</v>
      </c>
      <c r="L52" s="8">
        <f t="shared" si="59"/>
        <v>-134.76857999000001</v>
      </c>
      <c r="M52" s="8">
        <f t="shared" si="59"/>
        <v>-133.34594996999999</v>
      </c>
      <c r="N52" s="8">
        <f t="shared" si="59"/>
        <v>-202.30818002000001</v>
      </c>
      <c r="O52" s="8">
        <f t="shared" si="59"/>
        <v>-206.10422001000001</v>
      </c>
      <c r="P52" s="8">
        <f t="shared" si="59"/>
        <v>-205.20867999000001</v>
      </c>
      <c r="Q52" s="8">
        <f t="shared" si="59"/>
        <v>-157.35379000999998</v>
      </c>
      <c r="R52" s="8">
        <f t="shared" si="59"/>
        <v>-229.27517998999997</v>
      </c>
      <c r="S52" s="8">
        <f t="shared" si="59"/>
        <v>-231.86603997999995</v>
      </c>
      <c r="T52" s="8">
        <f t="shared" si="59"/>
        <v>-191.90869991999995</v>
      </c>
      <c r="U52" s="8">
        <f t="shared" si="59"/>
        <v>-110.87223002999997</v>
      </c>
      <c r="V52" s="8">
        <f t="shared" si="59"/>
        <v>-200.67566998999996</v>
      </c>
      <c r="W52" s="8">
        <f t="shared" si="59"/>
        <v>-281.56126000000012</v>
      </c>
      <c r="X52" s="8">
        <f t="shared" si="59"/>
        <v>-333.82347000999999</v>
      </c>
      <c r="Y52" s="8">
        <f t="shared" si="59"/>
        <v>-364.99931999</v>
      </c>
      <c r="Z52" s="8">
        <f t="shared" si="59"/>
        <v>-319.10226998999997</v>
      </c>
      <c r="AA52" s="8">
        <f t="shared" si="59"/>
        <v>-338.81291999000007</v>
      </c>
      <c r="AB52" s="8">
        <f t="shared" si="59"/>
        <v>-386.40959998999995</v>
      </c>
      <c r="AC52" s="8">
        <f t="shared" si="59"/>
        <v>-263.34374998000004</v>
      </c>
      <c r="AD52" s="8">
        <f t="shared" si="59"/>
        <v>-324.30723996999996</v>
      </c>
      <c r="AE52" s="8">
        <f t="shared" si="59"/>
        <v>-359.43554999000003</v>
      </c>
      <c r="AF52" s="8">
        <f t="shared" si="59"/>
        <v>-308.94907002000002</v>
      </c>
      <c r="AG52" s="8">
        <f t="shared" si="59"/>
        <v>-315.09514000000013</v>
      </c>
      <c r="AH52" s="8">
        <f t="shared" si="59"/>
        <v>-361.33203000999998</v>
      </c>
      <c r="AI52" s="8">
        <f t="shared" si="59"/>
        <v>-340.38920000999997</v>
      </c>
      <c r="AJ52" s="8">
        <f t="shared" si="59"/>
        <v>-258.30664000000002</v>
      </c>
      <c r="AK52" s="8">
        <f t="shared" si="59"/>
        <v>-820.82890996000003</v>
      </c>
      <c r="AL52" s="8">
        <f t="shared" si="59"/>
        <v>-411.64954995999983</v>
      </c>
      <c r="AM52" s="8">
        <f t="shared" si="59"/>
        <v>-411.79068002000008</v>
      </c>
      <c r="AN52" s="8">
        <f t="shared" si="59"/>
        <v>-366.89440999000004</v>
      </c>
      <c r="AO52" s="8">
        <f t="shared" si="59"/>
        <v>-284.12378000000012</v>
      </c>
      <c r="AP52" s="8">
        <f t="shared" si="59"/>
        <v>-254.80664999999993</v>
      </c>
      <c r="AQ52" s="8">
        <f t="shared" si="59"/>
        <v>-319.73433001000012</v>
      </c>
      <c r="AR52" s="8">
        <f t="shared" si="59"/>
        <v>-329.50831002000018</v>
      </c>
      <c r="AS52" s="8">
        <f t="shared" si="59"/>
        <v>-225.72391999000001</v>
      </c>
      <c r="AT52" s="8">
        <f t="shared" si="59"/>
        <v>0</v>
      </c>
      <c r="AU52" s="8">
        <f t="shared" si="59"/>
        <v>0</v>
      </c>
      <c r="AV52" s="8">
        <f t="shared" si="59"/>
        <v>0</v>
      </c>
      <c r="AW52" s="8">
        <f t="shared" si="59"/>
        <v>0</v>
      </c>
      <c r="AX52" s="8">
        <f t="shared" si="59"/>
        <v>0</v>
      </c>
      <c r="AY52" s="8">
        <f t="shared" si="59"/>
        <v>0</v>
      </c>
      <c r="AZ52" s="8">
        <f t="shared" ref="AZ52:BK52" si="62">AZ40+AZ46</f>
        <v>-261.37405437755132</v>
      </c>
      <c r="BA52" s="8">
        <f t="shared" si="62"/>
        <v>-199.73231348246787</v>
      </c>
      <c r="BB52" s="8">
        <f t="shared" si="62"/>
        <v>-254.85272860045563</v>
      </c>
      <c r="BC52" s="8">
        <f t="shared" si="62"/>
        <v>-231.43689298272926</v>
      </c>
      <c r="BD52" s="8">
        <f t="shared" si="62"/>
        <v>-247.31245843207398</v>
      </c>
      <c r="BE52" s="8">
        <f t="shared" si="62"/>
        <v>-225.70445121310564</v>
      </c>
      <c r="BF52" s="8">
        <f t="shared" si="62"/>
        <v>-239.80647160397621</v>
      </c>
      <c r="BG52" s="8">
        <f t="shared" si="62"/>
        <v>-236.98167589049223</v>
      </c>
      <c r="BH52" s="8">
        <f t="shared" si="62"/>
        <v>-217.09339860775219</v>
      </c>
      <c r="BI52" s="8">
        <f t="shared" si="62"/>
        <v>-230.69706732112189</v>
      </c>
      <c r="BJ52" s="8">
        <f t="shared" si="62"/>
        <v>-212.67996557130897</v>
      </c>
      <c r="BK52" s="8">
        <f t="shared" si="62"/>
        <v>-226.6008572023328</v>
      </c>
      <c r="BO52" s="24">
        <f t="shared" si="61"/>
        <v>-1555.0674800199999</v>
      </c>
      <c r="BP52" s="24">
        <f t="shared" si="61"/>
        <v>-1194.7084478752781</v>
      </c>
      <c r="BQ52" s="24">
        <f t="shared" si="61"/>
        <v>-1225.5591699999998</v>
      </c>
      <c r="BR52" s="24">
        <f t="shared" si="61"/>
        <v>-1642.4452099500004</v>
      </c>
      <c r="BS52" s="24">
        <f t="shared" si="61"/>
        <v>-1015.6123898899998</v>
      </c>
      <c r="BT52" s="24">
        <f t="shared" si="61"/>
        <v>197.41452015999994</v>
      </c>
    </row>
    <row r="53" spans="1:72" collapsed="1" x14ac:dyDescent="0.25">
      <c r="C53" s="3" t="s">
        <v>66</v>
      </c>
      <c r="D53" s="10">
        <f t="shared" si="59"/>
        <v>21210.033117920004</v>
      </c>
      <c r="E53" s="10">
        <f t="shared" si="59"/>
        <v>22392.581136209992</v>
      </c>
      <c r="F53" s="10">
        <f t="shared" si="59"/>
        <v>19159.027880379992</v>
      </c>
      <c r="G53" s="10">
        <f t="shared" si="59"/>
        <v>19230.143703489997</v>
      </c>
      <c r="H53" s="10">
        <f t="shared" si="59"/>
        <v>18253.603782530008</v>
      </c>
      <c r="I53" s="10">
        <f t="shared" si="59"/>
        <v>19573.779794179994</v>
      </c>
      <c r="J53" s="10">
        <f t="shared" si="59"/>
        <v>18223.014646000003</v>
      </c>
      <c r="K53" s="10">
        <f t="shared" si="59"/>
        <v>18271.839858710006</v>
      </c>
      <c r="L53" s="10">
        <f t="shared" si="59"/>
        <v>19089.453144719999</v>
      </c>
      <c r="M53" s="10">
        <f t="shared" si="59"/>
        <v>17635.444424090012</v>
      </c>
      <c r="N53" s="10">
        <f t="shared" si="59"/>
        <v>18529.709858849998</v>
      </c>
      <c r="O53" s="10">
        <f t="shared" si="59"/>
        <v>17579.051004519992</v>
      </c>
      <c r="P53" s="10">
        <f t="shared" si="59"/>
        <v>17449.515288480019</v>
      </c>
      <c r="Q53" s="10">
        <f t="shared" si="59"/>
        <v>21041.986489040006</v>
      </c>
      <c r="R53" s="10">
        <f t="shared" si="59"/>
        <v>17660.90117876001</v>
      </c>
      <c r="S53" s="10">
        <f t="shared" si="59"/>
        <v>18189.092483629996</v>
      </c>
      <c r="T53" s="10">
        <f t="shared" si="59"/>
        <v>18568.37919234002</v>
      </c>
      <c r="U53" s="10">
        <f t="shared" si="59"/>
        <v>20354.02573886</v>
      </c>
      <c r="V53" s="10">
        <f t="shared" si="59"/>
        <v>19858.537628879989</v>
      </c>
      <c r="W53" s="10">
        <f t="shared" si="59"/>
        <v>20215.146518969996</v>
      </c>
      <c r="X53" s="10">
        <f t="shared" si="59"/>
        <v>21849.908377310006</v>
      </c>
      <c r="Y53" s="10">
        <f t="shared" si="59"/>
        <v>21661.859790609997</v>
      </c>
      <c r="Z53" s="10">
        <f t="shared" si="59"/>
        <v>21949.12813564001</v>
      </c>
      <c r="AA53" s="10">
        <f t="shared" si="59"/>
        <v>20307.268058240021</v>
      </c>
      <c r="AB53" s="10">
        <f t="shared" si="59"/>
        <v>20348.400008490004</v>
      </c>
      <c r="AC53" s="10">
        <f t="shared" si="59"/>
        <v>23407.165623100002</v>
      </c>
      <c r="AD53" s="10">
        <f t="shared" si="59"/>
        <v>21023.753415949996</v>
      </c>
      <c r="AE53" s="10">
        <f t="shared" si="59"/>
        <v>22032.720673320007</v>
      </c>
      <c r="AF53" s="10">
        <f t="shared" si="59"/>
        <v>21918.371828030002</v>
      </c>
      <c r="AG53" s="10">
        <f t="shared" si="59"/>
        <v>22668.589770840004</v>
      </c>
      <c r="AH53" s="10">
        <f t="shared" si="59"/>
        <v>22095.633826429988</v>
      </c>
      <c r="AI53" s="10">
        <f t="shared" si="59"/>
        <v>22039.983224719996</v>
      </c>
      <c r="AJ53" s="10">
        <f t="shared" si="59"/>
        <v>23811.163233429994</v>
      </c>
      <c r="AK53" s="10">
        <f t="shared" si="59"/>
        <v>23298.743865890014</v>
      </c>
      <c r="AL53" s="10">
        <f t="shared" si="59"/>
        <v>23828.313581950006</v>
      </c>
      <c r="AM53" s="10">
        <f t="shared" si="59"/>
        <v>22897.00804781001</v>
      </c>
      <c r="AN53" s="10">
        <f t="shared" si="59"/>
        <v>22498.053497569999</v>
      </c>
      <c r="AO53" s="10">
        <f t="shared" si="59"/>
        <v>24939.239840890004</v>
      </c>
      <c r="AP53" s="10">
        <f t="shared" si="59"/>
        <v>22740.471546510002</v>
      </c>
      <c r="AQ53" s="10">
        <f t="shared" si="59"/>
        <v>23599.300008710001</v>
      </c>
      <c r="AR53" s="10">
        <f t="shared" si="59"/>
        <v>22838.096780615109</v>
      </c>
      <c r="AS53" s="10">
        <f t="shared" si="59"/>
        <v>23571.107309160001</v>
      </c>
      <c r="AT53" s="10">
        <f t="shared" si="59"/>
        <v>0</v>
      </c>
      <c r="AU53" s="10">
        <f t="shared" si="59"/>
        <v>0</v>
      </c>
      <c r="AV53" s="10">
        <f t="shared" si="59"/>
        <v>0</v>
      </c>
      <c r="AW53" s="10">
        <f t="shared" si="59"/>
        <v>0</v>
      </c>
      <c r="AX53" s="10">
        <f t="shared" si="59"/>
        <v>0</v>
      </c>
      <c r="AY53" s="10">
        <f t="shared" si="59"/>
        <v>0</v>
      </c>
      <c r="AZ53" s="10">
        <f t="shared" ref="AZ53:BK53" si="63">AZ41+AZ47</f>
        <v>23645.291240016602</v>
      </c>
      <c r="BA53" s="10">
        <f t="shared" si="63"/>
        <v>27104.410870446369</v>
      </c>
      <c r="BB53" s="10">
        <f t="shared" si="63"/>
        <v>23989.974766723557</v>
      </c>
      <c r="BC53" s="10">
        <f t="shared" si="63"/>
        <v>25458.763342792201</v>
      </c>
      <c r="BD53" s="10">
        <f t="shared" si="63"/>
        <v>24611.98920367871</v>
      </c>
      <c r="BE53" s="10">
        <f t="shared" si="63"/>
        <v>25869.824777122736</v>
      </c>
      <c r="BF53" s="10">
        <f t="shared" si="63"/>
        <v>25405.821529608511</v>
      </c>
      <c r="BG53" s="10">
        <f t="shared" si="63"/>
        <v>25708.079864740175</v>
      </c>
      <c r="BH53" s="10">
        <f t="shared" si="63"/>
        <v>26862.748304358545</v>
      </c>
      <c r="BI53" s="10">
        <f t="shared" si="63"/>
        <v>26526.356006676499</v>
      </c>
      <c r="BJ53" s="10">
        <f t="shared" si="63"/>
        <v>27334.013140159925</v>
      </c>
      <c r="BK53" s="10">
        <f t="shared" si="63"/>
        <v>26927.934929517691</v>
      </c>
      <c r="BO53" s="23">
        <f t="shared" ref="BO53:BT53" si="64">SUM(BO50:BO52)</f>
        <v>116615.16167429509</v>
      </c>
      <c r="BP53" s="23">
        <f t="shared" si="64"/>
        <v>124810.42942365742</v>
      </c>
      <c r="BQ53" s="23">
        <f t="shared" si="64"/>
        <v>93777.064893679999</v>
      </c>
      <c r="BR53" s="23">
        <f t="shared" si="64"/>
        <v>108730.41154889</v>
      </c>
      <c r="BS53" s="23">
        <f t="shared" si="64"/>
        <v>92909.874632250023</v>
      </c>
      <c r="BT53" s="23">
        <f t="shared" si="64"/>
        <v>100245.38962053001</v>
      </c>
    </row>
    <row r="54" spans="1:72" x14ac:dyDescent="0.25"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O54" s="18"/>
      <c r="BP54" s="18"/>
      <c r="BQ54" s="18"/>
      <c r="BR54" s="18"/>
      <c r="BS54" s="18"/>
      <c r="BT54" s="18"/>
    </row>
    <row r="55" spans="1:72" x14ac:dyDescent="0.25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O55" s="18"/>
      <c r="BP55" s="18"/>
      <c r="BQ55" s="18"/>
      <c r="BR55" s="18"/>
      <c r="BS55" s="18"/>
      <c r="BT55" s="18"/>
    </row>
    <row r="56" spans="1:72" hidden="1" outlineLevel="1" x14ac:dyDescent="0.25">
      <c r="A56" s="11" t="s">
        <v>64</v>
      </c>
      <c r="C56" s="2" t="s">
        <v>67</v>
      </c>
      <c r="D56" s="8">
        <f>Renta_Alta!D56+Masivo!D56+Consumo_Inicial!D56</f>
        <v>-11269.00834949927</v>
      </c>
      <c r="E56" s="8">
        <f>Renta_Alta!E56+Masivo!E56+Consumo_Inicial!E56</f>
        <v>-3540.0484209041974</v>
      </c>
      <c r="F56" s="8">
        <f>Renta_Alta!F56+Masivo!F56+Consumo_Inicial!F56</f>
        <v>-8011.0594259009367</v>
      </c>
      <c r="G56" s="8">
        <f>Renta_Alta!G56+Masivo!G56+Consumo_Inicial!G56</f>
        <v>-7677.8116555177257</v>
      </c>
      <c r="H56" s="8">
        <f>Renta_Alta!H56+Masivo!H56+Consumo_Inicial!H56</f>
        <v>-8448.1942709969153</v>
      </c>
      <c r="I56" s="8">
        <f>Renta_Alta!I56+Masivo!I56+Consumo_Inicial!I56</f>
        <v>-7993.2419448989876</v>
      </c>
      <c r="J56" s="8">
        <f>Renta_Alta!J56+Masivo!J56+Consumo_Inicial!J56</f>
        <v>-7775.7260068237965</v>
      </c>
      <c r="K56" s="8">
        <f>Renta_Alta!K56+Masivo!K56+Consumo_Inicial!K56</f>
        <v>-12181.989134454929</v>
      </c>
      <c r="L56" s="8">
        <f>Renta_Alta!L56+Masivo!L56+Consumo_Inicial!L56</f>
        <v>-7595.0388442496514</v>
      </c>
      <c r="M56" s="8">
        <f>Renta_Alta!M56+Masivo!M56+Consumo_Inicial!M56</f>
        <v>-15274.745948873448</v>
      </c>
      <c r="N56" s="8">
        <f>Renta_Alta!N56+Masivo!N56+Consumo_Inicial!N56</f>
        <v>-9692.4190033273244</v>
      </c>
      <c r="O56" s="8">
        <f>Renta_Alta!O56+Masivo!O56+Consumo_Inicial!O56</f>
        <v>-9809.5412713556307</v>
      </c>
      <c r="P56" s="8">
        <f>Renta_Alta!P56+Masivo!P56+Consumo_Inicial!P56</f>
        <v>-14526.371567798613</v>
      </c>
      <c r="Q56" s="8">
        <f>Renta_Alta!Q56+Masivo!Q56+Consumo_Inicial!Q56</f>
        <v>-9179.0903623131617</v>
      </c>
      <c r="R56" s="8">
        <f>Renta_Alta!R56+Masivo!R56+Consumo_Inicial!R56</f>
        <v>-10909.97373703429</v>
      </c>
      <c r="S56" s="8">
        <f>Renta_Alta!S56+Masivo!S56+Consumo_Inicial!S56</f>
        <v>-12233.667873575012</v>
      </c>
      <c r="T56" s="8">
        <f>Renta_Alta!T56+Masivo!T56+Consumo_Inicial!T56</f>
        <v>-9856.1384315685918</v>
      </c>
      <c r="U56" s="8">
        <f>Renta_Alta!U56+Masivo!U56+Consumo_Inicial!U56</f>
        <v>-11246.033706347249</v>
      </c>
      <c r="V56" s="8">
        <f>Renta_Alta!V56+Masivo!V56+Consumo_Inicial!V56</f>
        <v>-12026.911436225912</v>
      </c>
      <c r="W56" s="8">
        <f>Renta_Alta!W56+Masivo!W56+Consumo_Inicial!W56</f>
        <v>-11453.337725989579</v>
      </c>
      <c r="X56" s="8">
        <f>Renta_Alta!X56+Masivo!X56+Consumo_Inicial!X56</f>
        <v>-10826.789045927719</v>
      </c>
      <c r="Y56" s="8">
        <f>Renta_Alta!Y56+Masivo!Y56+Consumo_Inicial!Y56</f>
        <v>-14736.440136954001</v>
      </c>
      <c r="Z56" s="8">
        <f>Renta_Alta!Z56+Masivo!Z56+Consumo_Inicial!Z56</f>
        <v>-9703.0354059488272</v>
      </c>
      <c r="AA56" s="8">
        <f>Renta_Alta!AA56+Masivo!AA56+Consumo_Inicial!AA56</f>
        <v>-9724.5559647142272</v>
      </c>
      <c r="AB56" s="8">
        <f>Renta_Alta!AB56+Masivo!AB56+Consumo_Inicial!AB56</f>
        <v>-14610.572190993747</v>
      </c>
      <c r="AC56" s="8">
        <f>Renta_Alta!AC56+Masivo!AC56+Consumo_Inicial!AC56</f>
        <v>-7963.2528331384101</v>
      </c>
      <c r="AD56" s="8">
        <f>Renta_Alta!AD56+Masivo!AD56+Consumo_Inicial!AD56</f>
        <v>-9518.2858305671271</v>
      </c>
      <c r="AE56" s="8">
        <f>Renta_Alta!AE56+Masivo!AE56+Consumo_Inicial!AE56</f>
        <v>-11994.408754581544</v>
      </c>
      <c r="AF56" s="8">
        <f>Renta_Alta!AF56+Masivo!AF56+Consumo_Inicial!AF56</f>
        <v>-11611.597095198445</v>
      </c>
      <c r="AG56" s="8">
        <f>Renta_Alta!AG56+Masivo!AG56+Consumo_Inicial!AG56</f>
        <v>-13213.729598864747</v>
      </c>
      <c r="AH56" s="8">
        <f>Renta_Alta!AH56+Masivo!AH56+Consumo_Inicial!AH56</f>
        <v>-12599.756436168462</v>
      </c>
      <c r="AI56" s="8">
        <f>Renta_Alta!AI56+Masivo!AI56+Consumo_Inicial!AI56</f>
        <v>-14152.485333917835</v>
      </c>
      <c r="AJ56" s="8">
        <f>Renta_Alta!AJ56+Masivo!AJ56+Consumo_Inicial!AJ56</f>
        <v>-13822.84438888264</v>
      </c>
      <c r="AK56" s="8">
        <f>Renta_Alta!AK56+Masivo!AK56+Consumo_Inicial!AK56</f>
        <v>-17983.673164048985</v>
      </c>
      <c r="AL56" s="8">
        <f>Renta_Alta!AL56+Masivo!AL56+Consumo_Inicial!AL56</f>
        <v>-11873.314146038534</v>
      </c>
      <c r="AM56" s="8">
        <f>Renta_Alta!AM56+Masivo!AM56+Consumo_Inicial!AM56</f>
        <v>-13367.269361887202</v>
      </c>
      <c r="AN56" s="8">
        <f>Renta_Alta!AN56+Masivo!AN56+Consumo_Inicial!AN56</f>
        <v>-11740.586442441754</v>
      </c>
      <c r="AO56" s="8">
        <f>Renta_Alta!AO56+Masivo!AO56+Consumo_Inicial!AO56</f>
        <v>-11958.874190515162</v>
      </c>
      <c r="AP56" s="8">
        <f>Renta_Alta!AP56+Masivo!AP56+Consumo_Inicial!AP56</f>
        <v>-11593.220036033272</v>
      </c>
      <c r="AQ56" s="8">
        <f>Renta_Alta!AQ56+Masivo!AQ56+Consumo_Inicial!AQ56</f>
        <v>-13060.035843702297</v>
      </c>
      <c r="AR56" s="8">
        <f>Renta_Alta!AR56+Masivo!AR56+Consumo_Inicial!AR56</f>
        <v>-12270.8948099998</v>
      </c>
      <c r="AS56" s="8">
        <f>Renta_Alta!AS56+Masivo!AS56+Consumo_Inicial!AS56</f>
        <v>-13469.9854499997</v>
      </c>
      <c r="AT56" s="8">
        <f>Renta_Alta!AT56+Masivo!AT56+Consumo_Inicial!AT56</f>
        <v>0</v>
      </c>
      <c r="AU56" s="8">
        <f>Renta_Alta!AU56+Masivo!AU56+Consumo_Inicial!AU56</f>
        <v>0</v>
      </c>
      <c r="AV56" s="8">
        <f>Renta_Alta!AV56+Masivo!AV56+Consumo_Inicial!AV56</f>
        <v>0</v>
      </c>
      <c r="AW56" s="8">
        <f>Renta_Alta!AW56+Masivo!AW56+Consumo_Inicial!AW56</f>
        <v>0</v>
      </c>
      <c r="AX56" s="8">
        <f>Renta_Alta!AX56+Masivo!AX56+Consumo_Inicial!AX56</f>
        <v>0</v>
      </c>
      <c r="AY56" s="8">
        <f>Renta_Alta!AY56+Masivo!AY56+Consumo_Inicial!AY56</f>
        <v>0</v>
      </c>
      <c r="AZ56" s="8">
        <f>Renta_Alta!AZ56+Masivo!AZ56+Consumo_Inicial!AZ56</f>
        <v>-13220.144247296437</v>
      </c>
      <c r="BA56" s="8">
        <f>Renta_Alta!BA56+Masivo!BA56+Consumo_Inicial!BA56</f>
        <v>-12793.761228243075</v>
      </c>
      <c r="BB56" s="8">
        <f>Renta_Alta!BB56+Masivo!BB56+Consumo_Inicial!BB56</f>
        <v>-13326.262263740797</v>
      </c>
      <c r="BC56" s="8">
        <f>Renta_Alta!BC56+Masivo!BC56+Consumo_Inicial!BC56</f>
        <v>-12288.36399858613</v>
      </c>
      <c r="BD56" s="8">
        <f>Renta_Alta!BD56+Masivo!BD56+Consumo_Inicial!BD56</f>
        <v>-11961.36947779949</v>
      </c>
      <c r="BE56" s="8">
        <f>Renta_Alta!BE56+Masivo!BE56+Consumo_Inicial!BE56</f>
        <v>-12304.890297727674</v>
      </c>
      <c r="BF56" s="8">
        <f>Renta_Alta!BF56+Masivo!BF56+Consumo_Inicial!BF56</f>
        <v>-12221.9928599302</v>
      </c>
      <c r="BG56" s="8">
        <f>Renta_Alta!BG56+Masivo!BG56+Consumo_Inicial!BG56</f>
        <v>-15307.655524935013</v>
      </c>
      <c r="BH56" s="8">
        <f>Renta_Alta!BH56+Masivo!BH56+Consumo_Inicial!BH56</f>
        <v>-10875.117018417115</v>
      </c>
      <c r="BI56" s="8">
        <f>Renta_Alta!BI56+Masivo!BI56+Consumo_Inicial!BI56</f>
        <v>-11719.551159379245</v>
      </c>
      <c r="BJ56" s="8">
        <f>Renta_Alta!BJ56+Masivo!BJ56+Consumo_Inicial!BJ56</f>
        <v>-11896.012744827893</v>
      </c>
      <c r="BK56" s="8">
        <f>Renta_Alta!BK56+Masivo!BK56+Consumo_Inicial!BK56</f>
        <v>-11288.017567587882</v>
      </c>
      <c r="BO56" s="24">
        <f t="shared" ref="BO56:BT57" si="65">SUMIFS($D56:$BM56,$D$6:$BM$6,"&gt;="&amp;BO$2,$D$6:$BM$6,"&lt;="&amp;BO$6,$D$5:$BM$5,BO$5)</f>
        <v>-60623.611322692283</v>
      </c>
      <c r="BP56" s="24">
        <f t="shared" si="65"/>
        <v>-63589.90121566593</v>
      </c>
      <c r="BQ56" s="24">
        <f t="shared" si="65"/>
        <v>-48352.716512692481</v>
      </c>
      <c r="BR56" s="24">
        <f t="shared" si="65"/>
        <v>-55698.116704479267</v>
      </c>
      <c r="BS56" s="24">
        <f t="shared" si="65"/>
        <v>-56705.241972289667</v>
      </c>
      <c r="BT56" s="24">
        <f t="shared" si="65"/>
        <v>-38946.122122819041</v>
      </c>
    </row>
    <row r="57" spans="1:72" hidden="1" outlineLevel="1" x14ac:dyDescent="0.25">
      <c r="A57" s="11" t="s">
        <v>65</v>
      </c>
      <c r="C57" s="2" t="s">
        <v>69</v>
      </c>
      <c r="D57" s="8">
        <f>Renta_Alta!D57+Masivo!D57+Consumo_Inicial!D57</f>
        <v>2288.3840500000015</v>
      </c>
      <c r="E57" s="8">
        <f>Renta_Alta!E57+Masivo!E57+Consumo_Inicial!E57</f>
        <v>2448.8151500000035</v>
      </c>
      <c r="F57" s="8">
        <f>Renta_Alta!F57+Masivo!F57+Consumo_Inicial!F57</f>
        <v>2390.3711100000023</v>
      </c>
      <c r="G57" s="8">
        <f>Renta_Alta!G57+Masivo!G57+Consumo_Inicial!G57</f>
        <v>2915.2478200000005</v>
      </c>
      <c r="H57" s="8">
        <f>Renta_Alta!H57+Masivo!H57+Consumo_Inicial!H57</f>
        <v>3445.8707300000069</v>
      </c>
      <c r="I57" s="8">
        <f>Renta_Alta!I57+Masivo!I57+Consumo_Inicial!I57</f>
        <v>3111.4928200000018</v>
      </c>
      <c r="J57" s="8">
        <f>Renta_Alta!J57+Masivo!J57+Consumo_Inicial!J57</f>
        <v>2778.7596100000046</v>
      </c>
      <c r="K57" s="8">
        <f>Renta_Alta!K57+Masivo!K57+Consumo_Inicial!K57</f>
        <v>4065.234190000001</v>
      </c>
      <c r="L57" s="8">
        <f>Renta_Alta!L57+Masivo!L57+Consumo_Inicial!L57</f>
        <v>2997.5338500000021</v>
      </c>
      <c r="M57" s="8">
        <f>Renta_Alta!M57+Masivo!M57+Consumo_Inicial!M57</f>
        <v>3829.8657600000024</v>
      </c>
      <c r="N57" s="8">
        <f>Renta_Alta!N57+Masivo!N57+Consumo_Inicial!N57</f>
        <v>2977.4853900000035</v>
      </c>
      <c r="O57" s="8">
        <f>Renta_Alta!O57+Masivo!O57+Consumo_Inicial!O57</f>
        <v>2888.3651500000014</v>
      </c>
      <c r="P57" s="8">
        <f>Renta_Alta!P57+Masivo!P57+Consumo_Inicial!P57</f>
        <v>3185.8451700000001</v>
      </c>
      <c r="Q57" s="8">
        <f>Renta_Alta!Q57+Masivo!Q57+Consumo_Inicial!Q57</f>
        <v>3068.2321900000002</v>
      </c>
      <c r="R57" s="8">
        <f>Renta_Alta!R57+Masivo!R57+Consumo_Inicial!R57</f>
        <v>2414.40283</v>
      </c>
      <c r="S57" s="8">
        <f>Renta_Alta!S57+Masivo!S57+Consumo_Inicial!S57</f>
        <v>2212.7977700000001</v>
      </c>
      <c r="T57" s="8">
        <f>Renta_Alta!T57+Masivo!T57+Consumo_Inicial!T57</f>
        <v>2500.0294899999994</v>
      </c>
      <c r="U57" s="8">
        <f>Renta_Alta!U57+Masivo!U57+Consumo_Inicial!U57</f>
        <v>2172.7789499999999</v>
      </c>
      <c r="V57" s="8">
        <f>Renta_Alta!V57+Masivo!V57+Consumo_Inicial!V57</f>
        <v>2728.3759900000041</v>
      </c>
      <c r="W57" s="8">
        <f>Renta_Alta!W57+Masivo!W57+Consumo_Inicial!W57</f>
        <v>2686.0415800000005</v>
      </c>
      <c r="X57" s="8">
        <f>Renta_Alta!X57+Masivo!X57+Consumo_Inicial!X57</f>
        <v>2097.5857799999999</v>
      </c>
      <c r="Y57" s="8">
        <f>Renta_Alta!Y57+Masivo!Y57+Consumo_Inicial!Y57</f>
        <v>2122.5270217611692</v>
      </c>
      <c r="Z57" s="8">
        <f>Renta_Alta!Z57+Masivo!Z57+Consumo_Inicial!Z57</f>
        <v>2734.3625500000003</v>
      </c>
      <c r="AA57" s="8">
        <f>Renta_Alta!AA57+Masivo!AA57+Consumo_Inicial!AA57</f>
        <v>2163.3456200000001</v>
      </c>
      <c r="AB57" s="8">
        <f>Renta_Alta!AB57+Masivo!AB57+Consumo_Inicial!AB57</f>
        <v>2735.8434600000001</v>
      </c>
      <c r="AC57" s="8">
        <f>Renta_Alta!AC57+Masivo!AC57+Consumo_Inicial!AC57</f>
        <v>2213.5000399999999</v>
      </c>
      <c r="AD57" s="8">
        <f>Renta_Alta!AD57+Masivo!AD57+Consumo_Inicial!AD57</f>
        <v>3204.8303699999997</v>
      </c>
      <c r="AE57" s="8">
        <f>Renta_Alta!AE57+Masivo!AE57+Consumo_Inicial!AE57</f>
        <v>2130.6102000000001</v>
      </c>
      <c r="AF57" s="8">
        <f>Renta_Alta!AF57+Masivo!AF57+Consumo_Inicial!AF57</f>
        <v>2498.6106699999996</v>
      </c>
      <c r="AG57" s="8">
        <f>Renta_Alta!AG57+Masivo!AG57+Consumo_Inicial!AG57</f>
        <v>2277.1298599999996</v>
      </c>
      <c r="AH57" s="8">
        <f>Renta_Alta!AH57+Masivo!AH57+Consumo_Inicial!AH57</f>
        <v>2153.8684800000001</v>
      </c>
      <c r="AI57" s="8">
        <f>Renta_Alta!AI57+Masivo!AI57+Consumo_Inicial!AI57</f>
        <v>2372.8105299999997</v>
      </c>
      <c r="AJ57" s="8">
        <f>Renta_Alta!AJ57+Masivo!AJ57+Consumo_Inicial!AJ57</f>
        <v>3216.8244500000001</v>
      </c>
      <c r="AK57" s="8">
        <f>Renta_Alta!AK57+Masivo!AK57+Consumo_Inicial!AK57</f>
        <v>2626.1945700000001</v>
      </c>
      <c r="AL57" s="8">
        <f>Renta_Alta!AL57+Masivo!AL57+Consumo_Inicial!AL57</f>
        <v>2130.0567999999903</v>
      </c>
      <c r="AM57" s="8">
        <f>Renta_Alta!AM57+Masivo!AM57+Consumo_Inicial!AM57</f>
        <v>1918.6543799999872</v>
      </c>
      <c r="AN57" s="8">
        <f>Renta_Alta!AN57+Masivo!AN57+Consumo_Inicial!AN57</f>
        <v>2452.94083</v>
      </c>
      <c r="AO57" s="8">
        <f>Renta_Alta!AO57+Masivo!AO57+Consumo_Inicial!AO57</f>
        <v>2451.4579600000002</v>
      </c>
      <c r="AP57" s="8">
        <f>Renta_Alta!AP57+Masivo!AP57+Consumo_Inicial!AP57</f>
        <v>2189.85167</v>
      </c>
      <c r="AQ57" s="8">
        <f>Renta_Alta!AQ57+Masivo!AQ57+Consumo_Inicial!AQ57</f>
        <v>2202.9048600000001</v>
      </c>
      <c r="AR57" s="8">
        <f>Renta_Alta!AR57+Masivo!AR57+Consumo_Inicial!AR57</f>
        <v>2058.72939</v>
      </c>
      <c r="AS57" s="8">
        <f>Renta_Alta!AS57+Masivo!AS57+Consumo_Inicial!AS57</f>
        <v>2179.8391699999902</v>
      </c>
      <c r="AT57" s="8">
        <f>Renta_Alta!AT57+Masivo!AT57+Consumo_Inicial!AT57</f>
        <v>0</v>
      </c>
      <c r="AU57" s="8">
        <f>Renta_Alta!AU57+Masivo!AU57+Consumo_Inicial!AU57</f>
        <v>0</v>
      </c>
      <c r="AV57" s="8">
        <f>Renta_Alta!AV57+Masivo!AV57+Consumo_Inicial!AV57</f>
        <v>0</v>
      </c>
      <c r="AW57" s="8">
        <f>Renta_Alta!AW57+Masivo!AW57+Consumo_Inicial!AW57</f>
        <v>0</v>
      </c>
      <c r="AX57" s="8">
        <f>Renta_Alta!AX57+Masivo!AX57+Consumo_Inicial!AX57</f>
        <v>0</v>
      </c>
      <c r="AY57" s="8">
        <f>Renta_Alta!AY57+Masivo!AY57+Consumo_Inicial!AY57</f>
        <v>0</v>
      </c>
      <c r="AZ57" s="8">
        <f>Renta_Alta!AZ57+Masivo!AZ57+Consumo_Inicial!AZ57</f>
        <v>2131.3823400212736</v>
      </c>
      <c r="BA57" s="8">
        <f>Renta_Alta!BA57+Masivo!BA57+Consumo_Inicial!BA57</f>
        <v>2154.8343103366374</v>
      </c>
      <c r="BB57" s="8">
        <f>Renta_Alta!BB57+Masivo!BB57+Consumo_Inicial!BB57</f>
        <v>2270.2944412147813</v>
      </c>
      <c r="BC57" s="8">
        <f>Renta_Alta!BC57+Masivo!BC57+Consumo_Inicial!BC57</f>
        <v>2284.375184953672</v>
      </c>
      <c r="BD57" s="8">
        <f>Renta_Alta!BD57+Masivo!BD57+Consumo_Inicial!BD57</f>
        <v>2342.9858171901906</v>
      </c>
      <c r="BE57" s="8">
        <f>Renta_Alta!BE57+Masivo!BE57+Consumo_Inicial!BE57</f>
        <v>2279.8029684277167</v>
      </c>
      <c r="BF57" s="8">
        <f>Renta_Alta!BF57+Masivo!BF57+Consumo_Inicial!BF57</f>
        <v>2355.5632718744514</v>
      </c>
      <c r="BG57" s="8">
        <f>Renta_Alta!BG57+Masivo!BG57+Consumo_Inicial!BG57</f>
        <v>2538.25018697014</v>
      </c>
      <c r="BH57" s="8">
        <f>Renta_Alta!BH57+Masivo!BH57+Consumo_Inicial!BH57</f>
        <v>2492.2957730606258</v>
      </c>
      <c r="BI57" s="8">
        <f>Renta_Alta!BI57+Masivo!BI57+Consumo_Inicial!BI57</f>
        <v>2554.3601070454588</v>
      </c>
      <c r="BJ57" s="8">
        <f>Renta_Alta!BJ57+Masivo!BJ57+Consumo_Inicial!BJ57</f>
        <v>2395.7082297393395</v>
      </c>
      <c r="BK57" s="8">
        <f>Renta_Alta!BK57+Masivo!BK57+Consumo_Inicial!BK57</f>
        <v>2525.9305228078247</v>
      </c>
      <c r="BO57" s="24">
        <f t="shared" si="65"/>
        <v>11355.88471</v>
      </c>
      <c r="BP57" s="24">
        <f t="shared" si="65"/>
        <v>11183.872093716556</v>
      </c>
      <c r="BQ57" s="24">
        <f t="shared" si="65"/>
        <v>9297.1553199999998</v>
      </c>
      <c r="BR57" s="24">
        <f t="shared" si="65"/>
        <v>12783.39474</v>
      </c>
      <c r="BS57" s="24">
        <f t="shared" si="65"/>
        <v>13381.307449999998</v>
      </c>
      <c r="BT57" s="24">
        <f t="shared" si="65"/>
        <v>13488.688860000013</v>
      </c>
    </row>
    <row r="58" spans="1:72" collapsed="1" x14ac:dyDescent="0.25">
      <c r="C58" s="3" t="s">
        <v>68</v>
      </c>
      <c r="D58" s="10">
        <f t="shared" ref="D58:AY58" si="66">SUM(D56:D57)</f>
        <v>-8980.6242994992681</v>
      </c>
      <c r="E58" s="10">
        <f t="shared" si="66"/>
        <v>-1091.2332709041939</v>
      </c>
      <c r="F58" s="10">
        <f t="shared" si="66"/>
        <v>-5620.688315900934</v>
      </c>
      <c r="G58" s="10">
        <f t="shared" si="66"/>
        <v>-4762.5638355177252</v>
      </c>
      <c r="H58" s="10">
        <f t="shared" si="66"/>
        <v>-5002.3235409969084</v>
      </c>
      <c r="I58" s="10">
        <f t="shared" si="66"/>
        <v>-4881.7491248989863</v>
      </c>
      <c r="J58" s="10">
        <f t="shared" si="66"/>
        <v>-4996.9663968237919</v>
      </c>
      <c r="K58" s="10">
        <f t="shared" si="66"/>
        <v>-8116.7549444549277</v>
      </c>
      <c r="L58" s="10">
        <f t="shared" si="66"/>
        <v>-4597.5049942496498</v>
      </c>
      <c r="M58" s="10">
        <f t="shared" si="66"/>
        <v>-11444.880188873445</v>
      </c>
      <c r="N58" s="10">
        <f t="shared" si="66"/>
        <v>-6714.9336133273209</v>
      </c>
      <c r="O58" s="10">
        <f t="shared" si="66"/>
        <v>-6921.1761213556292</v>
      </c>
      <c r="P58" s="10">
        <f t="shared" si="66"/>
        <v>-11340.526397798612</v>
      </c>
      <c r="Q58" s="10">
        <f t="shared" si="66"/>
        <v>-6110.858172313161</v>
      </c>
      <c r="R58" s="10">
        <f t="shared" si="66"/>
        <v>-8495.5709070342891</v>
      </c>
      <c r="S58" s="10">
        <f t="shared" si="66"/>
        <v>-10020.870103575013</v>
      </c>
      <c r="T58" s="10">
        <f t="shared" si="66"/>
        <v>-7356.1089415685929</v>
      </c>
      <c r="U58" s="10">
        <f t="shared" si="66"/>
        <v>-9073.254756347249</v>
      </c>
      <c r="V58" s="10">
        <f t="shared" si="66"/>
        <v>-9298.5354462259074</v>
      </c>
      <c r="W58" s="10">
        <f t="shared" si="66"/>
        <v>-8767.2961459895778</v>
      </c>
      <c r="X58" s="10">
        <f t="shared" si="66"/>
        <v>-8729.2032659277193</v>
      </c>
      <c r="Y58" s="10">
        <f t="shared" si="66"/>
        <v>-12613.913115192832</v>
      </c>
      <c r="Z58" s="10">
        <f t="shared" si="66"/>
        <v>-6968.6728559488274</v>
      </c>
      <c r="AA58" s="10">
        <f t="shared" si="66"/>
        <v>-7561.2103447142272</v>
      </c>
      <c r="AB58" s="10">
        <f t="shared" si="66"/>
        <v>-11874.728730993747</v>
      </c>
      <c r="AC58" s="10">
        <f t="shared" si="66"/>
        <v>-5749.7527931384102</v>
      </c>
      <c r="AD58" s="10">
        <f t="shared" si="66"/>
        <v>-6313.4554605671274</v>
      </c>
      <c r="AE58" s="10">
        <f t="shared" si="66"/>
        <v>-9863.7985545815427</v>
      </c>
      <c r="AF58" s="10">
        <f t="shared" si="66"/>
        <v>-9112.9864251984454</v>
      </c>
      <c r="AG58" s="10">
        <f t="shared" si="66"/>
        <v>-10936.599738864748</v>
      </c>
      <c r="AH58" s="10">
        <f t="shared" si="66"/>
        <v>-10445.887956168463</v>
      </c>
      <c r="AI58" s="10">
        <f t="shared" si="66"/>
        <v>-11779.674803917835</v>
      </c>
      <c r="AJ58" s="10">
        <f t="shared" si="66"/>
        <v>-10606.01993888264</v>
      </c>
      <c r="AK58" s="10">
        <f t="shared" si="66"/>
        <v>-15357.478594048986</v>
      </c>
      <c r="AL58" s="10">
        <f t="shared" si="66"/>
        <v>-9743.2573460385429</v>
      </c>
      <c r="AM58" s="10">
        <f t="shared" si="66"/>
        <v>-11448.614981887215</v>
      </c>
      <c r="AN58" s="10">
        <f t="shared" si="66"/>
        <v>-9287.6456124417546</v>
      </c>
      <c r="AO58" s="10">
        <f t="shared" si="66"/>
        <v>-9507.4162305151622</v>
      </c>
      <c r="AP58" s="10">
        <f t="shared" si="66"/>
        <v>-9403.3683660332717</v>
      </c>
      <c r="AQ58" s="10">
        <f t="shared" si="66"/>
        <v>-10857.130983702296</v>
      </c>
      <c r="AR58" s="10">
        <f t="shared" si="66"/>
        <v>-10212.165419999799</v>
      </c>
      <c r="AS58" s="10">
        <f t="shared" si="66"/>
        <v>-11290.14627999971</v>
      </c>
      <c r="AT58" s="10">
        <f t="shared" si="66"/>
        <v>0</v>
      </c>
      <c r="AU58" s="10">
        <f t="shared" si="66"/>
        <v>0</v>
      </c>
      <c r="AV58" s="10">
        <f t="shared" si="66"/>
        <v>0</v>
      </c>
      <c r="AW58" s="10">
        <f t="shared" si="66"/>
        <v>0</v>
      </c>
      <c r="AX58" s="10">
        <f t="shared" si="66"/>
        <v>0</v>
      </c>
      <c r="AY58" s="10">
        <f t="shared" si="66"/>
        <v>0</v>
      </c>
      <c r="AZ58" s="10">
        <f t="shared" ref="AZ58:BK58" si="67">SUM(AZ56:AZ57)</f>
        <v>-11088.761907275164</v>
      </c>
      <c r="BA58" s="10">
        <f t="shared" si="67"/>
        <v>-10638.926917906438</v>
      </c>
      <c r="BB58" s="10">
        <f t="shared" si="67"/>
        <v>-11055.967822526016</v>
      </c>
      <c r="BC58" s="10">
        <f t="shared" si="67"/>
        <v>-10003.988813632459</v>
      </c>
      <c r="BD58" s="10">
        <f t="shared" si="67"/>
        <v>-9618.3836606092991</v>
      </c>
      <c r="BE58" s="10">
        <f t="shared" si="67"/>
        <v>-10025.087329299957</v>
      </c>
      <c r="BF58" s="10">
        <f t="shared" si="67"/>
        <v>-9866.4295880557493</v>
      </c>
      <c r="BG58" s="10">
        <f t="shared" si="67"/>
        <v>-12769.405337964872</v>
      </c>
      <c r="BH58" s="10">
        <f t="shared" si="67"/>
        <v>-8382.8212453564884</v>
      </c>
      <c r="BI58" s="10">
        <f t="shared" si="67"/>
        <v>-9165.1910523337865</v>
      </c>
      <c r="BJ58" s="10">
        <f t="shared" si="67"/>
        <v>-9500.3045150885537</v>
      </c>
      <c r="BK58" s="10">
        <f t="shared" si="67"/>
        <v>-8762.0870447800571</v>
      </c>
      <c r="BO58" s="23">
        <f>SUM(BO56:BO57)</f>
        <v>-49267.726612692284</v>
      </c>
      <c r="BP58" s="23">
        <f t="shared" ref="BP58:BT58" si="68">SUM(BP56:BP57)</f>
        <v>-52406.029121949374</v>
      </c>
      <c r="BQ58" s="23">
        <f t="shared" si="68"/>
        <v>-39055.561192692483</v>
      </c>
      <c r="BR58" s="23">
        <f t="shared" si="68"/>
        <v>-42914.721964479264</v>
      </c>
      <c r="BS58" s="23">
        <f t="shared" si="68"/>
        <v>-43323.934522289666</v>
      </c>
      <c r="BT58" s="23">
        <f t="shared" si="68"/>
        <v>-25457.433262819028</v>
      </c>
    </row>
    <row r="59" spans="1:72" x14ac:dyDescent="0.25">
      <c r="D59" s="52">
        <f>'[1]Desempeño Financiero (Evol)'!BE406+'[1]Desempeño Financiero (Evol)'!BE495-D58</f>
        <v>0</v>
      </c>
      <c r="E59" s="52">
        <f>'[1]Desempeño Financiero (Evol)'!BF406+'[1]Desempeño Financiero (Evol)'!BF495-E58</f>
        <v>0</v>
      </c>
      <c r="F59" s="52">
        <f>'[1]Desempeño Financiero (Evol)'!BG406+'[1]Desempeño Financiero (Evol)'!BG495-F58</f>
        <v>0</v>
      </c>
      <c r="G59" s="52">
        <f>'[1]Desempeño Financiero (Evol)'!BH406+'[1]Desempeño Financiero (Evol)'!BH495-G58</f>
        <v>0</v>
      </c>
      <c r="H59" s="52">
        <f>'[1]Desempeño Financiero (Evol)'!BI406+'[1]Desempeño Financiero (Evol)'!BI495-H58</f>
        <v>0</v>
      </c>
      <c r="I59" s="52">
        <f>'[1]Desempeño Financiero (Evol)'!BJ406+'[1]Desempeño Financiero (Evol)'!BJ495-I58</f>
        <v>0</v>
      </c>
      <c r="J59" s="52">
        <f>'[1]Desempeño Financiero (Evol)'!BK406+'[1]Desempeño Financiero (Evol)'!BK495-J58</f>
        <v>0</v>
      </c>
      <c r="K59" s="52">
        <f>'[1]Desempeño Financiero (Evol)'!BL406+'[1]Desempeño Financiero (Evol)'!BL495-K58</f>
        <v>0</v>
      </c>
      <c r="L59" s="52">
        <f>'[1]Desempeño Financiero (Evol)'!BM406+'[1]Desempeño Financiero (Evol)'!BM495-L58</f>
        <v>0</v>
      </c>
      <c r="M59" s="52">
        <f>'[1]Desempeño Financiero (Evol)'!BN406+'[1]Desempeño Financiero (Evol)'!BN495-M58</f>
        <v>0</v>
      </c>
      <c r="N59" s="52">
        <f>'[1]Desempeño Financiero (Evol)'!BO406+'[1]Desempeño Financiero (Evol)'!BO495-N58</f>
        <v>0</v>
      </c>
      <c r="O59" s="52">
        <f>'[1]Desempeño Financiero (Evol)'!BP406+'[1]Desempeño Financiero (Evol)'!BP495-O58</f>
        <v>0</v>
      </c>
      <c r="P59" s="52">
        <f>'[1]Desempeño Financiero (Evol)'!BQ406+'[1]Desempeño Financiero (Evol)'!BQ495-P58</f>
        <v>0</v>
      </c>
      <c r="Q59" s="52">
        <f>'[1]Desempeño Financiero (Evol)'!BR406+'[1]Desempeño Financiero (Evol)'!BR495-Q58</f>
        <v>0</v>
      </c>
      <c r="R59" s="52">
        <f>'[1]Desempeño Financiero (Evol)'!BS406+'[1]Desempeño Financiero (Evol)'!BS495-R58</f>
        <v>0</v>
      </c>
      <c r="S59" s="52">
        <f>'[1]Desempeño Financiero (Evol)'!BT406+'[1]Desempeño Financiero (Evol)'!BT495-S58</f>
        <v>0</v>
      </c>
      <c r="T59" s="52">
        <f>'[1]Desempeño Financiero (Evol)'!BU406+'[1]Desempeño Financiero (Evol)'!BU495-T58</f>
        <v>0</v>
      </c>
      <c r="U59" s="52">
        <f>'[1]Desempeño Financiero (Evol)'!BV406+'[1]Desempeño Financiero (Evol)'!BV495-U58</f>
        <v>0</v>
      </c>
      <c r="V59" s="52">
        <f>'[1]Desempeño Financiero (Evol)'!BW406+'[1]Desempeño Financiero (Evol)'!BW495-V58</f>
        <v>0</v>
      </c>
      <c r="W59" s="52">
        <f>'[1]Desempeño Financiero (Evol)'!BX406+'[1]Desempeño Financiero (Evol)'!BX495-W58</f>
        <v>0</v>
      </c>
      <c r="X59" s="52">
        <f>'[1]Desempeño Financiero (Evol)'!BY406+'[1]Desempeño Financiero (Evol)'!BY495-X58</f>
        <v>0</v>
      </c>
      <c r="Y59" s="52">
        <f>'[1]Desempeño Financiero (Evol)'!BZ406+'[1]Desempeño Financiero (Evol)'!BZ495-Y58</f>
        <v>-5.3775917611728801</v>
      </c>
      <c r="Z59" s="52">
        <f>'[1]Desempeño Financiero (Evol)'!CA406+'[1]Desempeño Financiero (Evol)'!CA495-Z58</f>
        <v>0</v>
      </c>
      <c r="AA59" s="52">
        <f>'[1]Desempeño Financiero (Evol)'!CB406+'[1]Desempeño Financiero (Evol)'!CB495-AA58</f>
        <v>0</v>
      </c>
      <c r="AB59" s="52">
        <f>'[1]Desempeño Financiero (Evol)'!CC406+'[1]Desempeño Financiero (Evol)'!CC495-AB58</f>
        <v>0</v>
      </c>
      <c r="AC59" s="52">
        <f>'[1]Desempeño Financiero (Evol)'!CD406+'[1]Desempeño Financiero (Evol)'!CD495-AC58</f>
        <v>0</v>
      </c>
      <c r="AD59" s="52">
        <f>'[1]Desempeño Financiero (Evol)'!CE406+'[1]Desempeño Financiero (Evol)'!CE495-AD58</f>
        <v>0</v>
      </c>
      <c r="AE59" s="52">
        <f>'[1]Desempeño Financiero (Evol)'!CF406+'[1]Desempeño Financiero (Evol)'!CF495-AE58</f>
        <v>0.23113999999804946</v>
      </c>
      <c r="AF59" s="52">
        <f>'[1]Desempeño Financiero (Evol)'!CG406+'[1]Desempeño Financiero (Evol)'!CG495-AF58</f>
        <v>0</v>
      </c>
      <c r="AG59" s="52">
        <f>'[1]Desempeño Financiero (Evol)'!CH406+'[1]Desempeño Financiero (Evol)'!CH495-AG58</f>
        <v>0</v>
      </c>
      <c r="AH59" s="52">
        <f>'[1]Desempeño Financiero (Evol)'!CI406+'[1]Desempeño Financiero (Evol)'!CI495-AH58</f>
        <v>0</v>
      </c>
      <c r="AI59" s="52">
        <f>'[1]Desempeño Financiero (Evol)'!CJ406+'[1]Desempeño Financiero (Evol)'!CJ495-AI58</f>
        <v>0</v>
      </c>
      <c r="AJ59" s="52">
        <f>'[1]Desempeño Financiero (Evol)'!CK406+'[1]Desempeño Financiero (Evol)'!CK495-AJ58</f>
        <v>0</v>
      </c>
      <c r="AK59" s="52">
        <f>'[1]Desempeño Financiero (Evol)'!CL406+'[1]Desempeño Financiero (Evol)'!CL495-AK58</f>
        <v>0</v>
      </c>
      <c r="AL59" s="52">
        <f>'[1]Desempeño Financiero (Evol)'!CM406+'[1]Desempeño Financiero (Evol)'!CM495-AL58</f>
        <v>-200.02300000000105</v>
      </c>
      <c r="AM59" s="52">
        <f>'[1]Desempeño Financiero (Evol)'!CN406+'[1]Desempeño Financiero (Evol)'!CN495-AM58</f>
        <v>0</v>
      </c>
      <c r="AN59" s="52">
        <f>'[1]Desempeño Financiero (Evol)'!CO406+'[1]Desempeño Financiero (Evol)'!CO495-AN58</f>
        <v>0</v>
      </c>
      <c r="AO59" s="52">
        <f>'[1]Desempeño Financiero (Evol)'!CP406+'[1]Desempeño Financiero (Evol)'!CP495-AO58</f>
        <v>0</v>
      </c>
      <c r="AZ59" s="52">
        <f>'[1]Desempeño Financiero (Evol)'!DA406+'[1]Desempeño Financiero (Evol)'!DA495-AZ58</f>
        <v>0</v>
      </c>
      <c r="BA59" s="52">
        <f>'[1]Desempeño Financiero (Evol)'!DB406+'[1]Desempeño Financiero (Evol)'!DB495-BA58</f>
        <v>0</v>
      </c>
      <c r="BB59" s="52">
        <f>'[1]Desempeño Financiero (Evol)'!DC406+'[1]Desempeño Financiero (Evol)'!DC495-BB58</f>
        <v>0</v>
      </c>
      <c r="BC59" s="52">
        <f>'[1]Desempeño Financiero (Evol)'!DD406+'[1]Desempeño Financiero (Evol)'!DD495-BC58</f>
        <v>0</v>
      </c>
      <c r="BD59" s="52">
        <f>'[1]Desempeño Financiero (Evol)'!DE406+'[1]Desempeño Financiero (Evol)'!DE495-BD58</f>
        <v>0</v>
      </c>
      <c r="BE59" s="52">
        <f>'[1]Desempeño Financiero (Evol)'!DF406+'[1]Desempeño Financiero (Evol)'!DF495-BE58</f>
        <v>0</v>
      </c>
      <c r="BF59" s="52">
        <f>'[1]Desempeño Financiero (Evol)'!DG406+'[1]Desempeño Financiero (Evol)'!DG495-BF58</f>
        <v>0</v>
      </c>
      <c r="BG59" s="52">
        <f>'[1]Desempeño Financiero (Evol)'!DH406+'[1]Desempeño Financiero (Evol)'!DH495-BG58</f>
        <v>0</v>
      </c>
      <c r="BH59" s="52">
        <f>'[1]Desempeño Financiero (Evol)'!DI406+'[1]Desempeño Financiero (Evol)'!DI495-BH58</f>
        <v>0</v>
      </c>
      <c r="BI59" s="52">
        <f>'[1]Desempeño Financiero (Evol)'!DJ406+'[1]Desempeño Financiero (Evol)'!DJ495-BI58</f>
        <v>0</v>
      </c>
      <c r="BJ59" s="52">
        <f>'[1]Desempeño Financiero (Evol)'!DK406+'[1]Desempeño Financiero (Evol)'!DK495-BJ58</f>
        <v>0</v>
      </c>
      <c r="BK59" s="52">
        <f>'[1]Desempeño Financiero (Evol)'!DL406+'[1]Desempeño Financiero (Evol)'!DL495-BK58</f>
        <v>0</v>
      </c>
    </row>
    <row r="60" spans="1:72" x14ac:dyDescent="0.25">
      <c r="C60" s="3" t="s">
        <v>70</v>
      </c>
      <c r="D60" s="10">
        <f>D53+D58</f>
        <v>12229.408818420736</v>
      </c>
      <c r="E60" s="10">
        <f t="shared" ref="E60:AY60" si="69">E53+E58</f>
        <v>21301.347865305797</v>
      </c>
      <c r="F60" s="10">
        <f t="shared" si="69"/>
        <v>13538.339564479058</v>
      </c>
      <c r="G60" s="10">
        <f t="shared" si="69"/>
        <v>14467.579867972272</v>
      </c>
      <c r="H60" s="10">
        <f t="shared" si="69"/>
        <v>13251.280241533099</v>
      </c>
      <c r="I60" s="10">
        <f t="shared" si="69"/>
        <v>14692.030669281008</v>
      </c>
      <c r="J60" s="10">
        <f t="shared" si="69"/>
        <v>13226.048249176212</v>
      </c>
      <c r="K60" s="10">
        <f t="shared" si="69"/>
        <v>10155.084914255078</v>
      </c>
      <c r="L60" s="10">
        <f t="shared" si="69"/>
        <v>14491.948150470349</v>
      </c>
      <c r="M60" s="10">
        <f t="shared" si="69"/>
        <v>6190.5642352165669</v>
      </c>
      <c r="N60" s="10">
        <f t="shared" si="69"/>
        <v>11814.776245522677</v>
      </c>
      <c r="O60" s="10">
        <f t="shared" si="69"/>
        <v>10657.874883164362</v>
      </c>
      <c r="P60" s="10">
        <f t="shared" si="69"/>
        <v>6108.9888906814067</v>
      </c>
      <c r="Q60" s="10">
        <f t="shared" si="69"/>
        <v>14931.128316726845</v>
      </c>
      <c r="R60" s="10">
        <f t="shared" si="69"/>
        <v>9165.3302717257211</v>
      </c>
      <c r="S60" s="10">
        <f t="shared" si="69"/>
        <v>8168.2223800549837</v>
      </c>
      <c r="T60" s="10">
        <f t="shared" si="69"/>
        <v>11212.270250771428</v>
      </c>
      <c r="U60" s="10">
        <f t="shared" si="69"/>
        <v>11280.770982512751</v>
      </c>
      <c r="V60" s="10">
        <f t="shared" si="69"/>
        <v>10560.002182654081</v>
      </c>
      <c r="W60" s="10">
        <f t="shared" si="69"/>
        <v>11447.850372980418</v>
      </c>
      <c r="X60" s="10">
        <f t="shared" si="69"/>
        <v>13120.705111382287</v>
      </c>
      <c r="Y60" s="10">
        <f t="shared" si="69"/>
        <v>9047.9466754171644</v>
      </c>
      <c r="Z60" s="10">
        <f t="shared" si="69"/>
        <v>14980.455279691183</v>
      </c>
      <c r="AA60" s="10">
        <f t="shared" si="69"/>
        <v>12746.057713525794</v>
      </c>
      <c r="AB60" s="10">
        <f t="shared" si="69"/>
        <v>8473.6712774962562</v>
      </c>
      <c r="AC60" s="10">
        <f t="shared" si="69"/>
        <v>17657.412829961591</v>
      </c>
      <c r="AD60" s="10">
        <f t="shared" si="69"/>
        <v>14710.297955382868</v>
      </c>
      <c r="AE60" s="10">
        <f t="shared" si="69"/>
        <v>12168.922118738465</v>
      </c>
      <c r="AF60" s="10">
        <f t="shared" si="69"/>
        <v>12805.385402831556</v>
      </c>
      <c r="AG60" s="10">
        <f t="shared" si="69"/>
        <v>11731.990031975256</v>
      </c>
      <c r="AH60" s="10">
        <f t="shared" si="69"/>
        <v>11649.745870261526</v>
      </c>
      <c r="AI60" s="10">
        <f t="shared" si="69"/>
        <v>10260.308420802161</v>
      </c>
      <c r="AJ60" s="10">
        <f t="shared" si="69"/>
        <v>13205.143294547353</v>
      </c>
      <c r="AK60" s="10">
        <f t="shared" si="69"/>
        <v>7941.2652718410282</v>
      </c>
      <c r="AL60" s="10">
        <f t="shared" si="69"/>
        <v>14085.056235911463</v>
      </c>
      <c r="AM60" s="10">
        <f t="shared" si="69"/>
        <v>11448.393065922795</v>
      </c>
      <c r="AN60" s="10">
        <f t="shared" si="69"/>
        <v>13210.407885128245</v>
      </c>
      <c r="AO60" s="10">
        <f t="shared" si="69"/>
        <v>15431.823610374842</v>
      </c>
      <c r="AP60" s="10">
        <f t="shared" si="69"/>
        <v>13337.10318047673</v>
      </c>
      <c r="AQ60" s="10">
        <f t="shared" si="69"/>
        <v>12742.169025007704</v>
      </c>
      <c r="AR60" s="10">
        <f t="shared" si="69"/>
        <v>12625.93136061531</v>
      </c>
      <c r="AS60" s="10">
        <f t="shared" si="69"/>
        <v>12280.961029160291</v>
      </c>
      <c r="AT60" s="10">
        <f t="shared" si="69"/>
        <v>0</v>
      </c>
      <c r="AU60" s="10">
        <f t="shared" si="69"/>
        <v>0</v>
      </c>
      <c r="AV60" s="10">
        <f t="shared" si="69"/>
        <v>0</v>
      </c>
      <c r="AW60" s="10">
        <f t="shared" si="69"/>
        <v>0</v>
      </c>
      <c r="AX60" s="10">
        <f t="shared" si="69"/>
        <v>0</v>
      </c>
      <c r="AY60" s="10">
        <f t="shared" si="69"/>
        <v>0</v>
      </c>
      <c r="AZ60" s="10">
        <f t="shared" ref="AZ60:BK60" si="70">AZ53+AZ58</f>
        <v>12556.529332741438</v>
      </c>
      <c r="BA60" s="10">
        <f t="shared" si="70"/>
        <v>16465.483952539929</v>
      </c>
      <c r="BB60" s="10">
        <f t="shared" si="70"/>
        <v>12934.006944197541</v>
      </c>
      <c r="BC60" s="10">
        <f t="shared" si="70"/>
        <v>15454.774529159742</v>
      </c>
      <c r="BD60" s="10">
        <f t="shared" si="70"/>
        <v>14993.60554306941</v>
      </c>
      <c r="BE60" s="10">
        <f t="shared" si="70"/>
        <v>15844.737447822779</v>
      </c>
      <c r="BF60" s="10">
        <f t="shared" si="70"/>
        <v>15539.391941552762</v>
      </c>
      <c r="BG60" s="10">
        <f t="shared" si="70"/>
        <v>12938.674526775303</v>
      </c>
      <c r="BH60" s="10">
        <f t="shared" si="70"/>
        <v>18479.927059002057</v>
      </c>
      <c r="BI60" s="10">
        <f t="shared" si="70"/>
        <v>17361.164954342712</v>
      </c>
      <c r="BJ60" s="10">
        <f t="shared" si="70"/>
        <v>17833.708625071369</v>
      </c>
      <c r="BK60" s="10">
        <f t="shared" si="70"/>
        <v>18165.847884737632</v>
      </c>
      <c r="BO60" s="23">
        <f>BO53+BO58</f>
        <v>67347.435061602795</v>
      </c>
      <c r="BP60" s="23">
        <f t="shared" ref="BP60:BT60" si="71">BP53+BP58</f>
        <v>72404.400301708054</v>
      </c>
      <c r="BQ60" s="23">
        <f t="shared" si="71"/>
        <v>54721.503700987516</v>
      </c>
      <c r="BR60" s="23">
        <f t="shared" si="71"/>
        <v>65815.689584410735</v>
      </c>
      <c r="BS60" s="23">
        <f t="shared" si="71"/>
        <v>49585.940109960356</v>
      </c>
      <c r="BT60" s="23">
        <f t="shared" si="71"/>
        <v>74787.95635771098</v>
      </c>
    </row>
    <row r="63" spans="1:72" hidden="1" outlineLevel="1" x14ac:dyDescent="0.25">
      <c r="A63" s="11" t="s">
        <v>71</v>
      </c>
      <c r="C63" s="2" t="s">
        <v>74</v>
      </c>
      <c r="D63" s="8">
        <f>Renta_Alta!D63+Masivo!D63+Consumo_Inicial!D63</f>
        <v>567.64241995299994</v>
      </c>
      <c r="E63" s="8">
        <f>Renta_Alta!E63+Masivo!E63+Consumo_Inicial!E63</f>
        <v>456.542270008</v>
      </c>
      <c r="F63" s="8">
        <f>Renta_Alta!F63+Masivo!F63+Consumo_Inicial!F63</f>
        <v>489.37918000899998</v>
      </c>
      <c r="G63" s="8">
        <f>Renta_Alta!G63+Masivo!G63+Consumo_Inicial!G63</f>
        <v>489.97763999</v>
      </c>
      <c r="H63" s="8">
        <f>Renta_Alta!H63+Masivo!H63+Consumo_Inicial!H63</f>
        <v>493.20948001699998</v>
      </c>
      <c r="I63" s="8">
        <f>Renta_Alta!I63+Masivo!I63+Consumo_Inicial!I63</f>
        <v>528.85194998100008</v>
      </c>
      <c r="J63" s="8">
        <f>Renta_Alta!J63+Masivo!J63+Consumo_Inicial!J63</f>
        <v>529.84518999199997</v>
      </c>
      <c r="K63" s="8">
        <f>Renta_Alta!K63+Masivo!K63+Consumo_Inicial!K63</f>
        <v>538.82968998199999</v>
      </c>
      <c r="L63" s="8">
        <f>Renta_Alta!L63+Masivo!L63+Consumo_Inicial!L63</f>
        <v>549.35473997700001</v>
      </c>
      <c r="M63" s="8">
        <f>Renta_Alta!M63+Masivo!M63+Consumo_Inicial!M63</f>
        <v>549.65601002100004</v>
      </c>
      <c r="N63" s="8">
        <f>Renta_Alta!N63+Masivo!N63+Consumo_Inicial!N63</f>
        <v>557.52959003199999</v>
      </c>
      <c r="O63" s="8">
        <f>Renta_Alta!O63+Masivo!O63+Consumo_Inicial!O63</f>
        <v>550.90037004099986</v>
      </c>
      <c r="P63" s="8">
        <f>Renta_Alta!P63+Masivo!P63+Consumo_Inicial!P63</f>
        <v>558.49486997100007</v>
      </c>
      <c r="Q63" s="8">
        <f>Renta_Alta!Q63+Masivo!Q63+Consumo_Inicial!Q63</f>
        <v>562.43158998200011</v>
      </c>
      <c r="R63" s="8">
        <f>Renta_Alta!R63+Masivo!R63+Consumo_Inicial!R63</f>
        <v>559.44302002799998</v>
      </c>
      <c r="S63" s="8">
        <f>Renta_Alta!S63+Masivo!S63+Consumo_Inicial!S63</f>
        <v>606.32852002899995</v>
      </c>
      <c r="T63" s="8">
        <f>Renta_Alta!T63+Masivo!T63+Consumo_Inicial!T63</f>
        <v>553.83819001699999</v>
      </c>
      <c r="U63" s="8">
        <f>Renta_Alta!U63+Masivo!U63+Consumo_Inicial!U63</f>
        <v>617.17900999300002</v>
      </c>
      <c r="V63" s="8">
        <f>Renta_Alta!V63+Masivo!V63+Consumo_Inicial!V63</f>
        <v>617.07213000600018</v>
      </c>
      <c r="W63" s="8">
        <f>Renta_Alta!W63+Masivo!W63+Consumo_Inicial!W63</f>
        <v>614.06833001500002</v>
      </c>
      <c r="X63" s="8">
        <f>Renta_Alta!X63+Masivo!X63+Consumo_Inicial!X63</f>
        <v>1274.54606014</v>
      </c>
      <c r="Y63" s="8">
        <f>Renta_Alta!Y63+Masivo!Y63+Consumo_Inicial!Y63</f>
        <v>-19.196579999400001</v>
      </c>
      <c r="Z63" s="8">
        <f>Renta_Alta!Z63+Masivo!Z63+Consumo_Inicial!Z63</f>
        <v>611.18058998000004</v>
      </c>
      <c r="AA63" s="8">
        <f>Renta_Alta!AA63+Masivo!AA63+Consumo_Inicial!AA63</f>
        <v>594.94692000999999</v>
      </c>
      <c r="AB63" s="8">
        <f>Renta_Alta!AB63+Masivo!AB63+Consumo_Inicial!AB63</f>
        <v>622.58089002500003</v>
      </c>
      <c r="AC63" s="8">
        <f>Renta_Alta!AC63+Masivo!AC63+Consumo_Inicial!AC63</f>
        <v>528.74048998700005</v>
      </c>
      <c r="AD63" s="8">
        <f>Renta_Alta!AD63+Masivo!AD63+Consumo_Inicial!AD63</f>
        <v>526.62686997899993</v>
      </c>
      <c r="AE63" s="8">
        <f>Renta_Alta!AE63+Masivo!AE63+Consumo_Inicial!AE63</f>
        <v>530.89120003899995</v>
      </c>
      <c r="AF63" s="8">
        <f>Renta_Alta!AF63+Masivo!AF63+Consumo_Inicial!AF63</f>
        <v>522.19528000599996</v>
      </c>
      <c r="AG63" s="8">
        <f>Renta_Alta!AG63+Masivo!AG63+Consumo_Inicial!AG63</f>
        <v>550.67650995200006</v>
      </c>
      <c r="AH63" s="8">
        <f>Renta_Alta!AH63+Masivo!AH63+Consumo_Inicial!AH63</f>
        <v>532.80510003999996</v>
      </c>
      <c r="AI63" s="8">
        <f>Renta_Alta!AI63+Masivo!AI63+Consumo_Inicial!AI63</f>
        <v>586.643850004</v>
      </c>
      <c r="AJ63" s="8">
        <f>Renta_Alta!AJ63+Masivo!AJ63+Consumo_Inicial!AJ63</f>
        <v>561.93188001199985</v>
      </c>
      <c r="AK63" s="8">
        <f>Renta_Alta!AK63+Masivo!AK63+Consumo_Inicial!AK63</f>
        <v>555.83919001700008</v>
      </c>
      <c r="AL63" s="8">
        <f>Renta_Alta!AL63+Masivo!AL63+Consumo_Inicial!AL63</f>
        <v>615.28931001599994</v>
      </c>
      <c r="AM63" s="8">
        <f>Renta_Alta!AM63+Masivo!AM63+Consumo_Inicial!AM63</f>
        <v>555.27555996099989</v>
      </c>
      <c r="AN63" s="8">
        <f>Renta_Alta!AN63+Masivo!AN63+Consumo_Inicial!AN63</f>
        <v>538.84370000000001</v>
      </c>
      <c r="AO63" s="8">
        <f>Renta_Alta!AO63+Masivo!AO63+Consumo_Inicial!AO63</f>
        <v>528.89913000000001</v>
      </c>
      <c r="AP63" s="8">
        <f>Renta_Alta!AP63+Masivo!AP63+Consumo_Inicial!AP63</f>
        <v>519.73068999999987</v>
      </c>
      <c r="AQ63" s="8">
        <f>Renta_Alta!AQ63+Masivo!AQ63+Consumo_Inicial!AQ63</f>
        <v>531.33536000000004</v>
      </c>
      <c r="AR63" s="8">
        <f>Renta_Alta!AR63+Masivo!AR63+Consumo_Inicial!AR63</f>
        <v>538.26567000000023</v>
      </c>
      <c r="AS63" s="8">
        <f>Renta_Alta!AS63+Masivo!AS63+Consumo_Inicial!AS63</f>
        <v>535.37491999999997</v>
      </c>
      <c r="AT63" s="8">
        <f>Renta_Alta!AT63+Masivo!AT63+Consumo_Inicial!AT63</f>
        <v>0</v>
      </c>
      <c r="AU63" s="8">
        <f>Renta_Alta!AU63+Masivo!AU63+Consumo_Inicial!AU63</f>
        <v>0</v>
      </c>
      <c r="AV63" s="8">
        <f>Renta_Alta!AV63+Masivo!AV63+Consumo_Inicial!AV63</f>
        <v>0</v>
      </c>
      <c r="AW63" s="8">
        <f>Renta_Alta!AW63+Masivo!AW63+Consumo_Inicial!AW63</f>
        <v>0</v>
      </c>
      <c r="AX63" s="8">
        <f>Renta_Alta!AX63+Masivo!AX63+Consumo_Inicial!AX63</f>
        <v>0</v>
      </c>
      <c r="AY63" s="8">
        <f>Renta_Alta!AY63+Masivo!AY63+Consumo_Inicial!AY63</f>
        <v>0</v>
      </c>
      <c r="AZ63" s="8">
        <f>Renta_Alta!AZ63+Masivo!AZ63+Consumo_Inicial!AZ63</f>
        <v>559.96</v>
      </c>
      <c r="BA63" s="8">
        <f>Renta_Alta!BA63+Masivo!BA63+Consumo_Inicial!BA63</f>
        <v>562.63999999999987</v>
      </c>
      <c r="BB63" s="8">
        <f>Renta_Alta!BB63+Masivo!BB63+Consumo_Inicial!BB63</f>
        <v>566.13</v>
      </c>
      <c r="BC63" s="8">
        <f>Renta_Alta!BC63+Masivo!BC63+Consumo_Inicial!BC63</f>
        <v>568.25999999999988</v>
      </c>
      <c r="BD63" s="8">
        <f>Renta_Alta!BD63+Masivo!BD63+Consumo_Inicial!BD63</f>
        <v>570.49</v>
      </c>
      <c r="BE63" s="8">
        <f>Renta_Alta!BE63+Masivo!BE63+Consumo_Inicial!BE63</f>
        <v>573.25999999999988</v>
      </c>
      <c r="BF63" s="8">
        <f>Renta_Alta!BF63+Masivo!BF63+Consumo_Inicial!BF63</f>
        <v>576.02999999999986</v>
      </c>
      <c r="BG63" s="8">
        <f>Renta_Alta!BG63+Masivo!BG63+Consumo_Inicial!BG63</f>
        <v>578.75999999999988</v>
      </c>
      <c r="BH63" s="8">
        <f>Renta_Alta!BH63+Masivo!BH63+Consumo_Inicial!BH63</f>
        <v>582.05999999999983</v>
      </c>
      <c r="BI63" s="8">
        <f>Renta_Alta!BI63+Masivo!BI63+Consumo_Inicial!BI63</f>
        <v>584.66999999999985</v>
      </c>
      <c r="BJ63" s="8">
        <f>Renta_Alta!BJ63+Masivo!BJ63+Consumo_Inicial!BJ63</f>
        <v>587.27999999999986</v>
      </c>
      <c r="BK63" s="8">
        <f>Renta_Alta!BK63+Masivo!BK63+Consumo_Inicial!BK63</f>
        <v>589.20999999999992</v>
      </c>
      <c r="BO63" s="24">
        <f t="shared" ref="BO63:BT78" si="72">SUMIFS($D63:$BM63,$D$6:$BM$6,"&gt;="&amp;BO$2,$D$6:$BM$6,"&lt;="&amp;BO$6,$D$5:$BM$5,BO$5)</f>
        <v>2657.0745500000003</v>
      </c>
      <c r="BP63" s="24">
        <f t="shared" si="72"/>
        <v>2827.4799999999996</v>
      </c>
      <c r="BQ63" s="24">
        <f t="shared" si="72"/>
        <v>2118.80888</v>
      </c>
      <c r="BR63" s="24">
        <f t="shared" si="72"/>
        <v>2731.0347300359999</v>
      </c>
      <c r="BS63" s="24">
        <f t="shared" si="72"/>
        <v>2840.536190027</v>
      </c>
      <c r="BT63" s="24">
        <f t="shared" si="72"/>
        <v>2496.7509899769998</v>
      </c>
    </row>
    <row r="64" spans="1:72" hidden="1" outlineLevel="1" x14ac:dyDescent="0.25">
      <c r="A64" s="11" t="s">
        <v>71</v>
      </c>
      <c r="C64" s="2" t="s">
        <v>72</v>
      </c>
      <c r="D64" s="8">
        <f>Renta_Alta!D64+Masivo!D64+Consumo_Inicial!D64</f>
        <v>692.35237999999993</v>
      </c>
      <c r="E64" s="8">
        <f>Renta_Alta!E64+Masivo!E64+Consumo_Inicial!E64</f>
        <v>687.6632800000001</v>
      </c>
      <c r="F64" s="8">
        <f>Renta_Alta!F64+Masivo!F64+Consumo_Inicial!F64</f>
        <v>689.22883000000002</v>
      </c>
      <c r="G64" s="8">
        <f>Renta_Alta!G64+Masivo!G64+Consumo_Inicial!G64</f>
        <v>656.93399999999997</v>
      </c>
      <c r="H64" s="8">
        <f>Renta_Alta!H64+Masivo!H64+Consumo_Inicial!H64</f>
        <v>677.1092000000001</v>
      </c>
      <c r="I64" s="8">
        <f>Renta_Alta!I64+Masivo!I64+Consumo_Inicial!I64</f>
        <v>693.14273000000003</v>
      </c>
      <c r="J64" s="8">
        <f>Renta_Alta!J64+Masivo!J64+Consumo_Inicial!J64</f>
        <v>700.46567000000005</v>
      </c>
      <c r="K64" s="8">
        <f>Renta_Alta!K64+Masivo!K64+Consumo_Inicial!K64</f>
        <v>711.85328000000004</v>
      </c>
      <c r="L64" s="8">
        <f>Renta_Alta!L64+Masivo!L64+Consumo_Inicial!L64</f>
        <v>711.46816000000001</v>
      </c>
      <c r="M64" s="8">
        <f>Renta_Alta!M64+Masivo!M64+Consumo_Inicial!M64</f>
        <v>714.46012999999994</v>
      </c>
      <c r="N64" s="8">
        <f>Renta_Alta!N64+Masivo!N64+Consumo_Inicial!N64</f>
        <v>716.0376</v>
      </c>
      <c r="O64" s="8">
        <f>Renta_Alta!O64+Masivo!O64+Consumo_Inicial!O64</f>
        <v>713.58596999999997</v>
      </c>
      <c r="P64" s="8">
        <f>Renta_Alta!P64+Masivo!P64+Consumo_Inicial!P64</f>
        <v>720.61077999999998</v>
      </c>
      <c r="Q64" s="8">
        <f>Renta_Alta!Q64+Masivo!Q64+Consumo_Inicial!Q64</f>
        <v>717.29183000000012</v>
      </c>
      <c r="R64" s="8">
        <f>Renta_Alta!R64+Masivo!R64+Consumo_Inicial!R64</f>
        <v>724.33857</v>
      </c>
      <c r="S64" s="8">
        <f>Renta_Alta!S64+Masivo!S64+Consumo_Inicial!S64</f>
        <v>695.60308999999995</v>
      </c>
      <c r="T64" s="8">
        <f>Renta_Alta!T64+Masivo!T64+Consumo_Inicial!T64</f>
        <v>732.31598999999994</v>
      </c>
      <c r="U64" s="8">
        <f>Renta_Alta!U64+Masivo!U64+Consumo_Inicial!U64</f>
        <v>759.56422000000009</v>
      </c>
      <c r="V64" s="8">
        <f>Renta_Alta!V64+Masivo!V64+Consumo_Inicial!V64</f>
        <v>771.92660000000001</v>
      </c>
      <c r="W64" s="8">
        <f>Renta_Alta!W64+Masivo!W64+Consumo_Inicial!W64</f>
        <v>782.31592000000012</v>
      </c>
      <c r="X64" s="8">
        <f>Renta_Alta!X64+Masivo!X64+Consumo_Inicial!X64</f>
        <v>793.47147000000007</v>
      </c>
      <c r="Y64" s="8">
        <f>Renta_Alta!Y64+Masivo!Y64+Consumo_Inicial!Y64</f>
        <v>789.42702000000008</v>
      </c>
      <c r="Z64" s="8">
        <f>Renta_Alta!Z64+Masivo!Z64+Consumo_Inicial!Z64</f>
        <v>797.43680999999992</v>
      </c>
      <c r="AA64" s="8">
        <f>Renta_Alta!AA64+Masivo!AA64+Consumo_Inicial!AA64</f>
        <v>792.60987</v>
      </c>
      <c r="AB64" s="8">
        <f>Renta_Alta!AB64+Masivo!AB64+Consumo_Inicial!AB64</f>
        <v>786.15765999999996</v>
      </c>
      <c r="AC64" s="8">
        <f>Renta_Alta!AC64+Masivo!AC64+Consumo_Inicial!AC64</f>
        <v>772.10221999999987</v>
      </c>
      <c r="AD64" s="8">
        <f>Renta_Alta!AD64+Masivo!AD64+Consumo_Inicial!AD64</f>
        <v>770.04662999999994</v>
      </c>
      <c r="AE64" s="8">
        <f>Renta_Alta!AE64+Masivo!AE64+Consumo_Inicial!AE64</f>
        <v>742.24670000000003</v>
      </c>
      <c r="AF64" s="8">
        <f>Renta_Alta!AF64+Masivo!AF64+Consumo_Inicial!AF64</f>
        <v>752.49437</v>
      </c>
      <c r="AG64" s="8">
        <f>Renta_Alta!AG64+Masivo!AG64+Consumo_Inicial!AG64</f>
        <v>755.99324999999999</v>
      </c>
      <c r="AH64" s="8">
        <f>Renta_Alta!AH64+Masivo!AH64+Consumo_Inicial!AH64</f>
        <v>757.9874299999999</v>
      </c>
      <c r="AI64" s="8">
        <f>Renta_Alta!AI64+Masivo!AI64+Consumo_Inicial!AI64</f>
        <v>754.78146000000004</v>
      </c>
      <c r="AJ64" s="8">
        <f>Renta_Alta!AJ64+Masivo!AJ64+Consumo_Inicial!AJ64</f>
        <v>744.20243000000005</v>
      </c>
      <c r="AK64" s="8">
        <f>Renta_Alta!AK64+Masivo!AK64+Consumo_Inicial!AK64</f>
        <v>746.21699000000001</v>
      </c>
      <c r="AL64" s="8">
        <f>Renta_Alta!AL64+Masivo!AL64+Consumo_Inicial!AL64</f>
        <v>747.22901999999999</v>
      </c>
      <c r="AM64" s="8">
        <f>Renta_Alta!AM64+Masivo!AM64+Consumo_Inicial!AM64</f>
        <v>743.75159999999994</v>
      </c>
      <c r="AN64" s="8">
        <f>Renta_Alta!AN64+Masivo!AN64+Consumo_Inicial!AN64</f>
        <v>744.44107999999994</v>
      </c>
      <c r="AO64" s="8">
        <f>Renta_Alta!AO64+Masivo!AO64+Consumo_Inicial!AO64</f>
        <v>713.40231000000006</v>
      </c>
      <c r="AP64" s="8">
        <f>Renta_Alta!AP64+Masivo!AP64+Consumo_Inicial!AP64</f>
        <v>721.16026999999985</v>
      </c>
      <c r="AQ64" s="8">
        <f>Renta_Alta!AQ64+Masivo!AQ64+Consumo_Inicial!AQ64</f>
        <v>698.90253999999993</v>
      </c>
      <c r="AR64" s="8">
        <f>Renta_Alta!AR64+Masivo!AR64+Consumo_Inicial!AR64</f>
        <v>713.48594999999989</v>
      </c>
      <c r="AS64" s="8">
        <f>Renta_Alta!AS64+Masivo!AS64+Consumo_Inicial!AS64</f>
        <v>711.55699000000004</v>
      </c>
      <c r="AT64" s="8">
        <f>Renta_Alta!AT64+Masivo!AT64+Consumo_Inicial!AT64</f>
        <v>0</v>
      </c>
      <c r="AU64" s="8">
        <f>Renta_Alta!AU64+Masivo!AU64+Consumo_Inicial!AU64</f>
        <v>0</v>
      </c>
      <c r="AV64" s="8">
        <f>Renta_Alta!AV64+Masivo!AV64+Consumo_Inicial!AV64</f>
        <v>0</v>
      </c>
      <c r="AW64" s="8">
        <f>Renta_Alta!AW64+Masivo!AW64+Consumo_Inicial!AW64</f>
        <v>0</v>
      </c>
      <c r="AX64" s="8">
        <f>Renta_Alta!AX64+Masivo!AX64+Consumo_Inicial!AX64</f>
        <v>0</v>
      </c>
      <c r="AY64" s="8">
        <f>Renta_Alta!AY64+Masivo!AY64+Consumo_Inicial!AY64</f>
        <v>0</v>
      </c>
      <c r="AZ64" s="8">
        <f>Renta_Alta!AZ64+Masivo!AZ64+Consumo_Inicial!AZ64</f>
        <v>754.2873267440001</v>
      </c>
      <c r="BA64" s="8">
        <f>Renta_Alta!BA64+Masivo!BA64+Consumo_Inicial!BA64</f>
        <v>750.57465348799985</v>
      </c>
      <c r="BB64" s="8">
        <f>Renta_Alta!BB64+Masivo!BB64+Consumo_Inicial!BB64</f>
        <v>746.96198023200009</v>
      </c>
      <c r="BC64" s="8">
        <f>Renta_Alta!BC64+Masivo!BC64+Consumo_Inicial!BC64</f>
        <v>743.15930697600004</v>
      </c>
      <c r="BD64" s="8">
        <f>Renta_Alta!BD64+Masivo!BD64+Consumo_Inicial!BD64</f>
        <v>739.37663372000009</v>
      </c>
      <c r="BE64" s="8">
        <f>Renta_Alta!BE64+Masivo!BE64+Consumo_Inicial!BE64</f>
        <v>735.66396046399984</v>
      </c>
      <c r="BF64" s="8">
        <f>Renta_Alta!BF64+Masivo!BF64+Consumo_Inicial!BF64</f>
        <v>731.95128720799994</v>
      </c>
      <c r="BG64" s="8">
        <f>Renta_Alta!BG64+Masivo!BG64+Consumo_Inicial!BG64</f>
        <v>728.22861395200005</v>
      </c>
      <c r="BH64" s="8">
        <f>Renta_Alta!BH64+Masivo!BH64+Consumo_Inicial!BH64</f>
        <v>724.57594069600009</v>
      </c>
      <c r="BI64" s="8">
        <f>Renta_Alta!BI64+Masivo!BI64+Consumo_Inicial!BI64</f>
        <v>720.83326743999999</v>
      </c>
      <c r="BJ64" s="8">
        <f>Renta_Alta!BJ64+Masivo!BJ64+Consumo_Inicial!BJ64</f>
        <v>717.090594184</v>
      </c>
      <c r="BK64" s="8">
        <f>Renta_Alta!BK64+Masivo!BK64+Consumo_Inicial!BK64</f>
        <v>713.25792092799998</v>
      </c>
      <c r="BO64" s="24">
        <f t="shared" si="72"/>
        <v>3591.3921499999997</v>
      </c>
      <c r="BP64" s="24">
        <f t="shared" si="72"/>
        <v>3734.3599011600004</v>
      </c>
      <c r="BQ64" s="24">
        <f t="shared" si="72"/>
        <v>2877.9061999999999</v>
      </c>
      <c r="BR64" s="24">
        <f t="shared" si="72"/>
        <v>3823.0475799999999</v>
      </c>
      <c r="BS64" s="24">
        <f t="shared" si="72"/>
        <v>3590.1602600000001</v>
      </c>
      <c r="BT64" s="24">
        <f t="shared" si="72"/>
        <v>3403.2876900000001</v>
      </c>
    </row>
    <row r="65" spans="1:72" hidden="1" outlineLevel="1" x14ac:dyDescent="0.25">
      <c r="A65" s="11" t="s">
        <v>71</v>
      </c>
      <c r="C65" s="2" t="s">
        <v>73</v>
      </c>
      <c r="D65" s="8">
        <f>Renta_Alta!D65+Masivo!D65+Consumo_Inicial!D65</f>
        <v>-566.15724004430001</v>
      </c>
      <c r="E65" s="8">
        <f>Renta_Alta!E65+Masivo!E65+Consumo_Inicial!E65</f>
        <v>-523.15260996929999</v>
      </c>
      <c r="F65" s="8">
        <f>Renta_Alta!F65+Masivo!F65+Consumo_Inicial!F65</f>
        <v>-574.18295995879998</v>
      </c>
      <c r="G65" s="8">
        <f>Renta_Alta!G65+Masivo!G65+Consumo_Inicial!G65</f>
        <v>-460.39839994499994</v>
      </c>
      <c r="H65" s="8">
        <f>Renta_Alta!H65+Masivo!H65+Consumo_Inicial!H65</f>
        <v>-576.71598008499996</v>
      </c>
      <c r="I65" s="8">
        <f>Renta_Alta!I65+Masivo!I65+Consumo_Inicial!I65</f>
        <v>-564.85800004300006</v>
      </c>
      <c r="J65" s="8">
        <f>Renta_Alta!J65+Masivo!J65+Consumo_Inicial!J65</f>
        <v>-662.23423000399998</v>
      </c>
      <c r="K65" s="8">
        <f>Renta_Alta!K65+Masivo!K65+Consumo_Inicial!K65</f>
        <v>-680.60336000700011</v>
      </c>
      <c r="L65" s="8">
        <f>Renta_Alta!L65+Masivo!L65+Consumo_Inicial!L65</f>
        <v>-676.35918998600005</v>
      </c>
      <c r="M65" s="8">
        <f>Renta_Alta!M65+Masivo!M65+Consumo_Inicial!M65</f>
        <v>-779.86572995500001</v>
      </c>
      <c r="N65" s="8">
        <f>Renta_Alta!N65+Masivo!N65+Consumo_Inicial!N65</f>
        <v>-575.91702003279988</v>
      </c>
      <c r="O65" s="8">
        <f>Renta_Alta!O65+Masivo!O65+Consumo_Inicial!O65</f>
        <v>-991.0722599610001</v>
      </c>
      <c r="P65" s="8">
        <f>Renta_Alta!P65+Masivo!P65+Consumo_Inicial!P65</f>
        <v>-725.54728995839992</v>
      </c>
      <c r="Q65" s="8">
        <f>Renta_Alta!Q65+Masivo!Q65+Consumo_Inicial!Q65</f>
        <v>-650.17592999500005</v>
      </c>
      <c r="R65" s="8">
        <f>Renta_Alta!R65+Masivo!R65+Consumo_Inicial!R65</f>
        <v>-658.26083001399991</v>
      </c>
      <c r="S65" s="8">
        <f>Renta_Alta!S65+Masivo!S65+Consumo_Inicial!S65</f>
        <v>-704.77133003500012</v>
      </c>
      <c r="T65" s="8">
        <f>Renta_Alta!T65+Masivo!T65+Consumo_Inicial!T65</f>
        <v>-788.67093003899993</v>
      </c>
      <c r="U65" s="8">
        <f>Renta_Alta!U65+Masivo!U65+Consumo_Inicial!U65</f>
        <v>-677.40635000400005</v>
      </c>
      <c r="V65" s="8">
        <f>Renta_Alta!V65+Masivo!V65+Consumo_Inicial!V65</f>
        <v>-672.76556007570002</v>
      </c>
      <c r="W65" s="8">
        <f>Renta_Alta!W65+Masivo!W65+Consumo_Inicial!W65</f>
        <v>-857.68489999600001</v>
      </c>
      <c r="X65" s="8">
        <f>Renta_Alta!X65+Masivo!X65+Consumo_Inicial!X65</f>
        <v>-829.90917004899984</v>
      </c>
      <c r="Y65" s="8">
        <f>Renta_Alta!Y65+Masivo!Y65+Consumo_Inicial!Y65</f>
        <v>-683.1041999360001</v>
      </c>
      <c r="Z65" s="8">
        <f>Renta_Alta!Z65+Masivo!Z65+Consumo_Inicial!Z65</f>
        <v>-1189.5779300520001</v>
      </c>
      <c r="AA65" s="8">
        <f>Renta_Alta!AA65+Masivo!AA65+Consumo_Inicial!AA65</f>
        <v>-152.887590035085</v>
      </c>
      <c r="AB65" s="8">
        <f>Renta_Alta!AB65+Masivo!AB65+Consumo_Inicial!AB65</f>
        <v>-945.88041002499995</v>
      </c>
      <c r="AC65" s="8">
        <f>Renta_Alta!AC65+Masivo!AC65+Consumo_Inicial!AC65</f>
        <v>-776.84562997299997</v>
      </c>
      <c r="AD65" s="8">
        <f>Renta_Alta!AD65+Masivo!AD65+Consumo_Inicial!AD65</f>
        <v>-669.29467998900009</v>
      </c>
      <c r="AE65" s="8">
        <f>Renta_Alta!AE65+Masivo!AE65+Consumo_Inicial!AE65</f>
        <v>-788.10349996100001</v>
      </c>
      <c r="AF65" s="8">
        <f>Renta_Alta!AF65+Masivo!AF65+Consumo_Inicial!AF65</f>
        <v>-205.42356004239997</v>
      </c>
      <c r="AG65" s="8">
        <f>Renta_Alta!AG65+Masivo!AG65+Consumo_Inicial!AG65</f>
        <v>-275.69416995649999</v>
      </c>
      <c r="AH65" s="8">
        <f>Renta_Alta!AH65+Masivo!AH65+Consumo_Inicial!AH65</f>
        <v>-228.90348003969999</v>
      </c>
      <c r="AI65" s="8">
        <f>Renta_Alta!AI65+Masivo!AI65+Consumo_Inicial!AI65</f>
        <v>-227.82310004799999</v>
      </c>
      <c r="AJ65" s="8">
        <f>Renta_Alta!AJ65+Masivo!AJ65+Consumo_Inicial!AJ65</f>
        <v>344.63845997519996</v>
      </c>
      <c r="AK65" s="8">
        <f>Renta_Alta!AK65+Masivo!AK65+Consumo_Inicial!AK65</f>
        <v>-204.13103000194999</v>
      </c>
      <c r="AL65" s="8">
        <f>Renta_Alta!AL65+Masivo!AL65+Consumo_Inicial!AL65</f>
        <v>-265.86264995300002</v>
      </c>
      <c r="AM65" s="8">
        <f>Renta_Alta!AM65+Masivo!AM65+Consumo_Inicial!AM65</f>
        <v>-226.55096003100002</v>
      </c>
      <c r="AN65" s="8">
        <f>Renta_Alta!AN65+Masivo!AN65+Consumo_Inicial!AN65</f>
        <v>-333.76348999999982</v>
      </c>
      <c r="AO65" s="8">
        <f>Renta_Alta!AO65+Masivo!AO65+Consumo_Inicial!AO65</f>
        <v>-101.06213000000005</v>
      </c>
      <c r="AP65" s="8">
        <f>Renta_Alta!AP65+Masivo!AP65+Consumo_Inicial!AP65</f>
        <v>-412.63151000000011</v>
      </c>
      <c r="AQ65" s="8">
        <f>Renta_Alta!AQ65+Masivo!AQ65+Consumo_Inicial!AQ65</f>
        <v>-8.1772900000000455</v>
      </c>
      <c r="AR65" s="8">
        <f>Renta_Alta!AR65+Masivo!AR65+Consumo_Inicial!AR65</f>
        <v>-337.3052200000003</v>
      </c>
      <c r="AS65" s="8">
        <f>Renta_Alta!AS65+Masivo!AS65+Consumo_Inicial!AS65</f>
        <v>-142.52613999999969</v>
      </c>
      <c r="AT65" s="8">
        <f>Renta_Alta!AT65+Masivo!AT65+Consumo_Inicial!AT65</f>
        <v>0</v>
      </c>
      <c r="AU65" s="8">
        <f>Renta_Alta!AU65+Masivo!AU65+Consumo_Inicial!AU65</f>
        <v>0</v>
      </c>
      <c r="AV65" s="8">
        <f>Renta_Alta!AV65+Masivo!AV65+Consumo_Inicial!AV65</f>
        <v>0</v>
      </c>
      <c r="AW65" s="8">
        <f>Renta_Alta!AW65+Masivo!AW65+Consumo_Inicial!AW65</f>
        <v>0</v>
      </c>
      <c r="AX65" s="8">
        <f>Renta_Alta!AX65+Masivo!AX65+Consumo_Inicial!AX65</f>
        <v>0</v>
      </c>
      <c r="AY65" s="8">
        <f>Renta_Alta!AY65+Masivo!AY65+Consumo_Inicial!AY65</f>
        <v>0</v>
      </c>
      <c r="AZ65" s="8">
        <f>Renta_Alta!AZ65+Masivo!AZ65+Consumo_Inicial!AZ65</f>
        <v>-409</v>
      </c>
      <c r="BA65" s="8">
        <f>Renta_Alta!BA65+Masivo!BA65+Consumo_Inicial!BA65</f>
        <v>-413</v>
      </c>
      <c r="BB65" s="8">
        <f>Renta_Alta!BB65+Masivo!BB65+Consumo_Inicial!BB65</f>
        <v>-417.99999999999994</v>
      </c>
      <c r="BC65" s="8">
        <f>Renta_Alta!BC65+Masivo!BC65+Consumo_Inicial!BC65</f>
        <v>-421.00000000000006</v>
      </c>
      <c r="BD65" s="8">
        <f>Renta_Alta!BD65+Masivo!BD65+Consumo_Inicial!BD65</f>
        <v>-575</v>
      </c>
      <c r="BE65" s="8">
        <f>Renta_Alta!BE65+Masivo!BE65+Consumo_Inicial!BE65</f>
        <v>-578.99999999999989</v>
      </c>
      <c r="BF65" s="8">
        <f>Renta_Alta!BF65+Masivo!BF65+Consumo_Inicial!BF65</f>
        <v>-633</v>
      </c>
      <c r="BG65" s="8">
        <f>Renta_Alta!BG65+Masivo!BG65+Consumo_Inicial!BG65</f>
        <v>-637</v>
      </c>
      <c r="BH65" s="8">
        <f>Renta_Alta!BH65+Masivo!BH65+Consumo_Inicial!BH65</f>
        <v>-692.00000000000011</v>
      </c>
      <c r="BI65" s="8">
        <f>Renta_Alta!BI65+Masivo!BI65+Consumo_Inicial!BI65</f>
        <v>-696</v>
      </c>
      <c r="BJ65" s="8">
        <f>Renta_Alta!BJ65+Masivo!BJ65+Consumo_Inicial!BJ65</f>
        <v>-800</v>
      </c>
      <c r="BK65" s="8">
        <f>Renta_Alta!BK65+Masivo!BK65+Consumo_Inicial!BK65</f>
        <v>-803</v>
      </c>
      <c r="BO65" s="24">
        <f t="shared" si="72"/>
        <v>-1192.9396400000005</v>
      </c>
      <c r="BP65" s="24">
        <f t="shared" si="72"/>
        <v>-2236</v>
      </c>
      <c r="BQ65" s="24">
        <f t="shared" si="72"/>
        <v>-855.63442000000009</v>
      </c>
      <c r="BR65" s="24">
        <f t="shared" si="72"/>
        <v>-3385.5477799904002</v>
      </c>
      <c r="BS65" s="24">
        <f t="shared" si="72"/>
        <v>-3527.4263100414</v>
      </c>
      <c r="BT65" s="24">
        <f t="shared" si="72"/>
        <v>-2700.6071900023999</v>
      </c>
    </row>
    <row r="66" spans="1:72" hidden="1" outlineLevel="1" x14ac:dyDescent="0.25">
      <c r="A66" s="11" t="s">
        <v>71</v>
      </c>
      <c r="C66" s="2"/>
      <c r="D66" s="8">
        <f>Renta_Alta!D66+Masivo!D66+Consumo_Inicial!D66</f>
        <v>0</v>
      </c>
      <c r="E66" s="8">
        <f>Renta_Alta!E66+Masivo!E66+Consumo_Inicial!E66</f>
        <v>0</v>
      </c>
      <c r="F66" s="8">
        <f>Renta_Alta!F66+Masivo!F66+Consumo_Inicial!F66</f>
        <v>0</v>
      </c>
      <c r="G66" s="8">
        <f>Renta_Alta!G66+Masivo!G66+Consumo_Inicial!G66</f>
        <v>0</v>
      </c>
      <c r="H66" s="8">
        <f>Renta_Alta!H66+Masivo!H66+Consumo_Inicial!H66</f>
        <v>0</v>
      </c>
      <c r="I66" s="8">
        <f>Renta_Alta!I66+Masivo!I66+Consumo_Inicial!I66</f>
        <v>0</v>
      </c>
      <c r="J66" s="8">
        <f>Renta_Alta!J66+Masivo!J66+Consumo_Inicial!J66</f>
        <v>0</v>
      </c>
      <c r="K66" s="8">
        <f>Renta_Alta!K66+Masivo!K66+Consumo_Inicial!K66</f>
        <v>0</v>
      </c>
      <c r="L66" s="8">
        <f>Renta_Alta!L66+Masivo!L66+Consumo_Inicial!L66</f>
        <v>0</v>
      </c>
      <c r="M66" s="8">
        <f>Renta_Alta!M66+Masivo!M66+Consumo_Inicial!M66</f>
        <v>0</v>
      </c>
      <c r="N66" s="8">
        <f>Renta_Alta!N66+Masivo!N66+Consumo_Inicial!N66</f>
        <v>0</v>
      </c>
      <c r="O66" s="8">
        <f>Renta_Alta!O66+Masivo!O66+Consumo_Inicial!O66</f>
        <v>0</v>
      </c>
      <c r="P66" s="8">
        <f>Renta_Alta!P66+Masivo!P66+Consumo_Inicial!P66</f>
        <v>0</v>
      </c>
      <c r="Q66" s="8">
        <f>Renta_Alta!Q66+Masivo!Q66+Consumo_Inicial!Q66</f>
        <v>0</v>
      </c>
      <c r="R66" s="8">
        <f>Renta_Alta!R66+Masivo!R66+Consumo_Inicial!R66</f>
        <v>0</v>
      </c>
      <c r="S66" s="8">
        <f>Renta_Alta!S66+Masivo!S66+Consumo_Inicial!S66</f>
        <v>0</v>
      </c>
      <c r="T66" s="8">
        <f>Renta_Alta!T66+Masivo!T66+Consumo_Inicial!T66</f>
        <v>0</v>
      </c>
      <c r="U66" s="8">
        <f>Renta_Alta!U66+Masivo!U66+Consumo_Inicial!U66</f>
        <v>0</v>
      </c>
      <c r="V66" s="8">
        <f>Renta_Alta!V66+Masivo!V66+Consumo_Inicial!V66</f>
        <v>0</v>
      </c>
      <c r="W66" s="8">
        <f>Renta_Alta!W66+Masivo!W66+Consumo_Inicial!W66</f>
        <v>0</v>
      </c>
      <c r="X66" s="8">
        <f>Renta_Alta!X66+Masivo!X66+Consumo_Inicial!X66</f>
        <v>0</v>
      </c>
      <c r="Y66" s="8">
        <f>Renta_Alta!Y66+Masivo!Y66+Consumo_Inicial!Y66</f>
        <v>0</v>
      </c>
      <c r="Z66" s="8">
        <f>Renta_Alta!Z66+Masivo!Z66+Consumo_Inicial!Z66</f>
        <v>0</v>
      </c>
      <c r="AA66" s="8">
        <f>Renta_Alta!AA66+Masivo!AA66+Consumo_Inicial!AA66</f>
        <v>0</v>
      </c>
      <c r="AB66" s="8">
        <f>Renta_Alta!AB66+Masivo!AB66+Consumo_Inicial!AB66</f>
        <v>0</v>
      </c>
      <c r="AC66" s="8">
        <f>Renta_Alta!AC66+Masivo!AC66+Consumo_Inicial!AC66</f>
        <v>0</v>
      </c>
      <c r="AD66" s="8">
        <f>Renta_Alta!AD66+Masivo!AD66+Consumo_Inicial!AD66</f>
        <v>0</v>
      </c>
      <c r="AE66" s="8">
        <f>Renta_Alta!AE66+Masivo!AE66+Consumo_Inicial!AE66</f>
        <v>0</v>
      </c>
      <c r="AF66" s="8">
        <f>Renta_Alta!AF66+Masivo!AF66+Consumo_Inicial!AF66</f>
        <v>0</v>
      </c>
      <c r="AG66" s="8">
        <f>Renta_Alta!AG66+Masivo!AG66+Consumo_Inicial!AG66</f>
        <v>0</v>
      </c>
      <c r="AH66" s="8">
        <f>Renta_Alta!AH66+Masivo!AH66+Consumo_Inicial!AH66</f>
        <v>0</v>
      </c>
      <c r="AI66" s="8">
        <f>Renta_Alta!AI66+Masivo!AI66+Consumo_Inicial!AI66</f>
        <v>0</v>
      </c>
      <c r="AJ66" s="8">
        <f>Renta_Alta!AJ66+Masivo!AJ66+Consumo_Inicial!AJ66</f>
        <v>0</v>
      </c>
      <c r="AK66" s="8">
        <f>Renta_Alta!AK66+Masivo!AK66+Consumo_Inicial!AK66</f>
        <v>0</v>
      </c>
      <c r="AL66" s="8">
        <f>Renta_Alta!AL66+Masivo!AL66+Consumo_Inicial!AL66</f>
        <v>0</v>
      </c>
      <c r="AM66" s="8">
        <f>Renta_Alta!AM66+Masivo!AM66+Consumo_Inicial!AM66</f>
        <v>0</v>
      </c>
      <c r="AN66" s="8">
        <f>Renta_Alta!AN66+Masivo!AN66+Consumo_Inicial!AN66</f>
        <v>0</v>
      </c>
      <c r="AO66" s="8">
        <f>Renta_Alta!AO66+Masivo!AO66+Consumo_Inicial!AO66</f>
        <v>0</v>
      </c>
      <c r="AP66" s="8">
        <f>Renta_Alta!AP66+Masivo!AP66+Consumo_Inicial!AP66</f>
        <v>0</v>
      </c>
      <c r="AQ66" s="8">
        <f>Renta_Alta!AQ66+Masivo!AQ66+Consumo_Inicial!AQ66</f>
        <v>0</v>
      </c>
      <c r="AR66" s="8">
        <f>Renta_Alta!AR66+Masivo!AR66+Consumo_Inicial!AR66</f>
        <v>0</v>
      </c>
      <c r="AS66" s="8">
        <f>Renta_Alta!AS66+Masivo!AS66+Consumo_Inicial!AS66</f>
        <v>0</v>
      </c>
      <c r="AT66" s="8">
        <f>Renta_Alta!AT66+Masivo!AT66+Consumo_Inicial!AT66</f>
        <v>0</v>
      </c>
      <c r="AU66" s="8">
        <f>Renta_Alta!AU66+Masivo!AU66+Consumo_Inicial!AU66</f>
        <v>0</v>
      </c>
      <c r="AV66" s="8">
        <f>Renta_Alta!AV66+Masivo!AV66+Consumo_Inicial!AV66</f>
        <v>0</v>
      </c>
      <c r="AW66" s="8">
        <f>Renta_Alta!AW66+Masivo!AW66+Consumo_Inicial!AW66</f>
        <v>0</v>
      </c>
      <c r="AX66" s="8">
        <f>Renta_Alta!AX66+Masivo!AX66+Consumo_Inicial!AX66</f>
        <v>0</v>
      </c>
      <c r="AY66" s="8">
        <f>Renta_Alta!AY66+Masivo!AY66+Consumo_Inicial!AY66</f>
        <v>0</v>
      </c>
      <c r="AZ66" s="8">
        <f>Renta_Alta!AZ66+Masivo!AZ66+Consumo_Inicial!AZ66</f>
        <v>0</v>
      </c>
      <c r="BA66" s="8">
        <f>Renta_Alta!BA66+Masivo!BA66+Consumo_Inicial!BA66</f>
        <v>0</v>
      </c>
      <c r="BB66" s="8">
        <f>Renta_Alta!BB66+Masivo!BB66+Consumo_Inicial!BB66</f>
        <v>0</v>
      </c>
      <c r="BC66" s="8">
        <f>Renta_Alta!BC66+Masivo!BC66+Consumo_Inicial!BC66</f>
        <v>0</v>
      </c>
      <c r="BD66" s="8">
        <f>Renta_Alta!BD66+Masivo!BD66+Consumo_Inicial!BD66</f>
        <v>0</v>
      </c>
      <c r="BE66" s="8">
        <f>Renta_Alta!BE66+Masivo!BE66+Consumo_Inicial!BE66</f>
        <v>0</v>
      </c>
      <c r="BF66" s="8">
        <f>Renta_Alta!BF66+Masivo!BF66+Consumo_Inicial!BF66</f>
        <v>0</v>
      </c>
      <c r="BG66" s="8">
        <f>Renta_Alta!BG66+Masivo!BG66+Consumo_Inicial!BG66</f>
        <v>0</v>
      </c>
      <c r="BH66" s="8">
        <f>Renta_Alta!BH66+Masivo!BH66+Consumo_Inicial!BH66</f>
        <v>0</v>
      </c>
      <c r="BI66" s="8">
        <f>Renta_Alta!BI66+Masivo!BI66+Consumo_Inicial!BI66</f>
        <v>0</v>
      </c>
      <c r="BJ66" s="8">
        <f>Renta_Alta!BJ66+Masivo!BJ66+Consumo_Inicial!BJ66</f>
        <v>0</v>
      </c>
      <c r="BK66" s="8">
        <f>Renta_Alta!BK66+Masivo!BK66+Consumo_Inicial!BK66</f>
        <v>0</v>
      </c>
      <c r="BO66" s="24">
        <f t="shared" si="72"/>
        <v>0</v>
      </c>
      <c r="BP66" s="24">
        <f t="shared" si="72"/>
        <v>0</v>
      </c>
      <c r="BQ66" s="24">
        <f t="shared" si="72"/>
        <v>0</v>
      </c>
      <c r="BR66" s="24">
        <f t="shared" si="72"/>
        <v>0</v>
      </c>
      <c r="BS66" s="24">
        <f t="shared" si="72"/>
        <v>0</v>
      </c>
      <c r="BT66" s="24">
        <f t="shared" si="72"/>
        <v>0</v>
      </c>
    </row>
    <row r="67" spans="1:72" hidden="1" outlineLevel="1" x14ac:dyDescent="0.25">
      <c r="A67" s="11" t="s">
        <v>71</v>
      </c>
      <c r="C67" s="2"/>
      <c r="D67" s="8">
        <f>Renta_Alta!D67+Masivo!D67+Consumo_Inicial!D67</f>
        <v>0</v>
      </c>
      <c r="E67" s="8">
        <f>Renta_Alta!E67+Masivo!E67+Consumo_Inicial!E67</f>
        <v>0</v>
      </c>
      <c r="F67" s="8">
        <f>Renta_Alta!F67+Masivo!F67+Consumo_Inicial!F67</f>
        <v>0</v>
      </c>
      <c r="G67" s="8">
        <f>Renta_Alta!G67+Masivo!G67+Consumo_Inicial!G67</f>
        <v>0</v>
      </c>
      <c r="H67" s="8">
        <f>Renta_Alta!H67+Masivo!H67+Consumo_Inicial!H67</f>
        <v>0</v>
      </c>
      <c r="I67" s="8">
        <f>Renta_Alta!I67+Masivo!I67+Consumo_Inicial!I67</f>
        <v>0</v>
      </c>
      <c r="J67" s="8">
        <f>Renta_Alta!J67+Masivo!J67+Consumo_Inicial!J67</f>
        <v>0</v>
      </c>
      <c r="K67" s="8">
        <f>Renta_Alta!K67+Masivo!K67+Consumo_Inicial!K67</f>
        <v>0</v>
      </c>
      <c r="L67" s="8">
        <f>Renta_Alta!L67+Masivo!L67+Consumo_Inicial!L67</f>
        <v>0</v>
      </c>
      <c r="M67" s="8">
        <f>Renta_Alta!M67+Masivo!M67+Consumo_Inicial!M67</f>
        <v>0</v>
      </c>
      <c r="N67" s="8">
        <f>Renta_Alta!N67+Masivo!N67+Consumo_Inicial!N67</f>
        <v>0</v>
      </c>
      <c r="O67" s="8">
        <f>Renta_Alta!O67+Masivo!O67+Consumo_Inicial!O67</f>
        <v>0</v>
      </c>
      <c r="P67" s="8">
        <f>Renta_Alta!P67+Masivo!P67+Consumo_Inicial!P67</f>
        <v>0</v>
      </c>
      <c r="Q67" s="8">
        <f>Renta_Alta!Q67+Masivo!Q67+Consumo_Inicial!Q67</f>
        <v>0</v>
      </c>
      <c r="R67" s="8">
        <f>Renta_Alta!R67+Masivo!R67+Consumo_Inicial!R67</f>
        <v>0</v>
      </c>
      <c r="S67" s="8">
        <f>Renta_Alta!S67+Masivo!S67+Consumo_Inicial!S67</f>
        <v>0</v>
      </c>
      <c r="T67" s="8">
        <f>Renta_Alta!T67+Masivo!T67+Consumo_Inicial!T67</f>
        <v>0</v>
      </c>
      <c r="U67" s="8">
        <f>Renta_Alta!U67+Masivo!U67+Consumo_Inicial!U67</f>
        <v>0</v>
      </c>
      <c r="V67" s="8">
        <f>Renta_Alta!V67+Masivo!V67+Consumo_Inicial!V67</f>
        <v>0</v>
      </c>
      <c r="W67" s="8">
        <f>Renta_Alta!W67+Masivo!W67+Consumo_Inicial!W67</f>
        <v>0</v>
      </c>
      <c r="X67" s="8">
        <f>Renta_Alta!X67+Masivo!X67+Consumo_Inicial!X67</f>
        <v>0</v>
      </c>
      <c r="Y67" s="8">
        <f>Renta_Alta!Y67+Masivo!Y67+Consumo_Inicial!Y67</f>
        <v>0</v>
      </c>
      <c r="Z67" s="8">
        <f>Renta_Alta!Z67+Masivo!Z67+Consumo_Inicial!Z67</f>
        <v>0</v>
      </c>
      <c r="AA67" s="8">
        <f>Renta_Alta!AA67+Masivo!AA67+Consumo_Inicial!AA67</f>
        <v>0</v>
      </c>
      <c r="AB67" s="8">
        <f>Renta_Alta!AB67+Masivo!AB67+Consumo_Inicial!AB67</f>
        <v>0</v>
      </c>
      <c r="AC67" s="8">
        <f>Renta_Alta!AC67+Masivo!AC67+Consumo_Inicial!AC67</f>
        <v>0</v>
      </c>
      <c r="AD67" s="8">
        <f>Renta_Alta!AD67+Masivo!AD67+Consumo_Inicial!AD67</f>
        <v>0</v>
      </c>
      <c r="AE67" s="8">
        <f>Renta_Alta!AE67+Masivo!AE67+Consumo_Inicial!AE67</f>
        <v>0</v>
      </c>
      <c r="AF67" s="8">
        <f>Renta_Alta!AF67+Masivo!AF67+Consumo_Inicial!AF67</f>
        <v>0</v>
      </c>
      <c r="AG67" s="8">
        <f>Renta_Alta!AG67+Masivo!AG67+Consumo_Inicial!AG67</f>
        <v>0</v>
      </c>
      <c r="AH67" s="8">
        <f>Renta_Alta!AH67+Masivo!AH67+Consumo_Inicial!AH67</f>
        <v>0</v>
      </c>
      <c r="AI67" s="8">
        <f>Renta_Alta!AI67+Masivo!AI67+Consumo_Inicial!AI67</f>
        <v>0</v>
      </c>
      <c r="AJ67" s="8">
        <f>Renta_Alta!AJ67+Masivo!AJ67+Consumo_Inicial!AJ67</f>
        <v>0</v>
      </c>
      <c r="AK67" s="8">
        <f>Renta_Alta!AK67+Masivo!AK67+Consumo_Inicial!AK67</f>
        <v>0</v>
      </c>
      <c r="AL67" s="8">
        <f>Renta_Alta!AL67+Masivo!AL67+Consumo_Inicial!AL67</f>
        <v>0</v>
      </c>
      <c r="AM67" s="8">
        <f>Renta_Alta!AM67+Masivo!AM67+Consumo_Inicial!AM67</f>
        <v>0</v>
      </c>
      <c r="AN67" s="8">
        <f>Renta_Alta!AN67+Masivo!AN67+Consumo_Inicial!AN67</f>
        <v>0</v>
      </c>
      <c r="AO67" s="8">
        <f>Renta_Alta!AO67+Masivo!AO67+Consumo_Inicial!AO67</f>
        <v>0</v>
      </c>
      <c r="AP67" s="8">
        <f>Renta_Alta!AP67+Masivo!AP67+Consumo_Inicial!AP67</f>
        <v>0</v>
      </c>
      <c r="AQ67" s="8">
        <f>Renta_Alta!AQ67+Masivo!AQ67+Consumo_Inicial!AQ67</f>
        <v>0</v>
      </c>
      <c r="AR67" s="8">
        <f>Renta_Alta!AR67+Masivo!AR67+Consumo_Inicial!AR67</f>
        <v>0</v>
      </c>
      <c r="AS67" s="8">
        <f>Renta_Alta!AS67+Masivo!AS67+Consumo_Inicial!AS67</f>
        <v>0</v>
      </c>
      <c r="AT67" s="8">
        <f>Renta_Alta!AT67+Masivo!AT67+Consumo_Inicial!AT67</f>
        <v>0</v>
      </c>
      <c r="AU67" s="8">
        <f>Renta_Alta!AU67+Masivo!AU67+Consumo_Inicial!AU67</f>
        <v>0</v>
      </c>
      <c r="AV67" s="8">
        <f>Renta_Alta!AV67+Masivo!AV67+Consumo_Inicial!AV67</f>
        <v>0</v>
      </c>
      <c r="AW67" s="8">
        <f>Renta_Alta!AW67+Masivo!AW67+Consumo_Inicial!AW67</f>
        <v>0</v>
      </c>
      <c r="AX67" s="8">
        <f>Renta_Alta!AX67+Masivo!AX67+Consumo_Inicial!AX67</f>
        <v>0</v>
      </c>
      <c r="AY67" s="8">
        <f>Renta_Alta!AY67+Masivo!AY67+Consumo_Inicial!AY67</f>
        <v>0</v>
      </c>
      <c r="AZ67" s="8">
        <f>Renta_Alta!AZ67+Masivo!AZ67+Consumo_Inicial!AZ67</f>
        <v>0</v>
      </c>
      <c r="BA67" s="8">
        <f>Renta_Alta!BA67+Masivo!BA67+Consumo_Inicial!BA67</f>
        <v>0</v>
      </c>
      <c r="BB67" s="8">
        <f>Renta_Alta!BB67+Masivo!BB67+Consumo_Inicial!BB67</f>
        <v>0</v>
      </c>
      <c r="BC67" s="8">
        <f>Renta_Alta!BC67+Masivo!BC67+Consumo_Inicial!BC67</f>
        <v>0</v>
      </c>
      <c r="BD67" s="8">
        <f>Renta_Alta!BD67+Masivo!BD67+Consumo_Inicial!BD67</f>
        <v>0</v>
      </c>
      <c r="BE67" s="8">
        <f>Renta_Alta!BE67+Masivo!BE67+Consumo_Inicial!BE67</f>
        <v>0</v>
      </c>
      <c r="BF67" s="8">
        <f>Renta_Alta!BF67+Masivo!BF67+Consumo_Inicial!BF67</f>
        <v>0</v>
      </c>
      <c r="BG67" s="8">
        <f>Renta_Alta!BG67+Masivo!BG67+Consumo_Inicial!BG67</f>
        <v>0</v>
      </c>
      <c r="BH67" s="8">
        <f>Renta_Alta!BH67+Masivo!BH67+Consumo_Inicial!BH67</f>
        <v>0</v>
      </c>
      <c r="BI67" s="8">
        <f>Renta_Alta!BI67+Masivo!BI67+Consumo_Inicial!BI67</f>
        <v>0</v>
      </c>
      <c r="BJ67" s="8">
        <f>Renta_Alta!BJ67+Masivo!BJ67+Consumo_Inicial!BJ67</f>
        <v>0</v>
      </c>
      <c r="BK67" s="8">
        <f>Renta_Alta!BK67+Masivo!BK67+Consumo_Inicial!BK67</f>
        <v>0</v>
      </c>
      <c r="BO67" s="24">
        <f t="shared" si="72"/>
        <v>0</v>
      </c>
      <c r="BP67" s="24">
        <f t="shared" si="72"/>
        <v>0</v>
      </c>
      <c r="BQ67" s="24">
        <f t="shared" si="72"/>
        <v>0</v>
      </c>
      <c r="BR67" s="24">
        <f t="shared" si="72"/>
        <v>0</v>
      </c>
      <c r="BS67" s="24">
        <f t="shared" si="72"/>
        <v>0</v>
      </c>
      <c r="BT67" s="24">
        <f t="shared" si="72"/>
        <v>0</v>
      </c>
    </row>
    <row r="68" spans="1:72" hidden="1" outlineLevel="1" x14ac:dyDescent="0.25">
      <c r="A68" s="11" t="s">
        <v>71</v>
      </c>
      <c r="C68" s="2"/>
      <c r="D68" s="8">
        <f>Renta_Alta!D68+Masivo!D68+Consumo_Inicial!D68</f>
        <v>0</v>
      </c>
      <c r="E68" s="8">
        <f>Renta_Alta!E68+Masivo!E68+Consumo_Inicial!E68</f>
        <v>0</v>
      </c>
      <c r="F68" s="8">
        <f>Renta_Alta!F68+Masivo!F68+Consumo_Inicial!F68</f>
        <v>0</v>
      </c>
      <c r="G68" s="8">
        <f>Renta_Alta!G68+Masivo!G68+Consumo_Inicial!G68</f>
        <v>0</v>
      </c>
      <c r="H68" s="8">
        <f>Renta_Alta!H68+Masivo!H68+Consumo_Inicial!H68</f>
        <v>0</v>
      </c>
      <c r="I68" s="8">
        <f>Renta_Alta!I68+Masivo!I68+Consumo_Inicial!I68</f>
        <v>0</v>
      </c>
      <c r="J68" s="8">
        <f>Renta_Alta!J68+Masivo!J68+Consumo_Inicial!J68</f>
        <v>0</v>
      </c>
      <c r="K68" s="8">
        <f>Renta_Alta!K68+Masivo!K68+Consumo_Inicial!K68</f>
        <v>0</v>
      </c>
      <c r="L68" s="8">
        <f>Renta_Alta!L68+Masivo!L68+Consumo_Inicial!L68</f>
        <v>0</v>
      </c>
      <c r="M68" s="8">
        <f>Renta_Alta!M68+Masivo!M68+Consumo_Inicial!M68</f>
        <v>0</v>
      </c>
      <c r="N68" s="8">
        <f>Renta_Alta!N68+Masivo!N68+Consumo_Inicial!N68</f>
        <v>0</v>
      </c>
      <c r="O68" s="8">
        <f>Renta_Alta!O68+Masivo!O68+Consumo_Inicial!O68</f>
        <v>0</v>
      </c>
      <c r="P68" s="8">
        <f>Renta_Alta!P68+Masivo!P68+Consumo_Inicial!P68</f>
        <v>0</v>
      </c>
      <c r="Q68" s="8">
        <f>Renta_Alta!Q68+Masivo!Q68+Consumo_Inicial!Q68</f>
        <v>0</v>
      </c>
      <c r="R68" s="8">
        <f>Renta_Alta!R68+Masivo!R68+Consumo_Inicial!R68</f>
        <v>0</v>
      </c>
      <c r="S68" s="8">
        <f>Renta_Alta!S68+Masivo!S68+Consumo_Inicial!S68</f>
        <v>0</v>
      </c>
      <c r="T68" s="8">
        <f>Renta_Alta!T68+Masivo!T68+Consumo_Inicial!T68</f>
        <v>0</v>
      </c>
      <c r="U68" s="8">
        <f>Renta_Alta!U68+Masivo!U68+Consumo_Inicial!U68</f>
        <v>0</v>
      </c>
      <c r="V68" s="8">
        <f>Renta_Alta!V68+Masivo!V68+Consumo_Inicial!V68</f>
        <v>0</v>
      </c>
      <c r="W68" s="8">
        <f>Renta_Alta!W68+Masivo!W68+Consumo_Inicial!W68</f>
        <v>0</v>
      </c>
      <c r="X68" s="8">
        <f>Renta_Alta!X68+Masivo!X68+Consumo_Inicial!X68</f>
        <v>0</v>
      </c>
      <c r="Y68" s="8">
        <f>Renta_Alta!Y68+Masivo!Y68+Consumo_Inicial!Y68</f>
        <v>0</v>
      </c>
      <c r="Z68" s="8">
        <f>Renta_Alta!Z68+Masivo!Z68+Consumo_Inicial!Z68</f>
        <v>0</v>
      </c>
      <c r="AA68" s="8">
        <f>Renta_Alta!AA68+Masivo!AA68+Consumo_Inicial!AA68</f>
        <v>0</v>
      </c>
      <c r="AB68" s="8">
        <f>Renta_Alta!AB68+Masivo!AB68+Consumo_Inicial!AB68</f>
        <v>0</v>
      </c>
      <c r="AC68" s="8">
        <f>Renta_Alta!AC68+Masivo!AC68+Consumo_Inicial!AC68</f>
        <v>0</v>
      </c>
      <c r="AD68" s="8">
        <f>Renta_Alta!AD68+Masivo!AD68+Consumo_Inicial!AD68</f>
        <v>0</v>
      </c>
      <c r="AE68" s="8">
        <f>Renta_Alta!AE68+Masivo!AE68+Consumo_Inicial!AE68</f>
        <v>0</v>
      </c>
      <c r="AF68" s="8">
        <f>Renta_Alta!AF68+Masivo!AF68+Consumo_Inicial!AF68</f>
        <v>0</v>
      </c>
      <c r="AG68" s="8">
        <f>Renta_Alta!AG68+Masivo!AG68+Consumo_Inicial!AG68</f>
        <v>0</v>
      </c>
      <c r="AH68" s="8">
        <f>Renta_Alta!AH68+Masivo!AH68+Consumo_Inicial!AH68</f>
        <v>0</v>
      </c>
      <c r="AI68" s="8">
        <f>Renta_Alta!AI68+Masivo!AI68+Consumo_Inicial!AI68</f>
        <v>0</v>
      </c>
      <c r="AJ68" s="8">
        <f>Renta_Alta!AJ68+Masivo!AJ68+Consumo_Inicial!AJ68</f>
        <v>0</v>
      </c>
      <c r="AK68" s="8">
        <f>Renta_Alta!AK68+Masivo!AK68+Consumo_Inicial!AK68</f>
        <v>0</v>
      </c>
      <c r="AL68" s="8">
        <f>Renta_Alta!AL68+Masivo!AL68+Consumo_Inicial!AL68</f>
        <v>0</v>
      </c>
      <c r="AM68" s="8">
        <f>Renta_Alta!AM68+Masivo!AM68+Consumo_Inicial!AM68</f>
        <v>0</v>
      </c>
      <c r="AN68" s="8">
        <f>Renta_Alta!AN68+Masivo!AN68+Consumo_Inicial!AN68</f>
        <v>0</v>
      </c>
      <c r="AO68" s="8">
        <f>Renta_Alta!AO68+Masivo!AO68+Consumo_Inicial!AO68</f>
        <v>0</v>
      </c>
      <c r="AP68" s="8">
        <f>Renta_Alta!AP68+Masivo!AP68+Consumo_Inicial!AP68</f>
        <v>0</v>
      </c>
      <c r="AQ68" s="8">
        <f>Renta_Alta!AQ68+Masivo!AQ68+Consumo_Inicial!AQ68</f>
        <v>0</v>
      </c>
      <c r="AR68" s="8">
        <f>Renta_Alta!AR68+Masivo!AR68+Consumo_Inicial!AR68</f>
        <v>0</v>
      </c>
      <c r="AS68" s="8">
        <f>Renta_Alta!AS68+Masivo!AS68+Consumo_Inicial!AS68</f>
        <v>0</v>
      </c>
      <c r="AT68" s="8">
        <f>Renta_Alta!AT68+Masivo!AT68+Consumo_Inicial!AT68</f>
        <v>0</v>
      </c>
      <c r="AU68" s="8">
        <f>Renta_Alta!AU68+Masivo!AU68+Consumo_Inicial!AU68</f>
        <v>0</v>
      </c>
      <c r="AV68" s="8">
        <f>Renta_Alta!AV68+Masivo!AV68+Consumo_Inicial!AV68</f>
        <v>0</v>
      </c>
      <c r="AW68" s="8">
        <f>Renta_Alta!AW68+Masivo!AW68+Consumo_Inicial!AW68</f>
        <v>0</v>
      </c>
      <c r="AX68" s="8">
        <f>Renta_Alta!AX68+Masivo!AX68+Consumo_Inicial!AX68</f>
        <v>0</v>
      </c>
      <c r="AY68" s="8">
        <f>Renta_Alta!AY68+Masivo!AY68+Consumo_Inicial!AY68</f>
        <v>0</v>
      </c>
      <c r="AZ68" s="8">
        <f>Renta_Alta!AZ68+Masivo!AZ68+Consumo_Inicial!AZ68</f>
        <v>0</v>
      </c>
      <c r="BA68" s="8">
        <f>Renta_Alta!BA68+Masivo!BA68+Consumo_Inicial!BA68</f>
        <v>0</v>
      </c>
      <c r="BB68" s="8">
        <f>Renta_Alta!BB68+Masivo!BB68+Consumo_Inicial!BB68</f>
        <v>0</v>
      </c>
      <c r="BC68" s="8">
        <f>Renta_Alta!BC68+Masivo!BC68+Consumo_Inicial!BC68</f>
        <v>0</v>
      </c>
      <c r="BD68" s="8">
        <f>Renta_Alta!BD68+Masivo!BD68+Consumo_Inicial!BD68</f>
        <v>0</v>
      </c>
      <c r="BE68" s="8">
        <f>Renta_Alta!BE68+Masivo!BE68+Consumo_Inicial!BE68</f>
        <v>0</v>
      </c>
      <c r="BF68" s="8">
        <f>Renta_Alta!BF68+Masivo!BF68+Consumo_Inicial!BF68</f>
        <v>0</v>
      </c>
      <c r="BG68" s="8">
        <f>Renta_Alta!BG68+Masivo!BG68+Consumo_Inicial!BG68</f>
        <v>0</v>
      </c>
      <c r="BH68" s="8">
        <f>Renta_Alta!BH68+Masivo!BH68+Consumo_Inicial!BH68</f>
        <v>0</v>
      </c>
      <c r="BI68" s="8">
        <f>Renta_Alta!BI68+Masivo!BI68+Consumo_Inicial!BI68</f>
        <v>0</v>
      </c>
      <c r="BJ68" s="8">
        <f>Renta_Alta!BJ68+Masivo!BJ68+Consumo_Inicial!BJ68</f>
        <v>0</v>
      </c>
      <c r="BK68" s="8">
        <f>Renta_Alta!BK68+Masivo!BK68+Consumo_Inicial!BK68</f>
        <v>0</v>
      </c>
      <c r="BO68" s="24">
        <f t="shared" si="72"/>
        <v>0</v>
      </c>
      <c r="BP68" s="24">
        <f t="shared" si="72"/>
        <v>0</v>
      </c>
      <c r="BQ68" s="24">
        <f t="shared" si="72"/>
        <v>0</v>
      </c>
      <c r="BR68" s="24">
        <f t="shared" si="72"/>
        <v>0</v>
      </c>
      <c r="BS68" s="24">
        <f t="shared" si="72"/>
        <v>0</v>
      </c>
      <c r="BT68" s="24">
        <f t="shared" si="72"/>
        <v>0</v>
      </c>
    </row>
    <row r="69" spans="1:72" hidden="1" outlineLevel="1" x14ac:dyDescent="0.25">
      <c r="A69" s="11" t="s">
        <v>71</v>
      </c>
      <c r="C69" s="2"/>
      <c r="D69" s="8">
        <f>Renta_Alta!D69+Masivo!D69+Consumo_Inicial!D69</f>
        <v>0</v>
      </c>
      <c r="E69" s="8">
        <f>Renta_Alta!E69+Masivo!E69+Consumo_Inicial!E69</f>
        <v>0</v>
      </c>
      <c r="F69" s="8">
        <f>Renta_Alta!F69+Masivo!F69+Consumo_Inicial!F69</f>
        <v>0</v>
      </c>
      <c r="G69" s="8">
        <f>Renta_Alta!G69+Masivo!G69+Consumo_Inicial!G69</f>
        <v>0</v>
      </c>
      <c r="H69" s="8">
        <f>Renta_Alta!H69+Masivo!H69+Consumo_Inicial!H69</f>
        <v>0</v>
      </c>
      <c r="I69" s="8">
        <f>Renta_Alta!I69+Masivo!I69+Consumo_Inicial!I69</f>
        <v>0</v>
      </c>
      <c r="J69" s="8">
        <f>Renta_Alta!J69+Masivo!J69+Consumo_Inicial!J69</f>
        <v>0</v>
      </c>
      <c r="K69" s="8">
        <f>Renta_Alta!K69+Masivo!K69+Consumo_Inicial!K69</f>
        <v>0</v>
      </c>
      <c r="L69" s="8">
        <f>Renta_Alta!L69+Masivo!L69+Consumo_Inicial!L69</f>
        <v>0</v>
      </c>
      <c r="M69" s="8">
        <f>Renta_Alta!M69+Masivo!M69+Consumo_Inicial!M69</f>
        <v>0</v>
      </c>
      <c r="N69" s="8">
        <f>Renta_Alta!N69+Masivo!N69+Consumo_Inicial!N69</f>
        <v>0</v>
      </c>
      <c r="O69" s="8">
        <f>Renta_Alta!O69+Masivo!O69+Consumo_Inicial!O69</f>
        <v>0</v>
      </c>
      <c r="P69" s="8">
        <f>Renta_Alta!P69+Masivo!P69+Consumo_Inicial!P69</f>
        <v>0</v>
      </c>
      <c r="Q69" s="8">
        <f>Renta_Alta!Q69+Masivo!Q69+Consumo_Inicial!Q69</f>
        <v>0</v>
      </c>
      <c r="R69" s="8">
        <f>Renta_Alta!R69+Masivo!R69+Consumo_Inicial!R69</f>
        <v>0</v>
      </c>
      <c r="S69" s="8">
        <f>Renta_Alta!S69+Masivo!S69+Consumo_Inicial!S69</f>
        <v>0</v>
      </c>
      <c r="T69" s="8">
        <f>Renta_Alta!T69+Masivo!T69+Consumo_Inicial!T69</f>
        <v>0</v>
      </c>
      <c r="U69" s="8">
        <f>Renta_Alta!U69+Masivo!U69+Consumo_Inicial!U69</f>
        <v>0</v>
      </c>
      <c r="V69" s="8">
        <f>Renta_Alta!V69+Masivo!V69+Consumo_Inicial!V69</f>
        <v>0</v>
      </c>
      <c r="W69" s="8">
        <f>Renta_Alta!W69+Masivo!W69+Consumo_Inicial!W69</f>
        <v>0</v>
      </c>
      <c r="X69" s="8">
        <f>Renta_Alta!X69+Masivo!X69+Consumo_Inicial!X69</f>
        <v>0</v>
      </c>
      <c r="Y69" s="8">
        <f>Renta_Alta!Y69+Masivo!Y69+Consumo_Inicial!Y69</f>
        <v>0</v>
      </c>
      <c r="Z69" s="8">
        <f>Renta_Alta!Z69+Masivo!Z69+Consumo_Inicial!Z69</f>
        <v>0</v>
      </c>
      <c r="AA69" s="8">
        <f>Renta_Alta!AA69+Masivo!AA69+Consumo_Inicial!AA69</f>
        <v>0</v>
      </c>
      <c r="AB69" s="8">
        <f>Renta_Alta!AB69+Masivo!AB69+Consumo_Inicial!AB69</f>
        <v>0</v>
      </c>
      <c r="AC69" s="8">
        <f>Renta_Alta!AC69+Masivo!AC69+Consumo_Inicial!AC69</f>
        <v>0</v>
      </c>
      <c r="AD69" s="8">
        <f>Renta_Alta!AD69+Masivo!AD69+Consumo_Inicial!AD69</f>
        <v>0</v>
      </c>
      <c r="AE69" s="8">
        <f>Renta_Alta!AE69+Masivo!AE69+Consumo_Inicial!AE69</f>
        <v>0</v>
      </c>
      <c r="AF69" s="8">
        <f>Renta_Alta!AF69+Masivo!AF69+Consumo_Inicial!AF69</f>
        <v>0</v>
      </c>
      <c r="AG69" s="8">
        <f>Renta_Alta!AG69+Masivo!AG69+Consumo_Inicial!AG69</f>
        <v>0</v>
      </c>
      <c r="AH69" s="8">
        <f>Renta_Alta!AH69+Masivo!AH69+Consumo_Inicial!AH69</f>
        <v>0</v>
      </c>
      <c r="AI69" s="8">
        <f>Renta_Alta!AI69+Masivo!AI69+Consumo_Inicial!AI69</f>
        <v>0</v>
      </c>
      <c r="AJ69" s="8">
        <f>Renta_Alta!AJ69+Masivo!AJ69+Consumo_Inicial!AJ69</f>
        <v>0</v>
      </c>
      <c r="AK69" s="8">
        <f>Renta_Alta!AK69+Masivo!AK69+Consumo_Inicial!AK69</f>
        <v>0</v>
      </c>
      <c r="AL69" s="8">
        <f>Renta_Alta!AL69+Masivo!AL69+Consumo_Inicial!AL69</f>
        <v>0</v>
      </c>
      <c r="AM69" s="8">
        <f>Renta_Alta!AM69+Masivo!AM69+Consumo_Inicial!AM69</f>
        <v>0</v>
      </c>
      <c r="AN69" s="8">
        <f>Renta_Alta!AN69+Masivo!AN69+Consumo_Inicial!AN69</f>
        <v>0</v>
      </c>
      <c r="AO69" s="8">
        <f>Renta_Alta!AO69+Masivo!AO69+Consumo_Inicial!AO69</f>
        <v>0</v>
      </c>
      <c r="AP69" s="8">
        <f>Renta_Alta!AP69+Masivo!AP69+Consumo_Inicial!AP69</f>
        <v>0</v>
      </c>
      <c r="AQ69" s="8">
        <f>Renta_Alta!AQ69+Masivo!AQ69+Consumo_Inicial!AQ69</f>
        <v>0</v>
      </c>
      <c r="AR69" s="8">
        <f>Renta_Alta!AR69+Masivo!AR69+Consumo_Inicial!AR69</f>
        <v>0</v>
      </c>
      <c r="AS69" s="8">
        <f>Renta_Alta!AS69+Masivo!AS69+Consumo_Inicial!AS69</f>
        <v>0</v>
      </c>
      <c r="AT69" s="8">
        <f>Renta_Alta!AT69+Masivo!AT69+Consumo_Inicial!AT69</f>
        <v>0</v>
      </c>
      <c r="AU69" s="8">
        <f>Renta_Alta!AU69+Masivo!AU69+Consumo_Inicial!AU69</f>
        <v>0</v>
      </c>
      <c r="AV69" s="8">
        <f>Renta_Alta!AV69+Masivo!AV69+Consumo_Inicial!AV69</f>
        <v>0</v>
      </c>
      <c r="AW69" s="8">
        <f>Renta_Alta!AW69+Masivo!AW69+Consumo_Inicial!AW69</f>
        <v>0</v>
      </c>
      <c r="AX69" s="8">
        <f>Renta_Alta!AX69+Masivo!AX69+Consumo_Inicial!AX69</f>
        <v>0</v>
      </c>
      <c r="AY69" s="8">
        <f>Renta_Alta!AY69+Masivo!AY69+Consumo_Inicial!AY69</f>
        <v>0</v>
      </c>
      <c r="AZ69" s="8">
        <f>Renta_Alta!AZ69+Masivo!AZ69+Consumo_Inicial!AZ69</f>
        <v>0</v>
      </c>
      <c r="BA69" s="8">
        <f>Renta_Alta!BA69+Masivo!BA69+Consumo_Inicial!BA69</f>
        <v>0</v>
      </c>
      <c r="BB69" s="8">
        <f>Renta_Alta!BB69+Masivo!BB69+Consumo_Inicial!BB69</f>
        <v>0</v>
      </c>
      <c r="BC69" s="8">
        <f>Renta_Alta!BC69+Masivo!BC69+Consumo_Inicial!BC69</f>
        <v>0</v>
      </c>
      <c r="BD69" s="8">
        <f>Renta_Alta!BD69+Masivo!BD69+Consumo_Inicial!BD69</f>
        <v>0</v>
      </c>
      <c r="BE69" s="8">
        <f>Renta_Alta!BE69+Masivo!BE69+Consumo_Inicial!BE69</f>
        <v>0</v>
      </c>
      <c r="BF69" s="8">
        <f>Renta_Alta!BF69+Masivo!BF69+Consumo_Inicial!BF69</f>
        <v>0</v>
      </c>
      <c r="BG69" s="8">
        <f>Renta_Alta!BG69+Masivo!BG69+Consumo_Inicial!BG69</f>
        <v>0</v>
      </c>
      <c r="BH69" s="8">
        <f>Renta_Alta!BH69+Masivo!BH69+Consumo_Inicial!BH69</f>
        <v>0</v>
      </c>
      <c r="BI69" s="8">
        <f>Renta_Alta!BI69+Masivo!BI69+Consumo_Inicial!BI69</f>
        <v>0</v>
      </c>
      <c r="BJ69" s="8">
        <f>Renta_Alta!BJ69+Masivo!BJ69+Consumo_Inicial!BJ69</f>
        <v>0</v>
      </c>
      <c r="BK69" s="8">
        <f>Renta_Alta!BK69+Masivo!BK69+Consumo_Inicial!BK69</f>
        <v>0</v>
      </c>
      <c r="BO69" s="24">
        <f t="shared" si="72"/>
        <v>0</v>
      </c>
      <c r="BP69" s="24">
        <f t="shared" si="72"/>
        <v>0</v>
      </c>
      <c r="BQ69" s="24">
        <f t="shared" si="72"/>
        <v>0</v>
      </c>
      <c r="BR69" s="24">
        <f t="shared" si="72"/>
        <v>0</v>
      </c>
      <c r="BS69" s="24">
        <f t="shared" si="72"/>
        <v>0</v>
      </c>
      <c r="BT69" s="24">
        <f t="shared" si="72"/>
        <v>0</v>
      </c>
    </row>
    <row r="70" spans="1:72" hidden="1" outlineLevel="1" x14ac:dyDescent="0.25">
      <c r="A70" s="11" t="s">
        <v>71</v>
      </c>
      <c r="C70" s="2"/>
      <c r="D70" s="8">
        <f>Renta_Alta!D70+Masivo!D70+Consumo_Inicial!D70</f>
        <v>0</v>
      </c>
      <c r="E70" s="8">
        <f>Renta_Alta!E70+Masivo!E70+Consumo_Inicial!E70</f>
        <v>0</v>
      </c>
      <c r="F70" s="8">
        <f>Renta_Alta!F70+Masivo!F70+Consumo_Inicial!F70</f>
        <v>0</v>
      </c>
      <c r="G70" s="8">
        <f>Renta_Alta!G70+Masivo!G70+Consumo_Inicial!G70</f>
        <v>0</v>
      </c>
      <c r="H70" s="8">
        <f>Renta_Alta!H70+Masivo!H70+Consumo_Inicial!H70</f>
        <v>0</v>
      </c>
      <c r="I70" s="8">
        <f>Renta_Alta!I70+Masivo!I70+Consumo_Inicial!I70</f>
        <v>0</v>
      </c>
      <c r="J70" s="8">
        <f>Renta_Alta!J70+Masivo!J70+Consumo_Inicial!J70</f>
        <v>0</v>
      </c>
      <c r="K70" s="8">
        <f>Renta_Alta!K70+Masivo!K70+Consumo_Inicial!K70</f>
        <v>0</v>
      </c>
      <c r="L70" s="8">
        <f>Renta_Alta!L70+Masivo!L70+Consumo_Inicial!L70</f>
        <v>0</v>
      </c>
      <c r="M70" s="8">
        <f>Renta_Alta!M70+Masivo!M70+Consumo_Inicial!M70</f>
        <v>0</v>
      </c>
      <c r="N70" s="8">
        <f>Renta_Alta!N70+Masivo!N70+Consumo_Inicial!N70</f>
        <v>0</v>
      </c>
      <c r="O70" s="8">
        <f>Renta_Alta!O70+Masivo!O70+Consumo_Inicial!O70</f>
        <v>0</v>
      </c>
      <c r="P70" s="8">
        <f>Renta_Alta!P70+Masivo!P70+Consumo_Inicial!P70</f>
        <v>0</v>
      </c>
      <c r="Q70" s="8">
        <f>Renta_Alta!Q70+Masivo!Q70+Consumo_Inicial!Q70</f>
        <v>0</v>
      </c>
      <c r="R70" s="8">
        <f>Renta_Alta!R70+Masivo!R70+Consumo_Inicial!R70</f>
        <v>0</v>
      </c>
      <c r="S70" s="8">
        <f>Renta_Alta!S70+Masivo!S70+Consumo_Inicial!S70</f>
        <v>0</v>
      </c>
      <c r="T70" s="8">
        <f>Renta_Alta!T70+Masivo!T70+Consumo_Inicial!T70</f>
        <v>0</v>
      </c>
      <c r="U70" s="8">
        <f>Renta_Alta!U70+Masivo!U70+Consumo_Inicial!U70</f>
        <v>0</v>
      </c>
      <c r="V70" s="8">
        <f>Renta_Alta!V70+Masivo!V70+Consumo_Inicial!V70</f>
        <v>0</v>
      </c>
      <c r="W70" s="8">
        <f>Renta_Alta!W70+Masivo!W70+Consumo_Inicial!W70</f>
        <v>0</v>
      </c>
      <c r="X70" s="8">
        <f>Renta_Alta!X70+Masivo!X70+Consumo_Inicial!X70</f>
        <v>0</v>
      </c>
      <c r="Y70" s="8">
        <f>Renta_Alta!Y70+Masivo!Y70+Consumo_Inicial!Y70</f>
        <v>0</v>
      </c>
      <c r="Z70" s="8">
        <f>Renta_Alta!Z70+Masivo!Z70+Consumo_Inicial!Z70</f>
        <v>0</v>
      </c>
      <c r="AA70" s="8">
        <f>Renta_Alta!AA70+Masivo!AA70+Consumo_Inicial!AA70</f>
        <v>0</v>
      </c>
      <c r="AB70" s="8">
        <f>Renta_Alta!AB70+Masivo!AB70+Consumo_Inicial!AB70</f>
        <v>0</v>
      </c>
      <c r="AC70" s="8">
        <f>Renta_Alta!AC70+Masivo!AC70+Consumo_Inicial!AC70</f>
        <v>0</v>
      </c>
      <c r="AD70" s="8">
        <f>Renta_Alta!AD70+Masivo!AD70+Consumo_Inicial!AD70</f>
        <v>0</v>
      </c>
      <c r="AE70" s="8">
        <f>Renta_Alta!AE70+Masivo!AE70+Consumo_Inicial!AE70</f>
        <v>0</v>
      </c>
      <c r="AF70" s="8">
        <f>Renta_Alta!AF70+Masivo!AF70+Consumo_Inicial!AF70</f>
        <v>0</v>
      </c>
      <c r="AG70" s="8">
        <f>Renta_Alta!AG70+Masivo!AG70+Consumo_Inicial!AG70</f>
        <v>0</v>
      </c>
      <c r="AH70" s="8">
        <f>Renta_Alta!AH70+Masivo!AH70+Consumo_Inicial!AH70</f>
        <v>0</v>
      </c>
      <c r="AI70" s="8">
        <f>Renta_Alta!AI70+Masivo!AI70+Consumo_Inicial!AI70</f>
        <v>0</v>
      </c>
      <c r="AJ70" s="8">
        <f>Renta_Alta!AJ70+Masivo!AJ70+Consumo_Inicial!AJ70</f>
        <v>0</v>
      </c>
      <c r="AK70" s="8">
        <f>Renta_Alta!AK70+Masivo!AK70+Consumo_Inicial!AK70</f>
        <v>0</v>
      </c>
      <c r="AL70" s="8">
        <f>Renta_Alta!AL70+Masivo!AL70+Consumo_Inicial!AL70</f>
        <v>0</v>
      </c>
      <c r="AM70" s="8">
        <f>Renta_Alta!AM70+Masivo!AM70+Consumo_Inicial!AM70</f>
        <v>0</v>
      </c>
      <c r="AN70" s="8">
        <f>Renta_Alta!AN70+Masivo!AN70+Consumo_Inicial!AN70</f>
        <v>0</v>
      </c>
      <c r="AO70" s="8">
        <f>Renta_Alta!AO70+Masivo!AO70+Consumo_Inicial!AO70</f>
        <v>0</v>
      </c>
      <c r="AP70" s="8">
        <f>Renta_Alta!AP70+Masivo!AP70+Consumo_Inicial!AP70</f>
        <v>0</v>
      </c>
      <c r="AQ70" s="8">
        <f>Renta_Alta!AQ70+Masivo!AQ70+Consumo_Inicial!AQ70</f>
        <v>0</v>
      </c>
      <c r="AR70" s="8">
        <f>Renta_Alta!AR70+Masivo!AR70+Consumo_Inicial!AR70</f>
        <v>0</v>
      </c>
      <c r="AS70" s="8">
        <f>Renta_Alta!AS70+Masivo!AS70+Consumo_Inicial!AS70</f>
        <v>0</v>
      </c>
      <c r="AT70" s="8">
        <f>Renta_Alta!AT70+Masivo!AT70+Consumo_Inicial!AT70</f>
        <v>0</v>
      </c>
      <c r="AU70" s="8">
        <f>Renta_Alta!AU70+Masivo!AU70+Consumo_Inicial!AU70</f>
        <v>0</v>
      </c>
      <c r="AV70" s="8">
        <f>Renta_Alta!AV70+Masivo!AV70+Consumo_Inicial!AV70</f>
        <v>0</v>
      </c>
      <c r="AW70" s="8">
        <f>Renta_Alta!AW70+Masivo!AW70+Consumo_Inicial!AW70</f>
        <v>0</v>
      </c>
      <c r="AX70" s="8">
        <f>Renta_Alta!AX70+Masivo!AX70+Consumo_Inicial!AX70</f>
        <v>0</v>
      </c>
      <c r="AY70" s="8">
        <f>Renta_Alta!AY70+Masivo!AY70+Consumo_Inicial!AY70</f>
        <v>0</v>
      </c>
      <c r="AZ70" s="8">
        <f>Renta_Alta!AZ70+Masivo!AZ70+Consumo_Inicial!AZ70</f>
        <v>0</v>
      </c>
      <c r="BA70" s="8">
        <f>Renta_Alta!BA70+Masivo!BA70+Consumo_Inicial!BA70</f>
        <v>0</v>
      </c>
      <c r="BB70" s="8">
        <f>Renta_Alta!BB70+Masivo!BB70+Consumo_Inicial!BB70</f>
        <v>0</v>
      </c>
      <c r="BC70" s="8">
        <f>Renta_Alta!BC70+Masivo!BC70+Consumo_Inicial!BC70</f>
        <v>0</v>
      </c>
      <c r="BD70" s="8">
        <f>Renta_Alta!BD70+Masivo!BD70+Consumo_Inicial!BD70</f>
        <v>0</v>
      </c>
      <c r="BE70" s="8">
        <f>Renta_Alta!BE70+Masivo!BE70+Consumo_Inicial!BE70</f>
        <v>0</v>
      </c>
      <c r="BF70" s="8">
        <f>Renta_Alta!BF70+Masivo!BF70+Consumo_Inicial!BF70</f>
        <v>0</v>
      </c>
      <c r="BG70" s="8">
        <f>Renta_Alta!BG70+Masivo!BG70+Consumo_Inicial!BG70</f>
        <v>0</v>
      </c>
      <c r="BH70" s="8">
        <f>Renta_Alta!BH70+Masivo!BH70+Consumo_Inicial!BH70</f>
        <v>0</v>
      </c>
      <c r="BI70" s="8">
        <f>Renta_Alta!BI70+Masivo!BI70+Consumo_Inicial!BI70</f>
        <v>0</v>
      </c>
      <c r="BJ70" s="8">
        <f>Renta_Alta!BJ70+Masivo!BJ70+Consumo_Inicial!BJ70</f>
        <v>0</v>
      </c>
      <c r="BK70" s="8">
        <f>Renta_Alta!BK70+Masivo!BK70+Consumo_Inicial!BK70</f>
        <v>0</v>
      </c>
      <c r="BO70" s="24">
        <f t="shared" si="72"/>
        <v>0</v>
      </c>
      <c r="BP70" s="24">
        <f t="shared" si="72"/>
        <v>0</v>
      </c>
      <c r="BQ70" s="24">
        <f t="shared" si="72"/>
        <v>0</v>
      </c>
      <c r="BR70" s="24">
        <f t="shared" si="72"/>
        <v>0</v>
      </c>
      <c r="BS70" s="24">
        <f t="shared" si="72"/>
        <v>0</v>
      </c>
      <c r="BT70" s="24">
        <f t="shared" si="72"/>
        <v>0</v>
      </c>
    </row>
    <row r="71" spans="1:72" hidden="1" outlineLevel="1" x14ac:dyDescent="0.25">
      <c r="A71" s="11" t="s">
        <v>71</v>
      </c>
      <c r="C71" s="2"/>
      <c r="D71" s="8">
        <f>Renta_Alta!D71+Masivo!D71+Consumo_Inicial!D71</f>
        <v>0</v>
      </c>
      <c r="E71" s="8">
        <f>Renta_Alta!E71+Masivo!E71+Consumo_Inicial!E71</f>
        <v>0</v>
      </c>
      <c r="F71" s="8">
        <f>Renta_Alta!F71+Masivo!F71+Consumo_Inicial!F71</f>
        <v>0</v>
      </c>
      <c r="G71" s="8">
        <f>Renta_Alta!G71+Masivo!G71+Consumo_Inicial!G71</f>
        <v>0</v>
      </c>
      <c r="H71" s="8">
        <f>Renta_Alta!H71+Masivo!H71+Consumo_Inicial!H71</f>
        <v>0</v>
      </c>
      <c r="I71" s="8">
        <f>Renta_Alta!I71+Masivo!I71+Consumo_Inicial!I71</f>
        <v>0</v>
      </c>
      <c r="J71" s="8">
        <f>Renta_Alta!J71+Masivo!J71+Consumo_Inicial!J71</f>
        <v>0</v>
      </c>
      <c r="K71" s="8">
        <f>Renta_Alta!K71+Masivo!K71+Consumo_Inicial!K71</f>
        <v>0</v>
      </c>
      <c r="L71" s="8">
        <f>Renta_Alta!L71+Masivo!L71+Consumo_Inicial!L71</f>
        <v>0</v>
      </c>
      <c r="M71" s="8">
        <f>Renta_Alta!M71+Masivo!M71+Consumo_Inicial!M71</f>
        <v>0</v>
      </c>
      <c r="N71" s="8">
        <f>Renta_Alta!N71+Masivo!N71+Consumo_Inicial!N71</f>
        <v>0</v>
      </c>
      <c r="O71" s="8">
        <f>Renta_Alta!O71+Masivo!O71+Consumo_Inicial!O71</f>
        <v>0</v>
      </c>
      <c r="P71" s="8">
        <f>Renta_Alta!P71+Masivo!P71+Consumo_Inicial!P71</f>
        <v>0</v>
      </c>
      <c r="Q71" s="8">
        <f>Renta_Alta!Q71+Masivo!Q71+Consumo_Inicial!Q71</f>
        <v>0</v>
      </c>
      <c r="R71" s="8">
        <f>Renta_Alta!R71+Masivo!R71+Consumo_Inicial!R71</f>
        <v>0</v>
      </c>
      <c r="S71" s="8">
        <f>Renta_Alta!S71+Masivo!S71+Consumo_Inicial!S71</f>
        <v>0</v>
      </c>
      <c r="T71" s="8">
        <f>Renta_Alta!T71+Masivo!T71+Consumo_Inicial!T71</f>
        <v>0</v>
      </c>
      <c r="U71" s="8">
        <f>Renta_Alta!U71+Masivo!U71+Consumo_Inicial!U71</f>
        <v>0</v>
      </c>
      <c r="V71" s="8">
        <f>Renta_Alta!V71+Masivo!V71+Consumo_Inicial!V71</f>
        <v>0</v>
      </c>
      <c r="W71" s="8">
        <f>Renta_Alta!W71+Masivo!W71+Consumo_Inicial!W71</f>
        <v>0</v>
      </c>
      <c r="X71" s="8">
        <f>Renta_Alta!X71+Masivo!X71+Consumo_Inicial!X71</f>
        <v>0</v>
      </c>
      <c r="Y71" s="8">
        <f>Renta_Alta!Y71+Masivo!Y71+Consumo_Inicial!Y71</f>
        <v>0</v>
      </c>
      <c r="Z71" s="8">
        <f>Renta_Alta!Z71+Masivo!Z71+Consumo_Inicial!Z71</f>
        <v>0</v>
      </c>
      <c r="AA71" s="8">
        <f>Renta_Alta!AA71+Masivo!AA71+Consumo_Inicial!AA71</f>
        <v>0</v>
      </c>
      <c r="AB71" s="8">
        <f>Renta_Alta!AB71+Masivo!AB71+Consumo_Inicial!AB71</f>
        <v>0</v>
      </c>
      <c r="AC71" s="8">
        <f>Renta_Alta!AC71+Masivo!AC71+Consumo_Inicial!AC71</f>
        <v>0</v>
      </c>
      <c r="AD71" s="8">
        <f>Renta_Alta!AD71+Masivo!AD71+Consumo_Inicial!AD71</f>
        <v>0</v>
      </c>
      <c r="AE71" s="8">
        <f>Renta_Alta!AE71+Masivo!AE71+Consumo_Inicial!AE71</f>
        <v>0</v>
      </c>
      <c r="AF71" s="8">
        <f>Renta_Alta!AF71+Masivo!AF71+Consumo_Inicial!AF71</f>
        <v>0</v>
      </c>
      <c r="AG71" s="8">
        <f>Renta_Alta!AG71+Masivo!AG71+Consumo_Inicial!AG71</f>
        <v>0</v>
      </c>
      <c r="AH71" s="8">
        <f>Renta_Alta!AH71+Masivo!AH71+Consumo_Inicial!AH71</f>
        <v>0</v>
      </c>
      <c r="AI71" s="8">
        <f>Renta_Alta!AI71+Masivo!AI71+Consumo_Inicial!AI71</f>
        <v>0</v>
      </c>
      <c r="AJ71" s="8">
        <f>Renta_Alta!AJ71+Masivo!AJ71+Consumo_Inicial!AJ71</f>
        <v>0</v>
      </c>
      <c r="AK71" s="8">
        <f>Renta_Alta!AK71+Masivo!AK71+Consumo_Inicial!AK71</f>
        <v>0</v>
      </c>
      <c r="AL71" s="8">
        <f>Renta_Alta!AL71+Masivo!AL71+Consumo_Inicial!AL71</f>
        <v>0</v>
      </c>
      <c r="AM71" s="8">
        <f>Renta_Alta!AM71+Masivo!AM71+Consumo_Inicial!AM71</f>
        <v>0</v>
      </c>
      <c r="AN71" s="8">
        <f>Renta_Alta!AN71+Masivo!AN71+Consumo_Inicial!AN71</f>
        <v>0</v>
      </c>
      <c r="AO71" s="8">
        <f>Renta_Alta!AO71+Masivo!AO71+Consumo_Inicial!AO71</f>
        <v>0</v>
      </c>
      <c r="AP71" s="8">
        <f>Renta_Alta!AP71+Masivo!AP71+Consumo_Inicial!AP71</f>
        <v>0</v>
      </c>
      <c r="AQ71" s="8">
        <f>Renta_Alta!AQ71+Masivo!AQ71+Consumo_Inicial!AQ71</f>
        <v>0</v>
      </c>
      <c r="AR71" s="8">
        <f>Renta_Alta!AR71+Masivo!AR71+Consumo_Inicial!AR71</f>
        <v>0</v>
      </c>
      <c r="AS71" s="8">
        <f>Renta_Alta!AS71+Masivo!AS71+Consumo_Inicial!AS71</f>
        <v>0</v>
      </c>
      <c r="AT71" s="8">
        <f>Renta_Alta!AT71+Masivo!AT71+Consumo_Inicial!AT71</f>
        <v>0</v>
      </c>
      <c r="AU71" s="8">
        <f>Renta_Alta!AU71+Masivo!AU71+Consumo_Inicial!AU71</f>
        <v>0</v>
      </c>
      <c r="AV71" s="8">
        <f>Renta_Alta!AV71+Masivo!AV71+Consumo_Inicial!AV71</f>
        <v>0</v>
      </c>
      <c r="AW71" s="8">
        <f>Renta_Alta!AW71+Masivo!AW71+Consumo_Inicial!AW71</f>
        <v>0</v>
      </c>
      <c r="AX71" s="8">
        <f>Renta_Alta!AX71+Masivo!AX71+Consumo_Inicial!AX71</f>
        <v>0</v>
      </c>
      <c r="AY71" s="8">
        <f>Renta_Alta!AY71+Masivo!AY71+Consumo_Inicial!AY71</f>
        <v>0</v>
      </c>
      <c r="AZ71" s="8">
        <f>Renta_Alta!AZ71+Masivo!AZ71+Consumo_Inicial!AZ71</f>
        <v>0</v>
      </c>
      <c r="BA71" s="8">
        <f>Renta_Alta!BA71+Masivo!BA71+Consumo_Inicial!BA71</f>
        <v>0</v>
      </c>
      <c r="BB71" s="8">
        <f>Renta_Alta!BB71+Masivo!BB71+Consumo_Inicial!BB71</f>
        <v>0</v>
      </c>
      <c r="BC71" s="8">
        <f>Renta_Alta!BC71+Masivo!BC71+Consumo_Inicial!BC71</f>
        <v>0</v>
      </c>
      <c r="BD71" s="8">
        <f>Renta_Alta!BD71+Masivo!BD71+Consumo_Inicial!BD71</f>
        <v>0</v>
      </c>
      <c r="BE71" s="8">
        <f>Renta_Alta!BE71+Masivo!BE71+Consumo_Inicial!BE71</f>
        <v>0</v>
      </c>
      <c r="BF71" s="8">
        <f>Renta_Alta!BF71+Masivo!BF71+Consumo_Inicial!BF71</f>
        <v>0</v>
      </c>
      <c r="BG71" s="8">
        <f>Renta_Alta!BG71+Masivo!BG71+Consumo_Inicial!BG71</f>
        <v>0</v>
      </c>
      <c r="BH71" s="8">
        <f>Renta_Alta!BH71+Masivo!BH71+Consumo_Inicial!BH71</f>
        <v>0</v>
      </c>
      <c r="BI71" s="8">
        <f>Renta_Alta!BI71+Masivo!BI71+Consumo_Inicial!BI71</f>
        <v>0</v>
      </c>
      <c r="BJ71" s="8">
        <f>Renta_Alta!BJ71+Masivo!BJ71+Consumo_Inicial!BJ71</f>
        <v>0</v>
      </c>
      <c r="BK71" s="8">
        <f>Renta_Alta!BK71+Masivo!BK71+Consumo_Inicial!BK71</f>
        <v>0</v>
      </c>
      <c r="BO71" s="24">
        <f t="shared" si="72"/>
        <v>0</v>
      </c>
      <c r="BP71" s="24">
        <f t="shared" si="72"/>
        <v>0</v>
      </c>
      <c r="BQ71" s="24">
        <f t="shared" si="72"/>
        <v>0</v>
      </c>
      <c r="BR71" s="24">
        <f t="shared" si="72"/>
        <v>0</v>
      </c>
      <c r="BS71" s="24">
        <f t="shared" si="72"/>
        <v>0</v>
      </c>
      <c r="BT71" s="24">
        <f t="shared" si="72"/>
        <v>0</v>
      </c>
    </row>
    <row r="72" spans="1:72" hidden="1" outlineLevel="1" x14ac:dyDescent="0.25">
      <c r="A72" s="11" t="s">
        <v>71</v>
      </c>
      <c r="C72" s="2"/>
      <c r="D72" s="8">
        <f>Renta_Alta!D72+Masivo!D72+Consumo_Inicial!D72</f>
        <v>0</v>
      </c>
      <c r="E72" s="8">
        <f>Renta_Alta!E72+Masivo!E72+Consumo_Inicial!E72</f>
        <v>0</v>
      </c>
      <c r="F72" s="8">
        <f>Renta_Alta!F72+Masivo!F72+Consumo_Inicial!F72</f>
        <v>0</v>
      </c>
      <c r="G72" s="8">
        <f>Renta_Alta!G72+Masivo!G72+Consumo_Inicial!G72</f>
        <v>0</v>
      </c>
      <c r="H72" s="8">
        <f>Renta_Alta!H72+Masivo!H72+Consumo_Inicial!H72</f>
        <v>0</v>
      </c>
      <c r="I72" s="8">
        <f>Renta_Alta!I72+Masivo!I72+Consumo_Inicial!I72</f>
        <v>0</v>
      </c>
      <c r="J72" s="8">
        <f>Renta_Alta!J72+Masivo!J72+Consumo_Inicial!J72</f>
        <v>0</v>
      </c>
      <c r="K72" s="8">
        <f>Renta_Alta!K72+Masivo!K72+Consumo_Inicial!K72</f>
        <v>0</v>
      </c>
      <c r="L72" s="8">
        <f>Renta_Alta!L72+Masivo!L72+Consumo_Inicial!L72</f>
        <v>0</v>
      </c>
      <c r="M72" s="8">
        <f>Renta_Alta!M72+Masivo!M72+Consumo_Inicial!M72</f>
        <v>0</v>
      </c>
      <c r="N72" s="8">
        <f>Renta_Alta!N72+Masivo!N72+Consumo_Inicial!N72</f>
        <v>0</v>
      </c>
      <c r="O72" s="8">
        <f>Renta_Alta!O72+Masivo!O72+Consumo_Inicial!O72</f>
        <v>0</v>
      </c>
      <c r="P72" s="8">
        <f>Renta_Alta!P72+Masivo!P72+Consumo_Inicial!P72</f>
        <v>0</v>
      </c>
      <c r="Q72" s="8">
        <f>Renta_Alta!Q72+Masivo!Q72+Consumo_Inicial!Q72</f>
        <v>0</v>
      </c>
      <c r="R72" s="8">
        <f>Renta_Alta!R72+Masivo!R72+Consumo_Inicial!R72</f>
        <v>0</v>
      </c>
      <c r="S72" s="8">
        <f>Renta_Alta!S72+Masivo!S72+Consumo_Inicial!S72</f>
        <v>0</v>
      </c>
      <c r="T72" s="8">
        <f>Renta_Alta!T72+Masivo!T72+Consumo_Inicial!T72</f>
        <v>0</v>
      </c>
      <c r="U72" s="8">
        <f>Renta_Alta!U72+Masivo!U72+Consumo_Inicial!U72</f>
        <v>0</v>
      </c>
      <c r="V72" s="8">
        <f>Renta_Alta!V72+Masivo!V72+Consumo_Inicial!V72</f>
        <v>0</v>
      </c>
      <c r="W72" s="8">
        <f>Renta_Alta!W72+Masivo!W72+Consumo_Inicial!W72</f>
        <v>0</v>
      </c>
      <c r="X72" s="8">
        <f>Renta_Alta!X72+Masivo!X72+Consumo_Inicial!X72</f>
        <v>0</v>
      </c>
      <c r="Y72" s="8">
        <f>Renta_Alta!Y72+Masivo!Y72+Consumo_Inicial!Y72</f>
        <v>0</v>
      </c>
      <c r="Z72" s="8">
        <f>Renta_Alta!Z72+Masivo!Z72+Consumo_Inicial!Z72</f>
        <v>0</v>
      </c>
      <c r="AA72" s="8">
        <f>Renta_Alta!AA72+Masivo!AA72+Consumo_Inicial!AA72</f>
        <v>0</v>
      </c>
      <c r="AB72" s="8">
        <f>Renta_Alta!AB72+Masivo!AB72+Consumo_Inicial!AB72</f>
        <v>0</v>
      </c>
      <c r="AC72" s="8">
        <f>Renta_Alta!AC72+Masivo!AC72+Consumo_Inicial!AC72</f>
        <v>0</v>
      </c>
      <c r="AD72" s="8">
        <f>Renta_Alta!AD72+Masivo!AD72+Consumo_Inicial!AD72</f>
        <v>0</v>
      </c>
      <c r="AE72" s="8">
        <f>Renta_Alta!AE72+Masivo!AE72+Consumo_Inicial!AE72</f>
        <v>0</v>
      </c>
      <c r="AF72" s="8">
        <f>Renta_Alta!AF72+Masivo!AF72+Consumo_Inicial!AF72</f>
        <v>0</v>
      </c>
      <c r="AG72" s="8">
        <f>Renta_Alta!AG72+Masivo!AG72+Consumo_Inicial!AG72</f>
        <v>0</v>
      </c>
      <c r="AH72" s="8">
        <f>Renta_Alta!AH72+Masivo!AH72+Consumo_Inicial!AH72</f>
        <v>0</v>
      </c>
      <c r="AI72" s="8">
        <f>Renta_Alta!AI72+Masivo!AI72+Consumo_Inicial!AI72</f>
        <v>0</v>
      </c>
      <c r="AJ72" s="8">
        <f>Renta_Alta!AJ72+Masivo!AJ72+Consumo_Inicial!AJ72</f>
        <v>0</v>
      </c>
      <c r="AK72" s="8">
        <f>Renta_Alta!AK72+Masivo!AK72+Consumo_Inicial!AK72</f>
        <v>0</v>
      </c>
      <c r="AL72" s="8">
        <f>Renta_Alta!AL72+Masivo!AL72+Consumo_Inicial!AL72</f>
        <v>0</v>
      </c>
      <c r="AM72" s="8">
        <f>Renta_Alta!AM72+Masivo!AM72+Consumo_Inicial!AM72</f>
        <v>0</v>
      </c>
      <c r="AN72" s="8">
        <f>Renta_Alta!AN72+Masivo!AN72+Consumo_Inicial!AN72</f>
        <v>0</v>
      </c>
      <c r="AO72" s="8">
        <f>Renta_Alta!AO72+Masivo!AO72+Consumo_Inicial!AO72</f>
        <v>0</v>
      </c>
      <c r="AP72" s="8">
        <f>Renta_Alta!AP72+Masivo!AP72+Consumo_Inicial!AP72</f>
        <v>0</v>
      </c>
      <c r="AQ72" s="8">
        <f>Renta_Alta!AQ72+Masivo!AQ72+Consumo_Inicial!AQ72</f>
        <v>0</v>
      </c>
      <c r="AR72" s="8">
        <f>Renta_Alta!AR72+Masivo!AR72+Consumo_Inicial!AR72</f>
        <v>0</v>
      </c>
      <c r="AS72" s="8">
        <f>Renta_Alta!AS72+Masivo!AS72+Consumo_Inicial!AS72</f>
        <v>0</v>
      </c>
      <c r="AT72" s="8">
        <f>Renta_Alta!AT72+Masivo!AT72+Consumo_Inicial!AT72</f>
        <v>0</v>
      </c>
      <c r="AU72" s="8">
        <f>Renta_Alta!AU72+Masivo!AU72+Consumo_Inicial!AU72</f>
        <v>0</v>
      </c>
      <c r="AV72" s="8">
        <f>Renta_Alta!AV72+Masivo!AV72+Consumo_Inicial!AV72</f>
        <v>0</v>
      </c>
      <c r="AW72" s="8">
        <f>Renta_Alta!AW72+Masivo!AW72+Consumo_Inicial!AW72</f>
        <v>0</v>
      </c>
      <c r="AX72" s="8">
        <f>Renta_Alta!AX72+Masivo!AX72+Consumo_Inicial!AX72</f>
        <v>0</v>
      </c>
      <c r="AY72" s="8">
        <f>Renta_Alta!AY72+Masivo!AY72+Consumo_Inicial!AY72</f>
        <v>0</v>
      </c>
      <c r="AZ72" s="8">
        <f>Renta_Alta!AZ72+Masivo!AZ72+Consumo_Inicial!AZ72</f>
        <v>0</v>
      </c>
      <c r="BA72" s="8">
        <f>Renta_Alta!BA72+Masivo!BA72+Consumo_Inicial!BA72</f>
        <v>0</v>
      </c>
      <c r="BB72" s="8">
        <f>Renta_Alta!BB72+Masivo!BB72+Consumo_Inicial!BB72</f>
        <v>0</v>
      </c>
      <c r="BC72" s="8">
        <f>Renta_Alta!BC72+Masivo!BC72+Consumo_Inicial!BC72</f>
        <v>0</v>
      </c>
      <c r="BD72" s="8">
        <f>Renta_Alta!BD72+Masivo!BD72+Consumo_Inicial!BD72</f>
        <v>0</v>
      </c>
      <c r="BE72" s="8">
        <f>Renta_Alta!BE72+Masivo!BE72+Consumo_Inicial!BE72</f>
        <v>0</v>
      </c>
      <c r="BF72" s="8">
        <f>Renta_Alta!BF72+Masivo!BF72+Consumo_Inicial!BF72</f>
        <v>0</v>
      </c>
      <c r="BG72" s="8">
        <f>Renta_Alta!BG72+Masivo!BG72+Consumo_Inicial!BG72</f>
        <v>0</v>
      </c>
      <c r="BH72" s="8">
        <f>Renta_Alta!BH72+Masivo!BH72+Consumo_Inicial!BH72</f>
        <v>0</v>
      </c>
      <c r="BI72" s="8">
        <f>Renta_Alta!BI72+Masivo!BI72+Consumo_Inicial!BI72</f>
        <v>0</v>
      </c>
      <c r="BJ72" s="8">
        <f>Renta_Alta!BJ72+Masivo!BJ72+Consumo_Inicial!BJ72</f>
        <v>0</v>
      </c>
      <c r="BK72" s="8">
        <f>Renta_Alta!BK72+Masivo!BK72+Consumo_Inicial!BK72</f>
        <v>0</v>
      </c>
      <c r="BO72" s="24">
        <f t="shared" si="72"/>
        <v>0</v>
      </c>
      <c r="BP72" s="24">
        <f t="shared" si="72"/>
        <v>0</v>
      </c>
      <c r="BQ72" s="24">
        <f t="shared" si="72"/>
        <v>0</v>
      </c>
      <c r="BR72" s="24">
        <f t="shared" si="72"/>
        <v>0</v>
      </c>
      <c r="BS72" s="24">
        <f t="shared" si="72"/>
        <v>0</v>
      </c>
      <c r="BT72" s="24">
        <f t="shared" si="72"/>
        <v>0</v>
      </c>
    </row>
    <row r="73" spans="1:72" hidden="1" outlineLevel="1" x14ac:dyDescent="0.25">
      <c r="A73" s="11" t="s">
        <v>71</v>
      </c>
      <c r="C73" s="2"/>
      <c r="D73" s="8">
        <f>Renta_Alta!D73+Masivo!D73+Consumo_Inicial!D73</f>
        <v>0</v>
      </c>
      <c r="E73" s="8">
        <f>Renta_Alta!E73+Masivo!E73+Consumo_Inicial!E73</f>
        <v>0</v>
      </c>
      <c r="F73" s="8">
        <f>Renta_Alta!F73+Masivo!F73+Consumo_Inicial!F73</f>
        <v>0</v>
      </c>
      <c r="G73" s="8">
        <f>Renta_Alta!G73+Masivo!G73+Consumo_Inicial!G73</f>
        <v>0</v>
      </c>
      <c r="H73" s="8">
        <f>Renta_Alta!H73+Masivo!H73+Consumo_Inicial!H73</f>
        <v>0</v>
      </c>
      <c r="I73" s="8">
        <f>Renta_Alta!I73+Masivo!I73+Consumo_Inicial!I73</f>
        <v>0</v>
      </c>
      <c r="J73" s="8">
        <f>Renta_Alta!J73+Masivo!J73+Consumo_Inicial!J73</f>
        <v>0</v>
      </c>
      <c r="K73" s="8">
        <f>Renta_Alta!K73+Masivo!K73+Consumo_Inicial!K73</f>
        <v>0</v>
      </c>
      <c r="L73" s="8">
        <f>Renta_Alta!L73+Masivo!L73+Consumo_Inicial!L73</f>
        <v>0</v>
      </c>
      <c r="M73" s="8">
        <f>Renta_Alta!M73+Masivo!M73+Consumo_Inicial!M73</f>
        <v>0</v>
      </c>
      <c r="N73" s="8">
        <f>Renta_Alta!N73+Masivo!N73+Consumo_Inicial!N73</f>
        <v>0</v>
      </c>
      <c r="O73" s="8">
        <f>Renta_Alta!O73+Masivo!O73+Consumo_Inicial!O73</f>
        <v>0</v>
      </c>
      <c r="P73" s="8">
        <f>Renta_Alta!P73+Masivo!P73+Consumo_Inicial!P73</f>
        <v>0</v>
      </c>
      <c r="Q73" s="8">
        <f>Renta_Alta!Q73+Masivo!Q73+Consumo_Inicial!Q73</f>
        <v>0</v>
      </c>
      <c r="R73" s="8">
        <f>Renta_Alta!R73+Masivo!R73+Consumo_Inicial!R73</f>
        <v>0</v>
      </c>
      <c r="S73" s="8">
        <f>Renta_Alta!S73+Masivo!S73+Consumo_Inicial!S73</f>
        <v>0</v>
      </c>
      <c r="T73" s="8">
        <f>Renta_Alta!T73+Masivo!T73+Consumo_Inicial!T73</f>
        <v>0</v>
      </c>
      <c r="U73" s="8">
        <f>Renta_Alta!U73+Masivo!U73+Consumo_Inicial!U73</f>
        <v>0</v>
      </c>
      <c r="V73" s="8">
        <f>Renta_Alta!V73+Masivo!V73+Consumo_Inicial!V73</f>
        <v>0</v>
      </c>
      <c r="W73" s="8">
        <f>Renta_Alta!W73+Masivo!W73+Consumo_Inicial!W73</f>
        <v>0</v>
      </c>
      <c r="X73" s="8">
        <f>Renta_Alta!X73+Masivo!X73+Consumo_Inicial!X73</f>
        <v>0</v>
      </c>
      <c r="Y73" s="8">
        <f>Renta_Alta!Y73+Masivo!Y73+Consumo_Inicial!Y73</f>
        <v>0</v>
      </c>
      <c r="Z73" s="8">
        <f>Renta_Alta!Z73+Masivo!Z73+Consumo_Inicial!Z73</f>
        <v>0</v>
      </c>
      <c r="AA73" s="8">
        <f>Renta_Alta!AA73+Masivo!AA73+Consumo_Inicial!AA73</f>
        <v>0</v>
      </c>
      <c r="AB73" s="8">
        <f>Renta_Alta!AB73+Masivo!AB73+Consumo_Inicial!AB73</f>
        <v>0</v>
      </c>
      <c r="AC73" s="8">
        <f>Renta_Alta!AC73+Masivo!AC73+Consumo_Inicial!AC73</f>
        <v>0</v>
      </c>
      <c r="AD73" s="8">
        <f>Renta_Alta!AD73+Masivo!AD73+Consumo_Inicial!AD73</f>
        <v>0</v>
      </c>
      <c r="AE73" s="8">
        <f>Renta_Alta!AE73+Masivo!AE73+Consumo_Inicial!AE73</f>
        <v>0</v>
      </c>
      <c r="AF73" s="8">
        <f>Renta_Alta!AF73+Masivo!AF73+Consumo_Inicial!AF73</f>
        <v>0</v>
      </c>
      <c r="AG73" s="8">
        <f>Renta_Alta!AG73+Masivo!AG73+Consumo_Inicial!AG73</f>
        <v>0</v>
      </c>
      <c r="AH73" s="8">
        <f>Renta_Alta!AH73+Masivo!AH73+Consumo_Inicial!AH73</f>
        <v>0</v>
      </c>
      <c r="AI73" s="8">
        <f>Renta_Alta!AI73+Masivo!AI73+Consumo_Inicial!AI73</f>
        <v>0</v>
      </c>
      <c r="AJ73" s="8">
        <f>Renta_Alta!AJ73+Masivo!AJ73+Consumo_Inicial!AJ73</f>
        <v>0</v>
      </c>
      <c r="AK73" s="8">
        <f>Renta_Alta!AK73+Masivo!AK73+Consumo_Inicial!AK73</f>
        <v>0</v>
      </c>
      <c r="AL73" s="8">
        <f>Renta_Alta!AL73+Masivo!AL73+Consumo_Inicial!AL73</f>
        <v>0</v>
      </c>
      <c r="AM73" s="8">
        <f>Renta_Alta!AM73+Masivo!AM73+Consumo_Inicial!AM73</f>
        <v>0</v>
      </c>
      <c r="AN73" s="8">
        <f>Renta_Alta!AN73+Masivo!AN73+Consumo_Inicial!AN73</f>
        <v>0</v>
      </c>
      <c r="AO73" s="8">
        <f>Renta_Alta!AO73+Masivo!AO73+Consumo_Inicial!AO73</f>
        <v>0</v>
      </c>
      <c r="AP73" s="8">
        <f>Renta_Alta!AP73+Masivo!AP73+Consumo_Inicial!AP73</f>
        <v>0</v>
      </c>
      <c r="AQ73" s="8">
        <f>Renta_Alta!AQ73+Masivo!AQ73+Consumo_Inicial!AQ73</f>
        <v>0</v>
      </c>
      <c r="AR73" s="8">
        <f>Renta_Alta!AR73+Masivo!AR73+Consumo_Inicial!AR73</f>
        <v>0</v>
      </c>
      <c r="AS73" s="8">
        <f>Renta_Alta!AS73+Masivo!AS73+Consumo_Inicial!AS73</f>
        <v>0</v>
      </c>
      <c r="AT73" s="8">
        <f>Renta_Alta!AT73+Masivo!AT73+Consumo_Inicial!AT73</f>
        <v>0</v>
      </c>
      <c r="AU73" s="8">
        <f>Renta_Alta!AU73+Masivo!AU73+Consumo_Inicial!AU73</f>
        <v>0</v>
      </c>
      <c r="AV73" s="8">
        <f>Renta_Alta!AV73+Masivo!AV73+Consumo_Inicial!AV73</f>
        <v>0</v>
      </c>
      <c r="AW73" s="8">
        <f>Renta_Alta!AW73+Masivo!AW73+Consumo_Inicial!AW73</f>
        <v>0</v>
      </c>
      <c r="AX73" s="8">
        <f>Renta_Alta!AX73+Masivo!AX73+Consumo_Inicial!AX73</f>
        <v>0</v>
      </c>
      <c r="AY73" s="8">
        <f>Renta_Alta!AY73+Masivo!AY73+Consumo_Inicial!AY73</f>
        <v>0</v>
      </c>
      <c r="AZ73" s="8">
        <f>Renta_Alta!AZ73+Masivo!AZ73+Consumo_Inicial!AZ73</f>
        <v>0</v>
      </c>
      <c r="BA73" s="8">
        <f>Renta_Alta!BA73+Masivo!BA73+Consumo_Inicial!BA73</f>
        <v>0</v>
      </c>
      <c r="BB73" s="8">
        <f>Renta_Alta!BB73+Masivo!BB73+Consumo_Inicial!BB73</f>
        <v>0</v>
      </c>
      <c r="BC73" s="8">
        <f>Renta_Alta!BC73+Masivo!BC73+Consumo_Inicial!BC73</f>
        <v>0</v>
      </c>
      <c r="BD73" s="8">
        <f>Renta_Alta!BD73+Masivo!BD73+Consumo_Inicial!BD73</f>
        <v>0</v>
      </c>
      <c r="BE73" s="8">
        <f>Renta_Alta!BE73+Masivo!BE73+Consumo_Inicial!BE73</f>
        <v>0</v>
      </c>
      <c r="BF73" s="8">
        <f>Renta_Alta!BF73+Masivo!BF73+Consumo_Inicial!BF73</f>
        <v>0</v>
      </c>
      <c r="BG73" s="8">
        <f>Renta_Alta!BG73+Masivo!BG73+Consumo_Inicial!BG73</f>
        <v>0</v>
      </c>
      <c r="BH73" s="8">
        <f>Renta_Alta!BH73+Masivo!BH73+Consumo_Inicial!BH73</f>
        <v>0</v>
      </c>
      <c r="BI73" s="8">
        <f>Renta_Alta!BI73+Masivo!BI73+Consumo_Inicial!BI73</f>
        <v>0</v>
      </c>
      <c r="BJ73" s="8">
        <f>Renta_Alta!BJ73+Masivo!BJ73+Consumo_Inicial!BJ73</f>
        <v>0</v>
      </c>
      <c r="BK73" s="8">
        <f>Renta_Alta!BK73+Masivo!BK73+Consumo_Inicial!BK73</f>
        <v>0</v>
      </c>
      <c r="BO73" s="24">
        <f t="shared" si="72"/>
        <v>0</v>
      </c>
      <c r="BP73" s="24">
        <f t="shared" si="72"/>
        <v>0</v>
      </c>
      <c r="BQ73" s="24">
        <f t="shared" si="72"/>
        <v>0</v>
      </c>
      <c r="BR73" s="24">
        <f t="shared" si="72"/>
        <v>0</v>
      </c>
      <c r="BS73" s="24">
        <f t="shared" si="72"/>
        <v>0</v>
      </c>
      <c r="BT73" s="24">
        <f t="shared" si="72"/>
        <v>0</v>
      </c>
    </row>
    <row r="74" spans="1:72" hidden="1" outlineLevel="1" x14ac:dyDescent="0.25">
      <c r="A74" s="11" t="s">
        <v>71</v>
      </c>
      <c r="C74" s="2"/>
      <c r="D74" s="8">
        <f>Renta_Alta!D74+Masivo!D74+Consumo_Inicial!D74</f>
        <v>0</v>
      </c>
      <c r="E74" s="8">
        <f>Renta_Alta!E74+Masivo!E74+Consumo_Inicial!E74</f>
        <v>0</v>
      </c>
      <c r="F74" s="8">
        <f>Renta_Alta!F74+Masivo!F74+Consumo_Inicial!F74</f>
        <v>0</v>
      </c>
      <c r="G74" s="8">
        <f>Renta_Alta!G74+Masivo!G74+Consumo_Inicial!G74</f>
        <v>0</v>
      </c>
      <c r="H74" s="8">
        <f>Renta_Alta!H74+Masivo!H74+Consumo_Inicial!H74</f>
        <v>0</v>
      </c>
      <c r="I74" s="8">
        <f>Renta_Alta!I74+Masivo!I74+Consumo_Inicial!I74</f>
        <v>0</v>
      </c>
      <c r="J74" s="8">
        <f>Renta_Alta!J74+Masivo!J74+Consumo_Inicial!J74</f>
        <v>0</v>
      </c>
      <c r="K74" s="8">
        <f>Renta_Alta!K74+Masivo!K74+Consumo_Inicial!K74</f>
        <v>0</v>
      </c>
      <c r="L74" s="8">
        <f>Renta_Alta!L74+Masivo!L74+Consumo_Inicial!L74</f>
        <v>0</v>
      </c>
      <c r="M74" s="8">
        <f>Renta_Alta!M74+Masivo!M74+Consumo_Inicial!M74</f>
        <v>0</v>
      </c>
      <c r="N74" s="8">
        <f>Renta_Alta!N74+Masivo!N74+Consumo_Inicial!N74</f>
        <v>0</v>
      </c>
      <c r="O74" s="8">
        <f>Renta_Alta!O74+Masivo!O74+Consumo_Inicial!O74</f>
        <v>0</v>
      </c>
      <c r="P74" s="8">
        <f>Renta_Alta!P74+Masivo!P74+Consumo_Inicial!P74</f>
        <v>0</v>
      </c>
      <c r="Q74" s="8">
        <f>Renta_Alta!Q74+Masivo!Q74+Consumo_Inicial!Q74</f>
        <v>0</v>
      </c>
      <c r="R74" s="8">
        <f>Renta_Alta!R74+Masivo!R74+Consumo_Inicial!R74</f>
        <v>0</v>
      </c>
      <c r="S74" s="8">
        <f>Renta_Alta!S74+Masivo!S74+Consumo_Inicial!S74</f>
        <v>0</v>
      </c>
      <c r="T74" s="8">
        <f>Renta_Alta!T74+Masivo!T74+Consumo_Inicial!T74</f>
        <v>0</v>
      </c>
      <c r="U74" s="8">
        <f>Renta_Alta!U74+Masivo!U74+Consumo_Inicial!U74</f>
        <v>0</v>
      </c>
      <c r="V74" s="8">
        <f>Renta_Alta!V74+Masivo!V74+Consumo_Inicial!V74</f>
        <v>0</v>
      </c>
      <c r="W74" s="8">
        <f>Renta_Alta!W74+Masivo!W74+Consumo_Inicial!W74</f>
        <v>0</v>
      </c>
      <c r="X74" s="8">
        <f>Renta_Alta!X74+Masivo!X74+Consumo_Inicial!X74</f>
        <v>0</v>
      </c>
      <c r="Y74" s="8">
        <f>Renta_Alta!Y74+Masivo!Y74+Consumo_Inicial!Y74</f>
        <v>0</v>
      </c>
      <c r="Z74" s="8">
        <f>Renta_Alta!Z74+Masivo!Z74+Consumo_Inicial!Z74</f>
        <v>0</v>
      </c>
      <c r="AA74" s="8">
        <f>Renta_Alta!AA74+Masivo!AA74+Consumo_Inicial!AA74</f>
        <v>0</v>
      </c>
      <c r="AB74" s="8">
        <f>Renta_Alta!AB74+Masivo!AB74+Consumo_Inicial!AB74</f>
        <v>0</v>
      </c>
      <c r="AC74" s="8">
        <f>Renta_Alta!AC74+Masivo!AC74+Consumo_Inicial!AC74</f>
        <v>0</v>
      </c>
      <c r="AD74" s="8">
        <f>Renta_Alta!AD74+Masivo!AD74+Consumo_Inicial!AD74</f>
        <v>0</v>
      </c>
      <c r="AE74" s="8">
        <f>Renta_Alta!AE74+Masivo!AE74+Consumo_Inicial!AE74</f>
        <v>0</v>
      </c>
      <c r="AF74" s="8">
        <f>Renta_Alta!AF74+Masivo!AF74+Consumo_Inicial!AF74</f>
        <v>0</v>
      </c>
      <c r="AG74" s="8">
        <f>Renta_Alta!AG74+Masivo!AG74+Consumo_Inicial!AG74</f>
        <v>0</v>
      </c>
      <c r="AH74" s="8">
        <f>Renta_Alta!AH74+Masivo!AH74+Consumo_Inicial!AH74</f>
        <v>0</v>
      </c>
      <c r="AI74" s="8">
        <f>Renta_Alta!AI74+Masivo!AI74+Consumo_Inicial!AI74</f>
        <v>0</v>
      </c>
      <c r="AJ74" s="8">
        <f>Renta_Alta!AJ74+Masivo!AJ74+Consumo_Inicial!AJ74</f>
        <v>0</v>
      </c>
      <c r="AK74" s="8">
        <f>Renta_Alta!AK74+Masivo!AK74+Consumo_Inicial!AK74</f>
        <v>0</v>
      </c>
      <c r="AL74" s="8">
        <f>Renta_Alta!AL74+Masivo!AL74+Consumo_Inicial!AL74</f>
        <v>0</v>
      </c>
      <c r="AM74" s="8">
        <f>Renta_Alta!AM74+Masivo!AM74+Consumo_Inicial!AM74</f>
        <v>0</v>
      </c>
      <c r="AN74" s="8">
        <f>Renta_Alta!AN74+Masivo!AN74+Consumo_Inicial!AN74</f>
        <v>0</v>
      </c>
      <c r="AO74" s="8">
        <f>Renta_Alta!AO74+Masivo!AO74+Consumo_Inicial!AO74</f>
        <v>0</v>
      </c>
      <c r="AP74" s="8">
        <f>Renta_Alta!AP74+Masivo!AP74+Consumo_Inicial!AP74</f>
        <v>0</v>
      </c>
      <c r="AQ74" s="8">
        <f>Renta_Alta!AQ74+Masivo!AQ74+Consumo_Inicial!AQ74</f>
        <v>0</v>
      </c>
      <c r="AR74" s="8">
        <f>Renta_Alta!AR74+Masivo!AR74+Consumo_Inicial!AR74</f>
        <v>0</v>
      </c>
      <c r="AS74" s="8">
        <f>Renta_Alta!AS74+Masivo!AS74+Consumo_Inicial!AS74</f>
        <v>0</v>
      </c>
      <c r="AT74" s="8">
        <f>Renta_Alta!AT74+Masivo!AT74+Consumo_Inicial!AT74</f>
        <v>0</v>
      </c>
      <c r="AU74" s="8">
        <f>Renta_Alta!AU74+Masivo!AU74+Consumo_Inicial!AU74</f>
        <v>0</v>
      </c>
      <c r="AV74" s="8">
        <f>Renta_Alta!AV74+Masivo!AV74+Consumo_Inicial!AV74</f>
        <v>0</v>
      </c>
      <c r="AW74" s="8">
        <f>Renta_Alta!AW74+Masivo!AW74+Consumo_Inicial!AW74</f>
        <v>0</v>
      </c>
      <c r="AX74" s="8">
        <f>Renta_Alta!AX74+Masivo!AX74+Consumo_Inicial!AX74</f>
        <v>0</v>
      </c>
      <c r="AY74" s="8">
        <f>Renta_Alta!AY74+Masivo!AY74+Consumo_Inicial!AY74</f>
        <v>0</v>
      </c>
      <c r="AZ74" s="8">
        <f>Renta_Alta!AZ74+Masivo!AZ74+Consumo_Inicial!AZ74</f>
        <v>0</v>
      </c>
      <c r="BA74" s="8">
        <f>Renta_Alta!BA74+Masivo!BA74+Consumo_Inicial!BA74</f>
        <v>0</v>
      </c>
      <c r="BB74" s="8">
        <f>Renta_Alta!BB74+Masivo!BB74+Consumo_Inicial!BB74</f>
        <v>0</v>
      </c>
      <c r="BC74" s="8">
        <f>Renta_Alta!BC74+Masivo!BC74+Consumo_Inicial!BC74</f>
        <v>0</v>
      </c>
      <c r="BD74" s="8">
        <f>Renta_Alta!BD74+Masivo!BD74+Consumo_Inicial!BD74</f>
        <v>0</v>
      </c>
      <c r="BE74" s="8">
        <f>Renta_Alta!BE74+Masivo!BE74+Consumo_Inicial!BE74</f>
        <v>0</v>
      </c>
      <c r="BF74" s="8">
        <f>Renta_Alta!BF74+Masivo!BF74+Consumo_Inicial!BF74</f>
        <v>0</v>
      </c>
      <c r="BG74" s="8">
        <f>Renta_Alta!BG74+Masivo!BG74+Consumo_Inicial!BG74</f>
        <v>0</v>
      </c>
      <c r="BH74" s="8">
        <f>Renta_Alta!BH74+Masivo!BH74+Consumo_Inicial!BH74</f>
        <v>0</v>
      </c>
      <c r="BI74" s="8">
        <f>Renta_Alta!BI74+Masivo!BI74+Consumo_Inicial!BI74</f>
        <v>0</v>
      </c>
      <c r="BJ74" s="8">
        <f>Renta_Alta!BJ74+Masivo!BJ74+Consumo_Inicial!BJ74</f>
        <v>0</v>
      </c>
      <c r="BK74" s="8">
        <f>Renta_Alta!BK74+Masivo!BK74+Consumo_Inicial!BK74</f>
        <v>0</v>
      </c>
      <c r="BO74" s="24">
        <f t="shared" si="72"/>
        <v>0</v>
      </c>
      <c r="BP74" s="24">
        <f t="shared" si="72"/>
        <v>0</v>
      </c>
      <c r="BQ74" s="24">
        <f t="shared" si="72"/>
        <v>0</v>
      </c>
      <c r="BR74" s="24">
        <f t="shared" si="72"/>
        <v>0</v>
      </c>
      <c r="BS74" s="24">
        <f t="shared" si="72"/>
        <v>0</v>
      </c>
      <c r="BT74" s="24">
        <f t="shared" si="72"/>
        <v>0</v>
      </c>
    </row>
    <row r="75" spans="1:72" hidden="1" outlineLevel="1" x14ac:dyDescent="0.25">
      <c r="A75" s="11" t="s">
        <v>71</v>
      </c>
      <c r="C75" s="2"/>
      <c r="D75" s="8">
        <f>Renta_Alta!D75+Masivo!D75+Consumo_Inicial!D75</f>
        <v>0</v>
      </c>
      <c r="E75" s="8">
        <f>Renta_Alta!E75+Masivo!E75+Consumo_Inicial!E75</f>
        <v>0</v>
      </c>
      <c r="F75" s="8">
        <f>Renta_Alta!F75+Masivo!F75+Consumo_Inicial!F75</f>
        <v>0</v>
      </c>
      <c r="G75" s="8">
        <f>Renta_Alta!G75+Masivo!G75+Consumo_Inicial!G75</f>
        <v>0</v>
      </c>
      <c r="H75" s="8">
        <f>Renta_Alta!H75+Masivo!H75+Consumo_Inicial!H75</f>
        <v>0</v>
      </c>
      <c r="I75" s="8">
        <f>Renta_Alta!I75+Masivo!I75+Consumo_Inicial!I75</f>
        <v>0</v>
      </c>
      <c r="J75" s="8">
        <f>Renta_Alta!J75+Masivo!J75+Consumo_Inicial!J75</f>
        <v>0</v>
      </c>
      <c r="K75" s="8">
        <f>Renta_Alta!K75+Masivo!K75+Consumo_Inicial!K75</f>
        <v>0</v>
      </c>
      <c r="L75" s="8">
        <f>Renta_Alta!L75+Masivo!L75+Consumo_Inicial!L75</f>
        <v>0</v>
      </c>
      <c r="M75" s="8">
        <f>Renta_Alta!M75+Masivo!M75+Consumo_Inicial!M75</f>
        <v>0</v>
      </c>
      <c r="N75" s="8">
        <f>Renta_Alta!N75+Masivo!N75+Consumo_Inicial!N75</f>
        <v>0</v>
      </c>
      <c r="O75" s="8">
        <f>Renta_Alta!O75+Masivo!O75+Consumo_Inicial!O75</f>
        <v>0</v>
      </c>
      <c r="P75" s="8">
        <f>Renta_Alta!P75+Masivo!P75+Consumo_Inicial!P75</f>
        <v>0</v>
      </c>
      <c r="Q75" s="8">
        <f>Renta_Alta!Q75+Masivo!Q75+Consumo_Inicial!Q75</f>
        <v>0</v>
      </c>
      <c r="R75" s="8">
        <f>Renta_Alta!R75+Masivo!R75+Consumo_Inicial!R75</f>
        <v>0</v>
      </c>
      <c r="S75" s="8">
        <f>Renta_Alta!S75+Masivo!S75+Consumo_Inicial!S75</f>
        <v>0</v>
      </c>
      <c r="T75" s="8">
        <f>Renta_Alta!T75+Masivo!T75+Consumo_Inicial!T75</f>
        <v>0</v>
      </c>
      <c r="U75" s="8">
        <f>Renta_Alta!U75+Masivo!U75+Consumo_Inicial!U75</f>
        <v>0</v>
      </c>
      <c r="V75" s="8">
        <f>Renta_Alta!V75+Masivo!V75+Consumo_Inicial!V75</f>
        <v>0</v>
      </c>
      <c r="W75" s="8">
        <f>Renta_Alta!W75+Masivo!W75+Consumo_Inicial!W75</f>
        <v>0</v>
      </c>
      <c r="X75" s="8">
        <f>Renta_Alta!X75+Masivo!X75+Consumo_Inicial!X75</f>
        <v>0</v>
      </c>
      <c r="Y75" s="8">
        <f>Renta_Alta!Y75+Masivo!Y75+Consumo_Inicial!Y75</f>
        <v>0</v>
      </c>
      <c r="Z75" s="8">
        <f>Renta_Alta!Z75+Masivo!Z75+Consumo_Inicial!Z75</f>
        <v>0</v>
      </c>
      <c r="AA75" s="8">
        <f>Renta_Alta!AA75+Masivo!AA75+Consumo_Inicial!AA75</f>
        <v>0</v>
      </c>
      <c r="AB75" s="8">
        <f>Renta_Alta!AB75+Masivo!AB75+Consumo_Inicial!AB75</f>
        <v>0</v>
      </c>
      <c r="AC75" s="8">
        <f>Renta_Alta!AC75+Masivo!AC75+Consumo_Inicial!AC75</f>
        <v>0</v>
      </c>
      <c r="AD75" s="8">
        <f>Renta_Alta!AD75+Masivo!AD75+Consumo_Inicial!AD75</f>
        <v>0</v>
      </c>
      <c r="AE75" s="8">
        <f>Renta_Alta!AE75+Masivo!AE75+Consumo_Inicial!AE75</f>
        <v>0</v>
      </c>
      <c r="AF75" s="8">
        <f>Renta_Alta!AF75+Masivo!AF75+Consumo_Inicial!AF75</f>
        <v>0</v>
      </c>
      <c r="AG75" s="8">
        <f>Renta_Alta!AG75+Masivo!AG75+Consumo_Inicial!AG75</f>
        <v>0</v>
      </c>
      <c r="AH75" s="8">
        <f>Renta_Alta!AH75+Masivo!AH75+Consumo_Inicial!AH75</f>
        <v>0</v>
      </c>
      <c r="AI75" s="8">
        <f>Renta_Alta!AI75+Masivo!AI75+Consumo_Inicial!AI75</f>
        <v>0</v>
      </c>
      <c r="AJ75" s="8">
        <f>Renta_Alta!AJ75+Masivo!AJ75+Consumo_Inicial!AJ75</f>
        <v>0</v>
      </c>
      <c r="AK75" s="8">
        <f>Renta_Alta!AK75+Masivo!AK75+Consumo_Inicial!AK75</f>
        <v>0</v>
      </c>
      <c r="AL75" s="8">
        <f>Renta_Alta!AL75+Masivo!AL75+Consumo_Inicial!AL75</f>
        <v>0</v>
      </c>
      <c r="AM75" s="8">
        <f>Renta_Alta!AM75+Masivo!AM75+Consumo_Inicial!AM75</f>
        <v>0</v>
      </c>
      <c r="AN75" s="8">
        <f>Renta_Alta!AN75+Masivo!AN75+Consumo_Inicial!AN75</f>
        <v>0</v>
      </c>
      <c r="AO75" s="8">
        <f>Renta_Alta!AO75+Masivo!AO75+Consumo_Inicial!AO75</f>
        <v>0</v>
      </c>
      <c r="AP75" s="8">
        <f>Renta_Alta!AP75+Masivo!AP75+Consumo_Inicial!AP75</f>
        <v>0</v>
      </c>
      <c r="AQ75" s="8">
        <f>Renta_Alta!AQ75+Masivo!AQ75+Consumo_Inicial!AQ75</f>
        <v>0</v>
      </c>
      <c r="AR75" s="8">
        <f>Renta_Alta!AR75+Masivo!AR75+Consumo_Inicial!AR75</f>
        <v>0</v>
      </c>
      <c r="AS75" s="8">
        <f>Renta_Alta!AS75+Masivo!AS75+Consumo_Inicial!AS75</f>
        <v>0</v>
      </c>
      <c r="AT75" s="8">
        <f>Renta_Alta!AT75+Masivo!AT75+Consumo_Inicial!AT75</f>
        <v>0</v>
      </c>
      <c r="AU75" s="8">
        <f>Renta_Alta!AU75+Masivo!AU75+Consumo_Inicial!AU75</f>
        <v>0</v>
      </c>
      <c r="AV75" s="8">
        <f>Renta_Alta!AV75+Masivo!AV75+Consumo_Inicial!AV75</f>
        <v>0</v>
      </c>
      <c r="AW75" s="8">
        <f>Renta_Alta!AW75+Masivo!AW75+Consumo_Inicial!AW75</f>
        <v>0</v>
      </c>
      <c r="AX75" s="8">
        <f>Renta_Alta!AX75+Masivo!AX75+Consumo_Inicial!AX75</f>
        <v>0</v>
      </c>
      <c r="AY75" s="8">
        <f>Renta_Alta!AY75+Masivo!AY75+Consumo_Inicial!AY75</f>
        <v>0</v>
      </c>
      <c r="AZ75" s="8">
        <f>Renta_Alta!AZ75+Masivo!AZ75+Consumo_Inicial!AZ75</f>
        <v>0</v>
      </c>
      <c r="BA75" s="8">
        <f>Renta_Alta!BA75+Masivo!BA75+Consumo_Inicial!BA75</f>
        <v>0</v>
      </c>
      <c r="BB75" s="8">
        <f>Renta_Alta!BB75+Masivo!BB75+Consumo_Inicial!BB75</f>
        <v>0</v>
      </c>
      <c r="BC75" s="8">
        <f>Renta_Alta!BC75+Masivo!BC75+Consumo_Inicial!BC75</f>
        <v>0</v>
      </c>
      <c r="BD75" s="8">
        <f>Renta_Alta!BD75+Masivo!BD75+Consumo_Inicial!BD75</f>
        <v>0</v>
      </c>
      <c r="BE75" s="8">
        <f>Renta_Alta!BE75+Masivo!BE75+Consumo_Inicial!BE75</f>
        <v>0</v>
      </c>
      <c r="BF75" s="8">
        <f>Renta_Alta!BF75+Masivo!BF75+Consumo_Inicial!BF75</f>
        <v>0</v>
      </c>
      <c r="BG75" s="8">
        <f>Renta_Alta!BG75+Masivo!BG75+Consumo_Inicial!BG75</f>
        <v>0</v>
      </c>
      <c r="BH75" s="8">
        <f>Renta_Alta!BH75+Masivo!BH75+Consumo_Inicial!BH75</f>
        <v>0</v>
      </c>
      <c r="BI75" s="8">
        <f>Renta_Alta!BI75+Masivo!BI75+Consumo_Inicial!BI75</f>
        <v>0</v>
      </c>
      <c r="BJ75" s="8">
        <f>Renta_Alta!BJ75+Masivo!BJ75+Consumo_Inicial!BJ75</f>
        <v>0</v>
      </c>
      <c r="BK75" s="8">
        <f>Renta_Alta!BK75+Masivo!BK75+Consumo_Inicial!BK75</f>
        <v>0</v>
      </c>
      <c r="BO75" s="24">
        <f t="shared" si="72"/>
        <v>0</v>
      </c>
      <c r="BP75" s="24">
        <f t="shared" si="72"/>
        <v>0</v>
      </c>
      <c r="BQ75" s="24">
        <f t="shared" si="72"/>
        <v>0</v>
      </c>
      <c r="BR75" s="24">
        <f t="shared" si="72"/>
        <v>0</v>
      </c>
      <c r="BS75" s="24">
        <f t="shared" si="72"/>
        <v>0</v>
      </c>
      <c r="BT75" s="24">
        <f t="shared" si="72"/>
        <v>0</v>
      </c>
    </row>
    <row r="76" spans="1:72" hidden="1" outlineLevel="1" x14ac:dyDescent="0.25">
      <c r="A76" s="11" t="s">
        <v>71</v>
      </c>
      <c r="C76" s="2"/>
      <c r="D76" s="8">
        <f>Renta_Alta!D76+Masivo!D76+Consumo_Inicial!D76</f>
        <v>0</v>
      </c>
      <c r="E76" s="8">
        <f>Renta_Alta!E76+Masivo!E76+Consumo_Inicial!E76</f>
        <v>0</v>
      </c>
      <c r="F76" s="8">
        <f>Renta_Alta!F76+Masivo!F76+Consumo_Inicial!F76</f>
        <v>0</v>
      </c>
      <c r="G76" s="8">
        <f>Renta_Alta!G76+Masivo!G76+Consumo_Inicial!G76</f>
        <v>0</v>
      </c>
      <c r="H76" s="8">
        <f>Renta_Alta!H76+Masivo!H76+Consumo_Inicial!H76</f>
        <v>0</v>
      </c>
      <c r="I76" s="8">
        <f>Renta_Alta!I76+Masivo!I76+Consumo_Inicial!I76</f>
        <v>0</v>
      </c>
      <c r="J76" s="8">
        <f>Renta_Alta!J76+Masivo!J76+Consumo_Inicial!J76</f>
        <v>0</v>
      </c>
      <c r="K76" s="8">
        <f>Renta_Alta!K76+Masivo!K76+Consumo_Inicial!K76</f>
        <v>0</v>
      </c>
      <c r="L76" s="8">
        <f>Renta_Alta!L76+Masivo!L76+Consumo_Inicial!L76</f>
        <v>0</v>
      </c>
      <c r="M76" s="8">
        <f>Renta_Alta!M76+Masivo!M76+Consumo_Inicial!M76</f>
        <v>0</v>
      </c>
      <c r="N76" s="8">
        <f>Renta_Alta!N76+Masivo!N76+Consumo_Inicial!N76</f>
        <v>0</v>
      </c>
      <c r="O76" s="8">
        <f>Renta_Alta!O76+Masivo!O76+Consumo_Inicial!O76</f>
        <v>0</v>
      </c>
      <c r="P76" s="8">
        <f>Renta_Alta!P76+Masivo!P76+Consumo_Inicial!P76</f>
        <v>0</v>
      </c>
      <c r="Q76" s="8">
        <f>Renta_Alta!Q76+Masivo!Q76+Consumo_Inicial!Q76</f>
        <v>0</v>
      </c>
      <c r="R76" s="8">
        <f>Renta_Alta!R76+Masivo!R76+Consumo_Inicial!R76</f>
        <v>0</v>
      </c>
      <c r="S76" s="8">
        <f>Renta_Alta!S76+Masivo!S76+Consumo_Inicial!S76</f>
        <v>0</v>
      </c>
      <c r="T76" s="8">
        <f>Renta_Alta!T76+Masivo!T76+Consumo_Inicial!T76</f>
        <v>0</v>
      </c>
      <c r="U76" s="8">
        <f>Renta_Alta!U76+Masivo!U76+Consumo_Inicial!U76</f>
        <v>0</v>
      </c>
      <c r="V76" s="8">
        <f>Renta_Alta!V76+Masivo!V76+Consumo_Inicial!V76</f>
        <v>0</v>
      </c>
      <c r="W76" s="8">
        <f>Renta_Alta!W76+Masivo!W76+Consumo_Inicial!W76</f>
        <v>0</v>
      </c>
      <c r="X76" s="8">
        <f>Renta_Alta!X76+Masivo!X76+Consumo_Inicial!X76</f>
        <v>0</v>
      </c>
      <c r="Y76" s="8">
        <f>Renta_Alta!Y76+Masivo!Y76+Consumo_Inicial!Y76</f>
        <v>0</v>
      </c>
      <c r="Z76" s="8">
        <f>Renta_Alta!Z76+Masivo!Z76+Consumo_Inicial!Z76</f>
        <v>0</v>
      </c>
      <c r="AA76" s="8">
        <f>Renta_Alta!AA76+Masivo!AA76+Consumo_Inicial!AA76</f>
        <v>0</v>
      </c>
      <c r="AB76" s="8">
        <f>Renta_Alta!AB76+Masivo!AB76+Consumo_Inicial!AB76</f>
        <v>0</v>
      </c>
      <c r="AC76" s="8">
        <f>Renta_Alta!AC76+Masivo!AC76+Consumo_Inicial!AC76</f>
        <v>0</v>
      </c>
      <c r="AD76" s="8">
        <f>Renta_Alta!AD76+Masivo!AD76+Consumo_Inicial!AD76</f>
        <v>0</v>
      </c>
      <c r="AE76" s="8">
        <f>Renta_Alta!AE76+Masivo!AE76+Consumo_Inicial!AE76</f>
        <v>0</v>
      </c>
      <c r="AF76" s="8">
        <f>Renta_Alta!AF76+Masivo!AF76+Consumo_Inicial!AF76</f>
        <v>0</v>
      </c>
      <c r="AG76" s="8">
        <f>Renta_Alta!AG76+Masivo!AG76+Consumo_Inicial!AG76</f>
        <v>0</v>
      </c>
      <c r="AH76" s="8">
        <f>Renta_Alta!AH76+Masivo!AH76+Consumo_Inicial!AH76</f>
        <v>0</v>
      </c>
      <c r="AI76" s="8">
        <f>Renta_Alta!AI76+Masivo!AI76+Consumo_Inicial!AI76</f>
        <v>0</v>
      </c>
      <c r="AJ76" s="8">
        <f>Renta_Alta!AJ76+Masivo!AJ76+Consumo_Inicial!AJ76</f>
        <v>0</v>
      </c>
      <c r="AK76" s="8">
        <f>Renta_Alta!AK76+Masivo!AK76+Consumo_Inicial!AK76</f>
        <v>0</v>
      </c>
      <c r="AL76" s="8">
        <f>Renta_Alta!AL76+Masivo!AL76+Consumo_Inicial!AL76</f>
        <v>0</v>
      </c>
      <c r="AM76" s="8">
        <f>Renta_Alta!AM76+Masivo!AM76+Consumo_Inicial!AM76</f>
        <v>0</v>
      </c>
      <c r="AN76" s="8">
        <f>Renta_Alta!AN76+Masivo!AN76+Consumo_Inicial!AN76</f>
        <v>0</v>
      </c>
      <c r="AO76" s="8">
        <f>Renta_Alta!AO76+Masivo!AO76+Consumo_Inicial!AO76</f>
        <v>0</v>
      </c>
      <c r="AP76" s="8">
        <f>Renta_Alta!AP76+Masivo!AP76+Consumo_Inicial!AP76</f>
        <v>0</v>
      </c>
      <c r="AQ76" s="8">
        <f>Renta_Alta!AQ76+Masivo!AQ76+Consumo_Inicial!AQ76</f>
        <v>0</v>
      </c>
      <c r="AR76" s="8">
        <f>Renta_Alta!AR76+Masivo!AR76+Consumo_Inicial!AR76</f>
        <v>0</v>
      </c>
      <c r="AS76" s="8">
        <f>Renta_Alta!AS76+Masivo!AS76+Consumo_Inicial!AS76</f>
        <v>0</v>
      </c>
      <c r="AT76" s="8">
        <f>Renta_Alta!AT76+Masivo!AT76+Consumo_Inicial!AT76</f>
        <v>0</v>
      </c>
      <c r="AU76" s="8">
        <f>Renta_Alta!AU76+Masivo!AU76+Consumo_Inicial!AU76</f>
        <v>0</v>
      </c>
      <c r="AV76" s="8">
        <f>Renta_Alta!AV76+Masivo!AV76+Consumo_Inicial!AV76</f>
        <v>0</v>
      </c>
      <c r="AW76" s="8">
        <f>Renta_Alta!AW76+Masivo!AW76+Consumo_Inicial!AW76</f>
        <v>0</v>
      </c>
      <c r="AX76" s="8">
        <f>Renta_Alta!AX76+Masivo!AX76+Consumo_Inicial!AX76</f>
        <v>0</v>
      </c>
      <c r="AY76" s="8">
        <f>Renta_Alta!AY76+Masivo!AY76+Consumo_Inicial!AY76</f>
        <v>0</v>
      </c>
      <c r="AZ76" s="8">
        <f>Renta_Alta!AZ76+Masivo!AZ76+Consumo_Inicial!AZ76</f>
        <v>0</v>
      </c>
      <c r="BA76" s="8">
        <f>Renta_Alta!BA76+Masivo!BA76+Consumo_Inicial!BA76</f>
        <v>0</v>
      </c>
      <c r="BB76" s="8">
        <f>Renta_Alta!BB76+Masivo!BB76+Consumo_Inicial!BB76</f>
        <v>0</v>
      </c>
      <c r="BC76" s="8">
        <f>Renta_Alta!BC76+Masivo!BC76+Consumo_Inicial!BC76</f>
        <v>0</v>
      </c>
      <c r="BD76" s="8">
        <f>Renta_Alta!BD76+Masivo!BD76+Consumo_Inicial!BD76</f>
        <v>0</v>
      </c>
      <c r="BE76" s="8">
        <f>Renta_Alta!BE76+Masivo!BE76+Consumo_Inicial!BE76</f>
        <v>0</v>
      </c>
      <c r="BF76" s="8">
        <f>Renta_Alta!BF76+Masivo!BF76+Consumo_Inicial!BF76</f>
        <v>0</v>
      </c>
      <c r="BG76" s="8">
        <f>Renta_Alta!BG76+Masivo!BG76+Consumo_Inicial!BG76</f>
        <v>0</v>
      </c>
      <c r="BH76" s="8">
        <f>Renta_Alta!BH76+Masivo!BH76+Consumo_Inicial!BH76</f>
        <v>0</v>
      </c>
      <c r="BI76" s="8">
        <f>Renta_Alta!BI76+Masivo!BI76+Consumo_Inicial!BI76</f>
        <v>0</v>
      </c>
      <c r="BJ76" s="8">
        <f>Renta_Alta!BJ76+Masivo!BJ76+Consumo_Inicial!BJ76</f>
        <v>0</v>
      </c>
      <c r="BK76" s="8">
        <f>Renta_Alta!BK76+Masivo!BK76+Consumo_Inicial!BK76</f>
        <v>0</v>
      </c>
      <c r="BO76" s="24">
        <f t="shared" si="72"/>
        <v>0</v>
      </c>
      <c r="BP76" s="24">
        <f t="shared" si="72"/>
        <v>0</v>
      </c>
      <c r="BQ76" s="24">
        <f t="shared" si="72"/>
        <v>0</v>
      </c>
      <c r="BR76" s="24">
        <f t="shared" si="72"/>
        <v>0</v>
      </c>
      <c r="BS76" s="24">
        <f t="shared" si="72"/>
        <v>0</v>
      </c>
      <c r="BT76" s="24">
        <f t="shared" si="72"/>
        <v>0</v>
      </c>
    </row>
    <row r="77" spans="1:72" hidden="1" outlineLevel="1" x14ac:dyDescent="0.25">
      <c r="A77" s="11" t="s">
        <v>71</v>
      </c>
      <c r="C77" s="2"/>
      <c r="D77" s="8">
        <f>Renta_Alta!D77+Masivo!D77+Consumo_Inicial!D77</f>
        <v>0</v>
      </c>
      <c r="E77" s="8">
        <f>Renta_Alta!E77+Masivo!E77+Consumo_Inicial!E77</f>
        <v>0</v>
      </c>
      <c r="F77" s="8">
        <f>Renta_Alta!F77+Masivo!F77+Consumo_Inicial!F77</f>
        <v>0</v>
      </c>
      <c r="G77" s="8">
        <f>Renta_Alta!G77+Masivo!G77+Consumo_Inicial!G77</f>
        <v>0</v>
      </c>
      <c r="H77" s="8">
        <f>Renta_Alta!H77+Masivo!H77+Consumo_Inicial!H77</f>
        <v>0</v>
      </c>
      <c r="I77" s="8">
        <f>Renta_Alta!I77+Masivo!I77+Consumo_Inicial!I77</f>
        <v>0</v>
      </c>
      <c r="J77" s="8">
        <f>Renta_Alta!J77+Masivo!J77+Consumo_Inicial!J77</f>
        <v>0</v>
      </c>
      <c r="K77" s="8">
        <f>Renta_Alta!K77+Masivo!K77+Consumo_Inicial!K77</f>
        <v>0</v>
      </c>
      <c r="L77" s="8">
        <f>Renta_Alta!L77+Masivo!L77+Consumo_Inicial!L77</f>
        <v>0</v>
      </c>
      <c r="M77" s="8">
        <f>Renta_Alta!M77+Masivo!M77+Consumo_Inicial!M77</f>
        <v>0</v>
      </c>
      <c r="N77" s="8">
        <f>Renta_Alta!N77+Masivo!N77+Consumo_Inicial!N77</f>
        <v>0</v>
      </c>
      <c r="O77" s="8">
        <f>Renta_Alta!O77+Masivo!O77+Consumo_Inicial!O77</f>
        <v>0</v>
      </c>
      <c r="P77" s="8">
        <f>Renta_Alta!P77+Masivo!P77+Consumo_Inicial!P77</f>
        <v>0</v>
      </c>
      <c r="Q77" s="8">
        <f>Renta_Alta!Q77+Masivo!Q77+Consumo_Inicial!Q77</f>
        <v>0</v>
      </c>
      <c r="R77" s="8">
        <f>Renta_Alta!R77+Masivo!R77+Consumo_Inicial!R77</f>
        <v>0</v>
      </c>
      <c r="S77" s="8">
        <f>Renta_Alta!S77+Masivo!S77+Consumo_Inicial!S77</f>
        <v>0</v>
      </c>
      <c r="T77" s="8">
        <f>Renta_Alta!T77+Masivo!T77+Consumo_Inicial!T77</f>
        <v>0</v>
      </c>
      <c r="U77" s="8">
        <f>Renta_Alta!U77+Masivo!U77+Consumo_Inicial!U77</f>
        <v>0</v>
      </c>
      <c r="V77" s="8">
        <f>Renta_Alta!V77+Masivo!V77+Consumo_Inicial!V77</f>
        <v>0</v>
      </c>
      <c r="W77" s="8">
        <f>Renta_Alta!W77+Masivo!W77+Consumo_Inicial!W77</f>
        <v>0</v>
      </c>
      <c r="X77" s="8">
        <f>Renta_Alta!X77+Masivo!X77+Consumo_Inicial!X77</f>
        <v>0</v>
      </c>
      <c r="Y77" s="8">
        <f>Renta_Alta!Y77+Masivo!Y77+Consumo_Inicial!Y77</f>
        <v>0</v>
      </c>
      <c r="Z77" s="8">
        <f>Renta_Alta!Z77+Masivo!Z77+Consumo_Inicial!Z77</f>
        <v>0</v>
      </c>
      <c r="AA77" s="8">
        <f>Renta_Alta!AA77+Masivo!AA77+Consumo_Inicial!AA77</f>
        <v>0</v>
      </c>
      <c r="AB77" s="8">
        <f>Renta_Alta!AB77+Masivo!AB77+Consumo_Inicial!AB77</f>
        <v>0</v>
      </c>
      <c r="AC77" s="8">
        <f>Renta_Alta!AC77+Masivo!AC77+Consumo_Inicial!AC77</f>
        <v>0</v>
      </c>
      <c r="AD77" s="8">
        <f>Renta_Alta!AD77+Masivo!AD77+Consumo_Inicial!AD77</f>
        <v>0</v>
      </c>
      <c r="AE77" s="8">
        <f>Renta_Alta!AE77+Masivo!AE77+Consumo_Inicial!AE77</f>
        <v>0</v>
      </c>
      <c r="AF77" s="8">
        <f>Renta_Alta!AF77+Masivo!AF77+Consumo_Inicial!AF77</f>
        <v>0</v>
      </c>
      <c r="AG77" s="8">
        <f>Renta_Alta!AG77+Masivo!AG77+Consumo_Inicial!AG77</f>
        <v>0</v>
      </c>
      <c r="AH77" s="8">
        <f>Renta_Alta!AH77+Masivo!AH77+Consumo_Inicial!AH77</f>
        <v>0</v>
      </c>
      <c r="AI77" s="8">
        <f>Renta_Alta!AI77+Masivo!AI77+Consumo_Inicial!AI77</f>
        <v>0</v>
      </c>
      <c r="AJ77" s="8">
        <f>Renta_Alta!AJ77+Masivo!AJ77+Consumo_Inicial!AJ77</f>
        <v>0</v>
      </c>
      <c r="AK77" s="8">
        <f>Renta_Alta!AK77+Masivo!AK77+Consumo_Inicial!AK77</f>
        <v>0</v>
      </c>
      <c r="AL77" s="8">
        <f>Renta_Alta!AL77+Masivo!AL77+Consumo_Inicial!AL77</f>
        <v>0</v>
      </c>
      <c r="AM77" s="8">
        <f>Renta_Alta!AM77+Masivo!AM77+Consumo_Inicial!AM77</f>
        <v>0</v>
      </c>
      <c r="AN77" s="8">
        <f>Renta_Alta!AN77+Masivo!AN77+Consumo_Inicial!AN77</f>
        <v>0</v>
      </c>
      <c r="AO77" s="8">
        <f>Renta_Alta!AO77+Masivo!AO77+Consumo_Inicial!AO77</f>
        <v>0</v>
      </c>
      <c r="AP77" s="8">
        <f>Renta_Alta!AP77+Masivo!AP77+Consumo_Inicial!AP77</f>
        <v>0</v>
      </c>
      <c r="AQ77" s="8">
        <f>Renta_Alta!AQ77+Masivo!AQ77+Consumo_Inicial!AQ77</f>
        <v>0</v>
      </c>
      <c r="AR77" s="8">
        <f>Renta_Alta!AR77+Masivo!AR77+Consumo_Inicial!AR77</f>
        <v>0</v>
      </c>
      <c r="AS77" s="8">
        <f>Renta_Alta!AS77+Masivo!AS77+Consumo_Inicial!AS77</f>
        <v>0</v>
      </c>
      <c r="AT77" s="8">
        <f>Renta_Alta!AT77+Masivo!AT77+Consumo_Inicial!AT77</f>
        <v>0</v>
      </c>
      <c r="AU77" s="8">
        <f>Renta_Alta!AU77+Masivo!AU77+Consumo_Inicial!AU77</f>
        <v>0</v>
      </c>
      <c r="AV77" s="8">
        <f>Renta_Alta!AV77+Masivo!AV77+Consumo_Inicial!AV77</f>
        <v>0</v>
      </c>
      <c r="AW77" s="8">
        <f>Renta_Alta!AW77+Masivo!AW77+Consumo_Inicial!AW77</f>
        <v>0</v>
      </c>
      <c r="AX77" s="8">
        <f>Renta_Alta!AX77+Masivo!AX77+Consumo_Inicial!AX77</f>
        <v>0</v>
      </c>
      <c r="AY77" s="8">
        <f>Renta_Alta!AY77+Masivo!AY77+Consumo_Inicial!AY77</f>
        <v>0</v>
      </c>
      <c r="AZ77" s="8">
        <f>Renta_Alta!AZ77+Masivo!AZ77+Consumo_Inicial!AZ77</f>
        <v>0</v>
      </c>
      <c r="BA77" s="8">
        <f>Renta_Alta!BA77+Masivo!BA77+Consumo_Inicial!BA77</f>
        <v>0</v>
      </c>
      <c r="BB77" s="8">
        <f>Renta_Alta!BB77+Masivo!BB77+Consumo_Inicial!BB77</f>
        <v>0</v>
      </c>
      <c r="BC77" s="8">
        <f>Renta_Alta!BC77+Masivo!BC77+Consumo_Inicial!BC77</f>
        <v>0</v>
      </c>
      <c r="BD77" s="8">
        <f>Renta_Alta!BD77+Masivo!BD77+Consumo_Inicial!BD77</f>
        <v>0</v>
      </c>
      <c r="BE77" s="8">
        <f>Renta_Alta!BE77+Masivo!BE77+Consumo_Inicial!BE77</f>
        <v>0</v>
      </c>
      <c r="BF77" s="8">
        <f>Renta_Alta!BF77+Masivo!BF77+Consumo_Inicial!BF77</f>
        <v>0</v>
      </c>
      <c r="BG77" s="8">
        <f>Renta_Alta!BG77+Masivo!BG77+Consumo_Inicial!BG77</f>
        <v>0</v>
      </c>
      <c r="BH77" s="8">
        <f>Renta_Alta!BH77+Masivo!BH77+Consumo_Inicial!BH77</f>
        <v>0</v>
      </c>
      <c r="BI77" s="8">
        <f>Renta_Alta!BI77+Masivo!BI77+Consumo_Inicial!BI77</f>
        <v>0</v>
      </c>
      <c r="BJ77" s="8">
        <f>Renta_Alta!BJ77+Masivo!BJ77+Consumo_Inicial!BJ77</f>
        <v>0</v>
      </c>
      <c r="BK77" s="8">
        <f>Renta_Alta!BK77+Masivo!BK77+Consumo_Inicial!BK77</f>
        <v>0</v>
      </c>
      <c r="BO77" s="24">
        <f t="shared" si="72"/>
        <v>0</v>
      </c>
      <c r="BP77" s="24">
        <f t="shared" si="72"/>
        <v>0</v>
      </c>
      <c r="BQ77" s="24">
        <f t="shared" si="72"/>
        <v>0</v>
      </c>
      <c r="BR77" s="24">
        <f t="shared" si="72"/>
        <v>0</v>
      </c>
      <c r="BS77" s="24">
        <f t="shared" si="72"/>
        <v>0</v>
      </c>
      <c r="BT77" s="24">
        <f t="shared" si="72"/>
        <v>0</v>
      </c>
    </row>
    <row r="78" spans="1:72" hidden="1" outlineLevel="1" x14ac:dyDescent="0.25">
      <c r="A78" s="11" t="s">
        <v>71</v>
      </c>
      <c r="C78" s="2"/>
      <c r="D78" s="8">
        <f>Renta_Alta!D78+Masivo!D78+Consumo_Inicial!D78</f>
        <v>0</v>
      </c>
      <c r="E78" s="8">
        <f>Renta_Alta!E78+Masivo!E78+Consumo_Inicial!E78</f>
        <v>0</v>
      </c>
      <c r="F78" s="8">
        <f>Renta_Alta!F78+Masivo!F78+Consumo_Inicial!F78</f>
        <v>0</v>
      </c>
      <c r="G78" s="8">
        <f>Renta_Alta!G78+Masivo!G78+Consumo_Inicial!G78</f>
        <v>0</v>
      </c>
      <c r="H78" s="8">
        <f>Renta_Alta!H78+Masivo!H78+Consumo_Inicial!H78</f>
        <v>0</v>
      </c>
      <c r="I78" s="8">
        <f>Renta_Alta!I78+Masivo!I78+Consumo_Inicial!I78</f>
        <v>0</v>
      </c>
      <c r="J78" s="8">
        <f>Renta_Alta!J78+Masivo!J78+Consumo_Inicial!J78</f>
        <v>0</v>
      </c>
      <c r="K78" s="8">
        <f>Renta_Alta!K78+Masivo!K78+Consumo_Inicial!K78</f>
        <v>0</v>
      </c>
      <c r="L78" s="8">
        <f>Renta_Alta!L78+Masivo!L78+Consumo_Inicial!L78</f>
        <v>0</v>
      </c>
      <c r="M78" s="8">
        <f>Renta_Alta!M78+Masivo!M78+Consumo_Inicial!M78</f>
        <v>0</v>
      </c>
      <c r="N78" s="8">
        <f>Renta_Alta!N78+Masivo!N78+Consumo_Inicial!N78</f>
        <v>0</v>
      </c>
      <c r="O78" s="8">
        <f>Renta_Alta!O78+Masivo!O78+Consumo_Inicial!O78</f>
        <v>0</v>
      </c>
      <c r="P78" s="8">
        <f>Renta_Alta!P78+Masivo!P78+Consumo_Inicial!P78</f>
        <v>0</v>
      </c>
      <c r="Q78" s="8">
        <f>Renta_Alta!Q78+Masivo!Q78+Consumo_Inicial!Q78</f>
        <v>0</v>
      </c>
      <c r="R78" s="8">
        <f>Renta_Alta!R78+Masivo!R78+Consumo_Inicial!R78</f>
        <v>0</v>
      </c>
      <c r="S78" s="8">
        <f>Renta_Alta!S78+Masivo!S78+Consumo_Inicial!S78</f>
        <v>0</v>
      </c>
      <c r="T78" s="8">
        <f>Renta_Alta!T78+Masivo!T78+Consumo_Inicial!T78</f>
        <v>0</v>
      </c>
      <c r="U78" s="8">
        <f>Renta_Alta!U78+Masivo!U78+Consumo_Inicial!U78</f>
        <v>0</v>
      </c>
      <c r="V78" s="8">
        <f>Renta_Alta!V78+Masivo!V78+Consumo_Inicial!V78</f>
        <v>0</v>
      </c>
      <c r="W78" s="8">
        <f>Renta_Alta!W78+Masivo!W78+Consumo_Inicial!W78</f>
        <v>0</v>
      </c>
      <c r="X78" s="8">
        <f>Renta_Alta!X78+Masivo!X78+Consumo_Inicial!X78</f>
        <v>0</v>
      </c>
      <c r="Y78" s="8">
        <f>Renta_Alta!Y78+Masivo!Y78+Consumo_Inicial!Y78</f>
        <v>0</v>
      </c>
      <c r="Z78" s="8">
        <f>Renta_Alta!Z78+Masivo!Z78+Consumo_Inicial!Z78</f>
        <v>0</v>
      </c>
      <c r="AA78" s="8">
        <f>Renta_Alta!AA78+Masivo!AA78+Consumo_Inicial!AA78</f>
        <v>0</v>
      </c>
      <c r="AB78" s="8">
        <f>Renta_Alta!AB78+Masivo!AB78+Consumo_Inicial!AB78</f>
        <v>0</v>
      </c>
      <c r="AC78" s="8">
        <f>Renta_Alta!AC78+Masivo!AC78+Consumo_Inicial!AC78</f>
        <v>0</v>
      </c>
      <c r="AD78" s="8">
        <f>Renta_Alta!AD78+Masivo!AD78+Consumo_Inicial!AD78</f>
        <v>0</v>
      </c>
      <c r="AE78" s="8">
        <f>Renta_Alta!AE78+Masivo!AE78+Consumo_Inicial!AE78</f>
        <v>0</v>
      </c>
      <c r="AF78" s="8">
        <f>Renta_Alta!AF78+Masivo!AF78+Consumo_Inicial!AF78</f>
        <v>0</v>
      </c>
      <c r="AG78" s="8">
        <f>Renta_Alta!AG78+Masivo!AG78+Consumo_Inicial!AG78</f>
        <v>0</v>
      </c>
      <c r="AH78" s="8">
        <f>Renta_Alta!AH78+Masivo!AH78+Consumo_Inicial!AH78</f>
        <v>0</v>
      </c>
      <c r="AI78" s="8">
        <f>Renta_Alta!AI78+Masivo!AI78+Consumo_Inicial!AI78</f>
        <v>0</v>
      </c>
      <c r="AJ78" s="8">
        <f>Renta_Alta!AJ78+Masivo!AJ78+Consumo_Inicial!AJ78</f>
        <v>0</v>
      </c>
      <c r="AK78" s="8">
        <f>Renta_Alta!AK78+Masivo!AK78+Consumo_Inicial!AK78</f>
        <v>0</v>
      </c>
      <c r="AL78" s="8">
        <f>Renta_Alta!AL78+Masivo!AL78+Consumo_Inicial!AL78</f>
        <v>0</v>
      </c>
      <c r="AM78" s="8">
        <f>Renta_Alta!AM78+Masivo!AM78+Consumo_Inicial!AM78</f>
        <v>0</v>
      </c>
      <c r="AN78" s="8">
        <f>Renta_Alta!AN78+Masivo!AN78+Consumo_Inicial!AN78</f>
        <v>0</v>
      </c>
      <c r="AO78" s="8">
        <f>Renta_Alta!AO78+Masivo!AO78+Consumo_Inicial!AO78</f>
        <v>0</v>
      </c>
      <c r="AP78" s="8">
        <f>Renta_Alta!AP78+Masivo!AP78+Consumo_Inicial!AP78</f>
        <v>0</v>
      </c>
      <c r="AQ78" s="8">
        <f>Renta_Alta!AQ78+Masivo!AQ78+Consumo_Inicial!AQ78</f>
        <v>0</v>
      </c>
      <c r="AR78" s="8">
        <f>Renta_Alta!AR78+Masivo!AR78+Consumo_Inicial!AR78</f>
        <v>0</v>
      </c>
      <c r="AS78" s="8">
        <f>Renta_Alta!AS78+Masivo!AS78+Consumo_Inicial!AS78</f>
        <v>0</v>
      </c>
      <c r="AT78" s="8">
        <f>Renta_Alta!AT78+Masivo!AT78+Consumo_Inicial!AT78</f>
        <v>0</v>
      </c>
      <c r="AU78" s="8">
        <f>Renta_Alta!AU78+Masivo!AU78+Consumo_Inicial!AU78</f>
        <v>0</v>
      </c>
      <c r="AV78" s="8">
        <f>Renta_Alta!AV78+Masivo!AV78+Consumo_Inicial!AV78</f>
        <v>0</v>
      </c>
      <c r="AW78" s="8">
        <f>Renta_Alta!AW78+Masivo!AW78+Consumo_Inicial!AW78</f>
        <v>0</v>
      </c>
      <c r="AX78" s="8">
        <f>Renta_Alta!AX78+Masivo!AX78+Consumo_Inicial!AX78</f>
        <v>0</v>
      </c>
      <c r="AY78" s="8">
        <f>Renta_Alta!AY78+Masivo!AY78+Consumo_Inicial!AY78</f>
        <v>0</v>
      </c>
      <c r="AZ78" s="8">
        <f>Renta_Alta!AZ78+Masivo!AZ78+Consumo_Inicial!AZ78</f>
        <v>0</v>
      </c>
      <c r="BA78" s="8">
        <f>Renta_Alta!BA78+Masivo!BA78+Consumo_Inicial!BA78</f>
        <v>0</v>
      </c>
      <c r="BB78" s="8">
        <f>Renta_Alta!BB78+Masivo!BB78+Consumo_Inicial!BB78</f>
        <v>0</v>
      </c>
      <c r="BC78" s="8">
        <f>Renta_Alta!BC78+Masivo!BC78+Consumo_Inicial!BC78</f>
        <v>0</v>
      </c>
      <c r="BD78" s="8">
        <f>Renta_Alta!BD78+Masivo!BD78+Consumo_Inicial!BD78</f>
        <v>0</v>
      </c>
      <c r="BE78" s="8">
        <f>Renta_Alta!BE78+Masivo!BE78+Consumo_Inicial!BE78</f>
        <v>0</v>
      </c>
      <c r="BF78" s="8">
        <f>Renta_Alta!BF78+Masivo!BF78+Consumo_Inicial!BF78</f>
        <v>0</v>
      </c>
      <c r="BG78" s="8">
        <f>Renta_Alta!BG78+Masivo!BG78+Consumo_Inicial!BG78</f>
        <v>0</v>
      </c>
      <c r="BH78" s="8">
        <f>Renta_Alta!BH78+Masivo!BH78+Consumo_Inicial!BH78</f>
        <v>0</v>
      </c>
      <c r="BI78" s="8">
        <f>Renta_Alta!BI78+Masivo!BI78+Consumo_Inicial!BI78</f>
        <v>0</v>
      </c>
      <c r="BJ78" s="8">
        <f>Renta_Alta!BJ78+Masivo!BJ78+Consumo_Inicial!BJ78</f>
        <v>0</v>
      </c>
      <c r="BK78" s="8">
        <f>Renta_Alta!BK78+Masivo!BK78+Consumo_Inicial!BK78</f>
        <v>0</v>
      </c>
      <c r="BO78" s="24">
        <f t="shared" si="72"/>
        <v>0</v>
      </c>
      <c r="BP78" s="24">
        <f t="shared" si="72"/>
        <v>0</v>
      </c>
      <c r="BQ78" s="24">
        <f t="shared" si="72"/>
        <v>0</v>
      </c>
      <c r="BR78" s="24">
        <f t="shared" si="72"/>
        <v>0</v>
      </c>
      <c r="BS78" s="24">
        <f t="shared" si="72"/>
        <v>0</v>
      </c>
      <c r="BT78" s="24">
        <f t="shared" si="72"/>
        <v>0</v>
      </c>
    </row>
    <row r="79" spans="1:72" hidden="1" outlineLevel="1" x14ac:dyDescent="0.25">
      <c r="A79" s="11" t="s">
        <v>71</v>
      </c>
      <c r="C79" s="2"/>
      <c r="D79" s="8">
        <f>Renta_Alta!D79+Masivo!D79+Consumo_Inicial!D79</f>
        <v>0</v>
      </c>
      <c r="E79" s="8">
        <f>Renta_Alta!E79+Masivo!E79+Consumo_Inicial!E79</f>
        <v>0</v>
      </c>
      <c r="F79" s="8">
        <f>Renta_Alta!F79+Masivo!F79+Consumo_Inicial!F79</f>
        <v>0</v>
      </c>
      <c r="G79" s="8">
        <f>Renta_Alta!G79+Masivo!G79+Consumo_Inicial!G79</f>
        <v>0</v>
      </c>
      <c r="H79" s="8">
        <f>Renta_Alta!H79+Masivo!H79+Consumo_Inicial!H79</f>
        <v>0</v>
      </c>
      <c r="I79" s="8">
        <f>Renta_Alta!I79+Masivo!I79+Consumo_Inicial!I79</f>
        <v>0</v>
      </c>
      <c r="J79" s="8">
        <f>Renta_Alta!J79+Masivo!J79+Consumo_Inicial!J79</f>
        <v>0</v>
      </c>
      <c r="K79" s="8">
        <f>Renta_Alta!K79+Masivo!K79+Consumo_Inicial!K79</f>
        <v>0</v>
      </c>
      <c r="L79" s="8">
        <f>Renta_Alta!L79+Masivo!L79+Consumo_Inicial!L79</f>
        <v>0</v>
      </c>
      <c r="M79" s="8">
        <f>Renta_Alta!M79+Masivo!M79+Consumo_Inicial!M79</f>
        <v>0</v>
      </c>
      <c r="N79" s="8">
        <f>Renta_Alta!N79+Masivo!N79+Consumo_Inicial!N79</f>
        <v>0</v>
      </c>
      <c r="O79" s="8">
        <f>Renta_Alta!O79+Masivo!O79+Consumo_Inicial!O79</f>
        <v>0</v>
      </c>
      <c r="P79" s="8">
        <f>Renta_Alta!P79+Masivo!P79+Consumo_Inicial!P79</f>
        <v>0</v>
      </c>
      <c r="Q79" s="8">
        <f>Renta_Alta!Q79+Masivo!Q79+Consumo_Inicial!Q79</f>
        <v>0</v>
      </c>
      <c r="R79" s="8">
        <f>Renta_Alta!R79+Masivo!R79+Consumo_Inicial!R79</f>
        <v>0</v>
      </c>
      <c r="S79" s="8">
        <f>Renta_Alta!S79+Masivo!S79+Consumo_Inicial!S79</f>
        <v>0</v>
      </c>
      <c r="T79" s="8">
        <f>Renta_Alta!T79+Masivo!T79+Consumo_Inicial!T79</f>
        <v>0</v>
      </c>
      <c r="U79" s="8">
        <f>Renta_Alta!U79+Masivo!U79+Consumo_Inicial!U79</f>
        <v>0</v>
      </c>
      <c r="V79" s="8">
        <f>Renta_Alta!V79+Masivo!V79+Consumo_Inicial!V79</f>
        <v>0</v>
      </c>
      <c r="W79" s="8">
        <f>Renta_Alta!W79+Masivo!W79+Consumo_Inicial!W79</f>
        <v>0</v>
      </c>
      <c r="X79" s="8">
        <f>Renta_Alta!X79+Masivo!X79+Consumo_Inicial!X79</f>
        <v>0</v>
      </c>
      <c r="Y79" s="8">
        <f>Renta_Alta!Y79+Masivo!Y79+Consumo_Inicial!Y79</f>
        <v>0</v>
      </c>
      <c r="Z79" s="8">
        <f>Renta_Alta!Z79+Masivo!Z79+Consumo_Inicial!Z79</f>
        <v>0</v>
      </c>
      <c r="AA79" s="8">
        <f>Renta_Alta!AA79+Masivo!AA79+Consumo_Inicial!AA79</f>
        <v>0</v>
      </c>
      <c r="AB79" s="8">
        <f>Renta_Alta!AB79+Masivo!AB79+Consumo_Inicial!AB79</f>
        <v>0</v>
      </c>
      <c r="AC79" s="8">
        <f>Renta_Alta!AC79+Masivo!AC79+Consumo_Inicial!AC79</f>
        <v>0</v>
      </c>
      <c r="AD79" s="8">
        <f>Renta_Alta!AD79+Masivo!AD79+Consumo_Inicial!AD79</f>
        <v>0</v>
      </c>
      <c r="AE79" s="8">
        <f>Renta_Alta!AE79+Masivo!AE79+Consumo_Inicial!AE79</f>
        <v>0</v>
      </c>
      <c r="AF79" s="8">
        <f>Renta_Alta!AF79+Masivo!AF79+Consumo_Inicial!AF79</f>
        <v>0</v>
      </c>
      <c r="AG79" s="8">
        <f>Renta_Alta!AG79+Masivo!AG79+Consumo_Inicial!AG79</f>
        <v>0</v>
      </c>
      <c r="AH79" s="8">
        <f>Renta_Alta!AH79+Masivo!AH79+Consumo_Inicial!AH79</f>
        <v>0</v>
      </c>
      <c r="AI79" s="8">
        <f>Renta_Alta!AI79+Masivo!AI79+Consumo_Inicial!AI79</f>
        <v>0</v>
      </c>
      <c r="AJ79" s="8">
        <f>Renta_Alta!AJ79+Masivo!AJ79+Consumo_Inicial!AJ79</f>
        <v>0</v>
      </c>
      <c r="AK79" s="8">
        <f>Renta_Alta!AK79+Masivo!AK79+Consumo_Inicial!AK79</f>
        <v>0</v>
      </c>
      <c r="AL79" s="8">
        <f>Renta_Alta!AL79+Masivo!AL79+Consumo_Inicial!AL79</f>
        <v>0</v>
      </c>
      <c r="AM79" s="8">
        <f>Renta_Alta!AM79+Masivo!AM79+Consumo_Inicial!AM79</f>
        <v>0</v>
      </c>
      <c r="AN79" s="8">
        <f>Renta_Alta!AN79+Masivo!AN79+Consumo_Inicial!AN79</f>
        <v>0</v>
      </c>
      <c r="AO79" s="8">
        <f>Renta_Alta!AO79+Masivo!AO79+Consumo_Inicial!AO79</f>
        <v>0</v>
      </c>
      <c r="AP79" s="8">
        <f>Renta_Alta!AP79+Masivo!AP79+Consumo_Inicial!AP79</f>
        <v>0</v>
      </c>
      <c r="AQ79" s="8">
        <f>Renta_Alta!AQ79+Masivo!AQ79+Consumo_Inicial!AQ79</f>
        <v>0</v>
      </c>
      <c r="AR79" s="8">
        <f>Renta_Alta!AR79+Masivo!AR79+Consumo_Inicial!AR79</f>
        <v>0</v>
      </c>
      <c r="AS79" s="8">
        <f>Renta_Alta!AS79+Masivo!AS79+Consumo_Inicial!AS79</f>
        <v>0</v>
      </c>
      <c r="AT79" s="8">
        <f>Renta_Alta!AT79+Masivo!AT79+Consumo_Inicial!AT79</f>
        <v>0</v>
      </c>
      <c r="AU79" s="8">
        <f>Renta_Alta!AU79+Masivo!AU79+Consumo_Inicial!AU79</f>
        <v>0</v>
      </c>
      <c r="AV79" s="8">
        <f>Renta_Alta!AV79+Masivo!AV79+Consumo_Inicial!AV79</f>
        <v>0</v>
      </c>
      <c r="AW79" s="8">
        <f>Renta_Alta!AW79+Masivo!AW79+Consumo_Inicial!AW79</f>
        <v>0</v>
      </c>
      <c r="AX79" s="8">
        <f>Renta_Alta!AX79+Masivo!AX79+Consumo_Inicial!AX79</f>
        <v>0</v>
      </c>
      <c r="AY79" s="8">
        <f>Renta_Alta!AY79+Masivo!AY79+Consumo_Inicial!AY79</f>
        <v>0</v>
      </c>
      <c r="AZ79" s="8">
        <f>Renta_Alta!AZ79+Masivo!AZ79+Consumo_Inicial!AZ79</f>
        <v>0</v>
      </c>
      <c r="BA79" s="8">
        <f>Renta_Alta!BA79+Masivo!BA79+Consumo_Inicial!BA79</f>
        <v>0</v>
      </c>
      <c r="BB79" s="8">
        <f>Renta_Alta!BB79+Masivo!BB79+Consumo_Inicial!BB79</f>
        <v>0</v>
      </c>
      <c r="BC79" s="8">
        <f>Renta_Alta!BC79+Masivo!BC79+Consumo_Inicial!BC79</f>
        <v>0</v>
      </c>
      <c r="BD79" s="8">
        <f>Renta_Alta!BD79+Masivo!BD79+Consumo_Inicial!BD79</f>
        <v>0</v>
      </c>
      <c r="BE79" s="8">
        <f>Renta_Alta!BE79+Masivo!BE79+Consumo_Inicial!BE79</f>
        <v>0</v>
      </c>
      <c r="BF79" s="8">
        <f>Renta_Alta!BF79+Masivo!BF79+Consumo_Inicial!BF79</f>
        <v>0</v>
      </c>
      <c r="BG79" s="8">
        <f>Renta_Alta!BG79+Masivo!BG79+Consumo_Inicial!BG79</f>
        <v>0</v>
      </c>
      <c r="BH79" s="8">
        <f>Renta_Alta!BH79+Masivo!BH79+Consumo_Inicial!BH79</f>
        <v>0</v>
      </c>
      <c r="BI79" s="8">
        <f>Renta_Alta!BI79+Masivo!BI79+Consumo_Inicial!BI79</f>
        <v>0</v>
      </c>
      <c r="BJ79" s="8">
        <f>Renta_Alta!BJ79+Masivo!BJ79+Consumo_Inicial!BJ79</f>
        <v>0</v>
      </c>
      <c r="BK79" s="8">
        <f>Renta_Alta!BK79+Masivo!BK79+Consumo_Inicial!BK79</f>
        <v>0</v>
      </c>
      <c r="BO79" s="24">
        <f t="shared" ref="BO79:BT82" si="73">SUMIFS($D79:$BM79,$D$6:$BM$6,"&gt;="&amp;BO$2,$D$6:$BM$6,"&lt;="&amp;BO$6,$D$5:$BM$5,BO$5)</f>
        <v>0</v>
      </c>
      <c r="BP79" s="24">
        <f t="shared" si="73"/>
        <v>0</v>
      </c>
      <c r="BQ79" s="24">
        <f t="shared" si="73"/>
        <v>0</v>
      </c>
      <c r="BR79" s="24">
        <f t="shared" si="73"/>
        <v>0</v>
      </c>
      <c r="BS79" s="24">
        <f t="shared" si="73"/>
        <v>0</v>
      </c>
      <c r="BT79" s="24">
        <f t="shared" si="73"/>
        <v>0</v>
      </c>
    </row>
    <row r="80" spans="1:72" hidden="1" outlineLevel="1" x14ac:dyDescent="0.25">
      <c r="A80" s="11" t="s">
        <v>71</v>
      </c>
      <c r="C80" s="2"/>
      <c r="D80" s="8">
        <f>Renta_Alta!D80+Masivo!D80+Consumo_Inicial!D80</f>
        <v>0</v>
      </c>
      <c r="E80" s="8">
        <f>Renta_Alta!E80+Masivo!E80+Consumo_Inicial!E80</f>
        <v>0</v>
      </c>
      <c r="F80" s="8">
        <f>Renta_Alta!F80+Masivo!F80+Consumo_Inicial!F80</f>
        <v>0</v>
      </c>
      <c r="G80" s="8">
        <f>Renta_Alta!G80+Masivo!G80+Consumo_Inicial!G80</f>
        <v>0</v>
      </c>
      <c r="H80" s="8">
        <f>Renta_Alta!H80+Masivo!H80+Consumo_Inicial!H80</f>
        <v>0</v>
      </c>
      <c r="I80" s="8">
        <f>Renta_Alta!I80+Masivo!I80+Consumo_Inicial!I80</f>
        <v>0</v>
      </c>
      <c r="J80" s="8">
        <f>Renta_Alta!J80+Masivo!J80+Consumo_Inicial!J80</f>
        <v>0</v>
      </c>
      <c r="K80" s="8">
        <f>Renta_Alta!K80+Masivo!K80+Consumo_Inicial!K80</f>
        <v>0</v>
      </c>
      <c r="L80" s="8">
        <f>Renta_Alta!L80+Masivo!L80+Consumo_Inicial!L80</f>
        <v>0</v>
      </c>
      <c r="M80" s="8">
        <f>Renta_Alta!M80+Masivo!M80+Consumo_Inicial!M80</f>
        <v>0</v>
      </c>
      <c r="N80" s="8">
        <f>Renta_Alta!N80+Masivo!N80+Consumo_Inicial!N80</f>
        <v>0</v>
      </c>
      <c r="O80" s="8">
        <f>Renta_Alta!O80+Masivo!O80+Consumo_Inicial!O80</f>
        <v>0</v>
      </c>
      <c r="P80" s="8">
        <f>Renta_Alta!P80+Masivo!P80+Consumo_Inicial!P80</f>
        <v>0</v>
      </c>
      <c r="Q80" s="8">
        <f>Renta_Alta!Q80+Masivo!Q80+Consumo_Inicial!Q80</f>
        <v>0</v>
      </c>
      <c r="R80" s="8">
        <f>Renta_Alta!R80+Masivo!R80+Consumo_Inicial!R80</f>
        <v>0</v>
      </c>
      <c r="S80" s="8">
        <f>Renta_Alta!S80+Masivo!S80+Consumo_Inicial!S80</f>
        <v>0</v>
      </c>
      <c r="T80" s="8">
        <f>Renta_Alta!T80+Masivo!T80+Consumo_Inicial!T80</f>
        <v>0</v>
      </c>
      <c r="U80" s="8">
        <f>Renta_Alta!U80+Masivo!U80+Consumo_Inicial!U80</f>
        <v>0</v>
      </c>
      <c r="V80" s="8">
        <f>Renta_Alta!V80+Masivo!V80+Consumo_Inicial!V80</f>
        <v>0</v>
      </c>
      <c r="W80" s="8">
        <f>Renta_Alta!W80+Masivo!W80+Consumo_Inicial!W80</f>
        <v>0</v>
      </c>
      <c r="X80" s="8">
        <f>Renta_Alta!X80+Masivo!X80+Consumo_Inicial!X80</f>
        <v>0</v>
      </c>
      <c r="Y80" s="8">
        <f>Renta_Alta!Y80+Masivo!Y80+Consumo_Inicial!Y80</f>
        <v>0</v>
      </c>
      <c r="Z80" s="8">
        <f>Renta_Alta!Z80+Masivo!Z80+Consumo_Inicial!Z80</f>
        <v>0</v>
      </c>
      <c r="AA80" s="8">
        <f>Renta_Alta!AA80+Masivo!AA80+Consumo_Inicial!AA80</f>
        <v>0</v>
      </c>
      <c r="AB80" s="8">
        <f>Renta_Alta!AB80+Masivo!AB80+Consumo_Inicial!AB80</f>
        <v>0</v>
      </c>
      <c r="AC80" s="8">
        <f>Renta_Alta!AC80+Masivo!AC80+Consumo_Inicial!AC80</f>
        <v>0</v>
      </c>
      <c r="AD80" s="8">
        <f>Renta_Alta!AD80+Masivo!AD80+Consumo_Inicial!AD80</f>
        <v>0</v>
      </c>
      <c r="AE80" s="8">
        <f>Renta_Alta!AE80+Masivo!AE80+Consumo_Inicial!AE80</f>
        <v>0</v>
      </c>
      <c r="AF80" s="8">
        <f>Renta_Alta!AF80+Masivo!AF80+Consumo_Inicial!AF80</f>
        <v>0</v>
      </c>
      <c r="AG80" s="8">
        <f>Renta_Alta!AG80+Masivo!AG80+Consumo_Inicial!AG80</f>
        <v>0</v>
      </c>
      <c r="AH80" s="8">
        <f>Renta_Alta!AH80+Masivo!AH80+Consumo_Inicial!AH80</f>
        <v>0</v>
      </c>
      <c r="AI80" s="8">
        <f>Renta_Alta!AI80+Masivo!AI80+Consumo_Inicial!AI80</f>
        <v>0</v>
      </c>
      <c r="AJ80" s="8">
        <f>Renta_Alta!AJ80+Masivo!AJ80+Consumo_Inicial!AJ80</f>
        <v>0</v>
      </c>
      <c r="AK80" s="8">
        <f>Renta_Alta!AK80+Masivo!AK80+Consumo_Inicial!AK80</f>
        <v>0</v>
      </c>
      <c r="AL80" s="8">
        <f>Renta_Alta!AL80+Masivo!AL80+Consumo_Inicial!AL80</f>
        <v>0</v>
      </c>
      <c r="AM80" s="8">
        <f>Renta_Alta!AM80+Masivo!AM80+Consumo_Inicial!AM80</f>
        <v>0</v>
      </c>
      <c r="AN80" s="8">
        <f>Renta_Alta!AN80+Masivo!AN80+Consumo_Inicial!AN80</f>
        <v>0</v>
      </c>
      <c r="AO80" s="8">
        <f>Renta_Alta!AO80+Masivo!AO80+Consumo_Inicial!AO80</f>
        <v>0</v>
      </c>
      <c r="AP80" s="8">
        <f>Renta_Alta!AP80+Masivo!AP80+Consumo_Inicial!AP80</f>
        <v>0</v>
      </c>
      <c r="AQ80" s="8">
        <f>Renta_Alta!AQ80+Masivo!AQ80+Consumo_Inicial!AQ80</f>
        <v>0</v>
      </c>
      <c r="AR80" s="8">
        <f>Renta_Alta!AR80+Masivo!AR80+Consumo_Inicial!AR80</f>
        <v>0</v>
      </c>
      <c r="AS80" s="8">
        <f>Renta_Alta!AS80+Masivo!AS80+Consumo_Inicial!AS80</f>
        <v>0</v>
      </c>
      <c r="AT80" s="8">
        <f>Renta_Alta!AT80+Masivo!AT80+Consumo_Inicial!AT80</f>
        <v>0</v>
      </c>
      <c r="AU80" s="8">
        <f>Renta_Alta!AU80+Masivo!AU80+Consumo_Inicial!AU80</f>
        <v>0</v>
      </c>
      <c r="AV80" s="8">
        <f>Renta_Alta!AV80+Masivo!AV80+Consumo_Inicial!AV80</f>
        <v>0</v>
      </c>
      <c r="AW80" s="8">
        <f>Renta_Alta!AW80+Masivo!AW80+Consumo_Inicial!AW80</f>
        <v>0</v>
      </c>
      <c r="AX80" s="8">
        <f>Renta_Alta!AX80+Masivo!AX80+Consumo_Inicial!AX80</f>
        <v>0</v>
      </c>
      <c r="AY80" s="8">
        <f>Renta_Alta!AY80+Masivo!AY80+Consumo_Inicial!AY80</f>
        <v>0</v>
      </c>
      <c r="AZ80" s="8">
        <f>Renta_Alta!AZ80+Masivo!AZ80+Consumo_Inicial!AZ80</f>
        <v>0</v>
      </c>
      <c r="BA80" s="8">
        <f>Renta_Alta!BA80+Masivo!BA80+Consumo_Inicial!BA80</f>
        <v>0</v>
      </c>
      <c r="BB80" s="8">
        <f>Renta_Alta!BB80+Masivo!BB80+Consumo_Inicial!BB80</f>
        <v>0</v>
      </c>
      <c r="BC80" s="8">
        <f>Renta_Alta!BC80+Masivo!BC80+Consumo_Inicial!BC80</f>
        <v>0</v>
      </c>
      <c r="BD80" s="8">
        <f>Renta_Alta!BD80+Masivo!BD80+Consumo_Inicial!BD80</f>
        <v>0</v>
      </c>
      <c r="BE80" s="8">
        <f>Renta_Alta!BE80+Masivo!BE80+Consumo_Inicial!BE80</f>
        <v>0</v>
      </c>
      <c r="BF80" s="8">
        <f>Renta_Alta!BF80+Masivo!BF80+Consumo_Inicial!BF80</f>
        <v>0</v>
      </c>
      <c r="BG80" s="8">
        <f>Renta_Alta!BG80+Masivo!BG80+Consumo_Inicial!BG80</f>
        <v>0</v>
      </c>
      <c r="BH80" s="8">
        <f>Renta_Alta!BH80+Masivo!BH80+Consumo_Inicial!BH80</f>
        <v>0</v>
      </c>
      <c r="BI80" s="8">
        <f>Renta_Alta!BI80+Masivo!BI80+Consumo_Inicial!BI80</f>
        <v>0</v>
      </c>
      <c r="BJ80" s="8">
        <f>Renta_Alta!BJ80+Masivo!BJ80+Consumo_Inicial!BJ80</f>
        <v>0</v>
      </c>
      <c r="BK80" s="8">
        <f>Renta_Alta!BK80+Masivo!BK80+Consumo_Inicial!BK80</f>
        <v>0</v>
      </c>
      <c r="BO80" s="24">
        <f t="shared" si="73"/>
        <v>0</v>
      </c>
      <c r="BP80" s="24">
        <f t="shared" si="73"/>
        <v>0</v>
      </c>
      <c r="BQ80" s="24">
        <f t="shared" si="73"/>
        <v>0</v>
      </c>
      <c r="BR80" s="24">
        <f t="shared" si="73"/>
        <v>0</v>
      </c>
      <c r="BS80" s="24">
        <f t="shared" si="73"/>
        <v>0</v>
      </c>
      <c r="BT80" s="24">
        <f t="shared" si="73"/>
        <v>0</v>
      </c>
    </row>
    <row r="81" spans="1:72" hidden="1" outlineLevel="1" x14ac:dyDescent="0.25">
      <c r="A81" s="11" t="s">
        <v>71</v>
      </c>
      <c r="C81" s="2"/>
      <c r="D81" s="8">
        <f>Renta_Alta!D81+Masivo!D81+Consumo_Inicial!D81</f>
        <v>0</v>
      </c>
      <c r="E81" s="8">
        <f>Renta_Alta!E81+Masivo!E81+Consumo_Inicial!E81</f>
        <v>0</v>
      </c>
      <c r="F81" s="8">
        <f>Renta_Alta!F81+Masivo!F81+Consumo_Inicial!F81</f>
        <v>0</v>
      </c>
      <c r="G81" s="8">
        <f>Renta_Alta!G81+Masivo!G81+Consumo_Inicial!G81</f>
        <v>0</v>
      </c>
      <c r="H81" s="8">
        <f>Renta_Alta!H81+Masivo!H81+Consumo_Inicial!H81</f>
        <v>0</v>
      </c>
      <c r="I81" s="8">
        <f>Renta_Alta!I81+Masivo!I81+Consumo_Inicial!I81</f>
        <v>0</v>
      </c>
      <c r="J81" s="8">
        <f>Renta_Alta!J81+Masivo!J81+Consumo_Inicial!J81</f>
        <v>0</v>
      </c>
      <c r="K81" s="8">
        <f>Renta_Alta!K81+Masivo!K81+Consumo_Inicial!K81</f>
        <v>0</v>
      </c>
      <c r="L81" s="8">
        <f>Renta_Alta!L81+Masivo!L81+Consumo_Inicial!L81</f>
        <v>0</v>
      </c>
      <c r="M81" s="8">
        <f>Renta_Alta!M81+Masivo!M81+Consumo_Inicial!M81</f>
        <v>0</v>
      </c>
      <c r="N81" s="8">
        <f>Renta_Alta!N81+Masivo!N81+Consumo_Inicial!N81</f>
        <v>0</v>
      </c>
      <c r="O81" s="8">
        <f>Renta_Alta!O81+Masivo!O81+Consumo_Inicial!O81</f>
        <v>0</v>
      </c>
      <c r="P81" s="8">
        <f>Renta_Alta!P81+Masivo!P81+Consumo_Inicial!P81</f>
        <v>0</v>
      </c>
      <c r="Q81" s="8">
        <f>Renta_Alta!Q81+Masivo!Q81+Consumo_Inicial!Q81</f>
        <v>0</v>
      </c>
      <c r="R81" s="8">
        <f>Renta_Alta!R81+Masivo!R81+Consumo_Inicial!R81</f>
        <v>0</v>
      </c>
      <c r="S81" s="8">
        <f>Renta_Alta!S81+Masivo!S81+Consumo_Inicial!S81</f>
        <v>0</v>
      </c>
      <c r="T81" s="8">
        <f>Renta_Alta!T81+Masivo!T81+Consumo_Inicial!T81</f>
        <v>0</v>
      </c>
      <c r="U81" s="8">
        <f>Renta_Alta!U81+Masivo!U81+Consumo_Inicial!U81</f>
        <v>0</v>
      </c>
      <c r="V81" s="8">
        <f>Renta_Alta!V81+Masivo!V81+Consumo_Inicial!V81</f>
        <v>0</v>
      </c>
      <c r="W81" s="8">
        <f>Renta_Alta!W81+Masivo!W81+Consumo_Inicial!W81</f>
        <v>0</v>
      </c>
      <c r="X81" s="8">
        <f>Renta_Alta!X81+Masivo!X81+Consumo_Inicial!X81</f>
        <v>0</v>
      </c>
      <c r="Y81" s="8">
        <f>Renta_Alta!Y81+Masivo!Y81+Consumo_Inicial!Y81</f>
        <v>0</v>
      </c>
      <c r="Z81" s="8">
        <f>Renta_Alta!Z81+Masivo!Z81+Consumo_Inicial!Z81</f>
        <v>0</v>
      </c>
      <c r="AA81" s="8">
        <f>Renta_Alta!AA81+Masivo!AA81+Consumo_Inicial!AA81</f>
        <v>0</v>
      </c>
      <c r="AB81" s="8">
        <f>Renta_Alta!AB81+Masivo!AB81+Consumo_Inicial!AB81</f>
        <v>0</v>
      </c>
      <c r="AC81" s="8">
        <f>Renta_Alta!AC81+Masivo!AC81+Consumo_Inicial!AC81</f>
        <v>0</v>
      </c>
      <c r="AD81" s="8">
        <f>Renta_Alta!AD81+Masivo!AD81+Consumo_Inicial!AD81</f>
        <v>0</v>
      </c>
      <c r="AE81" s="8">
        <f>Renta_Alta!AE81+Masivo!AE81+Consumo_Inicial!AE81</f>
        <v>0</v>
      </c>
      <c r="AF81" s="8">
        <f>Renta_Alta!AF81+Masivo!AF81+Consumo_Inicial!AF81</f>
        <v>0</v>
      </c>
      <c r="AG81" s="8">
        <f>Renta_Alta!AG81+Masivo!AG81+Consumo_Inicial!AG81</f>
        <v>0</v>
      </c>
      <c r="AH81" s="8">
        <f>Renta_Alta!AH81+Masivo!AH81+Consumo_Inicial!AH81</f>
        <v>0</v>
      </c>
      <c r="AI81" s="8">
        <f>Renta_Alta!AI81+Masivo!AI81+Consumo_Inicial!AI81</f>
        <v>0</v>
      </c>
      <c r="AJ81" s="8">
        <f>Renta_Alta!AJ81+Masivo!AJ81+Consumo_Inicial!AJ81</f>
        <v>0</v>
      </c>
      <c r="AK81" s="8">
        <f>Renta_Alta!AK81+Masivo!AK81+Consumo_Inicial!AK81</f>
        <v>0</v>
      </c>
      <c r="AL81" s="8">
        <f>Renta_Alta!AL81+Masivo!AL81+Consumo_Inicial!AL81</f>
        <v>0</v>
      </c>
      <c r="AM81" s="8">
        <f>Renta_Alta!AM81+Masivo!AM81+Consumo_Inicial!AM81</f>
        <v>0</v>
      </c>
      <c r="AN81" s="8">
        <f>Renta_Alta!AN81+Masivo!AN81+Consumo_Inicial!AN81</f>
        <v>0</v>
      </c>
      <c r="AO81" s="8">
        <f>Renta_Alta!AO81+Masivo!AO81+Consumo_Inicial!AO81</f>
        <v>0</v>
      </c>
      <c r="AP81" s="8">
        <f>Renta_Alta!AP81+Masivo!AP81+Consumo_Inicial!AP81</f>
        <v>0</v>
      </c>
      <c r="AQ81" s="8">
        <f>Renta_Alta!AQ81+Masivo!AQ81+Consumo_Inicial!AQ81</f>
        <v>0</v>
      </c>
      <c r="AR81" s="8">
        <f>Renta_Alta!AR81+Masivo!AR81+Consumo_Inicial!AR81</f>
        <v>0</v>
      </c>
      <c r="AS81" s="8">
        <f>Renta_Alta!AS81+Masivo!AS81+Consumo_Inicial!AS81</f>
        <v>0</v>
      </c>
      <c r="AT81" s="8">
        <f>Renta_Alta!AT81+Masivo!AT81+Consumo_Inicial!AT81</f>
        <v>0</v>
      </c>
      <c r="AU81" s="8">
        <f>Renta_Alta!AU81+Masivo!AU81+Consumo_Inicial!AU81</f>
        <v>0</v>
      </c>
      <c r="AV81" s="8">
        <f>Renta_Alta!AV81+Masivo!AV81+Consumo_Inicial!AV81</f>
        <v>0</v>
      </c>
      <c r="AW81" s="8">
        <f>Renta_Alta!AW81+Masivo!AW81+Consumo_Inicial!AW81</f>
        <v>0</v>
      </c>
      <c r="AX81" s="8">
        <f>Renta_Alta!AX81+Masivo!AX81+Consumo_Inicial!AX81</f>
        <v>0</v>
      </c>
      <c r="AY81" s="8">
        <f>Renta_Alta!AY81+Masivo!AY81+Consumo_Inicial!AY81</f>
        <v>0</v>
      </c>
      <c r="AZ81" s="8">
        <f>Renta_Alta!AZ81+Masivo!AZ81+Consumo_Inicial!AZ81</f>
        <v>0</v>
      </c>
      <c r="BA81" s="8">
        <f>Renta_Alta!BA81+Masivo!BA81+Consumo_Inicial!BA81</f>
        <v>0</v>
      </c>
      <c r="BB81" s="8">
        <f>Renta_Alta!BB81+Masivo!BB81+Consumo_Inicial!BB81</f>
        <v>0</v>
      </c>
      <c r="BC81" s="8">
        <f>Renta_Alta!BC81+Masivo!BC81+Consumo_Inicial!BC81</f>
        <v>0</v>
      </c>
      <c r="BD81" s="8">
        <f>Renta_Alta!BD81+Masivo!BD81+Consumo_Inicial!BD81</f>
        <v>0</v>
      </c>
      <c r="BE81" s="8">
        <f>Renta_Alta!BE81+Masivo!BE81+Consumo_Inicial!BE81</f>
        <v>0</v>
      </c>
      <c r="BF81" s="8">
        <f>Renta_Alta!BF81+Masivo!BF81+Consumo_Inicial!BF81</f>
        <v>0</v>
      </c>
      <c r="BG81" s="8">
        <f>Renta_Alta!BG81+Masivo!BG81+Consumo_Inicial!BG81</f>
        <v>0</v>
      </c>
      <c r="BH81" s="8">
        <f>Renta_Alta!BH81+Masivo!BH81+Consumo_Inicial!BH81</f>
        <v>0</v>
      </c>
      <c r="BI81" s="8">
        <f>Renta_Alta!BI81+Masivo!BI81+Consumo_Inicial!BI81</f>
        <v>0</v>
      </c>
      <c r="BJ81" s="8">
        <f>Renta_Alta!BJ81+Masivo!BJ81+Consumo_Inicial!BJ81</f>
        <v>0</v>
      </c>
      <c r="BK81" s="8">
        <f>Renta_Alta!BK81+Masivo!BK81+Consumo_Inicial!BK81</f>
        <v>0</v>
      </c>
      <c r="BO81" s="24">
        <f t="shared" si="73"/>
        <v>0</v>
      </c>
      <c r="BP81" s="24">
        <f t="shared" si="73"/>
        <v>0</v>
      </c>
      <c r="BQ81" s="24">
        <f t="shared" si="73"/>
        <v>0</v>
      </c>
      <c r="BR81" s="24">
        <f t="shared" si="73"/>
        <v>0</v>
      </c>
      <c r="BS81" s="24">
        <f t="shared" si="73"/>
        <v>0</v>
      </c>
      <c r="BT81" s="24">
        <f t="shared" si="73"/>
        <v>0</v>
      </c>
    </row>
    <row r="82" spans="1:72" hidden="1" outlineLevel="1" x14ac:dyDescent="0.25">
      <c r="A82" s="11" t="s">
        <v>71</v>
      </c>
      <c r="C82" s="2"/>
      <c r="D82" s="8">
        <f>Renta_Alta!D82+Masivo!D82+Consumo_Inicial!D82</f>
        <v>0</v>
      </c>
      <c r="E82" s="8">
        <f>Renta_Alta!E82+Masivo!E82+Consumo_Inicial!E82</f>
        <v>0</v>
      </c>
      <c r="F82" s="8">
        <f>Renta_Alta!F82+Masivo!F82+Consumo_Inicial!F82</f>
        <v>0</v>
      </c>
      <c r="G82" s="8">
        <f>Renta_Alta!G82+Masivo!G82+Consumo_Inicial!G82</f>
        <v>0</v>
      </c>
      <c r="H82" s="8">
        <f>Renta_Alta!H82+Masivo!H82+Consumo_Inicial!H82</f>
        <v>0</v>
      </c>
      <c r="I82" s="8">
        <f>Renta_Alta!I82+Masivo!I82+Consumo_Inicial!I82</f>
        <v>0</v>
      </c>
      <c r="J82" s="8">
        <f>Renta_Alta!J82+Masivo!J82+Consumo_Inicial!J82</f>
        <v>0</v>
      </c>
      <c r="K82" s="8">
        <f>Renta_Alta!K82+Masivo!K82+Consumo_Inicial!K82</f>
        <v>0</v>
      </c>
      <c r="L82" s="8">
        <f>Renta_Alta!L82+Masivo!L82+Consumo_Inicial!L82</f>
        <v>0</v>
      </c>
      <c r="M82" s="8">
        <f>Renta_Alta!M82+Masivo!M82+Consumo_Inicial!M82</f>
        <v>0</v>
      </c>
      <c r="N82" s="8">
        <f>Renta_Alta!N82+Masivo!N82+Consumo_Inicial!N82</f>
        <v>0</v>
      </c>
      <c r="O82" s="8">
        <f>Renta_Alta!O82+Masivo!O82+Consumo_Inicial!O82</f>
        <v>0</v>
      </c>
      <c r="P82" s="8">
        <f>Renta_Alta!P82+Masivo!P82+Consumo_Inicial!P82</f>
        <v>0</v>
      </c>
      <c r="Q82" s="8">
        <f>Renta_Alta!Q82+Masivo!Q82+Consumo_Inicial!Q82</f>
        <v>0</v>
      </c>
      <c r="R82" s="8">
        <f>Renta_Alta!R82+Masivo!R82+Consumo_Inicial!R82</f>
        <v>0</v>
      </c>
      <c r="S82" s="8">
        <f>Renta_Alta!S82+Masivo!S82+Consumo_Inicial!S82</f>
        <v>0</v>
      </c>
      <c r="T82" s="8">
        <f>Renta_Alta!T82+Masivo!T82+Consumo_Inicial!T82</f>
        <v>0</v>
      </c>
      <c r="U82" s="8">
        <f>Renta_Alta!U82+Masivo!U82+Consumo_Inicial!U82</f>
        <v>0</v>
      </c>
      <c r="V82" s="8">
        <f>Renta_Alta!V82+Masivo!V82+Consumo_Inicial!V82</f>
        <v>0</v>
      </c>
      <c r="W82" s="8">
        <f>Renta_Alta!W82+Masivo!W82+Consumo_Inicial!W82</f>
        <v>0</v>
      </c>
      <c r="X82" s="8">
        <f>Renta_Alta!X82+Masivo!X82+Consumo_Inicial!X82</f>
        <v>0</v>
      </c>
      <c r="Y82" s="8">
        <f>Renta_Alta!Y82+Masivo!Y82+Consumo_Inicial!Y82</f>
        <v>0</v>
      </c>
      <c r="Z82" s="8">
        <f>Renta_Alta!Z82+Masivo!Z82+Consumo_Inicial!Z82</f>
        <v>0</v>
      </c>
      <c r="AA82" s="8">
        <f>Renta_Alta!AA82+Masivo!AA82+Consumo_Inicial!AA82</f>
        <v>0</v>
      </c>
      <c r="AB82" s="8">
        <f>Renta_Alta!AB82+Masivo!AB82+Consumo_Inicial!AB82</f>
        <v>0</v>
      </c>
      <c r="AC82" s="8">
        <f>Renta_Alta!AC82+Masivo!AC82+Consumo_Inicial!AC82</f>
        <v>0</v>
      </c>
      <c r="AD82" s="8">
        <f>Renta_Alta!AD82+Masivo!AD82+Consumo_Inicial!AD82</f>
        <v>0</v>
      </c>
      <c r="AE82" s="8">
        <f>Renta_Alta!AE82+Masivo!AE82+Consumo_Inicial!AE82</f>
        <v>0</v>
      </c>
      <c r="AF82" s="8">
        <f>Renta_Alta!AF82+Masivo!AF82+Consumo_Inicial!AF82</f>
        <v>0</v>
      </c>
      <c r="AG82" s="8">
        <f>Renta_Alta!AG82+Masivo!AG82+Consumo_Inicial!AG82</f>
        <v>0</v>
      </c>
      <c r="AH82" s="8">
        <f>Renta_Alta!AH82+Masivo!AH82+Consumo_Inicial!AH82</f>
        <v>0</v>
      </c>
      <c r="AI82" s="8">
        <f>Renta_Alta!AI82+Masivo!AI82+Consumo_Inicial!AI82</f>
        <v>0</v>
      </c>
      <c r="AJ82" s="8">
        <f>Renta_Alta!AJ82+Masivo!AJ82+Consumo_Inicial!AJ82</f>
        <v>0</v>
      </c>
      <c r="AK82" s="8">
        <f>Renta_Alta!AK82+Masivo!AK82+Consumo_Inicial!AK82</f>
        <v>0</v>
      </c>
      <c r="AL82" s="8">
        <f>Renta_Alta!AL82+Masivo!AL82+Consumo_Inicial!AL82</f>
        <v>0</v>
      </c>
      <c r="AM82" s="8">
        <f>Renta_Alta!AM82+Masivo!AM82+Consumo_Inicial!AM82</f>
        <v>0</v>
      </c>
      <c r="AN82" s="8">
        <f>Renta_Alta!AN82+Masivo!AN82+Consumo_Inicial!AN82</f>
        <v>0</v>
      </c>
      <c r="AO82" s="8">
        <f>Renta_Alta!AO82+Masivo!AO82+Consumo_Inicial!AO82</f>
        <v>0</v>
      </c>
      <c r="AP82" s="8">
        <f>Renta_Alta!AP82+Masivo!AP82+Consumo_Inicial!AP82</f>
        <v>0</v>
      </c>
      <c r="AQ82" s="8">
        <f>Renta_Alta!AQ82+Masivo!AQ82+Consumo_Inicial!AQ82</f>
        <v>0</v>
      </c>
      <c r="AR82" s="8">
        <f>Renta_Alta!AR82+Masivo!AR82+Consumo_Inicial!AR82</f>
        <v>0</v>
      </c>
      <c r="AS82" s="8">
        <f>Renta_Alta!AS82+Masivo!AS82+Consumo_Inicial!AS82</f>
        <v>0</v>
      </c>
      <c r="AT82" s="8">
        <f>Renta_Alta!AT82+Masivo!AT82+Consumo_Inicial!AT82</f>
        <v>0</v>
      </c>
      <c r="AU82" s="8">
        <f>Renta_Alta!AU82+Masivo!AU82+Consumo_Inicial!AU82</f>
        <v>0</v>
      </c>
      <c r="AV82" s="8">
        <f>Renta_Alta!AV82+Masivo!AV82+Consumo_Inicial!AV82</f>
        <v>0</v>
      </c>
      <c r="AW82" s="8">
        <f>Renta_Alta!AW82+Masivo!AW82+Consumo_Inicial!AW82</f>
        <v>0</v>
      </c>
      <c r="AX82" s="8">
        <f>Renta_Alta!AX82+Masivo!AX82+Consumo_Inicial!AX82</f>
        <v>0</v>
      </c>
      <c r="AY82" s="8">
        <f>Renta_Alta!AY82+Masivo!AY82+Consumo_Inicial!AY82</f>
        <v>0</v>
      </c>
      <c r="AZ82" s="8">
        <f>Renta_Alta!AZ82+Masivo!AZ82+Consumo_Inicial!AZ82</f>
        <v>0</v>
      </c>
      <c r="BA82" s="8">
        <f>Renta_Alta!BA82+Masivo!BA82+Consumo_Inicial!BA82</f>
        <v>0</v>
      </c>
      <c r="BB82" s="8">
        <f>Renta_Alta!BB82+Masivo!BB82+Consumo_Inicial!BB82</f>
        <v>0</v>
      </c>
      <c r="BC82" s="8">
        <f>Renta_Alta!BC82+Masivo!BC82+Consumo_Inicial!BC82</f>
        <v>0</v>
      </c>
      <c r="BD82" s="8">
        <f>Renta_Alta!BD82+Masivo!BD82+Consumo_Inicial!BD82</f>
        <v>0</v>
      </c>
      <c r="BE82" s="8">
        <f>Renta_Alta!BE82+Masivo!BE82+Consumo_Inicial!BE82</f>
        <v>0</v>
      </c>
      <c r="BF82" s="8">
        <f>Renta_Alta!BF82+Masivo!BF82+Consumo_Inicial!BF82</f>
        <v>0</v>
      </c>
      <c r="BG82" s="8">
        <f>Renta_Alta!BG82+Masivo!BG82+Consumo_Inicial!BG82</f>
        <v>0</v>
      </c>
      <c r="BH82" s="8">
        <f>Renta_Alta!BH82+Masivo!BH82+Consumo_Inicial!BH82</f>
        <v>0</v>
      </c>
      <c r="BI82" s="8">
        <f>Renta_Alta!BI82+Masivo!BI82+Consumo_Inicial!BI82</f>
        <v>0</v>
      </c>
      <c r="BJ82" s="8">
        <f>Renta_Alta!BJ82+Masivo!BJ82+Consumo_Inicial!BJ82</f>
        <v>0</v>
      </c>
      <c r="BK82" s="8">
        <f>Renta_Alta!BK82+Masivo!BK82+Consumo_Inicial!BK82</f>
        <v>0</v>
      </c>
      <c r="BO82" s="24">
        <f t="shared" si="73"/>
        <v>0</v>
      </c>
      <c r="BP82" s="24">
        <f t="shared" si="73"/>
        <v>0</v>
      </c>
      <c r="BQ82" s="24">
        <f t="shared" si="73"/>
        <v>0</v>
      </c>
      <c r="BR82" s="24">
        <f t="shared" si="73"/>
        <v>0</v>
      </c>
      <c r="BS82" s="24">
        <f t="shared" si="73"/>
        <v>0</v>
      </c>
      <c r="BT82" s="24">
        <f t="shared" si="73"/>
        <v>0</v>
      </c>
    </row>
    <row r="83" spans="1:72" collapsed="1" x14ac:dyDescent="0.25">
      <c r="C83" s="3" t="s">
        <v>71</v>
      </c>
      <c r="D83" s="10">
        <f t="shared" ref="D83:AY83" si="74">SUM(D63:D82)</f>
        <v>693.83755990869997</v>
      </c>
      <c r="E83" s="10">
        <f t="shared" si="74"/>
        <v>621.05294003870006</v>
      </c>
      <c r="F83" s="10">
        <f t="shared" si="74"/>
        <v>604.42505005020007</v>
      </c>
      <c r="G83" s="10">
        <f t="shared" si="74"/>
        <v>686.51324004499997</v>
      </c>
      <c r="H83" s="10">
        <f t="shared" si="74"/>
        <v>593.60269993200018</v>
      </c>
      <c r="I83" s="10">
        <f t="shared" si="74"/>
        <v>657.13667993799993</v>
      </c>
      <c r="J83" s="10">
        <f t="shared" si="74"/>
        <v>568.07662998800015</v>
      </c>
      <c r="K83" s="10">
        <f t="shared" si="74"/>
        <v>570.07960997499993</v>
      </c>
      <c r="L83" s="10">
        <f t="shared" si="74"/>
        <v>584.46370999099986</v>
      </c>
      <c r="M83" s="10">
        <f t="shared" si="74"/>
        <v>484.25041006599986</v>
      </c>
      <c r="N83" s="10">
        <f t="shared" si="74"/>
        <v>697.65016999919999</v>
      </c>
      <c r="O83" s="10">
        <f t="shared" si="74"/>
        <v>273.41408007999985</v>
      </c>
      <c r="P83" s="10">
        <f t="shared" si="74"/>
        <v>553.55836001260013</v>
      </c>
      <c r="Q83" s="10">
        <f t="shared" si="74"/>
        <v>629.54748998700018</v>
      </c>
      <c r="R83" s="10">
        <f t="shared" si="74"/>
        <v>625.52076001400007</v>
      </c>
      <c r="S83" s="10">
        <f t="shared" si="74"/>
        <v>597.16027999399967</v>
      </c>
      <c r="T83" s="10">
        <f t="shared" si="74"/>
        <v>497.48324997799989</v>
      </c>
      <c r="U83" s="10">
        <f t="shared" si="74"/>
        <v>699.33687998900007</v>
      </c>
      <c r="V83" s="10">
        <f t="shared" si="74"/>
        <v>716.23316993030016</v>
      </c>
      <c r="W83" s="10">
        <f t="shared" si="74"/>
        <v>538.69935001900012</v>
      </c>
      <c r="X83" s="10">
        <f t="shared" si="74"/>
        <v>1238.1083600910001</v>
      </c>
      <c r="Y83" s="10">
        <f t="shared" si="74"/>
        <v>87.126240064599983</v>
      </c>
      <c r="Z83" s="10">
        <f t="shared" si="74"/>
        <v>219.03946992799979</v>
      </c>
      <c r="AA83" s="10">
        <f t="shared" si="74"/>
        <v>1234.669199974915</v>
      </c>
      <c r="AB83" s="10">
        <f t="shared" si="74"/>
        <v>462.85814000000005</v>
      </c>
      <c r="AC83" s="10">
        <f t="shared" si="74"/>
        <v>523.99708001400006</v>
      </c>
      <c r="AD83" s="10">
        <f t="shared" si="74"/>
        <v>627.37881998999978</v>
      </c>
      <c r="AE83" s="10">
        <f t="shared" si="74"/>
        <v>485.03440007799998</v>
      </c>
      <c r="AF83" s="10">
        <f t="shared" si="74"/>
        <v>1069.2660899636001</v>
      </c>
      <c r="AG83" s="10">
        <f t="shared" si="74"/>
        <v>1030.9755899955001</v>
      </c>
      <c r="AH83" s="10">
        <f t="shared" si="74"/>
        <v>1061.8890500002997</v>
      </c>
      <c r="AI83" s="10">
        <f t="shared" si="74"/>
        <v>1113.602209956</v>
      </c>
      <c r="AJ83" s="10">
        <f t="shared" si="74"/>
        <v>1650.7727699871998</v>
      </c>
      <c r="AK83" s="10">
        <f t="shared" si="74"/>
        <v>1097.9251500150501</v>
      </c>
      <c r="AL83" s="10">
        <f t="shared" si="74"/>
        <v>1096.6556800629999</v>
      </c>
      <c r="AM83" s="10">
        <f t="shared" si="74"/>
        <v>1072.4761999299999</v>
      </c>
      <c r="AN83" s="10">
        <f t="shared" si="74"/>
        <v>949.52129000000014</v>
      </c>
      <c r="AO83" s="10">
        <f t="shared" si="74"/>
        <v>1141.2393100000002</v>
      </c>
      <c r="AP83" s="10">
        <f t="shared" si="74"/>
        <v>828.25944999999956</v>
      </c>
      <c r="AQ83" s="10">
        <f t="shared" si="74"/>
        <v>1222.06061</v>
      </c>
      <c r="AR83" s="10">
        <f t="shared" si="74"/>
        <v>914.4463999999997</v>
      </c>
      <c r="AS83" s="10">
        <f t="shared" si="74"/>
        <v>1104.4057700000003</v>
      </c>
      <c r="AT83" s="10">
        <f t="shared" si="74"/>
        <v>0</v>
      </c>
      <c r="AU83" s="10">
        <f t="shared" si="74"/>
        <v>0</v>
      </c>
      <c r="AV83" s="10">
        <f t="shared" si="74"/>
        <v>0</v>
      </c>
      <c r="AW83" s="10">
        <f t="shared" si="74"/>
        <v>0</v>
      </c>
      <c r="AX83" s="10">
        <f t="shared" si="74"/>
        <v>0</v>
      </c>
      <c r="AY83" s="10">
        <f t="shared" si="74"/>
        <v>0</v>
      </c>
      <c r="AZ83" s="10">
        <f t="shared" ref="AZ83:BK83" si="75">SUM(AZ63:AZ82)</f>
        <v>905.24732674400002</v>
      </c>
      <c r="BA83" s="10">
        <f t="shared" si="75"/>
        <v>900.21465348799984</v>
      </c>
      <c r="BB83" s="10">
        <f t="shared" si="75"/>
        <v>895.09198023199997</v>
      </c>
      <c r="BC83" s="10">
        <f t="shared" si="75"/>
        <v>890.41930697599992</v>
      </c>
      <c r="BD83" s="10">
        <f t="shared" si="75"/>
        <v>734.86663372000021</v>
      </c>
      <c r="BE83" s="10">
        <f t="shared" si="75"/>
        <v>729.92396046399983</v>
      </c>
      <c r="BF83" s="10">
        <f t="shared" si="75"/>
        <v>674.98128720799969</v>
      </c>
      <c r="BG83" s="10">
        <f t="shared" si="75"/>
        <v>669.98861395199992</v>
      </c>
      <c r="BH83" s="10">
        <f t="shared" si="75"/>
        <v>614.63594069599992</v>
      </c>
      <c r="BI83" s="10">
        <f t="shared" si="75"/>
        <v>609.50326743999995</v>
      </c>
      <c r="BJ83" s="10">
        <f t="shared" si="75"/>
        <v>504.37059418399986</v>
      </c>
      <c r="BK83" s="10">
        <f t="shared" si="75"/>
        <v>499.46792092799978</v>
      </c>
      <c r="BO83" s="23">
        <f>SUM(BO63:BO82)</f>
        <v>5055.5270599999994</v>
      </c>
      <c r="BP83" s="23">
        <f t="shared" ref="BP83:BT83" si="76">SUM(BP63:BP82)</f>
        <v>4325.8399011599995</v>
      </c>
      <c r="BQ83" s="23">
        <f t="shared" si="76"/>
        <v>4141.0806599999996</v>
      </c>
      <c r="BR83" s="23">
        <f t="shared" si="76"/>
        <v>3168.5345300455992</v>
      </c>
      <c r="BS83" s="23">
        <f t="shared" si="76"/>
        <v>2903.2701399856005</v>
      </c>
      <c r="BT83" s="23">
        <f t="shared" si="76"/>
        <v>3199.4314899746005</v>
      </c>
    </row>
    <row r="84" spans="1:72" x14ac:dyDescent="0.25">
      <c r="D84" s="53">
        <f>'[1]Desempeño Financiero (Evol)'!BE543-D83</f>
        <v>111.00000009129985</v>
      </c>
      <c r="E84" s="19">
        <f>'[1]Desempeño Financiero (Evol)'!BF543-E83</f>
        <v>-3.8700250115653034E-8</v>
      </c>
      <c r="F84" s="19">
        <f>'[1]Desempeño Financiero (Evol)'!BG543-F83</f>
        <v>-5.0200242185383104E-8</v>
      </c>
      <c r="G84" s="19">
        <f>'[1]Desempeño Financiero (Evol)'!BH543-G83</f>
        <v>-4.4999978854320943E-8</v>
      </c>
      <c r="H84" s="19">
        <f>'[1]Desempeño Financiero (Evol)'!BI543-H83</f>
        <v>6.7999962993781082E-8</v>
      </c>
      <c r="I84" s="19">
        <f>'[1]Desempeño Financiero (Evol)'!BJ543-I83</f>
        <v>6.2000140133022796E-8</v>
      </c>
      <c r="J84" s="19">
        <f>'[1]Desempeño Financiero (Evol)'!BK543-J83</f>
        <v>1.2000100468867458E-8</v>
      </c>
      <c r="K84" s="19">
        <f>'[1]Desempeño Financiero (Evol)'!BL543-K83</f>
        <v>2.4999962988658808E-8</v>
      </c>
      <c r="L84" s="19">
        <f>'[1]Desempeño Financiero (Evol)'!BM543-L83</f>
        <v>9.0001321950694546E-9</v>
      </c>
      <c r="M84" s="19">
        <f>'[1]Desempeño Financiero (Evol)'!BN543-M83</f>
        <v>-6.599975677090697E-8</v>
      </c>
      <c r="N84" s="19">
        <f>'[1]Desempeño Financiero (Evol)'!BO543-N83</f>
        <v>8.0012796388473362E-10</v>
      </c>
      <c r="O84" s="19">
        <f>'[1]Desempeño Financiero (Evol)'!BP543-O83</f>
        <v>-7.9999949775810819E-8</v>
      </c>
      <c r="P84" s="19">
        <f>'[1]Desempeño Financiero (Evol)'!BQ543-P83</f>
        <v>-1.2600025911524426E-8</v>
      </c>
      <c r="Q84" s="19">
        <f>'[1]Desempeño Financiero (Evol)'!BR543-Q83</f>
        <v>1.2999748832953628E-8</v>
      </c>
      <c r="R84" s="19">
        <f>'[1]Desempeño Financiero (Evol)'!BS543-R83</f>
        <v>-1.4000079318066128E-8</v>
      </c>
      <c r="S84" s="19">
        <f>'[1]Desempeño Financiero (Evol)'!BT543-S83</f>
        <v>6.0002776081091724E-9</v>
      </c>
      <c r="T84" s="19">
        <f>'[1]Desempeño Financiero (Evol)'!BU543-T83</f>
        <v>2.2000278931955108E-8</v>
      </c>
      <c r="U84" s="19">
        <f>'[1]Desempeño Financiero (Evol)'!BV543-U83</f>
        <v>1.0999997357430402E-8</v>
      </c>
      <c r="V84" s="19">
        <f>'[1]Desempeño Financiero (Evol)'!BW543-V83</f>
        <v>6.9699694904556964E-8</v>
      </c>
      <c r="W84" s="19">
        <f>'[1]Desempeño Financiero (Evol)'!BX543-W83</f>
        <v>-1.8999912754225079E-8</v>
      </c>
      <c r="X84" s="19">
        <f>'[1]Desempeño Financiero (Evol)'!BY543-X83</f>
        <v>-9.0999719759565778E-8</v>
      </c>
      <c r="Y84" s="19">
        <f>'[1]Desempeño Financiero (Evol)'!BZ543-Y83</f>
        <v>-6.4599973370604857E-8</v>
      </c>
      <c r="Z84" s="19">
        <f>'[1]Desempeño Financiero (Evol)'!CA543-Z83</f>
        <v>7.2000119644144434E-8</v>
      </c>
      <c r="AA84" s="19">
        <f>'[1]Desempeño Financiero (Evol)'!CB543-AA83</f>
        <v>2.508522811695002E-8</v>
      </c>
      <c r="AB84" s="19">
        <f>'[1]Desempeño Financiero (Evol)'!CC543-AB83</f>
        <v>0</v>
      </c>
      <c r="AC84" s="19">
        <f>'[1]Desempeño Financiero (Evol)'!CD543-AC83</f>
        <v>-1.4000079318066128E-8</v>
      </c>
      <c r="AD84" s="19">
        <f>'[1]Desempeño Financiero (Evol)'!CE543-AD83</f>
        <v>1.0000235306506511E-8</v>
      </c>
      <c r="AE84" s="19">
        <f>'[1]Desempeño Financiero (Evol)'!CF543-AE83</f>
        <v>-7.8000141456868732E-8</v>
      </c>
      <c r="AF84" s="19">
        <f>'[1]Desempeño Financiero (Evol)'!CG543-AF83</f>
        <v>3.6400024328031577E-8</v>
      </c>
      <c r="AG84" s="19">
        <f>'[1]Desempeño Financiero (Evol)'!CH543-AG83</f>
        <v>4.5001797843724489E-9</v>
      </c>
      <c r="AH84" s="19">
        <f>'[1]Desempeño Financiero (Evol)'!CI543-AH83</f>
        <v>-2.9945113055873662E-10</v>
      </c>
      <c r="AI84" s="19">
        <f>'[1]Desempeño Financiero (Evol)'!CJ543-AI83</f>
        <v>4.3999762056046166E-8</v>
      </c>
      <c r="AJ84" s="19">
        <f>'[1]Desempeño Financiero (Evol)'!CK543-AJ83</f>
        <v>1.2800001059076749E-8</v>
      </c>
      <c r="AK84" s="19">
        <f>'[1]Desempeño Financiero (Evol)'!CL543-AK83</f>
        <v>-1.5050090951262973E-8</v>
      </c>
      <c r="AL84" s="19">
        <f>'[1]Desempeño Financiero (Evol)'!CM543-AL83</f>
        <v>-6.2999788497108966E-8</v>
      </c>
      <c r="AM84" s="19">
        <f>'[1]Desempeño Financiero (Evol)'!CN543-AM83</f>
        <v>7.0000396590330638E-8</v>
      </c>
      <c r="AN84" s="19">
        <f>'[1]Desempeño Financiero (Evol)'!CO543-AN83</f>
        <v>0</v>
      </c>
      <c r="AZ84" s="19">
        <f>'[1]Desempeño Financiero (Evol)'!DA543-AZ83</f>
        <v>0</v>
      </c>
      <c r="BA84" s="19">
        <f>'[1]Desempeño Financiero (Evol)'!DB543-BA83</f>
        <v>0</v>
      </c>
      <c r="BB84" s="19">
        <f>'[1]Desempeño Financiero (Evol)'!DC543-BB83</f>
        <v>0</v>
      </c>
      <c r="BC84" s="19">
        <f>'[1]Desempeño Financiero (Evol)'!DD543-BC83</f>
        <v>0</v>
      </c>
      <c r="BD84" s="19">
        <f>'[1]Desempeño Financiero (Evol)'!DE543-BD83</f>
        <v>0</v>
      </c>
      <c r="BE84" s="19">
        <f>'[1]Desempeño Financiero (Evol)'!DF543-BE83</f>
        <v>0</v>
      </c>
      <c r="BF84" s="19">
        <f>'[1]Desempeño Financiero (Evol)'!DG543-BF83</f>
        <v>0</v>
      </c>
      <c r="BG84" s="19">
        <f>'[1]Desempeño Financiero (Evol)'!DH543-BG83</f>
        <v>0</v>
      </c>
      <c r="BH84" s="19">
        <f>'[1]Desempeño Financiero (Evol)'!DI543-BH83</f>
        <v>0</v>
      </c>
      <c r="BI84" s="19">
        <f>'[1]Desempeño Financiero (Evol)'!DJ543-BI83</f>
        <v>0</v>
      </c>
      <c r="BJ84" s="19">
        <f>'[1]Desempeño Financiero (Evol)'!DK543-BJ83</f>
        <v>0</v>
      </c>
      <c r="BK84" s="19">
        <f>'[1]Desempeño Financiero (Evol)'!DL543-BK83</f>
        <v>0</v>
      </c>
    </row>
    <row r="86" spans="1:72" hidden="1" outlineLevel="1" x14ac:dyDescent="0.25">
      <c r="A86" s="11" t="s">
        <v>75</v>
      </c>
      <c r="C86" s="2" t="s">
        <v>78</v>
      </c>
      <c r="D86" s="8">
        <f>Renta_Alta!D86+Masivo!D86+Consumo_Inicial!D86</f>
        <v>-4676.1752929789</v>
      </c>
      <c r="E86" s="8">
        <f>Renta_Alta!E86+Masivo!E86+Consumo_Inicial!E86</f>
        <v>-5038.1345488614006</v>
      </c>
      <c r="F86" s="8">
        <f>Renta_Alta!F86+Masivo!F86+Consumo_Inicial!F86</f>
        <v>-4773.6624781597002</v>
      </c>
      <c r="G86" s="8">
        <f>Renta_Alta!G86+Masivo!G86+Consumo_Inicial!G86</f>
        <v>-5260.42224059</v>
      </c>
      <c r="H86" s="8">
        <f>Renta_Alta!H86+Masivo!H86+Consumo_Inicial!H86</f>
        <v>-4543.2276056738001</v>
      </c>
      <c r="I86" s="8">
        <f>Renta_Alta!I86+Masivo!I86+Consumo_Inicial!I86</f>
        <v>-4541.3323994538005</v>
      </c>
      <c r="J86" s="8">
        <f>Renta_Alta!J86+Masivo!J86+Consumo_Inicial!J86</f>
        <v>-4717.3214684968007</v>
      </c>
      <c r="K86" s="8">
        <f>Renta_Alta!K86+Masivo!K86+Consumo_Inicial!K86</f>
        <v>-4056.0219902288</v>
      </c>
      <c r="L86" s="8">
        <f>Renta_Alta!L86+Masivo!L86+Consumo_Inicial!L86</f>
        <v>-4331.6393526230995</v>
      </c>
      <c r="M86" s="8">
        <f>Renta_Alta!M86+Masivo!M86+Consumo_Inicial!M86</f>
        <v>-4285.8541100247003</v>
      </c>
      <c r="N86" s="8">
        <f>Renta_Alta!N86+Masivo!N86+Consumo_Inicial!N86</f>
        <v>-3936.7423239911004</v>
      </c>
      <c r="O86" s="8">
        <f>Renta_Alta!O86+Masivo!O86+Consumo_Inicial!O86</f>
        <v>-3697.6770135044999</v>
      </c>
      <c r="P86" s="8">
        <f>Renta_Alta!P86+Masivo!P86+Consumo_Inicial!P86</f>
        <v>-3856.3200729866003</v>
      </c>
      <c r="Q86" s="8">
        <f>Renta_Alta!Q86+Masivo!Q86+Consumo_Inicial!Q86</f>
        <v>-4785.8767321603</v>
      </c>
      <c r="R86" s="8">
        <f>Renta_Alta!R86+Masivo!R86+Consumo_Inicial!R86</f>
        <v>-4438.9709245925997</v>
      </c>
      <c r="S86" s="8">
        <f>Renta_Alta!S86+Masivo!S86+Consumo_Inicial!S86</f>
        <v>-4259.1707231980999</v>
      </c>
      <c r="T86" s="8">
        <f>Renta_Alta!T86+Masivo!T86+Consumo_Inicial!T86</f>
        <v>-4658.4689754195006</v>
      </c>
      <c r="U86" s="8">
        <f>Renta_Alta!U86+Masivo!U86+Consumo_Inicial!U86</f>
        <v>-4105.5753475923002</v>
      </c>
      <c r="V86" s="8">
        <f>Renta_Alta!V86+Masivo!V86+Consumo_Inicial!V86</f>
        <v>-4638.0069596879994</v>
      </c>
      <c r="W86" s="8">
        <f>Renta_Alta!W86+Masivo!W86+Consumo_Inicial!W86</f>
        <v>-4254.5946030281002</v>
      </c>
      <c r="X86" s="8">
        <f>Renta_Alta!X86+Masivo!X86+Consumo_Inicial!X86</f>
        <v>-4386.1229455133998</v>
      </c>
      <c r="Y86" s="8">
        <f>Renta_Alta!Y86+Masivo!Y86+Consumo_Inicial!Y86</f>
        <v>-4346.1349949604992</v>
      </c>
      <c r="Z86" s="8">
        <f>Renta_Alta!Z86+Masivo!Z86+Consumo_Inicial!Z86</f>
        <v>-4315.1550768436009</v>
      </c>
      <c r="AA86" s="8">
        <f>Renta_Alta!AA86+Masivo!AA86+Consumo_Inicial!AA86</f>
        <v>-4158.3175415313999</v>
      </c>
      <c r="AB86" s="8">
        <f>Renta_Alta!AB86+Masivo!AB86+Consumo_Inicial!AB86</f>
        <v>-4550.7593511629002</v>
      </c>
      <c r="AC86" s="8">
        <f>Renta_Alta!AC86+Masivo!AC86+Consumo_Inicial!AC86</f>
        <v>-4538.9845269889001</v>
      </c>
      <c r="AD86" s="8">
        <f>Renta_Alta!AD86+Masivo!AD86+Consumo_Inicial!AD86</f>
        <v>-4816.7567921197997</v>
      </c>
      <c r="AE86" s="8">
        <f>Renta_Alta!AE86+Masivo!AE86+Consumo_Inicial!AE86</f>
        <v>-5098.961504311299</v>
      </c>
      <c r="AF86" s="8">
        <f>Renta_Alta!AF86+Masivo!AF86+Consumo_Inicial!AF86</f>
        <v>-5118.6389976617002</v>
      </c>
      <c r="AG86" s="8">
        <f>Renta_Alta!AG86+Masivo!AG86+Consumo_Inicial!AG86</f>
        <v>-5145.2159552989997</v>
      </c>
      <c r="AH86" s="8">
        <f>Renta_Alta!AH86+Masivo!AH86+Consumo_Inicial!AH86</f>
        <v>-5213.7274857524999</v>
      </c>
      <c r="AI86" s="8">
        <f>Renta_Alta!AI86+Masivo!AI86+Consumo_Inicial!AI86</f>
        <v>-5632.4414981495993</v>
      </c>
      <c r="AJ86" s="8">
        <f>Renta_Alta!AJ86+Masivo!AJ86+Consumo_Inicial!AJ86</f>
        <v>-5079.1420323250004</v>
      </c>
      <c r="AK86" s="8">
        <f>Renta_Alta!AK86+Masivo!AK86+Consumo_Inicial!AK86</f>
        <v>-5001.5629675604996</v>
      </c>
      <c r="AL86" s="8">
        <f>Renta_Alta!AL86+Masivo!AL86+Consumo_Inicial!AL86</f>
        <v>-5122.3857944453002</v>
      </c>
      <c r="AM86" s="8">
        <f>Renta_Alta!AM86+Masivo!AM86+Consumo_Inicial!AM86</f>
        <v>-5702.7198060000001</v>
      </c>
      <c r="AN86" s="8">
        <f>Renta_Alta!AN86+Masivo!AN86+Consumo_Inicial!AN86</f>
        <v>-5027.2327989708992</v>
      </c>
      <c r="AO86" s="8">
        <f>Renta_Alta!AO86+Masivo!AO86+Consumo_Inicial!AO86</f>
        <v>-4832.2444049840997</v>
      </c>
      <c r="AP86" s="8">
        <f>Renta_Alta!AP86+Masivo!AP86+Consumo_Inicial!AP86</f>
        <v>-5209.5612670116006</v>
      </c>
      <c r="AQ86" s="8">
        <f>Renta_Alta!AQ86+Masivo!AQ86+Consumo_Inicial!AQ86</f>
        <v>-5070.3116497235005</v>
      </c>
      <c r="AR86" s="8">
        <f>Renta_Alta!AR86+Masivo!AR86+Consumo_Inicial!AR86</f>
        <v>-5887.2054644342006</v>
      </c>
      <c r="AS86" s="8">
        <f>Renta_Alta!AS86+Masivo!AS86+Consumo_Inicial!AS86</f>
        <v>-5255.6101237291987</v>
      </c>
      <c r="AT86" s="8">
        <f>Renta_Alta!AT86+Masivo!AT86+Consumo_Inicial!AT86</f>
        <v>0</v>
      </c>
      <c r="AU86" s="8">
        <f>Renta_Alta!AU86+Masivo!AU86+Consumo_Inicial!AU86</f>
        <v>0</v>
      </c>
      <c r="AV86" s="8">
        <f>Renta_Alta!AV86+Masivo!AV86+Consumo_Inicial!AV86</f>
        <v>0</v>
      </c>
      <c r="AW86" s="8">
        <f>Renta_Alta!AW86+Masivo!AW86+Consumo_Inicial!AW86</f>
        <v>0</v>
      </c>
      <c r="AX86" s="8">
        <f>Renta_Alta!AX86+Masivo!AX86+Consumo_Inicial!AX86</f>
        <v>0</v>
      </c>
      <c r="AY86" s="8">
        <f>Renta_Alta!AY86+Masivo!AY86+Consumo_Inicial!AY86</f>
        <v>0</v>
      </c>
      <c r="AZ86" s="8">
        <f>Renta_Alta!AZ86+Masivo!AZ86+Consumo_Inicial!AZ86</f>
        <v>-4956.9410090880001</v>
      </c>
      <c r="BA86" s="8">
        <f>Renta_Alta!BA86+Masivo!BA86+Consumo_Inicial!BA86</f>
        <v>-4880.2560488055997</v>
      </c>
      <c r="BB86" s="8">
        <f>Renta_Alta!BB86+Masivo!BB86+Consumo_Inicial!BB86</f>
        <v>-5081.5387205000998</v>
      </c>
      <c r="BC86" s="8">
        <f>Renta_Alta!BC86+Masivo!BC86+Consumo_Inicial!BC86</f>
        <v>-4990.0392857861998</v>
      </c>
      <c r="BD86" s="8">
        <f>Renta_Alta!BD86+Masivo!BD86+Consumo_Inicial!BD86</f>
        <v>-5189.8369057573</v>
      </c>
      <c r="BE86" s="8">
        <f>Renta_Alta!BE86+Masivo!BE86+Consumo_Inicial!BE86</f>
        <v>-5253.0438818026996</v>
      </c>
      <c r="BF86" s="8">
        <f>Renta_Alta!BF86+Masivo!BF86+Consumo_Inicial!BF86</f>
        <v>-5045.3214284575997</v>
      </c>
      <c r="BG86" s="8">
        <f>Renta_Alta!BG86+Masivo!BG86+Consumo_Inicial!BG86</f>
        <v>-5119.5852548997</v>
      </c>
      <c r="BH86" s="8">
        <f>Renta_Alta!BH86+Masivo!BH86+Consumo_Inicial!BH86</f>
        <v>-5280.7742997425994</v>
      </c>
      <c r="BI86" s="8">
        <f>Renta_Alta!BI86+Masivo!BI86+Consumo_Inicial!BI86</f>
        <v>-5102.3093282415994</v>
      </c>
      <c r="BJ86" s="8">
        <f>Renta_Alta!BJ86+Masivo!BJ86+Consumo_Inicial!BJ86</f>
        <v>-5184.8885132422993</v>
      </c>
      <c r="BK86" s="8">
        <f>Renta_Alta!BK86+Masivo!BK86+Consumo_Inicial!BK86</f>
        <v>-5284.7887638795</v>
      </c>
      <c r="BO86" s="24">
        <f t="shared" ref="BO86:BT88" si="77">SUMIFS($D86:$BM86,$D$6:$BM$6,"&gt;="&amp;BO$2,$D$6:$BM$6,"&lt;="&amp;BO$6,$D$5:$BM$5,BO$5)</f>
        <v>-26026.555585124297</v>
      </c>
      <c r="BP86" s="24">
        <f t="shared" si="77"/>
        <v>-25098.611969937199</v>
      </c>
      <c r="BQ86" s="24">
        <f t="shared" si="77"/>
        <v>-20139.350120690098</v>
      </c>
      <c r="BR86" s="24">
        <f t="shared" si="77"/>
        <v>-24124.101172244598</v>
      </c>
      <c r="BS86" s="24">
        <f t="shared" si="77"/>
        <v>-21998.807428357097</v>
      </c>
      <c r="BT86" s="24">
        <f t="shared" si="77"/>
        <v>-24291.622166263802</v>
      </c>
    </row>
    <row r="87" spans="1:72" hidden="1" outlineLevel="1" x14ac:dyDescent="0.25">
      <c r="A87" s="11" t="s">
        <v>75</v>
      </c>
      <c r="C87" s="2" t="s">
        <v>77</v>
      </c>
      <c r="D87" s="8">
        <f>Renta_Alta!D87+Masivo!D87+Consumo_Inicial!D87</f>
        <v>-282.85583375459998</v>
      </c>
      <c r="E87" s="8">
        <f>Renta_Alta!E87+Masivo!E87+Consumo_Inicial!E87</f>
        <v>-276.60548539590002</v>
      </c>
      <c r="F87" s="8">
        <f>Renta_Alta!F87+Masivo!F87+Consumo_Inicial!F87</f>
        <v>-304.13448062480001</v>
      </c>
      <c r="G87" s="8">
        <f>Renta_Alta!G87+Masivo!G87+Consumo_Inicial!G87</f>
        <v>-272.04203993069996</v>
      </c>
      <c r="H87" s="8">
        <f>Renta_Alta!H87+Masivo!H87+Consumo_Inicial!H87</f>
        <v>-295.87896928570001</v>
      </c>
      <c r="I87" s="8">
        <f>Renta_Alta!I87+Masivo!I87+Consumo_Inicial!I87</f>
        <v>-287.05405467629998</v>
      </c>
      <c r="J87" s="8">
        <f>Renta_Alta!J87+Masivo!J87+Consumo_Inicial!J87</f>
        <v>-326.0603955501</v>
      </c>
      <c r="K87" s="8">
        <f>Renta_Alta!K87+Masivo!K87+Consumo_Inicial!K87</f>
        <v>-349.38903648410002</v>
      </c>
      <c r="L87" s="8">
        <f>Renta_Alta!L87+Masivo!L87+Consumo_Inicial!L87</f>
        <v>-356.3735598646</v>
      </c>
      <c r="M87" s="8">
        <f>Renta_Alta!M87+Masivo!M87+Consumo_Inicial!M87</f>
        <v>-359.23646838779996</v>
      </c>
      <c r="N87" s="8">
        <f>Renta_Alta!N87+Masivo!N87+Consumo_Inicial!N87</f>
        <v>-339.75963925049996</v>
      </c>
      <c r="O87" s="8">
        <f>Renta_Alta!O87+Masivo!O87+Consumo_Inicial!O87</f>
        <v>-347.48449654579997</v>
      </c>
      <c r="P87" s="8">
        <f>Renta_Alta!P87+Masivo!P87+Consumo_Inicial!P87</f>
        <v>-365.89180533159998</v>
      </c>
      <c r="Q87" s="8">
        <f>Renta_Alta!Q87+Masivo!Q87+Consumo_Inicial!Q87</f>
        <v>-358.09789252420001</v>
      </c>
      <c r="R87" s="8">
        <f>Renta_Alta!R87+Masivo!R87+Consumo_Inicial!R87</f>
        <v>-389.53362656999997</v>
      </c>
      <c r="S87" s="8">
        <f>Renta_Alta!S87+Masivo!S87+Consumo_Inicial!S87</f>
        <v>-374.49195357269997</v>
      </c>
      <c r="T87" s="8">
        <f>Renta_Alta!T87+Masivo!T87+Consumo_Inicial!T87</f>
        <v>-362.46590123100003</v>
      </c>
      <c r="U87" s="8">
        <f>Renta_Alta!U87+Masivo!U87+Consumo_Inicial!U87</f>
        <v>-349.3675960759</v>
      </c>
      <c r="V87" s="8">
        <f>Renta_Alta!V87+Masivo!V87+Consumo_Inicial!V87</f>
        <v>-333.05747082950001</v>
      </c>
      <c r="W87" s="8">
        <f>Renta_Alta!W87+Masivo!W87+Consumo_Inicial!W87</f>
        <v>-336.55034051360002</v>
      </c>
      <c r="X87" s="8">
        <f>Renta_Alta!X87+Masivo!X87+Consumo_Inicial!X87</f>
        <v>-333.56939042730005</v>
      </c>
      <c r="Y87" s="8">
        <f>Renta_Alta!Y87+Masivo!Y87+Consumo_Inicial!Y87</f>
        <v>-313.56891122670004</v>
      </c>
      <c r="Z87" s="8">
        <f>Renta_Alta!Z87+Masivo!Z87+Consumo_Inicial!Z87</f>
        <v>-294.55648865059999</v>
      </c>
      <c r="AA87" s="8">
        <f>Renta_Alta!AA87+Masivo!AA87+Consumo_Inicial!AA87</f>
        <v>-283.77060668839999</v>
      </c>
      <c r="AB87" s="8">
        <f>Renta_Alta!AB87+Masivo!AB87+Consumo_Inicial!AB87</f>
        <v>-336.28043935229994</v>
      </c>
      <c r="AC87" s="8">
        <f>Renta_Alta!AC87+Masivo!AC87+Consumo_Inicial!AC87</f>
        <v>-312.20733744299997</v>
      </c>
      <c r="AD87" s="8">
        <f>Renta_Alta!AD87+Masivo!AD87+Consumo_Inicial!AD87</f>
        <v>-327.32539328809997</v>
      </c>
      <c r="AE87" s="8">
        <f>Renta_Alta!AE87+Masivo!AE87+Consumo_Inicial!AE87</f>
        <v>-309.33827675839996</v>
      </c>
      <c r="AF87" s="8">
        <f>Renta_Alta!AF87+Masivo!AF87+Consumo_Inicial!AF87</f>
        <v>-333.19079717299996</v>
      </c>
      <c r="AG87" s="8">
        <f>Renta_Alta!AG87+Masivo!AG87+Consumo_Inicial!AG87</f>
        <v>-310.08989313069998</v>
      </c>
      <c r="AH87" s="8">
        <f>Renta_Alta!AH87+Masivo!AH87+Consumo_Inicial!AH87</f>
        <v>-309.32196241230002</v>
      </c>
      <c r="AI87" s="8">
        <f>Renta_Alta!AI87+Masivo!AI87+Consumo_Inicial!AI87</f>
        <v>-296.8751875817</v>
      </c>
      <c r="AJ87" s="8">
        <f>Renta_Alta!AJ87+Masivo!AJ87+Consumo_Inicial!AJ87</f>
        <v>-272.61953152840005</v>
      </c>
      <c r="AK87" s="8">
        <f>Renta_Alta!AK87+Masivo!AK87+Consumo_Inicial!AK87</f>
        <v>-287.36120516259996</v>
      </c>
      <c r="AL87" s="8">
        <f>Renta_Alta!AL87+Masivo!AL87+Consumo_Inicial!AL87</f>
        <v>-283.11748566129995</v>
      </c>
      <c r="AM87" s="8">
        <f>Renta_Alta!AM87+Masivo!AM87+Consumo_Inicial!AM87</f>
        <v>-268.47808281770006</v>
      </c>
      <c r="AN87" s="8">
        <f>Renta_Alta!AN87+Masivo!AN87+Consumo_Inicial!AN87</f>
        <v>-255.08603130789999</v>
      </c>
      <c r="AO87" s="8">
        <f>Renta_Alta!AO87+Masivo!AO87+Consumo_Inicial!AO87</f>
        <v>-286.18661646339996</v>
      </c>
      <c r="AP87" s="8">
        <f>Renta_Alta!AP87+Masivo!AP87+Consumo_Inicial!AP87</f>
        <v>-299.57861100500003</v>
      </c>
      <c r="AQ87" s="8">
        <f>Renta_Alta!AQ87+Masivo!AQ87+Consumo_Inicial!AQ87</f>
        <v>-297.51288944700002</v>
      </c>
      <c r="AR87" s="8">
        <f>Renta_Alta!AR87+Masivo!AR87+Consumo_Inicial!AR87</f>
        <v>-296.93512462699999</v>
      </c>
      <c r="AS87" s="8">
        <f>Renta_Alta!AS87+Masivo!AS87+Consumo_Inicial!AS87</f>
        <v>-290.25065921390006</v>
      </c>
      <c r="AT87" s="8">
        <f>Renta_Alta!AT87+Masivo!AT87+Consumo_Inicial!AT87</f>
        <v>0</v>
      </c>
      <c r="AU87" s="8">
        <f>Renta_Alta!AU87+Masivo!AU87+Consumo_Inicial!AU87</f>
        <v>0</v>
      </c>
      <c r="AV87" s="8">
        <f>Renta_Alta!AV87+Masivo!AV87+Consumo_Inicial!AV87</f>
        <v>0</v>
      </c>
      <c r="AW87" s="8">
        <f>Renta_Alta!AW87+Masivo!AW87+Consumo_Inicial!AW87</f>
        <v>0</v>
      </c>
      <c r="AX87" s="8">
        <f>Renta_Alta!AX87+Masivo!AX87+Consumo_Inicial!AX87</f>
        <v>0</v>
      </c>
      <c r="AY87" s="8">
        <f>Renta_Alta!AY87+Masivo!AY87+Consumo_Inicial!AY87</f>
        <v>0</v>
      </c>
      <c r="AZ87" s="8">
        <f>Renta_Alta!AZ87+Masivo!AZ87+Consumo_Inicial!AZ87</f>
        <v>-357.90397266350004</v>
      </c>
      <c r="BA87" s="8">
        <f>Renta_Alta!BA87+Masivo!BA87+Consumo_Inicial!BA87</f>
        <v>-352.0850849885</v>
      </c>
      <c r="BB87" s="8">
        <f>Renta_Alta!BB87+Masivo!BB87+Consumo_Inicial!BB87</f>
        <v>-380.81204874889994</v>
      </c>
      <c r="BC87" s="8">
        <f>Renta_Alta!BC87+Masivo!BC87+Consumo_Inicial!BC87</f>
        <v>-373.83150265300003</v>
      </c>
      <c r="BD87" s="8">
        <f>Renta_Alta!BD87+Masivo!BD87+Consumo_Inicial!BD87</f>
        <v>-374.04955765649999</v>
      </c>
      <c r="BE87" s="8">
        <f>Renta_Alta!BE87+Masivo!BE87+Consumo_Inicial!BE87</f>
        <v>-356.63179997739996</v>
      </c>
      <c r="BF87" s="8">
        <f>Renta_Alta!BF87+Masivo!BF87+Consumo_Inicial!BF87</f>
        <v>-340.94551622300003</v>
      </c>
      <c r="BG87" s="8">
        <f>Renta_Alta!BG87+Masivo!BG87+Consumo_Inicial!BG87</f>
        <v>-339.89826999040002</v>
      </c>
      <c r="BH87" s="8">
        <f>Renta_Alta!BH87+Masivo!BH87+Consumo_Inicial!BH87</f>
        <v>-343.59278333840001</v>
      </c>
      <c r="BI87" s="8">
        <f>Renta_Alta!BI87+Masivo!BI87+Consumo_Inicial!BI87</f>
        <v>-343.33475411509994</v>
      </c>
      <c r="BJ87" s="8">
        <f>Renta_Alta!BJ87+Masivo!BJ87+Consumo_Inicial!BJ87</f>
        <v>-337.10479954859994</v>
      </c>
      <c r="BK87" s="8">
        <f>Renta_Alta!BK87+Masivo!BK87+Consumo_Inicial!BK87</f>
        <v>-335.75245883470006</v>
      </c>
      <c r="BO87" s="24">
        <f t="shared" si="77"/>
        <v>-1435.2992728503002</v>
      </c>
      <c r="BP87" s="24">
        <f t="shared" si="77"/>
        <v>-1838.6821667104</v>
      </c>
      <c r="BQ87" s="24">
        <f t="shared" si="77"/>
        <v>-1138.3641482233002</v>
      </c>
      <c r="BR87" s="24">
        <f t="shared" si="77"/>
        <v>-1618.3422440147999</v>
      </c>
      <c r="BS87" s="24">
        <f t="shared" si="77"/>
        <v>-1850.4811792295</v>
      </c>
      <c r="BT87" s="24">
        <f t="shared" si="77"/>
        <v>-1431.5168089917001</v>
      </c>
    </row>
    <row r="88" spans="1:72" hidden="1" outlineLevel="1" x14ac:dyDescent="0.25">
      <c r="A88" s="11" t="s">
        <v>75</v>
      </c>
      <c r="C88" s="2" t="s">
        <v>79</v>
      </c>
      <c r="D88" s="8">
        <f>Renta_Alta!D88+Masivo!D88+Consumo_Inicial!D88</f>
        <v>-1684.7350027038997</v>
      </c>
      <c r="E88" s="8">
        <f>Renta_Alta!E88+Masivo!E88+Consumo_Inicial!E88</f>
        <v>-1732.4410872716999</v>
      </c>
      <c r="F88" s="8">
        <f>Renta_Alta!F88+Masivo!F88+Consumo_Inicial!F88</f>
        <v>-1683.9125605325999</v>
      </c>
      <c r="G88" s="8">
        <f>Renta_Alta!G88+Masivo!G88+Consumo_Inicial!G88</f>
        <v>-1809.1650044977998</v>
      </c>
      <c r="H88" s="8">
        <f>Renta_Alta!H88+Masivo!H88+Consumo_Inicial!H88</f>
        <v>-1682.6984251561</v>
      </c>
      <c r="I88" s="8">
        <f>Renta_Alta!I88+Masivo!I88+Consumo_Inicial!I88</f>
        <v>-1594.053160383</v>
      </c>
      <c r="J88" s="8">
        <f>Renta_Alta!J88+Masivo!J88+Consumo_Inicial!J88</f>
        <v>-1716.0143878170002</v>
      </c>
      <c r="K88" s="8">
        <f>Renta_Alta!K88+Masivo!K88+Consumo_Inicial!K88</f>
        <v>-1589.3739195049998</v>
      </c>
      <c r="L88" s="8">
        <f>Renta_Alta!L88+Masivo!L88+Consumo_Inicial!L88</f>
        <v>-1719.1236309017002</v>
      </c>
      <c r="M88" s="8">
        <f>Renta_Alta!M88+Masivo!M88+Consumo_Inicial!M88</f>
        <v>-1666.6164970969999</v>
      </c>
      <c r="N88" s="8">
        <f>Renta_Alta!N88+Masivo!N88+Consumo_Inicial!N88</f>
        <v>-1856.2139896676999</v>
      </c>
      <c r="O88" s="8">
        <f>Renta_Alta!O88+Masivo!O88+Consumo_Inicial!O88</f>
        <v>-1578.0295406056002</v>
      </c>
      <c r="P88" s="8">
        <f>Renta_Alta!P88+Masivo!P88+Consumo_Inicial!P88</f>
        <v>-1771.0097704333</v>
      </c>
      <c r="Q88" s="8">
        <f>Renta_Alta!Q88+Masivo!Q88+Consumo_Inicial!Q88</f>
        <v>-1891.6714766580999</v>
      </c>
      <c r="R88" s="8">
        <f>Renta_Alta!R88+Masivo!R88+Consumo_Inicial!R88</f>
        <v>-1677.9304250482999</v>
      </c>
      <c r="S88" s="8">
        <f>Renta_Alta!S88+Masivo!S88+Consumo_Inicial!S88</f>
        <v>-1887.5497391514</v>
      </c>
      <c r="T88" s="8">
        <f>Renta_Alta!T88+Masivo!T88+Consumo_Inicial!T88</f>
        <v>-2085.0672102997996</v>
      </c>
      <c r="U88" s="8">
        <f>Renta_Alta!U88+Masivo!U88+Consumo_Inicial!U88</f>
        <v>-3188.0158104534003</v>
      </c>
      <c r="V88" s="8">
        <f>Renta_Alta!V88+Masivo!V88+Consumo_Inicial!V88</f>
        <v>-2606.8376397633997</v>
      </c>
      <c r="W88" s="8">
        <f>Renta_Alta!W88+Masivo!W88+Consumo_Inicial!W88</f>
        <v>-2255.1581545204003</v>
      </c>
      <c r="X88" s="8">
        <f>Renta_Alta!X88+Masivo!X88+Consumo_Inicial!X88</f>
        <v>-2060.3181894167997</v>
      </c>
      <c r="Y88" s="8">
        <f>Renta_Alta!Y88+Masivo!Y88+Consumo_Inicial!Y88</f>
        <v>-2072.3688373433997</v>
      </c>
      <c r="Z88" s="8">
        <f>Renta_Alta!Z88+Masivo!Z88+Consumo_Inicial!Z88</f>
        <v>-2016.5124682778003</v>
      </c>
      <c r="AA88" s="8">
        <f>Renta_Alta!AA88+Masivo!AA88+Consumo_Inicial!AA88</f>
        <v>-2026.3451694424002</v>
      </c>
      <c r="AB88" s="8">
        <f>Renta_Alta!AB88+Masivo!AB88+Consumo_Inicial!AB88</f>
        <v>-2345.1090573846004</v>
      </c>
      <c r="AC88" s="8">
        <f>Renta_Alta!AC88+Masivo!AC88+Consumo_Inicial!AC88</f>
        <v>-2017.6414912045998</v>
      </c>
      <c r="AD88" s="8">
        <f>Renta_Alta!AD88+Masivo!AD88+Consumo_Inicial!AD88</f>
        <v>-2064.4122026373998</v>
      </c>
      <c r="AE88" s="8">
        <f>Renta_Alta!AE88+Masivo!AE88+Consumo_Inicial!AE88</f>
        <v>-1942.4616704396001</v>
      </c>
      <c r="AF88" s="8">
        <f>Renta_Alta!AF88+Masivo!AF88+Consumo_Inicial!AF88</f>
        <v>-2223.5883464040999</v>
      </c>
      <c r="AG88" s="8">
        <f>Renta_Alta!AG88+Masivo!AG88+Consumo_Inicial!AG88</f>
        <v>-2264.0685763656998</v>
      </c>
      <c r="AH88" s="8">
        <f>Renta_Alta!AH88+Masivo!AH88+Consumo_Inicial!AH88</f>
        <v>-2157.4719287616999</v>
      </c>
      <c r="AI88" s="8">
        <f>Renta_Alta!AI88+Masivo!AI88+Consumo_Inicial!AI88</f>
        <v>-2148.2276350703</v>
      </c>
      <c r="AJ88" s="8">
        <f>Renta_Alta!AJ88+Masivo!AJ88+Consumo_Inicial!AJ88</f>
        <v>-2170.1554415538999</v>
      </c>
      <c r="AK88" s="8">
        <f>Renta_Alta!AK88+Masivo!AK88+Consumo_Inicial!AK88</f>
        <v>-2062.9895872986003</v>
      </c>
      <c r="AL88" s="8">
        <f>Renta_Alta!AL88+Masivo!AL88+Consumo_Inicial!AL88</f>
        <v>-2472.2634086509997</v>
      </c>
      <c r="AM88" s="8">
        <f>Renta_Alta!AM88+Masivo!AM88+Consumo_Inicial!AM88</f>
        <v>-2172.9452013732002</v>
      </c>
      <c r="AN88" s="8">
        <f>Renta_Alta!AN88+Masivo!AN88+Consumo_Inicial!AN88</f>
        <v>-2516.8023275709002</v>
      </c>
      <c r="AO88" s="8">
        <f>Renta_Alta!AO88+Masivo!AO88+Consumo_Inicial!AO88</f>
        <v>-2296.4511073973003</v>
      </c>
      <c r="AP88" s="8">
        <f>Renta_Alta!AP88+Masivo!AP88+Consumo_Inicial!AP88</f>
        <v>-2479.4151673657002</v>
      </c>
      <c r="AQ88" s="8">
        <f>Renta_Alta!AQ88+Masivo!AQ88+Consumo_Inicial!AQ88</f>
        <v>-2533.4181528792001</v>
      </c>
      <c r="AR88" s="8">
        <f>Renta_Alta!AR88+Masivo!AR88+Consumo_Inicial!AR88</f>
        <v>-2296.5994761680995</v>
      </c>
      <c r="AS88" s="8">
        <f>Renta_Alta!AS88+Masivo!AS88+Consumo_Inicial!AS88</f>
        <v>-2447.1420796927</v>
      </c>
      <c r="AT88" s="8">
        <f>Renta_Alta!AT88+Masivo!AT88+Consumo_Inicial!AT88</f>
        <v>0</v>
      </c>
      <c r="AU88" s="8">
        <f>Renta_Alta!AU88+Masivo!AU88+Consumo_Inicial!AU88</f>
        <v>0</v>
      </c>
      <c r="AV88" s="8">
        <f>Renta_Alta!AV88+Masivo!AV88+Consumo_Inicial!AV88</f>
        <v>0</v>
      </c>
      <c r="AW88" s="8">
        <f>Renta_Alta!AW88+Masivo!AW88+Consumo_Inicial!AW88</f>
        <v>0</v>
      </c>
      <c r="AX88" s="8">
        <f>Renta_Alta!AX88+Masivo!AX88+Consumo_Inicial!AX88</f>
        <v>0</v>
      </c>
      <c r="AY88" s="8">
        <f>Renta_Alta!AY88+Masivo!AY88+Consumo_Inicial!AY88</f>
        <v>0</v>
      </c>
      <c r="AZ88" s="8">
        <f>Renta_Alta!AZ88+Masivo!AZ88+Consumo_Inicial!AZ88</f>
        <v>-2231.8502825226997</v>
      </c>
      <c r="BA88" s="8">
        <f>Renta_Alta!BA88+Masivo!BA88+Consumo_Inicial!BA88</f>
        <v>-2368.0338989327001</v>
      </c>
      <c r="BB88" s="8">
        <f>Renta_Alta!BB88+Masivo!BB88+Consumo_Inicial!BB88</f>
        <v>-2254.4198358928002</v>
      </c>
      <c r="BC88" s="8">
        <f>Renta_Alta!BC88+Masivo!BC88+Consumo_Inicial!BC88</f>
        <v>-2266.8306396994999</v>
      </c>
      <c r="BD88" s="8">
        <f>Renta_Alta!BD88+Masivo!BD88+Consumo_Inicial!BD88</f>
        <v>-2282.2780248229997</v>
      </c>
      <c r="BE88" s="8">
        <f>Renta_Alta!BE88+Masivo!BE88+Consumo_Inicial!BE88</f>
        <v>-2349.2288687302998</v>
      </c>
      <c r="BF88" s="8">
        <f>Renta_Alta!BF88+Masivo!BF88+Consumo_Inicial!BF88</f>
        <v>-2283.0749730419998</v>
      </c>
      <c r="BG88" s="8">
        <f>Renta_Alta!BG88+Masivo!BG88+Consumo_Inicial!BG88</f>
        <v>-2273.4376964139001</v>
      </c>
      <c r="BH88" s="8">
        <f>Renta_Alta!BH88+Masivo!BH88+Consumo_Inicial!BH88</f>
        <v>-2399.0948098428003</v>
      </c>
      <c r="BI88" s="8">
        <f>Renta_Alta!BI88+Masivo!BI88+Consumo_Inicial!BI88</f>
        <v>-2313.8062616120997</v>
      </c>
      <c r="BJ88" s="8">
        <f>Renta_Alta!BJ88+Masivo!BJ88+Consumo_Inicial!BJ88</f>
        <v>-2327.9602592899</v>
      </c>
      <c r="BK88" s="8">
        <f>Renta_Alta!BK88+Masivo!BK88+Consumo_Inicial!BK88</f>
        <v>-2313.3861842328001</v>
      </c>
      <c r="BO88" s="24">
        <f t="shared" si="77"/>
        <v>-12122.6862313812</v>
      </c>
      <c r="BP88" s="24">
        <f t="shared" si="77"/>
        <v>-11403.412681870699</v>
      </c>
      <c r="BQ88" s="24">
        <f t="shared" si="77"/>
        <v>-9826.0867552131003</v>
      </c>
      <c r="BR88" s="24">
        <f t="shared" si="77"/>
        <v>-10593.2127680703</v>
      </c>
      <c r="BS88" s="24">
        <f t="shared" si="77"/>
        <v>-9313.2286215909007</v>
      </c>
      <c r="BT88" s="24">
        <f t="shared" si="77"/>
        <v>-8592.9520801621002</v>
      </c>
    </row>
    <row r="89" spans="1:72" collapsed="1" x14ac:dyDescent="0.25">
      <c r="C89" s="3" t="s">
        <v>75</v>
      </c>
      <c r="D89" s="10">
        <f>SUM(D86:D88)</f>
        <v>-6643.7661294373993</v>
      </c>
      <c r="E89" s="10">
        <f t="shared" ref="E89:AY89" si="78">SUM(E86:E88)</f>
        <v>-7047.1811215290008</v>
      </c>
      <c r="F89" s="10">
        <f t="shared" si="78"/>
        <v>-6761.7095193170999</v>
      </c>
      <c r="G89" s="10">
        <f t="shared" si="78"/>
        <v>-7341.6292850185</v>
      </c>
      <c r="H89" s="10">
        <f t="shared" si="78"/>
        <v>-6521.8050001155998</v>
      </c>
      <c r="I89" s="10">
        <f t="shared" si="78"/>
        <v>-6422.4396145131013</v>
      </c>
      <c r="J89" s="10">
        <f t="shared" si="78"/>
        <v>-6759.3962518639009</v>
      </c>
      <c r="K89" s="10">
        <f t="shared" si="78"/>
        <v>-5994.7849462179001</v>
      </c>
      <c r="L89" s="10">
        <f t="shared" si="78"/>
        <v>-6407.1365433893998</v>
      </c>
      <c r="M89" s="10">
        <f t="shared" si="78"/>
        <v>-6311.707075509501</v>
      </c>
      <c r="N89" s="10">
        <f t="shared" si="78"/>
        <v>-6132.7159529093005</v>
      </c>
      <c r="O89" s="10">
        <f t="shared" si="78"/>
        <v>-5623.1910506558997</v>
      </c>
      <c r="P89" s="10">
        <f t="shared" si="78"/>
        <v>-5993.2216487515007</v>
      </c>
      <c r="Q89" s="10">
        <f t="shared" si="78"/>
        <v>-7035.6461013425996</v>
      </c>
      <c r="R89" s="10">
        <f t="shared" si="78"/>
        <v>-6506.4349762108995</v>
      </c>
      <c r="S89" s="10">
        <f t="shared" si="78"/>
        <v>-6521.2124159222003</v>
      </c>
      <c r="T89" s="10">
        <f t="shared" si="78"/>
        <v>-7106.0020869503005</v>
      </c>
      <c r="U89" s="10">
        <f t="shared" si="78"/>
        <v>-7642.9587541216006</v>
      </c>
      <c r="V89" s="10">
        <f t="shared" si="78"/>
        <v>-7577.9020702808994</v>
      </c>
      <c r="W89" s="10">
        <f t="shared" si="78"/>
        <v>-6846.3030980621006</v>
      </c>
      <c r="X89" s="10">
        <f t="shared" si="78"/>
        <v>-6780.0105253575002</v>
      </c>
      <c r="Y89" s="10">
        <f t="shared" si="78"/>
        <v>-6732.0727435305989</v>
      </c>
      <c r="Z89" s="10">
        <f t="shared" si="78"/>
        <v>-6626.2240337720013</v>
      </c>
      <c r="AA89" s="10">
        <f t="shared" si="78"/>
        <v>-6468.4333176622004</v>
      </c>
      <c r="AB89" s="10">
        <f t="shared" si="78"/>
        <v>-7232.1488478998008</v>
      </c>
      <c r="AC89" s="10">
        <f t="shared" si="78"/>
        <v>-6868.8333556364996</v>
      </c>
      <c r="AD89" s="10">
        <f t="shared" si="78"/>
        <v>-7208.4943880452993</v>
      </c>
      <c r="AE89" s="10">
        <f t="shared" si="78"/>
        <v>-7350.7614515092991</v>
      </c>
      <c r="AF89" s="10">
        <f t="shared" si="78"/>
        <v>-7675.4181412387998</v>
      </c>
      <c r="AG89" s="10">
        <f t="shared" si="78"/>
        <v>-7719.3744247954</v>
      </c>
      <c r="AH89" s="10">
        <f t="shared" si="78"/>
        <v>-7680.5213769265001</v>
      </c>
      <c r="AI89" s="10">
        <f t="shared" si="78"/>
        <v>-8077.5443208015986</v>
      </c>
      <c r="AJ89" s="10">
        <f t="shared" si="78"/>
        <v>-7521.9170054073002</v>
      </c>
      <c r="AK89" s="10">
        <f t="shared" si="78"/>
        <v>-7351.9137600217</v>
      </c>
      <c r="AL89" s="10">
        <f t="shared" si="78"/>
        <v>-7877.7666887575997</v>
      </c>
      <c r="AM89" s="10">
        <f t="shared" si="78"/>
        <v>-8144.1430901909007</v>
      </c>
      <c r="AN89" s="10">
        <f t="shared" si="78"/>
        <v>-7799.1211578496996</v>
      </c>
      <c r="AO89" s="10">
        <f t="shared" si="78"/>
        <v>-7414.8821288447998</v>
      </c>
      <c r="AP89" s="10">
        <f t="shared" si="78"/>
        <v>-7988.5550453823016</v>
      </c>
      <c r="AQ89" s="10">
        <f t="shared" si="78"/>
        <v>-7901.2426920497001</v>
      </c>
      <c r="AR89" s="10">
        <f t="shared" si="78"/>
        <v>-8480.7400652292999</v>
      </c>
      <c r="AS89" s="10">
        <f t="shared" si="78"/>
        <v>-7993.002862635798</v>
      </c>
      <c r="AT89" s="10">
        <f t="shared" si="78"/>
        <v>0</v>
      </c>
      <c r="AU89" s="10">
        <f t="shared" si="78"/>
        <v>0</v>
      </c>
      <c r="AV89" s="10">
        <f t="shared" si="78"/>
        <v>0</v>
      </c>
      <c r="AW89" s="10">
        <f t="shared" si="78"/>
        <v>0</v>
      </c>
      <c r="AX89" s="10">
        <f t="shared" si="78"/>
        <v>0</v>
      </c>
      <c r="AY89" s="10">
        <f t="shared" si="78"/>
        <v>0</v>
      </c>
      <c r="AZ89" s="10">
        <f t="shared" ref="AZ89:BK89" si="79">SUM(AZ86:AZ88)</f>
        <v>-7546.6952642741999</v>
      </c>
      <c r="BA89" s="10">
        <f t="shared" si="79"/>
        <v>-7600.3750327267999</v>
      </c>
      <c r="BB89" s="10">
        <f t="shared" si="79"/>
        <v>-7716.770605141799</v>
      </c>
      <c r="BC89" s="10">
        <f t="shared" si="79"/>
        <v>-7630.7014281387001</v>
      </c>
      <c r="BD89" s="10">
        <f t="shared" si="79"/>
        <v>-7846.1644882368</v>
      </c>
      <c r="BE89" s="10">
        <f t="shared" si="79"/>
        <v>-7958.9045505103995</v>
      </c>
      <c r="BF89" s="10">
        <f t="shared" si="79"/>
        <v>-7669.3419177225987</v>
      </c>
      <c r="BG89" s="10">
        <f t="shared" si="79"/>
        <v>-7732.921221304</v>
      </c>
      <c r="BH89" s="10">
        <f t="shared" si="79"/>
        <v>-8023.4618929238004</v>
      </c>
      <c r="BI89" s="10">
        <f t="shared" si="79"/>
        <v>-7759.4503439687987</v>
      </c>
      <c r="BJ89" s="10">
        <f t="shared" si="79"/>
        <v>-7849.9535720807989</v>
      </c>
      <c r="BK89" s="10">
        <f t="shared" si="79"/>
        <v>-7933.9274069470011</v>
      </c>
      <c r="BO89" s="23">
        <f t="shared" ref="BO89:BT89" si="80">SUM(BO86:BO88)</f>
        <v>-39584.5410893558</v>
      </c>
      <c r="BP89" s="23">
        <f t="shared" si="80"/>
        <v>-38340.706818518302</v>
      </c>
      <c r="BQ89" s="23">
        <f t="shared" si="80"/>
        <v>-31103.8010241265</v>
      </c>
      <c r="BR89" s="23">
        <f t="shared" si="80"/>
        <v>-36335.656184329695</v>
      </c>
      <c r="BS89" s="23">
        <f t="shared" si="80"/>
        <v>-33162.517229177494</v>
      </c>
      <c r="BT89" s="23">
        <f t="shared" si="80"/>
        <v>-34316.091055417601</v>
      </c>
    </row>
    <row r="90" spans="1:72" x14ac:dyDescent="0.25">
      <c r="D90" s="19">
        <f>'[1]Desempeño Financiero (Evol)'!BE588-D89</f>
        <v>0</v>
      </c>
      <c r="E90" s="19">
        <f>'[1]Desempeño Financiero (Evol)'!BF588-E89</f>
        <v>0</v>
      </c>
      <c r="F90" s="19">
        <f>'[1]Desempeño Financiero (Evol)'!BG588-F89</f>
        <v>0</v>
      </c>
      <c r="G90" s="19">
        <f>'[1]Desempeño Financiero (Evol)'!BH588-G89</f>
        <v>0</v>
      </c>
      <c r="H90" s="19">
        <f>'[1]Desempeño Financiero (Evol)'!BI588-H89</f>
        <v>0</v>
      </c>
      <c r="I90" s="19">
        <f>'[1]Desempeño Financiero (Evol)'!BJ588-I89</f>
        <v>0</v>
      </c>
      <c r="J90" s="19">
        <f>'[1]Desempeño Financiero (Evol)'!BK588-J89</f>
        <v>0</v>
      </c>
      <c r="K90" s="19">
        <f>'[1]Desempeño Financiero (Evol)'!BL588-K89</f>
        <v>0</v>
      </c>
      <c r="L90" s="19">
        <f>'[1]Desempeño Financiero (Evol)'!BM588-L89</f>
        <v>0</v>
      </c>
      <c r="M90" s="19">
        <f>'[1]Desempeño Financiero (Evol)'!BN588-M89</f>
        <v>0</v>
      </c>
      <c r="N90" s="19">
        <f>'[1]Desempeño Financiero (Evol)'!BO588-N89</f>
        <v>0</v>
      </c>
      <c r="O90" s="19">
        <f>'[1]Desempeño Financiero (Evol)'!BP588-O89</f>
        <v>0</v>
      </c>
      <c r="P90" s="19">
        <f>'[1]Desempeño Financiero (Evol)'!BQ588-P89</f>
        <v>0</v>
      </c>
      <c r="Q90" s="19">
        <f>'[1]Desempeño Financiero (Evol)'!BR588-Q89</f>
        <v>0</v>
      </c>
      <c r="R90" s="19">
        <f>'[1]Desempeño Financiero (Evol)'!BS588-R89</f>
        <v>0</v>
      </c>
      <c r="S90" s="19">
        <f>'[1]Desempeño Financiero (Evol)'!BT588-S89</f>
        <v>0</v>
      </c>
      <c r="T90" s="19">
        <f>'[1]Desempeño Financiero (Evol)'!BU588-T89</f>
        <v>0</v>
      </c>
      <c r="U90" s="19">
        <f>'[1]Desempeño Financiero (Evol)'!BV588-U89</f>
        <v>0</v>
      </c>
      <c r="V90" s="19">
        <f>'[1]Desempeño Financiero (Evol)'!BW588-V89</f>
        <v>0</v>
      </c>
      <c r="W90" s="19">
        <f>'[1]Desempeño Financiero (Evol)'!BX588-W89</f>
        <v>0</v>
      </c>
      <c r="X90" s="19">
        <f>'[1]Desempeño Financiero (Evol)'!BY588-X89</f>
        <v>0</v>
      </c>
      <c r="Y90" s="19">
        <f>'[1]Desempeño Financiero (Evol)'!BZ588-Y89</f>
        <v>0</v>
      </c>
      <c r="Z90" s="19">
        <f>'[1]Desempeño Financiero (Evol)'!CA588-Z89</f>
        <v>0</v>
      </c>
      <c r="AA90" s="19">
        <f>'[1]Desempeño Financiero (Evol)'!CB588-AA89</f>
        <v>0</v>
      </c>
      <c r="AB90" s="19">
        <f>'[1]Desempeño Financiero (Evol)'!CC588-AB89</f>
        <v>0</v>
      </c>
      <c r="AC90" s="19">
        <f>'[1]Desempeño Financiero (Evol)'!CD588-AC89</f>
        <v>0</v>
      </c>
      <c r="AD90" s="19">
        <f>'[1]Desempeño Financiero (Evol)'!CE588-AD89</f>
        <v>0</v>
      </c>
      <c r="AE90" s="19">
        <f>'[1]Desempeño Financiero (Evol)'!CF588-AE89</f>
        <v>0</v>
      </c>
      <c r="AF90" s="19">
        <f>'[1]Desempeño Financiero (Evol)'!CG588-AF89</f>
        <v>0</v>
      </c>
      <c r="AG90" s="19">
        <f>'[1]Desempeño Financiero (Evol)'!CH588-AG89</f>
        <v>0</v>
      </c>
      <c r="AH90" s="19">
        <f>'[1]Desempeño Financiero (Evol)'!CI588-AH89</f>
        <v>0</v>
      </c>
      <c r="AI90" s="19">
        <f>'[1]Desempeño Financiero (Evol)'!CJ588-AI89</f>
        <v>0</v>
      </c>
      <c r="AJ90" s="19">
        <f>'[1]Desempeño Financiero (Evol)'!CK588-AJ89</f>
        <v>0</v>
      </c>
      <c r="AK90" s="19">
        <f>'[1]Desempeño Financiero (Evol)'!CL588-AK89</f>
        <v>0</v>
      </c>
      <c r="AL90" s="19">
        <f>'[1]Desempeño Financiero (Evol)'!CM588-AL89</f>
        <v>0</v>
      </c>
      <c r="AM90" s="19">
        <f>'[1]Desempeño Financiero (Evol)'!CN588-AM89</f>
        <v>0</v>
      </c>
      <c r="AN90" s="19">
        <f>'[1]Desempeño Financiero (Evol)'!CO588-AN89</f>
        <v>0</v>
      </c>
      <c r="AZ90" s="19">
        <f>'[1]Desempeño Financiero (Evol)'!DA588-AZ89</f>
        <v>-160.38996779419995</v>
      </c>
      <c r="BA90" s="19">
        <f>'[1]Desempeño Financiero (Evol)'!DB588-BA89</f>
        <v>-164.96207881250029</v>
      </c>
      <c r="BB90" s="19">
        <f>'[1]Desempeño Financiero (Evol)'!DC588-BB89</f>
        <v>-168.95646763560035</v>
      </c>
      <c r="BC90" s="19">
        <f>'[1]Desempeño Financiero (Evol)'!DD588-BC89</f>
        <v>-170.53020206790006</v>
      </c>
      <c r="BD90" s="19">
        <f>'[1]Desempeño Financiero (Evol)'!DE588-BD89</f>
        <v>-179.15809436820018</v>
      </c>
      <c r="BE90" s="19">
        <f>'[1]Desempeño Financiero (Evol)'!DF588-BE89</f>
        <v>-171.42412231560047</v>
      </c>
      <c r="BF90" s="19">
        <f>'[1]Desempeño Financiero (Evol)'!DG588-BF89</f>
        <v>-174.88646116830114</v>
      </c>
      <c r="BG90" s="19">
        <f>'[1]Desempeño Financiero (Evol)'!DH588-BG89</f>
        <v>-171.60299718049919</v>
      </c>
      <c r="BH90" s="19">
        <f>'[1]Desempeño Financiero (Evol)'!DI588-BH89</f>
        <v>-187.75048377429994</v>
      </c>
      <c r="BI90" s="19">
        <f>'[1]Desempeño Financiero (Evol)'!DJ588-BI89</f>
        <v>-178.29784250800003</v>
      </c>
      <c r="BJ90" s="19">
        <f>'[1]Desempeño Financiero (Evol)'!DK588-BJ89</f>
        <v>-181.08736854920153</v>
      </c>
      <c r="BK90" s="19">
        <f>'[1]Desempeño Financiero (Evol)'!DL588-BK89</f>
        <v>-179.61828904289814</v>
      </c>
    </row>
    <row r="91" spans="1:72" hidden="1" outlineLevel="1" x14ac:dyDescent="0.25">
      <c r="A91" s="11" t="s">
        <v>80</v>
      </c>
      <c r="C91" s="2" t="s">
        <v>84</v>
      </c>
      <c r="D91" s="8">
        <f>Renta_Alta!D91+Masivo!D91+Consumo_Inicial!D91</f>
        <v>-166.66641999999999</v>
      </c>
      <c r="E91" s="8">
        <f>Renta_Alta!E91+Masivo!E91+Consumo_Inicial!E91</f>
        <v>-166.66666983333334</v>
      </c>
      <c r="F91" s="8">
        <f>Renta_Alta!F91+Masivo!F91+Consumo_Inicial!F91</f>
        <v>-215.09117000000001</v>
      </c>
      <c r="G91" s="8">
        <f>Renta_Alta!G91+Masivo!G91+Consumo_Inicial!G91</f>
        <v>-185.34895</v>
      </c>
      <c r="H91" s="8">
        <f>Renta_Alta!H91+Masivo!H91+Consumo_Inicial!H91</f>
        <v>-257.16411999999997</v>
      </c>
      <c r="I91" s="8">
        <f>Renta_Alta!I91+Masivo!I91+Consumo_Inicial!I91</f>
        <v>-177.76667000000003</v>
      </c>
      <c r="J91" s="8">
        <f>Renta_Alta!J91+Masivo!J91+Consumo_Inicial!J91</f>
        <v>-208.94747000000001</v>
      </c>
      <c r="K91" s="8">
        <f>Renta_Alta!K91+Masivo!K91+Consumo_Inicial!K91</f>
        <v>-180.31667000000004</v>
      </c>
      <c r="L91" s="8">
        <f>Renta_Alta!L91+Masivo!L91+Consumo_Inicial!L91</f>
        <v>-166.66667000000001</v>
      </c>
      <c r="M91" s="8">
        <f>Renta_Alta!M91+Masivo!M91+Consumo_Inicial!M91</f>
        <v>-227.43368000000001</v>
      </c>
      <c r="N91" s="8">
        <f>Renta_Alta!N91+Masivo!N91+Consumo_Inicial!N91</f>
        <v>-235.68482</v>
      </c>
      <c r="O91" s="8">
        <f>Renta_Alta!O91+Masivo!O91+Consumo_Inicial!O91</f>
        <v>-185.4682199999998</v>
      </c>
      <c r="P91" s="8">
        <f>Renta_Alta!P91+Masivo!P91+Consumo_Inicial!P91</f>
        <v>-166.66667000000004</v>
      </c>
      <c r="Q91" s="8">
        <f>Renta_Alta!Q91+Masivo!Q91+Consumo_Inicial!Q91</f>
        <v>-166.66667016666671</v>
      </c>
      <c r="R91" s="8">
        <f>Renta_Alta!R91+Masivo!R91+Consumo_Inicial!R91</f>
        <v>-166.66666999999998</v>
      </c>
      <c r="S91" s="8">
        <f>Renta_Alta!S91+Masivo!S91+Consumo_Inicial!S91</f>
        <v>-177.67720000000003</v>
      </c>
      <c r="T91" s="8">
        <f>Renta_Alta!T91+Masivo!T91+Consumo_Inicial!T91</f>
        <v>-248.79139000000004</v>
      </c>
      <c r="U91" s="8">
        <f>Renta_Alta!U91+Masivo!U91+Consumo_Inicial!U91</f>
        <v>-179.31917000000004</v>
      </c>
      <c r="V91" s="8">
        <f>Renta_Alta!V91+Masivo!V91+Consumo_Inicial!V91</f>
        <v>-233.59029000000001</v>
      </c>
      <c r="W91" s="8">
        <f>Renta_Alta!W91+Masivo!W91+Consumo_Inicial!W91</f>
        <v>-161.15613999999999</v>
      </c>
      <c r="X91" s="8">
        <f>Renta_Alta!X91+Masivo!X91+Consumo_Inicial!X91</f>
        <v>-166.66666983333334</v>
      </c>
      <c r="Y91" s="8">
        <f>Renta_Alta!Y91+Masivo!Y91+Consumo_Inicial!Y91</f>
        <v>-170.26667</v>
      </c>
      <c r="Z91" s="8">
        <f>Renta_Alta!Z91+Masivo!Z91+Consumo_Inicial!Z91</f>
        <v>-219.90917000000002</v>
      </c>
      <c r="AA91" s="8">
        <f>Renta_Alta!AA91+Masivo!AA91+Consumo_Inicial!AA91</f>
        <v>-231.54087999999922</v>
      </c>
      <c r="AB91" s="8">
        <f>Renta_Alta!AB91+Masivo!AB91+Consumo_Inicial!AB91</f>
        <v>-166.66667000000007</v>
      </c>
      <c r="AC91" s="8">
        <f>Renta_Alta!AC91+Masivo!AC91+Consumo_Inicial!AC91</f>
        <v>-181.79117018179113</v>
      </c>
      <c r="AD91" s="8">
        <f>Renta_Alta!AD91+Masivo!AD91+Consumo_Inicial!AD91</f>
        <v>-166.66666983333334</v>
      </c>
      <c r="AE91" s="8">
        <f>Renta_Alta!AE91+Masivo!AE91+Consumo_Inicial!AE91</f>
        <v>-166.66666983333334</v>
      </c>
      <c r="AF91" s="8">
        <f>Renta_Alta!AF91+Masivo!AF91+Consumo_Inicial!AF91</f>
        <v>-221.46730000000002</v>
      </c>
      <c r="AG91" s="8">
        <f>Renta_Alta!AG91+Masivo!AG91+Consumo_Inicial!AG91</f>
        <v>-166.66667000000004</v>
      </c>
      <c r="AH91" s="8">
        <f>Renta_Alta!AH91+Masivo!AH91+Consumo_Inicial!AH91</f>
        <v>-211.95917</v>
      </c>
      <c r="AI91" s="8">
        <f>Renta_Alta!AI91+Masivo!AI91+Consumo_Inicial!AI91</f>
        <v>-193.06666980693336</v>
      </c>
      <c r="AJ91" s="8">
        <f>Renta_Alta!AJ91+Masivo!AJ91+Consumo_Inicial!AJ91</f>
        <v>-161.56666983843331</v>
      </c>
      <c r="AK91" s="8">
        <f>Renta_Alta!AK91+Masivo!AK91+Consumo_Inicial!AK91</f>
        <v>-180.86666999999997</v>
      </c>
      <c r="AL91" s="8">
        <f>Renta_Alta!AL91+Masivo!AL91+Consumo_Inicial!AL91</f>
        <v>-202.86667000000003</v>
      </c>
      <c r="AM91" s="8">
        <f>Renta_Alta!AM91+Masivo!AM91+Consumo_Inicial!AM91</f>
        <v>-342.48899965751042</v>
      </c>
      <c r="AN91" s="8">
        <f>Renta_Alta!AN91+Masivo!AN91+Consumo_Inicial!AN91</f>
        <v>-167.91667000000001</v>
      </c>
      <c r="AO91" s="8">
        <f>Renta_Alta!AO91+Masivo!AO91+Consumo_Inicial!AO91</f>
        <v>-201.66667000000007</v>
      </c>
      <c r="AP91" s="8">
        <f>Renta_Alta!AP91+Masivo!AP91+Consumo_Inicial!AP91</f>
        <v>-201.66666999999998</v>
      </c>
      <c r="AQ91" s="8">
        <f>Renta_Alta!AQ91+Masivo!AQ91+Consumo_Inicial!AQ91</f>
        <v>-216.74167000000006</v>
      </c>
      <c r="AR91" s="8">
        <f>Renta_Alta!AR91+Masivo!AR91+Consumo_Inicial!AR91</f>
        <v>-207.32067000000004</v>
      </c>
      <c r="AS91" s="8">
        <f>Renta_Alta!AS91+Masivo!AS91+Consumo_Inicial!AS91</f>
        <v>-169.16667000000004</v>
      </c>
      <c r="AT91" s="8">
        <f>Renta_Alta!AT91+Masivo!AT91+Consumo_Inicial!AT91</f>
        <v>0</v>
      </c>
      <c r="AU91" s="8">
        <f>Renta_Alta!AU91+Masivo!AU91+Consumo_Inicial!AU91</f>
        <v>0</v>
      </c>
      <c r="AV91" s="8">
        <f>Renta_Alta!AV91+Masivo!AV91+Consumo_Inicial!AV91</f>
        <v>0</v>
      </c>
      <c r="AW91" s="8">
        <f>Renta_Alta!AW91+Masivo!AW91+Consumo_Inicial!AW91</f>
        <v>0</v>
      </c>
      <c r="AX91" s="8">
        <f>Renta_Alta!AX91+Masivo!AX91+Consumo_Inicial!AX91</f>
        <v>0</v>
      </c>
      <c r="AY91" s="8">
        <f>Renta_Alta!AY91+Masivo!AY91+Consumo_Inicial!AY91</f>
        <v>0</v>
      </c>
      <c r="AZ91" s="8">
        <f>Renta_Alta!AZ91+Masivo!AZ91+Consumo_Inicial!AZ91</f>
        <v>0</v>
      </c>
      <c r="BA91" s="8">
        <f>Renta_Alta!BA91+Masivo!BA91+Consumo_Inicial!BA91</f>
        <v>0</v>
      </c>
      <c r="BB91" s="8">
        <f>Renta_Alta!BB91+Masivo!BB91+Consumo_Inicial!BB91</f>
        <v>0</v>
      </c>
      <c r="BC91" s="8">
        <f>Renta_Alta!BC91+Masivo!BC91+Consumo_Inicial!BC91</f>
        <v>0</v>
      </c>
      <c r="BD91" s="8">
        <f>Renta_Alta!BD91+Masivo!BD91+Consumo_Inicial!BD91</f>
        <v>0</v>
      </c>
      <c r="BE91" s="8">
        <f>Renta_Alta!BE91+Masivo!BE91+Consumo_Inicial!BE91</f>
        <v>0</v>
      </c>
      <c r="BF91" s="8">
        <f>Renta_Alta!BF91+Masivo!BF91+Consumo_Inicial!BF91</f>
        <v>0</v>
      </c>
      <c r="BG91" s="8">
        <f>Renta_Alta!BG91+Masivo!BG91+Consumo_Inicial!BG91</f>
        <v>0</v>
      </c>
      <c r="BH91" s="8">
        <f>Renta_Alta!BH91+Masivo!BH91+Consumo_Inicial!BH91</f>
        <v>0</v>
      </c>
      <c r="BI91" s="8">
        <f>Renta_Alta!BI91+Masivo!BI91+Consumo_Inicial!BI91</f>
        <v>0</v>
      </c>
      <c r="BJ91" s="8">
        <f>Renta_Alta!BJ91+Masivo!BJ91+Consumo_Inicial!BJ91</f>
        <v>0</v>
      </c>
      <c r="BK91" s="8">
        <f>Renta_Alta!BK91+Masivo!BK91+Consumo_Inicial!BK91</f>
        <v>0</v>
      </c>
      <c r="BO91" s="24">
        <f t="shared" ref="BO91:BT92" si="81">SUMIFS($D91:$BM91,$D$6:$BM$6,"&gt;="&amp;BO$2,$D$6:$BM$6,"&lt;="&amp;BO$6,$D$5:$BM$5,BO$5)</f>
        <v>-995.31235000000015</v>
      </c>
      <c r="BP91" s="24">
        <f t="shared" si="81"/>
        <v>0</v>
      </c>
      <c r="BQ91" s="24">
        <f t="shared" si="81"/>
        <v>-787.99168000000009</v>
      </c>
      <c r="BR91" s="24">
        <f t="shared" si="81"/>
        <v>-903.25847984845791</v>
      </c>
      <c r="BS91" s="24">
        <f t="shared" si="81"/>
        <v>-926.46860016666687</v>
      </c>
      <c r="BT91" s="24">
        <f t="shared" si="81"/>
        <v>-990.93732983333325</v>
      </c>
    </row>
    <row r="92" spans="1:72" hidden="1" outlineLevel="1" x14ac:dyDescent="0.25">
      <c r="A92" s="11" t="s">
        <v>80</v>
      </c>
      <c r="C92" s="2" t="s">
        <v>48</v>
      </c>
      <c r="D92" s="8">
        <f>Renta_Alta!D92+Masivo!D92+Consumo_Inicial!D92</f>
        <v>-120.97200000000002</v>
      </c>
      <c r="E92" s="8">
        <f>Renta_Alta!E92+Masivo!E92+Consumo_Inicial!E92</f>
        <v>-150.7029600159637</v>
      </c>
      <c r="F92" s="8">
        <f>Renta_Alta!F92+Masivo!F92+Consumo_Inicial!F92</f>
        <v>-244.0290599999999</v>
      </c>
      <c r="G92" s="8">
        <f>Renta_Alta!G92+Masivo!G92+Consumo_Inicial!G92</f>
        <v>-160.8027699999999</v>
      </c>
      <c r="H92" s="8">
        <f>Renta_Alta!H92+Masivo!H92+Consumo_Inicial!H92</f>
        <v>-142.99597000000006</v>
      </c>
      <c r="I92" s="8">
        <f>Renta_Alta!I92+Masivo!I92+Consumo_Inicial!I92</f>
        <v>-179.98640999999998</v>
      </c>
      <c r="J92" s="8">
        <f>Renta_Alta!J92+Masivo!J92+Consumo_Inicial!J92</f>
        <v>-275.61607999999995</v>
      </c>
      <c r="K92" s="8">
        <f>Renta_Alta!K92+Masivo!K92+Consumo_Inicial!K92</f>
        <v>-98.489959999999996</v>
      </c>
      <c r="L92" s="8">
        <f>Renta_Alta!L92+Masivo!L92+Consumo_Inicial!L92</f>
        <v>-181.62215999999995</v>
      </c>
      <c r="M92" s="8">
        <f>Renta_Alta!M92+Masivo!M92+Consumo_Inicial!M92</f>
        <v>-167.80723999999995</v>
      </c>
      <c r="N92" s="8">
        <f>Renta_Alta!N92+Masivo!N92+Consumo_Inicial!N92</f>
        <v>-142.64864</v>
      </c>
      <c r="O92" s="8">
        <f>Renta_Alta!O92+Masivo!O92+Consumo_Inicial!O92</f>
        <v>-401.6118400000002</v>
      </c>
      <c r="P92" s="8">
        <f>Renta_Alta!P92+Masivo!P92+Consumo_Inicial!P92</f>
        <v>-334.88375999999994</v>
      </c>
      <c r="Q92" s="8">
        <f>Renta_Alta!Q92+Masivo!Q92+Consumo_Inicial!Q92</f>
        <v>-498.71194005320064</v>
      </c>
      <c r="R92" s="8">
        <f>Renta_Alta!R92+Masivo!R92+Consumo_Inicial!R92</f>
        <v>-778.00309000000004</v>
      </c>
      <c r="S92" s="8">
        <f>Renta_Alta!S92+Masivo!S92+Consumo_Inicial!S92</f>
        <v>-418.75341999999989</v>
      </c>
      <c r="T92" s="8">
        <f>Renta_Alta!T92+Masivo!T92+Consumo_Inicial!T92</f>
        <v>-596.85921000000008</v>
      </c>
      <c r="U92" s="8">
        <f>Renta_Alta!U92+Masivo!U92+Consumo_Inicial!U92</f>
        <v>-550.82462999999984</v>
      </c>
      <c r="V92" s="8">
        <f>Renta_Alta!V92+Masivo!V92+Consumo_Inicial!V92</f>
        <v>-262.92437000000001</v>
      </c>
      <c r="W92" s="8">
        <f>Renta_Alta!W92+Masivo!W92+Consumo_Inicial!W92</f>
        <v>-400.87706999999989</v>
      </c>
      <c r="X92" s="8">
        <f>Renta_Alta!X92+Masivo!X92+Consumo_Inicial!X92</f>
        <v>-442.49249993000006</v>
      </c>
      <c r="Y92" s="8">
        <f>Renta_Alta!Y92+Masivo!Y92+Consumo_Inicial!Y92</f>
        <v>-279.33168000000001</v>
      </c>
      <c r="Z92" s="8">
        <f>Renta_Alta!Z92+Masivo!Z92+Consumo_Inicial!Z92</f>
        <v>-505.5880048457434</v>
      </c>
      <c r="AA92" s="8">
        <f>Renta_Alta!AA92+Masivo!AA92+Consumo_Inicial!AA92</f>
        <v>-156.04636143155159</v>
      </c>
      <c r="AB92" s="8">
        <f>Renta_Alta!AB92+Masivo!AB92+Consumo_Inicial!AB92</f>
        <v>-222.52661000000001</v>
      </c>
      <c r="AC92" s="8">
        <f>Renta_Alta!AC92+Masivo!AC92+Consumo_Inicial!AC92</f>
        <v>-312.44366031244357</v>
      </c>
      <c r="AD92" s="8">
        <f>Renta_Alta!AD92+Masivo!AD92+Consumo_Inicial!AD92</f>
        <v>-180.16365981983634</v>
      </c>
      <c r="AE92" s="8">
        <f>Renta_Alta!AE92+Masivo!AE92+Consumo_Inicial!AE92</f>
        <v>-226.53792720528025</v>
      </c>
      <c r="AF92" s="8">
        <f>Renta_Alta!AF92+Masivo!AF92+Consumo_Inicial!AF92</f>
        <v>-311.59607312052509</v>
      </c>
      <c r="AG92" s="8">
        <f>Renta_Alta!AG92+Masivo!AG92+Consumo_Inicial!AG92</f>
        <v>-480.47671000000008</v>
      </c>
      <c r="AH92" s="8">
        <f>Renta_Alta!AH92+Masivo!AH92+Consumo_Inicial!AH92</f>
        <v>-377.16789</v>
      </c>
      <c r="AI92" s="8">
        <f>Renta_Alta!AI92+Masivo!AI92+Consumo_Inicial!AI92</f>
        <v>-226.1723197738277</v>
      </c>
      <c r="AJ92" s="8">
        <f>Renta_Alta!AJ92+Masivo!AJ92+Consumo_Inicial!AJ92</f>
        <v>-227.5459145415343</v>
      </c>
      <c r="AK92" s="8">
        <f>Renta_Alta!AK92+Masivo!AK92+Consumo_Inicial!AK92</f>
        <v>-236.6460568561422</v>
      </c>
      <c r="AL92" s="8">
        <f>Renta_Alta!AL92+Masivo!AL92+Consumo_Inicial!AL92</f>
        <v>-215.39908</v>
      </c>
      <c r="AM92" s="8">
        <f>Renta_Alta!AM92+Masivo!AM92+Consumo_Inicial!AM92</f>
        <v>-523.08840161907187</v>
      </c>
      <c r="AN92" s="8">
        <f>Renta_Alta!AN92+Masivo!AN92+Consumo_Inicial!AN92</f>
        <v>-220.87254000000004</v>
      </c>
      <c r="AO92" s="8">
        <f>Renta_Alta!AO92+Masivo!AO92+Consumo_Inicial!AO92</f>
        <v>-228.09293254408539</v>
      </c>
      <c r="AP92" s="8">
        <f>Renta_Alta!AP92+Masivo!AP92+Consumo_Inicial!AP92</f>
        <v>-153.79526981791022</v>
      </c>
      <c r="AQ92" s="8">
        <f>Renta_Alta!AQ92+Masivo!AQ92+Consumo_Inicial!AQ92</f>
        <v>-302.98367371280932</v>
      </c>
      <c r="AR92" s="8">
        <f>Renta_Alta!AR92+Masivo!AR92+Consumo_Inicial!AR92</f>
        <v>-227.41403000000003</v>
      </c>
      <c r="AS92" s="8">
        <f>Renta_Alta!AS92+Masivo!AS92+Consumo_Inicial!AS92</f>
        <v>-363.58930000000004</v>
      </c>
      <c r="AT92" s="8">
        <f>Renta_Alta!AT92+Masivo!AT92+Consumo_Inicial!AT92</f>
        <v>0</v>
      </c>
      <c r="AU92" s="8">
        <f>Renta_Alta!AU92+Masivo!AU92+Consumo_Inicial!AU92</f>
        <v>0</v>
      </c>
      <c r="AV92" s="8">
        <f>Renta_Alta!AV92+Masivo!AV92+Consumo_Inicial!AV92</f>
        <v>0</v>
      </c>
      <c r="AW92" s="8">
        <f>Renta_Alta!AW92+Masivo!AW92+Consumo_Inicial!AW92</f>
        <v>0</v>
      </c>
      <c r="AX92" s="8">
        <f>Renta_Alta!AX92+Masivo!AX92+Consumo_Inicial!AX92</f>
        <v>0</v>
      </c>
      <c r="AY92" s="8">
        <f>Renta_Alta!AY92+Masivo!AY92+Consumo_Inicial!AY92</f>
        <v>0</v>
      </c>
      <c r="AZ92" s="8">
        <f>Renta_Alta!AZ92+Masivo!AZ92+Consumo_Inicial!AZ92</f>
        <v>-320.30573872994393</v>
      </c>
      <c r="BA92" s="8">
        <f>Renta_Alta!BA92+Masivo!BA92+Consumo_Inicial!BA92</f>
        <v>-260.03023872994396</v>
      </c>
      <c r="BB92" s="8">
        <f>Renta_Alta!BB92+Masivo!BB92+Consumo_Inicial!BB92</f>
        <v>-270.05214275331065</v>
      </c>
      <c r="BC92" s="8">
        <f>Renta_Alta!BC92+Masivo!BC92+Consumo_Inicial!BC92</f>
        <v>-266.91146813453588</v>
      </c>
      <c r="BD92" s="8">
        <f>Renta_Alta!BD92+Masivo!BD92+Consumo_Inicial!BD92</f>
        <v>-446.71209813453589</v>
      </c>
      <c r="BE92" s="8">
        <f>Renta_Alta!BE92+Masivo!BE92+Consumo_Inicial!BE92</f>
        <v>-294.00787215790263</v>
      </c>
      <c r="BF92" s="8">
        <f>Renta_Alta!BF92+Masivo!BF92+Consumo_Inicial!BF92</f>
        <v>-519.11791561459131</v>
      </c>
      <c r="BG92" s="8">
        <f>Renta_Alta!BG92+Masivo!BG92+Consumo_Inicial!BG92</f>
        <v>-237.25179561459129</v>
      </c>
      <c r="BH92" s="8">
        <f>Renta_Alta!BH92+Masivo!BH92+Consumo_Inicial!BH92</f>
        <v>-244.890089449767</v>
      </c>
      <c r="BI92" s="8">
        <f>Renta_Alta!BI92+Masivo!BI92+Consumo_Inicial!BI92</f>
        <v>-238.59159625843319</v>
      </c>
      <c r="BJ92" s="8">
        <f>Renta_Alta!BJ92+Masivo!BJ92+Consumo_Inicial!BJ92</f>
        <v>-232.4815962584332</v>
      </c>
      <c r="BK92" s="8">
        <f>Renta_Alta!BK92+Masivo!BK92+Consumo_Inicial!BK92</f>
        <v>-466.11071355240296</v>
      </c>
      <c r="BO92" s="24">
        <f t="shared" si="81"/>
        <v>-1133.1584460748049</v>
      </c>
      <c r="BP92" s="24">
        <f t="shared" si="81"/>
        <v>-1564.0116864822703</v>
      </c>
      <c r="BQ92" s="24">
        <f t="shared" si="81"/>
        <v>-905.74441607480503</v>
      </c>
      <c r="BR92" s="24">
        <f t="shared" si="81"/>
        <v>-1253.2679304580852</v>
      </c>
      <c r="BS92" s="24">
        <f t="shared" si="81"/>
        <v>-2627.2114200532005</v>
      </c>
      <c r="BT92" s="24">
        <f t="shared" si="81"/>
        <v>-819.50276001596353</v>
      </c>
    </row>
    <row r="93" spans="1:72" collapsed="1" x14ac:dyDescent="0.25">
      <c r="C93" s="3" t="s">
        <v>80</v>
      </c>
      <c r="D93" s="10">
        <f>SUM(D91:D92)</f>
        <v>-287.63842</v>
      </c>
      <c r="E93" s="10">
        <f t="shared" ref="E93:AY93" si="82">SUM(E91:E92)</f>
        <v>-317.36962984929704</v>
      </c>
      <c r="F93" s="10">
        <f t="shared" si="82"/>
        <v>-459.12022999999988</v>
      </c>
      <c r="G93" s="10">
        <f t="shared" si="82"/>
        <v>-346.1517199999999</v>
      </c>
      <c r="H93" s="10">
        <f t="shared" si="82"/>
        <v>-400.16009000000003</v>
      </c>
      <c r="I93" s="10">
        <f t="shared" si="82"/>
        <v>-357.75308000000001</v>
      </c>
      <c r="J93" s="10">
        <f t="shared" si="82"/>
        <v>-484.56354999999996</v>
      </c>
      <c r="K93" s="10">
        <f t="shared" si="82"/>
        <v>-278.80663000000004</v>
      </c>
      <c r="L93" s="10">
        <f t="shared" si="82"/>
        <v>-348.28882999999996</v>
      </c>
      <c r="M93" s="10">
        <f t="shared" si="82"/>
        <v>-395.24091999999996</v>
      </c>
      <c r="N93" s="10">
        <f t="shared" si="82"/>
        <v>-378.33346</v>
      </c>
      <c r="O93" s="10">
        <f t="shared" si="82"/>
        <v>-587.08006</v>
      </c>
      <c r="P93" s="10">
        <f t="shared" si="82"/>
        <v>-501.55043000000001</v>
      </c>
      <c r="Q93" s="10">
        <f t="shared" si="82"/>
        <v>-665.37861021986737</v>
      </c>
      <c r="R93" s="10">
        <f t="shared" si="82"/>
        <v>-944.66976</v>
      </c>
      <c r="S93" s="10">
        <f t="shared" si="82"/>
        <v>-596.43061999999986</v>
      </c>
      <c r="T93" s="10">
        <f t="shared" si="82"/>
        <v>-845.65060000000017</v>
      </c>
      <c r="U93" s="10">
        <f t="shared" si="82"/>
        <v>-730.14379999999983</v>
      </c>
      <c r="V93" s="10">
        <f t="shared" si="82"/>
        <v>-496.51466000000005</v>
      </c>
      <c r="W93" s="10">
        <f t="shared" si="82"/>
        <v>-562.03320999999983</v>
      </c>
      <c r="X93" s="10">
        <f t="shared" si="82"/>
        <v>-609.15916976333347</v>
      </c>
      <c r="Y93" s="10">
        <f t="shared" si="82"/>
        <v>-449.59834999999998</v>
      </c>
      <c r="Z93" s="10">
        <f t="shared" si="82"/>
        <v>-725.49717484574342</v>
      </c>
      <c r="AA93" s="10">
        <f t="shared" si="82"/>
        <v>-387.58724143155081</v>
      </c>
      <c r="AB93" s="10">
        <f t="shared" si="82"/>
        <v>-389.19328000000007</v>
      </c>
      <c r="AC93" s="10">
        <f t="shared" si="82"/>
        <v>-494.2348304942347</v>
      </c>
      <c r="AD93" s="10">
        <f t="shared" si="82"/>
        <v>-346.83032965316966</v>
      </c>
      <c r="AE93" s="10">
        <f t="shared" si="82"/>
        <v>-393.2045970386136</v>
      </c>
      <c r="AF93" s="10">
        <f t="shared" si="82"/>
        <v>-533.06337312052506</v>
      </c>
      <c r="AG93" s="10">
        <f t="shared" si="82"/>
        <v>-647.14338000000009</v>
      </c>
      <c r="AH93" s="10">
        <f t="shared" si="82"/>
        <v>-589.12706000000003</v>
      </c>
      <c r="AI93" s="10">
        <f t="shared" si="82"/>
        <v>-419.23898958076109</v>
      </c>
      <c r="AJ93" s="10">
        <f t="shared" si="82"/>
        <v>-389.11258437996764</v>
      </c>
      <c r="AK93" s="10">
        <f t="shared" si="82"/>
        <v>-417.51272685614219</v>
      </c>
      <c r="AL93" s="10">
        <f t="shared" si="82"/>
        <v>-418.26575000000003</v>
      </c>
      <c r="AM93" s="10">
        <f t="shared" si="82"/>
        <v>-865.57740127658235</v>
      </c>
      <c r="AN93" s="10">
        <f t="shared" si="82"/>
        <v>-388.78921000000003</v>
      </c>
      <c r="AO93" s="10">
        <f t="shared" si="82"/>
        <v>-429.75960254408545</v>
      </c>
      <c r="AP93" s="10">
        <f t="shared" si="82"/>
        <v>-355.46193981791021</v>
      </c>
      <c r="AQ93" s="10">
        <f t="shared" si="82"/>
        <v>-519.72534371280938</v>
      </c>
      <c r="AR93" s="10">
        <f t="shared" si="82"/>
        <v>-434.73470000000009</v>
      </c>
      <c r="AS93" s="10">
        <f t="shared" si="82"/>
        <v>-532.75597000000005</v>
      </c>
      <c r="AT93" s="10">
        <f t="shared" si="82"/>
        <v>0</v>
      </c>
      <c r="AU93" s="10">
        <f t="shared" si="82"/>
        <v>0</v>
      </c>
      <c r="AV93" s="10">
        <f t="shared" si="82"/>
        <v>0</v>
      </c>
      <c r="AW93" s="10">
        <f t="shared" si="82"/>
        <v>0</v>
      </c>
      <c r="AX93" s="10">
        <f t="shared" si="82"/>
        <v>0</v>
      </c>
      <c r="AY93" s="10">
        <f t="shared" si="82"/>
        <v>0</v>
      </c>
      <c r="AZ93" s="10">
        <f t="shared" ref="AZ93:BK93" si="83">SUM(AZ91:AZ92)</f>
        <v>-320.30573872994393</v>
      </c>
      <c r="BA93" s="10">
        <f t="shared" si="83"/>
        <v>-260.03023872994396</v>
      </c>
      <c r="BB93" s="10">
        <f t="shared" si="83"/>
        <v>-270.05214275331065</v>
      </c>
      <c r="BC93" s="10">
        <f t="shared" si="83"/>
        <v>-266.91146813453588</v>
      </c>
      <c r="BD93" s="10">
        <f t="shared" si="83"/>
        <v>-446.71209813453589</v>
      </c>
      <c r="BE93" s="10">
        <f t="shared" si="83"/>
        <v>-294.00787215790263</v>
      </c>
      <c r="BF93" s="10">
        <f t="shared" si="83"/>
        <v>-519.11791561459131</v>
      </c>
      <c r="BG93" s="10">
        <f t="shared" si="83"/>
        <v>-237.25179561459129</v>
      </c>
      <c r="BH93" s="10">
        <f t="shared" si="83"/>
        <v>-244.890089449767</v>
      </c>
      <c r="BI93" s="10">
        <f t="shared" si="83"/>
        <v>-238.59159625843319</v>
      </c>
      <c r="BJ93" s="10">
        <f t="shared" si="83"/>
        <v>-232.4815962584332</v>
      </c>
      <c r="BK93" s="10">
        <f t="shared" si="83"/>
        <v>-466.11071355240296</v>
      </c>
      <c r="BO93" s="23">
        <f t="shared" ref="BO93:BT93" si="84">SUM(BO91:BO92)</f>
        <v>-2128.4707960748051</v>
      </c>
      <c r="BP93" s="23">
        <f t="shared" si="84"/>
        <v>-1564.0116864822703</v>
      </c>
      <c r="BQ93" s="23">
        <f t="shared" si="84"/>
        <v>-1693.7360960748051</v>
      </c>
      <c r="BR93" s="23">
        <f t="shared" si="84"/>
        <v>-2156.5264103065429</v>
      </c>
      <c r="BS93" s="23">
        <f t="shared" si="84"/>
        <v>-3553.6800202198674</v>
      </c>
      <c r="BT93" s="23">
        <f t="shared" si="84"/>
        <v>-1810.4400898492968</v>
      </c>
    </row>
    <row r="94" spans="1:72" x14ac:dyDescent="0.25">
      <c r="D94" s="19">
        <f>'[1]Desempeño Financiero (Evol)'!BE600-D93</f>
        <v>0</v>
      </c>
      <c r="E94" s="19">
        <f>'[1]Desempeño Financiero (Evol)'!BF600-E93</f>
        <v>-1.507029878666799E-7</v>
      </c>
      <c r="F94" s="19">
        <f>'[1]Desempeño Financiero (Evol)'!BG600-F93</f>
        <v>0</v>
      </c>
      <c r="G94" s="19">
        <f>'[1]Desempeño Financiero (Evol)'!BH600-G93</f>
        <v>0</v>
      </c>
      <c r="H94" s="19">
        <f>'[1]Desempeño Financiero (Evol)'!BI600-H93</f>
        <v>0</v>
      </c>
      <c r="I94" s="19">
        <f>'[1]Desempeño Financiero (Evol)'!BJ600-I93</f>
        <v>0</v>
      </c>
      <c r="J94" s="19">
        <f>'[1]Desempeño Financiero (Evol)'!BK600-J93</f>
        <v>0</v>
      </c>
      <c r="K94" s="19">
        <f>'[1]Desempeño Financiero (Evol)'!BL600-K93</f>
        <v>0</v>
      </c>
      <c r="L94" s="19">
        <f>'[1]Desempeño Financiero (Evol)'!BM600-L93</f>
        <v>0</v>
      </c>
      <c r="M94" s="19">
        <f>'[1]Desempeño Financiero (Evol)'!BN600-M93</f>
        <v>0</v>
      </c>
      <c r="N94" s="19">
        <f>'[1]Desempeño Financiero (Evol)'!BO600-N93</f>
        <v>0</v>
      </c>
      <c r="O94" s="19">
        <f>'[1]Desempeño Financiero (Evol)'!BP600-O93</f>
        <v>0</v>
      </c>
      <c r="P94" s="19">
        <f>'[1]Desempeño Financiero (Evol)'!BQ600-P93</f>
        <v>168.96700000000004</v>
      </c>
      <c r="Q94" s="19">
        <f>'[1]Desempeño Financiero (Evol)'!BR600-Q93</f>
        <v>193.26700021986733</v>
      </c>
      <c r="R94" s="19">
        <f>'[1]Desempeño Financiero (Evol)'!BS600-R93</f>
        <v>208.64</v>
      </c>
      <c r="S94" s="19">
        <f>'[1]Desempeño Financiero (Evol)'!BT600-S93</f>
        <v>224.67699999999996</v>
      </c>
      <c r="T94" s="19">
        <f>'[1]Desempeño Financiero (Evol)'!BU600-T93</f>
        <v>325.79100000000005</v>
      </c>
      <c r="U94" s="19">
        <f>'[1]Desempeño Financiero (Evol)'!BV600-U93</f>
        <v>233.81899999999979</v>
      </c>
      <c r="V94" s="19">
        <f>'[1]Desempeño Financiero (Evol)'!BW600-V93</f>
        <v>247.34000000000003</v>
      </c>
      <c r="W94" s="19">
        <f>'[1]Desempeño Financiero (Evol)'!BX600-W93</f>
        <v>221.30899999999986</v>
      </c>
      <c r="X94" s="19">
        <f>'[1]Desempeño Financiero (Evol)'!BY600-X93</f>
        <v>201.6666697633334</v>
      </c>
      <c r="Y94" s="19">
        <f>'[1]Desempeño Financiero (Evol)'!BZ600-Y93</f>
        <v>188.26666999999998</v>
      </c>
      <c r="Z94" s="19">
        <f>'[1]Desempeño Financiero (Evol)'!CA600-Z93</f>
        <v>250.20017000000001</v>
      </c>
      <c r="AA94" s="19">
        <f>'[1]Desempeño Financiero (Evol)'!CB600-AA93</f>
        <v>476.86588000000029</v>
      </c>
      <c r="AB94" s="19">
        <f>'[1]Desempeño Financiero (Evol)'!CC600-AB93</f>
        <v>166.66667000000007</v>
      </c>
      <c r="AC94" s="19">
        <f>'[1]Desempeño Financiero (Evol)'!CD600-AC93</f>
        <v>181.79117049423479</v>
      </c>
      <c r="AD94" s="19">
        <f>'[1]Desempeño Financiero (Evol)'!CE600-AD93</f>
        <v>166.66666965316966</v>
      </c>
      <c r="AE94" s="19">
        <f>'[1]Desempeño Financiero (Evol)'!CF600-AE93</f>
        <v>166.66666960679535</v>
      </c>
      <c r="AF94" s="19">
        <f>'[1]Desempeño Financiero (Evol)'!CG600-AF93</f>
        <v>221.46729999999997</v>
      </c>
      <c r="AG94" s="19">
        <f>'[1]Desempeño Financiero (Evol)'!CH600-AG93</f>
        <v>166.66667000000007</v>
      </c>
      <c r="AH94" s="19">
        <f>'[1]Desempeño Financiero (Evol)'!CI600-AH93</f>
        <v>211.95916999999997</v>
      </c>
      <c r="AI94" s="19">
        <f>'[1]Desempeño Financiero (Evol)'!CJ600-AI93</f>
        <v>193.06666958076107</v>
      </c>
      <c r="AJ94" s="19">
        <f>'[1]Desempeño Financiero (Evol)'!CK600-AJ93</f>
        <v>161.5666696108874</v>
      </c>
      <c r="AK94" s="19">
        <f>'[1]Desempeño Financiero (Evol)'!CL600-AK93</f>
        <v>180.86667</v>
      </c>
      <c r="AL94" s="19">
        <f>'[1]Desempeño Financiero (Evol)'!CM600-AL93</f>
        <v>202.86667</v>
      </c>
      <c r="AM94" s="19">
        <f>'[1]Desempeño Financiero (Evol)'!CN600-AM93</f>
        <v>342.48899913442199</v>
      </c>
      <c r="AN94" s="19">
        <f>'[1]Desempeño Financiero (Evol)'!CO600-AN93</f>
        <v>167.91667000000004</v>
      </c>
      <c r="AZ94" s="19">
        <f>'[1]Desempeño Financiero (Evol)'!DA600-AZ93</f>
        <v>0</v>
      </c>
      <c r="BA94" s="19">
        <f>'[1]Desempeño Financiero (Evol)'!DB600-BA93</f>
        <v>0</v>
      </c>
      <c r="BB94" s="19">
        <f>'[1]Desempeño Financiero (Evol)'!DC600-BB93</f>
        <v>0</v>
      </c>
      <c r="BC94" s="19">
        <f>'[1]Desempeño Financiero (Evol)'!DD600-BC93</f>
        <v>0</v>
      </c>
      <c r="BD94" s="19">
        <f>'[1]Desempeño Financiero (Evol)'!DE600-BD93</f>
        <v>0</v>
      </c>
      <c r="BE94" s="19">
        <f>'[1]Desempeño Financiero (Evol)'!DF600-BE93</f>
        <v>0</v>
      </c>
      <c r="BF94" s="19">
        <f>'[1]Desempeño Financiero (Evol)'!DG600-BF93</f>
        <v>0</v>
      </c>
      <c r="BG94" s="19">
        <f>'[1]Desempeño Financiero (Evol)'!DH600-BG93</f>
        <v>0</v>
      </c>
      <c r="BH94" s="19">
        <f>'[1]Desempeño Financiero (Evol)'!DI600-BH93</f>
        <v>0</v>
      </c>
      <c r="BI94" s="19">
        <f>'[1]Desempeño Financiero (Evol)'!DJ600-BI93</f>
        <v>0</v>
      </c>
      <c r="BJ94" s="19">
        <f>'[1]Desempeño Financiero (Evol)'!DK600-BJ93</f>
        <v>0</v>
      </c>
      <c r="BK94" s="19">
        <f>'[1]Desempeño Financiero (Evol)'!DL600-BK93</f>
        <v>0</v>
      </c>
    </row>
    <row r="95" spans="1:72" hidden="1" outlineLevel="1" x14ac:dyDescent="0.25">
      <c r="A95" s="11" t="s">
        <v>81</v>
      </c>
      <c r="C95" s="2" t="s">
        <v>82</v>
      </c>
      <c r="D95" s="8">
        <f>Renta_Alta!D95+Masivo!D95+Consumo_Inicial!D95</f>
        <v>0</v>
      </c>
      <c r="E95" s="8">
        <f>Renta_Alta!E95+Masivo!E95+Consumo_Inicial!E95</f>
        <v>0</v>
      </c>
      <c r="F95" s="8">
        <f>Renta_Alta!F95+Masivo!F95+Consumo_Inicial!F95</f>
        <v>0</v>
      </c>
      <c r="G95" s="8">
        <f>Renta_Alta!G95+Masivo!G95+Consumo_Inicial!G95</f>
        <v>0</v>
      </c>
      <c r="H95" s="8">
        <f>Renta_Alta!H95+Masivo!H95+Consumo_Inicial!H95</f>
        <v>0</v>
      </c>
      <c r="I95" s="8">
        <f>Renta_Alta!I95+Masivo!I95+Consumo_Inicial!I95</f>
        <v>0</v>
      </c>
      <c r="J95" s="8">
        <f>Renta_Alta!J95+Masivo!J95+Consumo_Inicial!J95</f>
        <v>0</v>
      </c>
      <c r="K95" s="8">
        <f>Renta_Alta!K95+Masivo!K95+Consumo_Inicial!K95</f>
        <v>0</v>
      </c>
      <c r="L95" s="8">
        <f>Renta_Alta!L95+Masivo!L95+Consumo_Inicial!L95</f>
        <v>0</v>
      </c>
      <c r="M95" s="8">
        <f>Renta_Alta!M95+Masivo!M95+Consumo_Inicial!M95</f>
        <v>0</v>
      </c>
      <c r="N95" s="8">
        <f>Renta_Alta!N95+Masivo!N95+Consumo_Inicial!N95</f>
        <v>0</v>
      </c>
      <c r="O95" s="8">
        <f>Renta_Alta!O95+Masivo!O95+Consumo_Inicial!O95</f>
        <v>0</v>
      </c>
      <c r="P95" s="8">
        <f>Renta_Alta!P95+Masivo!P95+Consumo_Inicial!P95</f>
        <v>0</v>
      </c>
      <c r="Q95" s="8">
        <f>Renta_Alta!Q95+Masivo!Q95+Consumo_Inicial!Q95</f>
        <v>0</v>
      </c>
      <c r="R95" s="8">
        <f>Renta_Alta!R95+Masivo!R95+Consumo_Inicial!R95</f>
        <v>0</v>
      </c>
      <c r="S95" s="8">
        <f>Renta_Alta!S95+Masivo!S95+Consumo_Inicial!S95</f>
        <v>0</v>
      </c>
      <c r="T95" s="8">
        <f>Renta_Alta!T95+Masivo!T95+Consumo_Inicial!T95</f>
        <v>0</v>
      </c>
      <c r="U95" s="8">
        <f>Renta_Alta!U95+Masivo!U95+Consumo_Inicial!U95</f>
        <v>0</v>
      </c>
      <c r="V95" s="8">
        <f>Renta_Alta!V95+Masivo!V95+Consumo_Inicial!V95</f>
        <v>0</v>
      </c>
      <c r="W95" s="8">
        <f>Renta_Alta!W95+Masivo!W95+Consumo_Inicial!W95</f>
        <v>0</v>
      </c>
      <c r="X95" s="8">
        <f>Renta_Alta!X95+Masivo!X95+Consumo_Inicial!X95</f>
        <v>0</v>
      </c>
      <c r="Y95" s="8">
        <f>Renta_Alta!Y95+Masivo!Y95+Consumo_Inicial!Y95</f>
        <v>0</v>
      </c>
      <c r="Z95" s="8">
        <f>Renta_Alta!Z95+Masivo!Z95+Consumo_Inicial!Z95</f>
        <v>0</v>
      </c>
      <c r="AA95" s="8">
        <f>Renta_Alta!AA95+Masivo!AA95+Consumo_Inicial!AA95</f>
        <v>0</v>
      </c>
      <c r="AB95" s="8">
        <f>Renta_Alta!AB95+Masivo!AB95+Consumo_Inicial!AB95</f>
        <v>0</v>
      </c>
      <c r="AC95" s="8">
        <f>Renta_Alta!AC95+Masivo!AC95+Consumo_Inicial!AC95</f>
        <v>0</v>
      </c>
      <c r="AD95" s="8">
        <f>Renta_Alta!AD95+Masivo!AD95+Consumo_Inicial!AD95</f>
        <v>689.70102354869528</v>
      </c>
      <c r="AE95" s="8">
        <f>Renta_Alta!AE95+Masivo!AE95+Consumo_Inicial!AE95</f>
        <v>-6.5142345090487206</v>
      </c>
      <c r="AF95" s="8">
        <f>Renta_Alta!AF95+Masivo!AF95+Consumo_Inicial!AF95</f>
        <v>0</v>
      </c>
      <c r="AG95" s="8">
        <f>Renta_Alta!AG95+Masivo!AG95+Consumo_Inicial!AG95</f>
        <v>0</v>
      </c>
      <c r="AH95" s="8">
        <f>Renta_Alta!AH95+Masivo!AH95+Consumo_Inicial!AH95</f>
        <v>0</v>
      </c>
      <c r="AI95" s="8">
        <f>Renta_Alta!AI95+Masivo!AI95+Consumo_Inicial!AI95</f>
        <v>0</v>
      </c>
      <c r="AJ95" s="8">
        <f>Renta_Alta!AJ95+Masivo!AJ95+Consumo_Inicial!AJ95</f>
        <v>0</v>
      </c>
      <c r="AK95" s="8">
        <f>Renta_Alta!AK95+Masivo!AK95+Consumo_Inicial!AK95</f>
        <v>765.04398000000003</v>
      </c>
      <c r="AL95" s="8">
        <f>Renta_Alta!AL95+Masivo!AL95+Consumo_Inicial!AL95</f>
        <v>0</v>
      </c>
      <c r="AM95" s="8">
        <f>Renta_Alta!AM95+Masivo!AM95+Consumo_Inicial!AM95</f>
        <v>0</v>
      </c>
      <c r="AN95" s="8">
        <f>Renta_Alta!AN95+Masivo!AN95+Consumo_Inicial!AN95</f>
        <v>0</v>
      </c>
      <c r="AO95" s="8">
        <f>Renta_Alta!AO95+Masivo!AO95+Consumo_Inicial!AO95</f>
        <v>0</v>
      </c>
      <c r="AP95" s="8">
        <f>Renta_Alta!AP95+Masivo!AP95+Consumo_Inicial!AP95</f>
        <v>0</v>
      </c>
      <c r="AQ95" s="8">
        <f>Renta_Alta!AQ95+Masivo!AQ95+Consumo_Inicial!AQ95</f>
        <v>0</v>
      </c>
      <c r="AR95" s="8">
        <f>Renta_Alta!AR95+Masivo!AR95+Consumo_Inicial!AR95</f>
        <v>0</v>
      </c>
      <c r="AS95" s="8">
        <f>Renta_Alta!AS95+Masivo!AS95+Consumo_Inicial!AS95</f>
        <v>0</v>
      </c>
      <c r="AT95" s="8">
        <f>Renta_Alta!AT95+Masivo!AT95+Consumo_Inicial!AT95</f>
        <v>0</v>
      </c>
      <c r="AU95" s="8">
        <f>Renta_Alta!AU95+Masivo!AU95+Consumo_Inicial!AU95</f>
        <v>0</v>
      </c>
      <c r="AV95" s="8">
        <f>Renta_Alta!AV95+Masivo!AV95+Consumo_Inicial!AV95</f>
        <v>0</v>
      </c>
      <c r="AW95" s="8">
        <f>Renta_Alta!AW95+Masivo!AW95+Consumo_Inicial!AW95</f>
        <v>0</v>
      </c>
      <c r="AX95" s="8">
        <f>Renta_Alta!AX95+Masivo!AX95+Consumo_Inicial!AX95</f>
        <v>0</v>
      </c>
      <c r="AY95" s="8">
        <f>Renta_Alta!AY95+Masivo!AY95+Consumo_Inicial!AY95</f>
        <v>0</v>
      </c>
      <c r="AZ95" s="8">
        <f>Renta_Alta!AZ95+Masivo!AZ95+Consumo_Inicial!AZ95</f>
        <v>0</v>
      </c>
      <c r="BA95" s="8">
        <f>Renta_Alta!BA95+Masivo!BA95+Consumo_Inicial!BA95</f>
        <v>0</v>
      </c>
      <c r="BB95" s="8">
        <f>Renta_Alta!BB95+Masivo!BB95+Consumo_Inicial!BB95</f>
        <v>0</v>
      </c>
      <c r="BC95" s="8">
        <f>Renta_Alta!BC95+Masivo!BC95+Consumo_Inicial!BC95</f>
        <v>0</v>
      </c>
      <c r="BD95" s="8">
        <f>Renta_Alta!BD95+Masivo!BD95+Consumo_Inicial!BD95</f>
        <v>0</v>
      </c>
      <c r="BE95" s="8">
        <f>Renta_Alta!BE95+Masivo!BE95+Consumo_Inicial!BE95</f>
        <v>0</v>
      </c>
      <c r="BF95" s="8">
        <f>Renta_Alta!BF95+Masivo!BF95+Consumo_Inicial!BF95</f>
        <v>0</v>
      </c>
      <c r="BG95" s="8">
        <f>Renta_Alta!BG95+Masivo!BG95+Consumo_Inicial!BG95</f>
        <v>0</v>
      </c>
      <c r="BH95" s="8">
        <f>Renta_Alta!BH95+Masivo!BH95+Consumo_Inicial!BH95</f>
        <v>1258.1848623198405</v>
      </c>
      <c r="BI95" s="8">
        <f>Renta_Alta!BI95+Masivo!BI95+Consumo_Inicial!BI95</f>
        <v>0</v>
      </c>
      <c r="BJ95" s="8">
        <f>Renta_Alta!BJ95+Masivo!BJ95+Consumo_Inicial!BJ95</f>
        <v>0</v>
      </c>
      <c r="BK95" s="8">
        <f>Renta_Alta!BK95+Masivo!BK95+Consumo_Inicial!BK95</f>
        <v>0</v>
      </c>
      <c r="BO95" s="24">
        <f t="shared" ref="BO95:BT95" si="85">SUMIFS($D95:$BM95,$D$6:$BM$6,"&gt;="&amp;BO$2,$D$6:$BM$6,"&lt;="&amp;BO$6,$D$5:$BM$5,BO$5)</f>
        <v>0</v>
      </c>
      <c r="BP95" s="24">
        <f t="shared" si="85"/>
        <v>0</v>
      </c>
      <c r="BQ95" s="24">
        <f t="shared" si="85"/>
        <v>0</v>
      </c>
      <c r="BR95" s="24">
        <f t="shared" si="85"/>
        <v>683.18678903964656</v>
      </c>
      <c r="BS95" s="24">
        <f t="shared" si="85"/>
        <v>0</v>
      </c>
      <c r="BT95" s="24">
        <f t="shared" si="85"/>
        <v>0</v>
      </c>
    </row>
    <row r="96" spans="1:72" collapsed="1" x14ac:dyDescent="0.25">
      <c r="C96" s="3" t="s">
        <v>81</v>
      </c>
      <c r="D96" s="10">
        <f>SUM(D95:D95)</f>
        <v>0</v>
      </c>
      <c r="E96" s="10">
        <f t="shared" ref="E96:AY96" si="86">SUM(E95:E95)</f>
        <v>0</v>
      </c>
      <c r="F96" s="10">
        <f t="shared" si="86"/>
        <v>0</v>
      </c>
      <c r="G96" s="10">
        <f t="shared" si="86"/>
        <v>0</v>
      </c>
      <c r="H96" s="10">
        <f t="shared" si="86"/>
        <v>0</v>
      </c>
      <c r="I96" s="10">
        <f t="shared" si="86"/>
        <v>0</v>
      </c>
      <c r="J96" s="10">
        <f t="shared" si="86"/>
        <v>0</v>
      </c>
      <c r="K96" s="10">
        <f t="shared" si="86"/>
        <v>0</v>
      </c>
      <c r="L96" s="10">
        <f t="shared" si="86"/>
        <v>0</v>
      </c>
      <c r="M96" s="10">
        <f t="shared" si="86"/>
        <v>0</v>
      </c>
      <c r="N96" s="10">
        <f t="shared" si="86"/>
        <v>0</v>
      </c>
      <c r="O96" s="10">
        <f t="shared" si="86"/>
        <v>0</v>
      </c>
      <c r="P96" s="10">
        <f t="shared" si="86"/>
        <v>0</v>
      </c>
      <c r="Q96" s="10">
        <f t="shared" si="86"/>
        <v>0</v>
      </c>
      <c r="R96" s="10">
        <f t="shared" si="86"/>
        <v>0</v>
      </c>
      <c r="S96" s="10">
        <f t="shared" si="86"/>
        <v>0</v>
      </c>
      <c r="T96" s="10">
        <f t="shared" si="86"/>
        <v>0</v>
      </c>
      <c r="U96" s="10">
        <f t="shared" si="86"/>
        <v>0</v>
      </c>
      <c r="V96" s="10">
        <f t="shared" si="86"/>
        <v>0</v>
      </c>
      <c r="W96" s="10">
        <f t="shared" si="86"/>
        <v>0</v>
      </c>
      <c r="X96" s="10">
        <f t="shared" si="86"/>
        <v>0</v>
      </c>
      <c r="Y96" s="10">
        <f t="shared" si="86"/>
        <v>0</v>
      </c>
      <c r="Z96" s="10">
        <f t="shared" si="86"/>
        <v>0</v>
      </c>
      <c r="AA96" s="10">
        <f t="shared" si="86"/>
        <v>0</v>
      </c>
      <c r="AB96" s="10">
        <f t="shared" si="86"/>
        <v>0</v>
      </c>
      <c r="AC96" s="10">
        <f t="shared" si="86"/>
        <v>0</v>
      </c>
      <c r="AD96" s="10">
        <f t="shared" si="86"/>
        <v>689.70102354869528</v>
      </c>
      <c r="AE96" s="10">
        <f t="shared" si="86"/>
        <v>-6.5142345090487206</v>
      </c>
      <c r="AF96" s="10">
        <f t="shared" si="86"/>
        <v>0</v>
      </c>
      <c r="AG96" s="10">
        <f t="shared" si="86"/>
        <v>0</v>
      </c>
      <c r="AH96" s="10">
        <f t="shared" si="86"/>
        <v>0</v>
      </c>
      <c r="AI96" s="10">
        <f t="shared" si="86"/>
        <v>0</v>
      </c>
      <c r="AJ96" s="10">
        <f t="shared" si="86"/>
        <v>0</v>
      </c>
      <c r="AK96" s="10">
        <f t="shared" si="86"/>
        <v>765.04398000000003</v>
      </c>
      <c r="AL96" s="10">
        <f t="shared" si="86"/>
        <v>0</v>
      </c>
      <c r="AM96" s="10">
        <f t="shared" si="86"/>
        <v>0</v>
      </c>
      <c r="AN96" s="10">
        <f t="shared" si="86"/>
        <v>0</v>
      </c>
      <c r="AO96" s="10">
        <f t="shared" si="86"/>
        <v>0</v>
      </c>
      <c r="AP96" s="10">
        <f t="shared" si="86"/>
        <v>0</v>
      </c>
      <c r="AQ96" s="10">
        <f t="shared" si="86"/>
        <v>0</v>
      </c>
      <c r="AR96" s="10">
        <f t="shared" si="86"/>
        <v>0</v>
      </c>
      <c r="AS96" s="10">
        <f t="shared" si="86"/>
        <v>0</v>
      </c>
      <c r="AT96" s="10">
        <f t="shared" si="86"/>
        <v>0</v>
      </c>
      <c r="AU96" s="10">
        <f t="shared" si="86"/>
        <v>0</v>
      </c>
      <c r="AV96" s="10">
        <f t="shared" si="86"/>
        <v>0</v>
      </c>
      <c r="AW96" s="10">
        <f t="shared" si="86"/>
        <v>0</v>
      </c>
      <c r="AX96" s="10">
        <f t="shared" si="86"/>
        <v>0</v>
      </c>
      <c r="AY96" s="10">
        <f t="shared" si="86"/>
        <v>0</v>
      </c>
      <c r="AZ96" s="10">
        <f t="shared" ref="AZ96:BK96" si="87">SUM(AZ95:AZ95)</f>
        <v>0</v>
      </c>
      <c r="BA96" s="10">
        <f t="shared" si="87"/>
        <v>0</v>
      </c>
      <c r="BB96" s="10">
        <f t="shared" si="87"/>
        <v>0</v>
      </c>
      <c r="BC96" s="10">
        <f t="shared" si="87"/>
        <v>0</v>
      </c>
      <c r="BD96" s="10">
        <f t="shared" si="87"/>
        <v>0</v>
      </c>
      <c r="BE96" s="10">
        <f t="shared" si="87"/>
        <v>0</v>
      </c>
      <c r="BF96" s="10">
        <f t="shared" si="87"/>
        <v>0</v>
      </c>
      <c r="BG96" s="10">
        <f t="shared" si="87"/>
        <v>0</v>
      </c>
      <c r="BH96" s="10">
        <f t="shared" si="87"/>
        <v>1258.1848623198405</v>
      </c>
      <c r="BI96" s="10">
        <f t="shared" si="87"/>
        <v>0</v>
      </c>
      <c r="BJ96" s="10">
        <f t="shared" si="87"/>
        <v>0</v>
      </c>
      <c r="BK96" s="10">
        <f t="shared" si="87"/>
        <v>0</v>
      </c>
      <c r="BO96" s="23">
        <f>SUM(BO95)</f>
        <v>0</v>
      </c>
      <c r="BP96" s="23">
        <f t="shared" ref="BP96:BT96" si="88">SUM(BP95)</f>
        <v>0</v>
      </c>
      <c r="BQ96" s="23">
        <f t="shared" si="88"/>
        <v>0</v>
      </c>
      <c r="BR96" s="23">
        <f t="shared" si="88"/>
        <v>683.18678903964656</v>
      </c>
      <c r="BS96" s="23">
        <f t="shared" si="88"/>
        <v>0</v>
      </c>
      <c r="BT96" s="23">
        <f t="shared" si="88"/>
        <v>0</v>
      </c>
    </row>
    <row r="97" spans="3:72" x14ac:dyDescent="0.25">
      <c r="D97" s="19">
        <f>'[1]Desempeño Financiero (Evol)'!BE531-D96</f>
        <v>0</v>
      </c>
      <c r="E97" s="19">
        <f>'[1]Desempeño Financiero (Evol)'!BF531-E96</f>
        <v>0</v>
      </c>
      <c r="F97" s="19">
        <f>'[1]Desempeño Financiero (Evol)'!BG531-F96</f>
        <v>0</v>
      </c>
      <c r="G97" s="19">
        <f>'[1]Desempeño Financiero (Evol)'!BH531-G96</f>
        <v>0</v>
      </c>
      <c r="H97" s="19">
        <f>'[1]Desempeño Financiero (Evol)'!BI531-H96</f>
        <v>0</v>
      </c>
      <c r="I97" s="19">
        <f>'[1]Desempeño Financiero (Evol)'!BJ531-I96</f>
        <v>0</v>
      </c>
      <c r="J97" s="19">
        <f>'[1]Desempeño Financiero (Evol)'!BK531-J96</f>
        <v>0</v>
      </c>
      <c r="K97" s="19">
        <f>'[1]Desempeño Financiero (Evol)'!BL531-K96</f>
        <v>0</v>
      </c>
      <c r="L97" s="19">
        <f>'[1]Desempeño Financiero (Evol)'!BM531-L96</f>
        <v>0</v>
      </c>
      <c r="M97" s="19">
        <f>'[1]Desempeño Financiero (Evol)'!BN531-M96</f>
        <v>0</v>
      </c>
      <c r="N97" s="19">
        <f>'[1]Desempeño Financiero (Evol)'!BO531-N96</f>
        <v>0</v>
      </c>
      <c r="O97" s="19">
        <f>'[1]Desempeño Financiero (Evol)'!BP531-O96</f>
        <v>0</v>
      </c>
      <c r="P97" s="19">
        <f>'[1]Desempeño Financiero (Evol)'!BQ531-P96</f>
        <v>0</v>
      </c>
      <c r="Q97" s="19">
        <f>'[1]Desempeño Financiero (Evol)'!BR531-Q96</f>
        <v>0</v>
      </c>
      <c r="R97" s="19">
        <f>'[1]Desempeño Financiero (Evol)'!BS531-R96</f>
        <v>0</v>
      </c>
      <c r="S97" s="19">
        <f>'[1]Desempeño Financiero (Evol)'!BT531-S96</f>
        <v>0</v>
      </c>
      <c r="T97" s="19">
        <f>'[1]Desempeño Financiero (Evol)'!BU531-T96</f>
        <v>0</v>
      </c>
      <c r="U97" s="19">
        <f>'[1]Desempeño Financiero (Evol)'!BV531-U96</f>
        <v>0</v>
      </c>
      <c r="V97" s="19">
        <f>'[1]Desempeño Financiero (Evol)'!BW531-V96</f>
        <v>0</v>
      </c>
      <c r="W97" s="19">
        <f>'[1]Desempeño Financiero (Evol)'!BX531-W96</f>
        <v>0</v>
      </c>
      <c r="X97" s="19">
        <f>'[1]Desempeño Financiero (Evol)'!BY531-X96</f>
        <v>0</v>
      </c>
      <c r="Y97" s="19">
        <f>'[1]Desempeño Financiero (Evol)'!BZ531-Y96</f>
        <v>0</v>
      </c>
      <c r="Z97" s="19">
        <f>'[1]Desempeño Financiero (Evol)'!CA531-Z96</f>
        <v>0</v>
      </c>
      <c r="AA97" s="19">
        <f>'[1]Desempeño Financiero (Evol)'!CB531-AA96</f>
        <v>0</v>
      </c>
      <c r="AB97" s="19">
        <f>'[1]Desempeño Financiero (Evol)'!CC531-AB96</f>
        <v>0</v>
      </c>
      <c r="AC97" s="19">
        <f>'[1]Desempeño Financiero (Evol)'!CD531-AC96</f>
        <v>0</v>
      </c>
      <c r="AD97" s="19">
        <f>'[1]Desempeño Financiero (Evol)'!CE531-AD96</f>
        <v>6.8970098254794721E-7</v>
      </c>
      <c r="AE97" s="19">
        <f>'[1]Desempeño Financiero (Evol)'!CF531-AE96</f>
        <v>-6.5142344851665257E-9</v>
      </c>
      <c r="AF97" s="19">
        <f>'[1]Desempeño Financiero (Evol)'!CG531-AF96</f>
        <v>0</v>
      </c>
      <c r="AG97" s="19">
        <f>'[1]Desempeño Financiero (Evol)'!CH531-AG96</f>
        <v>0</v>
      </c>
      <c r="AH97" s="19">
        <f>'[1]Desempeño Financiero (Evol)'!CI531-AH96</f>
        <v>0</v>
      </c>
      <c r="AI97" s="19">
        <f>'[1]Desempeño Financiero (Evol)'!CJ531-AI96</f>
        <v>0</v>
      </c>
      <c r="AJ97" s="19">
        <f>'[1]Desempeño Financiero (Evol)'!CK531-AJ96</f>
        <v>0</v>
      </c>
      <c r="AK97" s="19">
        <f>'[1]Desempeño Financiero (Evol)'!CL531-AK96</f>
        <v>0</v>
      </c>
      <c r="AL97" s="19">
        <f>'[1]Desempeño Financiero (Evol)'!CM531-AL96</f>
        <v>0</v>
      </c>
      <c r="AM97" s="19">
        <f>'[1]Desempeño Financiero (Evol)'!CN531-AM96</f>
        <v>0</v>
      </c>
      <c r="AN97" s="19">
        <f>'[1]Desempeño Financiero (Evol)'!CO531-AN96</f>
        <v>0</v>
      </c>
      <c r="AZ97" s="19">
        <f>'[1]Desempeño Financiero (Evol)'!DA531-AZ96</f>
        <v>0</v>
      </c>
      <c r="BA97" s="19">
        <f>'[1]Desempeño Financiero (Evol)'!DB531-BA96</f>
        <v>0</v>
      </c>
      <c r="BB97" s="19">
        <f>'[1]Desempeño Financiero (Evol)'!DC531-BB96</f>
        <v>0</v>
      </c>
      <c r="BC97" s="19">
        <f>'[1]Desempeño Financiero (Evol)'!DD531-BC96</f>
        <v>0</v>
      </c>
      <c r="BD97" s="19">
        <f>'[1]Desempeño Financiero (Evol)'!DE531-BD96</f>
        <v>0</v>
      </c>
      <c r="BE97" s="19">
        <f>'[1]Desempeño Financiero (Evol)'!DF531-BE96</f>
        <v>0</v>
      </c>
      <c r="BF97" s="19">
        <f>'[1]Desempeño Financiero (Evol)'!DG531-BF96</f>
        <v>0</v>
      </c>
      <c r="BG97" s="19">
        <f>'[1]Desempeño Financiero (Evol)'!DH531-BG96</f>
        <v>0</v>
      </c>
      <c r="BH97" s="19">
        <f>'[1]Desempeño Financiero (Evol)'!DI531-BH96</f>
        <v>0</v>
      </c>
      <c r="BI97" s="19">
        <f>'[1]Desempeño Financiero (Evol)'!DJ531-BI96</f>
        <v>0</v>
      </c>
      <c r="BJ97" s="19">
        <f>'[1]Desempeño Financiero (Evol)'!DK531-BJ96</f>
        <v>0</v>
      </c>
      <c r="BK97" s="19">
        <f>'[1]Desempeño Financiero (Evol)'!DL531-BK96</f>
        <v>0</v>
      </c>
    </row>
    <row r="98" spans="3:72" x14ac:dyDescent="0.25">
      <c r="C98" s="3" t="s">
        <v>83</v>
      </c>
      <c r="D98" s="10">
        <f t="shared" ref="D98:AY98" si="89">D60+D83+D89+D93+D96</f>
        <v>5991.8418288920357</v>
      </c>
      <c r="E98" s="10">
        <f t="shared" si="89"/>
        <v>14557.850053966198</v>
      </c>
      <c r="F98" s="10">
        <f t="shared" si="89"/>
        <v>6921.9348652121589</v>
      </c>
      <c r="G98" s="10">
        <f t="shared" si="89"/>
        <v>7466.3121029987724</v>
      </c>
      <c r="H98" s="10">
        <f t="shared" si="89"/>
        <v>6922.917851349499</v>
      </c>
      <c r="I98" s="10">
        <f t="shared" si="89"/>
        <v>8568.9746547059058</v>
      </c>
      <c r="J98" s="10">
        <f t="shared" si="89"/>
        <v>6550.1650773003112</v>
      </c>
      <c r="K98" s="10">
        <f t="shared" si="89"/>
        <v>4451.5729480121781</v>
      </c>
      <c r="L98" s="10">
        <f t="shared" si="89"/>
        <v>8320.9864870719484</v>
      </c>
      <c r="M98" s="10">
        <f t="shared" si="89"/>
        <v>-32.133350226934226</v>
      </c>
      <c r="N98" s="10">
        <f t="shared" si="89"/>
        <v>6001.3770026125767</v>
      </c>
      <c r="O98" s="10">
        <f t="shared" si="89"/>
        <v>4721.0178525884621</v>
      </c>
      <c r="P98" s="10">
        <f t="shared" si="89"/>
        <v>167.77517194250618</v>
      </c>
      <c r="Q98" s="10">
        <f t="shared" si="89"/>
        <v>7859.6510951513783</v>
      </c>
      <c r="R98" s="10">
        <f t="shared" si="89"/>
        <v>2339.746295528822</v>
      </c>
      <c r="S98" s="10">
        <f t="shared" si="89"/>
        <v>1647.7396241267827</v>
      </c>
      <c r="T98" s="10">
        <f t="shared" si="89"/>
        <v>3758.1008137991275</v>
      </c>
      <c r="U98" s="10">
        <f t="shared" si="89"/>
        <v>3607.0053083801504</v>
      </c>
      <c r="V98" s="10">
        <f t="shared" si="89"/>
        <v>3201.8186223034818</v>
      </c>
      <c r="W98" s="10">
        <f t="shared" si="89"/>
        <v>4578.2134149373178</v>
      </c>
      <c r="X98" s="10">
        <f t="shared" si="89"/>
        <v>6969.6437763524536</v>
      </c>
      <c r="Y98" s="10">
        <f t="shared" si="89"/>
        <v>1953.4018219511647</v>
      </c>
      <c r="Z98" s="10">
        <f t="shared" si="89"/>
        <v>7847.7735410014384</v>
      </c>
      <c r="AA98" s="10">
        <f t="shared" si="89"/>
        <v>7124.706354406957</v>
      </c>
      <c r="AB98" s="10">
        <f t="shared" si="89"/>
        <v>1315.1872895964557</v>
      </c>
      <c r="AC98" s="10">
        <f t="shared" si="89"/>
        <v>10818.341723844856</v>
      </c>
      <c r="AD98" s="10">
        <f t="shared" si="89"/>
        <v>8472.0530812230936</v>
      </c>
      <c r="AE98" s="10">
        <f t="shared" si="89"/>
        <v>4903.4762357595037</v>
      </c>
      <c r="AF98" s="10">
        <f t="shared" si="89"/>
        <v>5666.1699784358307</v>
      </c>
      <c r="AG98" s="10">
        <f t="shared" si="89"/>
        <v>4396.4478171753553</v>
      </c>
      <c r="AH98" s="10">
        <f t="shared" si="89"/>
        <v>4441.9864833353258</v>
      </c>
      <c r="AI98" s="10">
        <f t="shared" si="89"/>
        <v>2877.127320375801</v>
      </c>
      <c r="AJ98" s="10">
        <f t="shared" si="89"/>
        <v>6944.8864747472853</v>
      </c>
      <c r="AK98" s="10">
        <f t="shared" si="89"/>
        <v>2034.8079149782352</v>
      </c>
      <c r="AL98" s="10">
        <f t="shared" si="89"/>
        <v>6885.6794772168632</v>
      </c>
      <c r="AM98" s="10">
        <f t="shared" si="89"/>
        <v>3511.1487743853113</v>
      </c>
      <c r="AN98" s="10">
        <f t="shared" si="89"/>
        <v>5972.0188072785459</v>
      </c>
      <c r="AO98" s="10">
        <f t="shared" si="89"/>
        <v>8728.421188985958</v>
      </c>
      <c r="AP98" s="10">
        <f t="shared" si="89"/>
        <v>5821.3456452765176</v>
      </c>
      <c r="AQ98" s="10">
        <f t="shared" si="89"/>
        <v>5543.2615992451956</v>
      </c>
      <c r="AR98" s="10">
        <f t="shared" si="89"/>
        <v>4624.902995386009</v>
      </c>
      <c r="AS98" s="10">
        <f t="shared" si="89"/>
        <v>4859.6079665244943</v>
      </c>
      <c r="AT98" s="10">
        <f t="shared" si="89"/>
        <v>0</v>
      </c>
      <c r="AU98" s="10">
        <f t="shared" si="89"/>
        <v>0</v>
      </c>
      <c r="AV98" s="10">
        <f t="shared" si="89"/>
        <v>0</v>
      </c>
      <c r="AW98" s="10">
        <f t="shared" si="89"/>
        <v>0</v>
      </c>
      <c r="AX98" s="10">
        <f t="shared" si="89"/>
        <v>0</v>
      </c>
      <c r="AY98" s="10">
        <f t="shared" si="89"/>
        <v>0</v>
      </c>
      <c r="AZ98" s="10">
        <f t="shared" ref="AZ98:BK98" si="90">AZ60+AZ83+AZ89+AZ93+AZ96</f>
        <v>5594.7756564812944</v>
      </c>
      <c r="BA98" s="10">
        <f t="shared" si="90"/>
        <v>9505.2933345711881</v>
      </c>
      <c r="BB98" s="10">
        <f t="shared" si="90"/>
        <v>5842.2761765344321</v>
      </c>
      <c r="BC98" s="10">
        <f t="shared" si="90"/>
        <v>8447.5809398625061</v>
      </c>
      <c r="BD98" s="10">
        <f t="shared" si="90"/>
        <v>7435.5955904180755</v>
      </c>
      <c r="BE98" s="10">
        <f t="shared" si="90"/>
        <v>8321.7489856184748</v>
      </c>
      <c r="BF98" s="10">
        <f t="shared" si="90"/>
        <v>8025.9133954235713</v>
      </c>
      <c r="BG98" s="10">
        <f t="shared" si="90"/>
        <v>5638.4901238087123</v>
      </c>
      <c r="BH98" s="10">
        <f t="shared" si="90"/>
        <v>12084.395879644329</v>
      </c>
      <c r="BI98" s="10">
        <f t="shared" si="90"/>
        <v>9972.6262815554801</v>
      </c>
      <c r="BJ98" s="10">
        <f t="shared" si="90"/>
        <v>10255.64405091614</v>
      </c>
      <c r="BK98" s="10">
        <f t="shared" si="90"/>
        <v>10265.277685166227</v>
      </c>
      <c r="BO98" s="23">
        <f>BO60+BO83+BO89+BO93+BO96</f>
        <v>30689.950236172182</v>
      </c>
      <c r="BP98" s="23">
        <f t="shared" ref="BP98:BT98" si="91">BP60+BP83+BP89+BP93+BP96</f>
        <v>36825.52169786748</v>
      </c>
      <c r="BQ98" s="23">
        <f t="shared" si="91"/>
        <v>26065.047240786211</v>
      </c>
      <c r="BR98" s="23">
        <f t="shared" si="91"/>
        <v>31175.22830885974</v>
      </c>
      <c r="BS98" s="23">
        <f t="shared" si="91"/>
        <v>15773.013000548595</v>
      </c>
      <c r="BT98" s="23">
        <f t="shared" si="91"/>
        <v>41860.856702418678</v>
      </c>
    </row>
    <row r="102" spans="3:72" s="48" customFormat="1" x14ac:dyDescent="0.25">
      <c r="C102" s="46" t="s">
        <v>110</v>
      </c>
      <c r="D102" s="47">
        <f>D11</f>
        <v>4780954.0761279985</v>
      </c>
      <c r="E102" s="47">
        <f>IFERROR(AVERAGE(D11:E11),0)</f>
        <v>4815958.2661821293</v>
      </c>
      <c r="F102" s="47">
        <f t="shared" ref="F102:BK102" si="92">IFERROR(AVERAGE(E11:F11),0)</f>
        <v>4890986.4306652397</v>
      </c>
      <c r="G102" s="47">
        <f t="shared" si="92"/>
        <v>4953918.2643071096</v>
      </c>
      <c r="H102" s="47">
        <f t="shared" si="92"/>
        <v>5006463.0029549999</v>
      </c>
      <c r="I102" s="47">
        <f t="shared" si="92"/>
        <v>5065757.7581441998</v>
      </c>
      <c r="J102" s="48">
        <f t="shared" si="92"/>
        <v>5118555.53610464</v>
      </c>
      <c r="K102" s="48">
        <f t="shared" si="92"/>
        <v>5177882.9050175641</v>
      </c>
      <c r="L102" s="48">
        <f t="shared" si="92"/>
        <v>5237560.5515756141</v>
      </c>
      <c r="M102" s="48">
        <f t="shared" si="92"/>
        <v>5290865.8648530804</v>
      </c>
      <c r="N102" s="48">
        <f t="shared" si="92"/>
        <v>5348440.5213668309</v>
      </c>
      <c r="O102" s="48">
        <f t="shared" si="92"/>
        <v>5385929.9515931001</v>
      </c>
      <c r="P102" s="48">
        <f t="shared" si="92"/>
        <v>5422374.7905288395</v>
      </c>
      <c r="Q102" s="48">
        <f t="shared" si="92"/>
        <v>5481823.0526397787</v>
      </c>
      <c r="R102" s="48">
        <f t="shared" si="92"/>
        <v>5549818.3172837086</v>
      </c>
      <c r="S102" s="48">
        <f t="shared" si="92"/>
        <v>5633256.2015591199</v>
      </c>
      <c r="T102" s="48">
        <f t="shared" si="92"/>
        <v>5727513.5959274098</v>
      </c>
      <c r="U102" s="48">
        <f t="shared" si="92"/>
        <v>5808295.6763509493</v>
      </c>
      <c r="V102" s="48">
        <f t="shared" si="92"/>
        <v>5882218.1273897495</v>
      </c>
      <c r="W102" s="47">
        <f t="shared" si="92"/>
        <v>5938492.123566499</v>
      </c>
      <c r="X102" s="47">
        <f t="shared" si="92"/>
        <v>5958496.5496712001</v>
      </c>
      <c r="Y102" s="47">
        <f t="shared" si="92"/>
        <v>5949522.1077068504</v>
      </c>
      <c r="Z102" s="47">
        <f t="shared" si="92"/>
        <v>5901421.4639386348</v>
      </c>
      <c r="AA102" s="47">
        <f t="shared" si="92"/>
        <v>5833128.7236750359</v>
      </c>
      <c r="AB102" s="47">
        <f t="shared" si="92"/>
        <v>5782559.95990685</v>
      </c>
      <c r="AC102" s="48">
        <f t="shared" si="92"/>
        <v>5757347.7515697498</v>
      </c>
      <c r="AD102" s="48">
        <f t="shared" si="92"/>
        <v>5745776.0480384491</v>
      </c>
      <c r="AE102" s="48">
        <f t="shared" si="92"/>
        <v>5746219.8119946495</v>
      </c>
      <c r="AF102" s="48">
        <f t="shared" si="92"/>
        <v>5757635.794794051</v>
      </c>
      <c r="AG102" s="48">
        <f t="shared" si="92"/>
        <v>5772788.6914757509</v>
      </c>
      <c r="AH102" s="48">
        <f t="shared" si="92"/>
        <v>5795196.6148122959</v>
      </c>
      <c r="AI102" s="48">
        <f t="shared" si="92"/>
        <v>5827679.739468595</v>
      </c>
      <c r="AJ102" s="48">
        <f t="shared" si="92"/>
        <v>5853804.9012991004</v>
      </c>
      <c r="AK102" s="48">
        <f t="shared" si="92"/>
        <v>5844188.4436150007</v>
      </c>
      <c r="AL102" s="48">
        <f t="shared" si="92"/>
        <v>5803394.7495515998</v>
      </c>
      <c r="AM102" s="48">
        <f t="shared" si="92"/>
        <v>5752299.4615212996</v>
      </c>
      <c r="AN102" s="48">
        <f t="shared" si="92"/>
        <v>5715206.2113672495</v>
      </c>
      <c r="AO102" s="48">
        <f t="shared" si="92"/>
        <v>5682266.1799999997</v>
      </c>
      <c r="AP102" s="48">
        <f t="shared" si="92"/>
        <v>5666506.5</v>
      </c>
      <c r="AQ102" s="48">
        <f t="shared" si="92"/>
        <v>5684672.0008901004</v>
      </c>
      <c r="AR102" s="48">
        <f t="shared" si="92"/>
        <v>5702269.847506471</v>
      </c>
      <c r="AS102" s="48">
        <f t="shared" si="92"/>
        <v>5719361.1047205683</v>
      </c>
      <c r="AT102" s="48">
        <f t="shared" si="92"/>
        <v>2864977.5281041986</v>
      </c>
      <c r="AU102" s="48">
        <f t="shared" si="92"/>
        <v>0</v>
      </c>
      <c r="AV102" s="48">
        <f t="shared" si="92"/>
        <v>0</v>
      </c>
      <c r="AW102" s="48">
        <f t="shared" si="92"/>
        <v>0</v>
      </c>
      <c r="AX102" s="48">
        <f t="shared" si="92"/>
        <v>0</v>
      </c>
      <c r="AY102" s="48">
        <f t="shared" si="92"/>
        <v>0</v>
      </c>
      <c r="AZ102" s="48">
        <f>AZ11</f>
        <v>5946181.5927359192</v>
      </c>
      <c r="BA102" s="48">
        <f t="shared" si="92"/>
        <v>5955233.2010309938</v>
      </c>
      <c r="BB102" s="48">
        <f t="shared" si="92"/>
        <v>5981941.923242799</v>
      </c>
      <c r="BC102" s="48">
        <f t="shared" si="92"/>
        <v>6010589.9233756252</v>
      </c>
      <c r="BD102" s="48">
        <f t="shared" si="92"/>
        <v>6032743.9861387853</v>
      </c>
      <c r="BE102" s="48">
        <f t="shared" si="92"/>
        <v>6058815.83207261</v>
      </c>
      <c r="BF102" s="48">
        <f t="shared" si="92"/>
        <v>6088664.5388457384</v>
      </c>
      <c r="BG102" s="48">
        <f t="shared" si="92"/>
        <v>6118212.9139983561</v>
      </c>
      <c r="BH102" s="48">
        <f t="shared" si="92"/>
        <v>6152648.9291974157</v>
      </c>
      <c r="BI102" s="48">
        <f t="shared" si="92"/>
        <v>6186981.3489808971</v>
      </c>
      <c r="BJ102" s="48">
        <f t="shared" si="92"/>
        <v>6215780.3894543182</v>
      </c>
      <c r="BK102" s="48">
        <f t="shared" si="92"/>
        <v>6240933.6913501993</v>
      </c>
      <c r="BO102" s="48">
        <f>IFERROR(AVERAGEIFS($D11:$BM11,$D$6:$BM$6,"&gt;="&amp;EOMONTH(BO$2,-1),$D$6:$BM$6,"&lt;="&amp;BO$6,$D$5:$BM$5,BO$5,$D11:$BM11,"&lt;&gt;0"),0)</f>
        <v>5694660.8529579071</v>
      </c>
      <c r="BP102" s="48">
        <f>IFERROR(AVERAGEIFS($D11:$BM11,$D$6:$BM$6,"&gt;="&amp;EOMONTH(BP$2,-1),$D$6:$BM$6,"&lt;="&amp;BP$6,$D$5:$BM$5,BP$5,$D11:$BM11,"&lt;&gt;0"),0)</f>
        <v>5995110.682299817</v>
      </c>
      <c r="BQ102" s="48">
        <f>IFERROR(AVERAGEIFS($D11:$BM11,$D$6:$BM$6,"&gt;="&amp;EOMONTH(BQ$2,-1),$D$6:$BM$6,"&lt;="&amp;BQ$6,$D$5:$BM$5,BQ$5,$D11:$BM11,"&lt;&gt;0"),0)</f>
        <v>5691839.5929029398</v>
      </c>
      <c r="BR102" s="48">
        <f>IFERROR(AVERAGEIFS($D11:$BM11,$D$6:$BM$6,"&gt;="&amp;EOMONTH(BR$2,-1),$D$6:$BM$6,"&lt;="&amp;BR$6,$D$5:$BM$5,BR$5,$D11:$BM11,"&lt;&gt;0"),0)</f>
        <v>5761990.6009131158</v>
      </c>
      <c r="BS102" s="48">
        <f t="shared" ref="BS102:BT102" si="93">IFERROR(AVERAGEIFS($D11:$BM11,$D$6:$BM$6,"&gt;="&amp;EOMONTH(BS$2,-1),$D$6:$BM$6,"&lt;="&amp;BS$6,$D$5:$BM$5,BS$5,$D11:$BM11,"&lt;&gt;0"),0)</f>
        <v>5566568.9012466529</v>
      </c>
      <c r="BT102" s="48">
        <f t="shared" si="93"/>
        <v>4915170.5886736959</v>
      </c>
    </row>
  </sheetData>
  <mergeCells count="4">
    <mergeCell ref="D1:AY1"/>
    <mergeCell ref="AZ1:BK1"/>
    <mergeCell ref="BO1:BT1"/>
    <mergeCell ref="BW1:C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B638-615A-4F5F-A5DA-8497D4B2415C}">
  <sheetPr codeName="Hoja3"/>
  <dimension ref="A1:AN102"/>
  <sheetViews>
    <sheetView showGridLines="0" zoomScale="70" zoomScaleNormal="70" workbookViewId="0">
      <pane xSplit="3" ySplit="6" topLeftCell="D7" activePane="bottomRight" state="frozen"/>
      <selection activeCell="AO57" sqref="AO57"/>
      <selection pane="topRight" activeCell="AO57" sqref="AO57"/>
      <selection pane="bottomLeft" activeCell="AO57" sqref="AO57"/>
      <selection pane="bottomRight" activeCell="B1" sqref="B1"/>
    </sheetView>
  </sheetViews>
  <sheetFormatPr baseColWidth="10" defaultRowHeight="15" outlineLevelRow="1" x14ac:dyDescent="0.25"/>
  <cols>
    <col min="1" max="1" width="2.42578125" customWidth="1"/>
    <col min="2" max="2" width="12" customWidth="1"/>
    <col min="3" max="3" width="22.85546875" bestFit="1" customWidth="1"/>
    <col min="4" max="9" width="11.28515625" customWidth="1"/>
    <col min="10" max="10" width="1.5703125" customWidth="1"/>
    <col min="11" max="11" width="11.28515625" bestFit="1" customWidth="1"/>
    <col min="16" max="16" width="1.42578125" customWidth="1"/>
    <col min="17" max="17" width="12.7109375" bestFit="1" customWidth="1"/>
    <col min="18" max="19" width="11" bestFit="1" customWidth="1"/>
    <col min="20" max="20" width="11.5703125" bestFit="1" customWidth="1"/>
    <col min="21" max="21" width="11" bestFit="1" customWidth="1"/>
    <col min="22" max="22" width="5.85546875" customWidth="1"/>
    <col min="23" max="23" width="11.28515625" bestFit="1" customWidth="1"/>
    <col min="25" max="28" width="11.28515625" bestFit="1" customWidth="1"/>
    <col min="29" max="29" width="3.28515625" customWidth="1"/>
    <col min="35" max="35" width="3.140625" customWidth="1"/>
    <col min="36" max="36" width="12.7109375" bestFit="1" customWidth="1"/>
    <col min="39" max="39" width="11.5703125" bestFit="1" customWidth="1"/>
  </cols>
  <sheetData>
    <row r="1" spans="1:40" ht="15.75" x14ac:dyDescent="0.25">
      <c r="B1" s="31">
        <v>46173</v>
      </c>
      <c r="D1" s="58" t="s">
        <v>94</v>
      </c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W1" s="58" t="s">
        <v>89</v>
      </c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</row>
    <row r="2" spans="1:40" x14ac:dyDescent="0.25">
      <c r="B2" s="38" t="s">
        <v>102</v>
      </c>
      <c r="C2" s="13"/>
      <c r="D2" s="12"/>
      <c r="E2" s="12"/>
      <c r="F2" s="12"/>
      <c r="G2" s="12"/>
      <c r="H2" s="12"/>
      <c r="I2" s="12"/>
    </row>
    <row r="3" spans="1:40" x14ac:dyDescent="0.25">
      <c r="B3" s="39" t="s">
        <v>103</v>
      </c>
      <c r="C3" s="40" t="s">
        <v>61</v>
      </c>
      <c r="D3" s="41">
        <v>30</v>
      </c>
      <c r="E3" s="41">
        <v>30</v>
      </c>
      <c r="F3" s="41">
        <v>30</v>
      </c>
      <c r="G3" s="41">
        <v>30</v>
      </c>
      <c r="H3" s="41">
        <v>30</v>
      </c>
      <c r="I3" s="41">
        <v>30</v>
      </c>
      <c r="W3" s="41"/>
      <c r="X3" s="41"/>
      <c r="Y3" s="41"/>
      <c r="Z3" s="41"/>
      <c r="AA3" s="41"/>
      <c r="AB3" s="41"/>
    </row>
    <row r="4" spans="1:40" x14ac:dyDescent="0.25">
      <c r="C4" s="40" t="s">
        <v>62</v>
      </c>
      <c r="D4" s="41">
        <f>DAY(D6)</f>
        <v>31</v>
      </c>
      <c r="E4" s="41">
        <f t="shared" ref="E4:I4" si="0">DAY(E6)</f>
        <v>31</v>
      </c>
      <c r="F4" s="41">
        <f t="shared" si="0"/>
        <v>30</v>
      </c>
      <c r="G4" s="41">
        <f t="shared" si="0"/>
        <v>31</v>
      </c>
      <c r="H4" s="41">
        <f t="shared" si="0"/>
        <v>31</v>
      </c>
      <c r="I4" s="41">
        <f t="shared" si="0"/>
        <v>31</v>
      </c>
      <c r="W4" s="41"/>
      <c r="X4" s="41"/>
      <c r="Y4" s="41"/>
      <c r="Z4" s="41"/>
      <c r="AA4" s="41"/>
      <c r="AB4" s="41"/>
    </row>
    <row r="5" spans="1:40" ht="15.75" thickBot="1" x14ac:dyDescent="0.3">
      <c r="C5" s="40" t="s">
        <v>85</v>
      </c>
      <c r="D5" s="41" t="s">
        <v>86</v>
      </c>
      <c r="E5" s="41" t="s">
        <v>87</v>
      </c>
      <c r="F5" s="41" t="s">
        <v>86</v>
      </c>
      <c r="G5" s="41" t="s">
        <v>86</v>
      </c>
      <c r="H5" s="41" t="s">
        <v>86</v>
      </c>
      <c r="I5" s="41" t="s">
        <v>86</v>
      </c>
      <c r="K5" s="57" t="s">
        <v>100</v>
      </c>
      <c r="L5" s="57"/>
      <c r="M5" s="57"/>
      <c r="N5" s="57"/>
      <c r="O5" s="57"/>
      <c r="Q5" s="57" t="s">
        <v>101</v>
      </c>
      <c r="R5" s="57"/>
      <c r="S5" s="57"/>
      <c r="T5" s="57"/>
      <c r="U5" s="57"/>
      <c r="W5" s="41"/>
      <c r="X5" s="41"/>
      <c r="Y5" s="41"/>
      <c r="Z5" s="41"/>
      <c r="AA5" s="41"/>
      <c r="AB5" s="41"/>
      <c r="AD5" s="57" t="s">
        <v>100</v>
      </c>
      <c r="AE5" s="57"/>
      <c r="AF5" s="57"/>
      <c r="AG5" s="57"/>
      <c r="AH5" s="57"/>
      <c r="AJ5" s="57" t="s">
        <v>101</v>
      </c>
      <c r="AK5" s="57"/>
      <c r="AL5" s="57"/>
      <c r="AM5" s="57"/>
      <c r="AN5" s="57"/>
    </row>
    <row r="6" spans="1:40" ht="16.5" thickTop="1" thickBot="1" x14ac:dyDescent="0.3">
      <c r="C6" s="45" t="s">
        <v>99</v>
      </c>
      <c r="D6" s="1">
        <f>$B$1</f>
        <v>46173</v>
      </c>
      <c r="E6" s="30">
        <f>D6</f>
        <v>46173</v>
      </c>
      <c r="F6" s="1">
        <f>EOMONTH(D6,-1)</f>
        <v>46142</v>
      </c>
      <c r="G6" s="1">
        <f>EOMONTH(D6,-12)</f>
        <v>45808</v>
      </c>
      <c r="H6" s="1">
        <f>EOMONTH(D6,-24)</f>
        <v>45443</v>
      </c>
      <c r="I6" s="1">
        <f>EOMONTH(D6,-36)</f>
        <v>45077</v>
      </c>
      <c r="K6" s="32">
        <f>E6</f>
        <v>46173</v>
      </c>
      <c r="L6" s="33">
        <f>F6</f>
        <v>46142</v>
      </c>
      <c r="M6" s="33">
        <f t="shared" ref="M6:O6" si="1">G6</f>
        <v>45808</v>
      </c>
      <c r="N6" s="33">
        <f t="shared" si="1"/>
        <v>45443</v>
      </c>
      <c r="O6" s="33">
        <f t="shared" si="1"/>
        <v>45077</v>
      </c>
      <c r="Q6" s="32">
        <f>K6</f>
        <v>46173</v>
      </c>
      <c r="R6" s="33">
        <f>L6</f>
        <v>46142</v>
      </c>
      <c r="S6" s="33">
        <f t="shared" ref="S6" si="2">M6</f>
        <v>45808</v>
      </c>
      <c r="T6" s="33">
        <f t="shared" ref="T6" si="3">N6</f>
        <v>45443</v>
      </c>
      <c r="U6" s="33">
        <f t="shared" ref="U6" si="4">O6</f>
        <v>45077</v>
      </c>
      <c r="W6" s="1">
        <f>$B$1</f>
        <v>46173</v>
      </c>
      <c r="X6" s="30">
        <f>W6</f>
        <v>46173</v>
      </c>
      <c r="Y6" s="1">
        <f>EOMONTH(W6,-1)</f>
        <v>46142</v>
      </c>
      <c r="Z6" s="1">
        <f>EOMONTH(W6,-12)</f>
        <v>45808</v>
      </c>
      <c r="AA6" s="1">
        <f>EOMONTH(W6,-24)</f>
        <v>45443</v>
      </c>
      <c r="AB6" s="1">
        <f>EOMONTH(W6,-36)</f>
        <v>45077</v>
      </c>
      <c r="AD6" s="32">
        <f>X6</f>
        <v>46173</v>
      </c>
      <c r="AE6" s="33">
        <f>Y6</f>
        <v>46142</v>
      </c>
      <c r="AF6" s="33">
        <f t="shared" ref="AF6" si="5">Z6</f>
        <v>45808</v>
      </c>
      <c r="AG6" s="33">
        <f t="shared" ref="AG6" si="6">AA6</f>
        <v>45443</v>
      </c>
      <c r="AH6" s="33">
        <f t="shared" ref="AH6" si="7">AB6</f>
        <v>45077</v>
      </c>
      <c r="AJ6" s="32">
        <f>AD6</f>
        <v>46173</v>
      </c>
      <c r="AK6" s="33">
        <f>AE6</f>
        <v>46142</v>
      </c>
      <c r="AL6" s="33">
        <f t="shared" ref="AL6" si="8">AF6</f>
        <v>45808</v>
      </c>
      <c r="AM6" s="33">
        <f t="shared" ref="AM6" si="9">AG6</f>
        <v>45443</v>
      </c>
      <c r="AN6" s="33">
        <f t="shared" ref="AN6" si="10">AH6</f>
        <v>45077</v>
      </c>
    </row>
    <row r="7" spans="1:40" ht="15.75" thickTop="1" x14ac:dyDescent="0.25"/>
    <row r="8" spans="1:40" outlineLevel="1" x14ac:dyDescent="0.25">
      <c r="A8" s="11" t="s">
        <v>51</v>
      </c>
      <c r="C8" s="2" t="s">
        <v>0</v>
      </c>
      <c r="D8" s="8" cm="1">
        <f t="array" aca="1" ref="D8" ca="1">_xlfn.XLOOKUP(1,
 (INDIRECT("'"&amp;$C$6&amp;"'!$6:$6")=D$6)*
 (INDIRECT("'"&amp;$C$6&amp;"'!$5:$5")=D$5),
 INDIRECT("'"&amp;$C$6&amp;"'!"&amp;ROW()&amp;":"&amp;ROW())
)</f>
        <v>5562013.8986927401</v>
      </c>
      <c r="E8" s="8" cm="1">
        <f t="array" aca="1" ref="E8" ca="1">_xlfn.XLOOKUP(1,
 (INDIRECT("'"&amp;$C$6&amp;"'!$6:$6")=E$6)*
 (INDIRECT("'"&amp;$C$6&amp;"'!$5:$5")=E$5),
 INDIRECT("'"&amp;$C$6&amp;"'!"&amp;ROW()&amp;":"&amp;ROW())
)</f>
        <v>5902822.3118670015</v>
      </c>
      <c r="F8" s="8" cm="1">
        <f t="array" aca="1" ref="F8" ca="1">_xlfn.XLOOKUP(1,
 (INDIRECT("'"&amp;$C$6&amp;"'!$6:$6")=F$6)*
 (INDIRECT("'"&amp;$C$6&amp;"'!$5:$5")=F$5),
 INDIRECT("'"&amp;$C$6&amp;"'!"&amp;ROW()&amp;":"&amp;ROW())
)</f>
        <v>5548588.6593402009</v>
      </c>
      <c r="G8" s="8" cm="1">
        <f t="array" aca="1" ref="G8" ca="1">_xlfn.XLOOKUP(1,
 (INDIRECT("'"&amp;$C$6&amp;"'!$6:$6")=G$6)*
 (INDIRECT("'"&amp;$C$6&amp;"'!$5:$5")=G$5),
 INDIRECT("'"&amp;$C$6&amp;"'!"&amp;ROW()&amp;":"&amp;ROW())
)</f>
        <v>5643386.6728008008</v>
      </c>
      <c r="H8" s="8" cm="1">
        <f t="array" aca="1" ref="H8" ca="1">_xlfn.XLOOKUP(1,
 (INDIRECT("'"&amp;$C$6&amp;"'!$6:$6")=H$6)*
 (INDIRECT("'"&amp;$C$6&amp;"'!$5:$5")=H$5),
 INDIRECT("'"&amp;$C$6&amp;"'!"&amp;ROW()&amp;":"&amp;ROW())
)</f>
        <v>5684127.7979403995</v>
      </c>
      <c r="I8" s="8" cm="1">
        <f t="array" aca="1" ref="I8" ca="1">_xlfn.XLOOKUP(1,
 (INDIRECT("'"&amp;$C$6&amp;"'!$6:$6")=I$6)*
 (INDIRECT("'"&amp;$C$6&amp;"'!$5:$5")=I$5),
 INDIRECT("'"&amp;$C$6&amp;"'!"&amp;ROW()&amp;":"&amp;ROW())
)</f>
        <v>4938856.9915799992</v>
      </c>
      <c r="K8" s="34">
        <f ca="1">$D8-E8</f>
        <v>-340808.41317426134</v>
      </c>
      <c r="L8" s="34">
        <f t="shared" ref="L8:O11" ca="1" si="11">$D8-F8</f>
        <v>13425.239352539182</v>
      </c>
      <c r="M8" s="34">
        <f t="shared" ca="1" si="11"/>
        <v>-81372.774108060636</v>
      </c>
      <c r="N8" s="34">
        <f t="shared" ca="1" si="11"/>
        <v>-122113.89924765937</v>
      </c>
      <c r="O8" s="34">
        <f t="shared" ca="1" si="11"/>
        <v>623156.90711274091</v>
      </c>
      <c r="Q8" s="36">
        <f ca="1">IFERROR($D8/E8-1,0)</f>
        <v>-5.7736519103599337E-2</v>
      </c>
      <c r="R8" s="36">
        <f t="shared" ref="R8:U11" ca="1" si="12">IFERROR($D8/F8-1,0)</f>
        <v>2.4195773334070303E-3</v>
      </c>
      <c r="S8" s="36">
        <f t="shared" ca="1" si="12"/>
        <v>-1.4419138511321483E-2</v>
      </c>
      <c r="T8" s="36">
        <f t="shared" ca="1" si="12"/>
        <v>-2.1483313463132592E-2</v>
      </c>
      <c r="U8" s="36">
        <f t="shared" ca="1" si="12"/>
        <v>0.12617431688650416</v>
      </c>
      <c r="W8" s="8" cm="1">
        <f t="array" aca="1" ref="W8" ca="1">INDIRECT("'"&amp;$C$6&amp;"'!"&amp;ADDRESS(ROW(),COLUMN()+44))</f>
        <v>5562013.8986927401</v>
      </c>
      <c r="X8" s="8" cm="1">
        <f t="array" aca="1" ref="X8" ca="1">INDIRECT("'"&amp;$C$6&amp;"'!"&amp;ADDRESS(ROW(),COLUMN()+44))</f>
        <v>5902822.3118670015</v>
      </c>
      <c r="Y8" s="8" cm="1">
        <f t="array" aca="1" ref="Y8" ca="1">INDIRECT("'"&amp;$C$6&amp;"'!"&amp;ADDRESS(ROW(),COLUMN()+44))</f>
        <v>5548588.6593402009</v>
      </c>
      <c r="Z8" s="8" cm="1">
        <f t="array" aca="1" ref="Z8" ca="1">INDIRECT("'"&amp;$C$6&amp;"'!"&amp;ADDRESS(ROW(),COLUMN()+44))</f>
        <v>5643386.6728008008</v>
      </c>
      <c r="AA8" s="8" cm="1">
        <f t="array" aca="1" ref="AA8" ca="1">INDIRECT("'"&amp;$C$6&amp;"'!"&amp;ADDRESS(ROW(),COLUMN()+44))</f>
        <v>5684127.7979403995</v>
      </c>
      <c r="AB8" s="8" cm="1">
        <f t="array" aca="1" ref="AB8" ca="1">INDIRECT("'"&amp;$C$6&amp;"'!"&amp;ADDRESS(ROW(),COLUMN()+44))</f>
        <v>4938856.9915799992</v>
      </c>
      <c r="AD8" s="34">
        <f t="shared" ref="AD8:AH11" ca="1" si="13">$W8-X8</f>
        <v>-340808.41317426134</v>
      </c>
      <c r="AE8" s="34">
        <f t="shared" ca="1" si="13"/>
        <v>13425.239352539182</v>
      </c>
      <c r="AF8" s="34">
        <f t="shared" ca="1" si="13"/>
        <v>-81372.774108060636</v>
      </c>
      <c r="AG8" s="34">
        <f t="shared" ca="1" si="13"/>
        <v>-122113.89924765937</v>
      </c>
      <c r="AH8" s="34">
        <f t="shared" ca="1" si="13"/>
        <v>623156.90711274091</v>
      </c>
      <c r="AJ8" s="36">
        <f t="shared" ref="AJ8:AN11" ca="1" si="14">IFERROR($W8/X8-1,0)</f>
        <v>-5.7736519103599337E-2</v>
      </c>
      <c r="AK8" s="36">
        <f t="shared" ca="1" si="14"/>
        <v>2.4195773334070303E-3</v>
      </c>
      <c r="AL8" s="36">
        <f t="shared" ca="1" si="14"/>
        <v>-1.4419138511321483E-2</v>
      </c>
      <c r="AM8" s="36">
        <f t="shared" ca="1" si="14"/>
        <v>-2.1483313463132592E-2</v>
      </c>
      <c r="AN8" s="36">
        <f t="shared" ca="1" si="14"/>
        <v>0.12617431688650416</v>
      </c>
    </row>
    <row r="9" spans="1:40" outlineLevel="1" x14ac:dyDescent="0.25">
      <c r="A9" s="11" t="s">
        <v>51</v>
      </c>
      <c r="C9" s="2" t="s">
        <v>1</v>
      </c>
      <c r="D9" s="8" cm="1">
        <f t="array" aca="1" ref="D9" ca="1">_xlfn.XLOOKUP(1,
 (INDIRECT("'"&amp;$C$6&amp;"'!$6:$6")=D$6)*
 (INDIRECT("'"&amp;$C$6&amp;"'!$5:$5")=D$5),
 INDIRECT("'"&amp;$C$6&amp;"'!"&amp;ROW()&amp;":"&amp;ROW())
)</f>
        <v>28277.738950000006</v>
      </c>
      <c r="E9" s="8" cm="1">
        <f t="array" aca="1" ref="E9" ca="1">_xlfn.XLOOKUP(1,
 (INDIRECT("'"&amp;$C$6&amp;"'!$6:$6")=E$6)*
 (INDIRECT("'"&amp;$C$6&amp;"'!$5:$5")=E$5),
 INDIRECT("'"&amp;$C$6&amp;"'!"&amp;ROW()&amp;":"&amp;ROW())
)</f>
        <v>30703.860817813482</v>
      </c>
      <c r="F9" s="8" cm="1">
        <f t="array" aca="1" ref="F9" ca="1">_xlfn.XLOOKUP(1,
 (INDIRECT("'"&amp;$C$6&amp;"'!$6:$6")=F$6)*
 (INDIRECT("'"&amp;$C$6&amp;"'!$5:$5")=F$5),
 INDIRECT("'"&amp;$C$6&amp;"'!"&amp;ROW()&amp;":"&amp;ROW())
)</f>
        <v>28987.812520000014</v>
      </c>
      <c r="G9" s="8" cm="1">
        <f t="array" aca="1" ref="G9" ca="1">_xlfn.XLOOKUP(1,
 (INDIRECT("'"&amp;$C$6&amp;"'!$6:$6")=G$6)*
 (INDIRECT("'"&amp;$C$6&amp;"'!$5:$5")=G$5),
 INDIRECT("'"&amp;$C$6&amp;"'!"&amp;ROW()&amp;":"&amp;ROW())
)</f>
        <v>28019.411960000001</v>
      </c>
      <c r="H9" s="8" cm="1">
        <f t="array" aca="1" ref="H9" ca="1">_xlfn.XLOOKUP(1,
 (INDIRECT("'"&amp;$C$6&amp;"'!$6:$6")=H$6)*
 (INDIRECT("'"&amp;$C$6&amp;"'!$5:$5")=H$5),
 INDIRECT("'"&amp;$C$6&amp;"'!"&amp;ROW()&amp;":"&amp;ROW())
)</f>
        <v>22700.678050000002</v>
      </c>
      <c r="I9" s="8" cm="1">
        <f t="array" aca="1" ref="I9" ca="1">_xlfn.XLOOKUP(1,
 (INDIRECT("'"&amp;$C$6&amp;"'!$6:$6")=I$6)*
 (INDIRECT("'"&amp;$C$6&amp;"'!$5:$5")=I$5),
 INDIRECT("'"&amp;$C$6&amp;"'!"&amp;ROW()&amp;":"&amp;ROW())
)</f>
        <v>29479.237349999996</v>
      </c>
      <c r="K9" s="34">
        <f t="shared" ref="K9:K11" ca="1" si="15">$D9-E9</f>
        <v>-2426.1218678134755</v>
      </c>
      <c r="L9" s="34">
        <f t="shared" ca="1" si="11"/>
        <v>-710.07357000000775</v>
      </c>
      <c r="M9" s="34">
        <f t="shared" ca="1" si="11"/>
        <v>258.32699000000503</v>
      </c>
      <c r="N9" s="34">
        <f t="shared" ca="1" si="11"/>
        <v>5577.060900000004</v>
      </c>
      <c r="O9" s="34">
        <f t="shared" ca="1" si="11"/>
        <v>-1201.4983999999895</v>
      </c>
      <c r="Q9" s="36">
        <f t="shared" ref="Q9:Q11" ca="1" si="16">IFERROR($D9/E9-1,0)</f>
        <v>-7.9016833818042587E-2</v>
      </c>
      <c r="R9" s="36">
        <f t="shared" ca="1" si="12"/>
        <v>-2.4495589983207444E-2</v>
      </c>
      <c r="S9" s="36">
        <f t="shared" ca="1" si="12"/>
        <v>9.219572144083088E-3</v>
      </c>
      <c r="T9" s="36">
        <f t="shared" ca="1" si="12"/>
        <v>0.24567816378506824</v>
      </c>
      <c r="U9" s="36">
        <f t="shared" ca="1" si="12"/>
        <v>-4.0757445171829998E-2</v>
      </c>
      <c r="W9" s="8" cm="1">
        <f t="array" aca="1" ref="W9" ca="1">INDIRECT("'"&amp;$C$6&amp;"'!"&amp;ADDRESS(ROW(),COLUMN()+44))</f>
        <v>28277.738950000006</v>
      </c>
      <c r="X9" s="8" cm="1">
        <f t="array" aca="1" ref="X9" ca="1">INDIRECT("'"&amp;$C$6&amp;"'!"&amp;ADDRESS(ROW(),COLUMN()+44))</f>
        <v>30703.860817813482</v>
      </c>
      <c r="Y9" s="8" cm="1">
        <f t="array" aca="1" ref="Y9" ca="1">INDIRECT("'"&amp;$C$6&amp;"'!"&amp;ADDRESS(ROW(),COLUMN()+44))</f>
        <v>28987.812520000014</v>
      </c>
      <c r="Z9" s="8" cm="1">
        <f t="array" aca="1" ref="Z9" ca="1">INDIRECT("'"&amp;$C$6&amp;"'!"&amp;ADDRESS(ROW(),COLUMN()+44))</f>
        <v>28019.411960000001</v>
      </c>
      <c r="AA9" s="8" cm="1">
        <f t="array" aca="1" ref="AA9" ca="1">INDIRECT("'"&amp;$C$6&amp;"'!"&amp;ADDRESS(ROW(),COLUMN()+44))</f>
        <v>22700.678050000002</v>
      </c>
      <c r="AB9" s="8" cm="1">
        <f t="array" aca="1" ref="AB9" ca="1">INDIRECT("'"&amp;$C$6&amp;"'!"&amp;ADDRESS(ROW(),COLUMN()+44))</f>
        <v>29479.237349999996</v>
      </c>
      <c r="AD9" s="34">
        <f t="shared" ca="1" si="13"/>
        <v>-2426.1218678134755</v>
      </c>
      <c r="AE9" s="34">
        <f t="shared" ca="1" si="13"/>
        <v>-710.07357000000775</v>
      </c>
      <c r="AF9" s="34">
        <f t="shared" ca="1" si="13"/>
        <v>258.32699000000503</v>
      </c>
      <c r="AG9" s="34">
        <f t="shared" ca="1" si="13"/>
        <v>5577.060900000004</v>
      </c>
      <c r="AH9" s="34">
        <f t="shared" ca="1" si="13"/>
        <v>-1201.4983999999895</v>
      </c>
      <c r="AJ9" s="36">
        <f t="shared" ca="1" si="14"/>
        <v>-7.9016833818042587E-2</v>
      </c>
      <c r="AK9" s="36">
        <f t="shared" ca="1" si="14"/>
        <v>-2.4495589983207444E-2</v>
      </c>
      <c r="AL9" s="36">
        <f t="shared" ca="1" si="14"/>
        <v>9.219572144083088E-3</v>
      </c>
      <c r="AM9" s="36">
        <f t="shared" ca="1" si="14"/>
        <v>0.24567816378506824</v>
      </c>
      <c r="AN9" s="36">
        <f t="shared" ca="1" si="14"/>
        <v>-4.0757445171829998E-2</v>
      </c>
    </row>
    <row r="10" spans="1:40" ht="14.45" customHeight="1" outlineLevel="1" x14ac:dyDescent="0.25">
      <c r="A10" s="11" t="s">
        <v>51</v>
      </c>
      <c r="C10" s="2" t="s">
        <v>45</v>
      </c>
      <c r="D10" s="8" cm="1">
        <f t="array" aca="1" ref="D10" ca="1">_xlfn.XLOOKUP(1,
 (INDIRECT("'"&amp;$C$6&amp;"'!$6:$6")=D$6)*
 (INDIRECT("'"&amp;$C$6&amp;"'!$5:$5")=D$5),
 INDIRECT("'"&amp;$C$6&amp;"'!"&amp;ROW()&amp;":"&amp;ROW())
)</f>
        <v>118475.51559</v>
      </c>
      <c r="E10" s="8" cm="1">
        <f t="array" aca="1" ref="E10" ca="1">_xlfn.XLOOKUP(1,
 (INDIRECT("'"&amp;$C$6&amp;"'!$6:$6")=E$6)*
 (INDIRECT("'"&amp;$C$6&amp;"'!$5:$5")=E$5),
 INDIRECT("'"&amp;$C$6&amp;"'!"&amp;ROW()&amp;":"&amp;ROW())
)</f>
        <v>110380.99000103529</v>
      </c>
      <c r="F10" s="8" cm="1">
        <f t="array" aca="1" ref="F10" ca="1">_xlfn.XLOOKUP(1,
 (INDIRECT("'"&amp;$C$6&amp;"'!$6:$6")=F$6)*
 (INDIRECT("'"&amp;$C$6&amp;"'!$5:$5")=F$5),
 INDIRECT("'"&amp;$C$6&amp;"'!"&amp;ROW()&amp;":"&amp;ROW())
)</f>
        <v>118196.06991999997</v>
      </c>
      <c r="G10" s="8" cm="1">
        <f t="array" aca="1" ref="G10" ca="1">_xlfn.XLOOKUP(1,
 (INDIRECT("'"&amp;$C$6&amp;"'!$6:$6")=G$6)*
 (INDIRECT("'"&amp;$C$6&amp;"'!$5:$5")=G$5),
 INDIRECT("'"&amp;$C$6&amp;"'!"&amp;ROW()&amp;":"&amp;ROW())
)</f>
        <v>92392.453339999993</v>
      </c>
      <c r="H10" s="8" cm="1">
        <f t="array" aca="1" ref="H10" ca="1">_xlfn.XLOOKUP(1,
 (INDIRECT("'"&amp;$C$6&amp;"'!$6:$6")=H$6)*
 (INDIRECT("'"&amp;$C$6&amp;"'!$5:$5")=H$5),
 INDIRECT("'"&amp;$C$6&amp;"'!"&amp;ROW()&amp;":"&amp;ROW())
)</f>
        <v>66766.564360000004</v>
      </c>
      <c r="I10" s="8" cm="1">
        <f t="array" aca="1" ref="I10" ca="1">_xlfn.XLOOKUP(1,
 (INDIRECT("'"&amp;$C$6&amp;"'!$6:$6")=I$6)*
 (INDIRECT("'"&amp;$C$6&amp;"'!$5:$5")=I$5),
 INDIRECT("'"&amp;$C$6&amp;"'!"&amp;ROW()&amp;":"&amp;ROW())
)</f>
        <v>67763.653459999987</v>
      </c>
      <c r="K10" s="34">
        <f t="shared" ca="1" si="15"/>
        <v>8094.5255889647087</v>
      </c>
      <c r="L10" s="34">
        <f t="shared" ca="1" si="11"/>
        <v>279.44567000003008</v>
      </c>
      <c r="M10" s="34">
        <f t="shared" ca="1" si="11"/>
        <v>26083.062250000003</v>
      </c>
      <c r="N10" s="34">
        <f t="shared" ca="1" si="11"/>
        <v>51708.951229999991</v>
      </c>
      <c r="O10" s="34">
        <f t="shared" ca="1" si="11"/>
        <v>50711.862130000009</v>
      </c>
      <c r="Q10" s="36">
        <f t="shared" ca="1" si="16"/>
        <v>7.333260545034781E-2</v>
      </c>
      <c r="R10" s="36">
        <f t="shared" ca="1" si="12"/>
        <v>2.3642551752285357E-3</v>
      </c>
      <c r="S10" s="36">
        <f t="shared" ca="1" si="12"/>
        <v>0.28230728059591104</v>
      </c>
      <c r="T10" s="36">
        <f t="shared" ca="1" si="12"/>
        <v>0.77447374633790411</v>
      </c>
      <c r="U10" s="36">
        <f t="shared" ca="1" si="12"/>
        <v>0.74836375461861082</v>
      </c>
      <c r="W10" s="8" cm="1">
        <f t="array" aca="1" ref="W10" ca="1">INDIRECT("'"&amp;$C$6&amp;"'!"&amp;ADDRESS(ROW(),COLUMN()+44))</f>
        <v>118475.51559</v>
      </c>
      <c r="X10" s="8" cm="1">
        <f t="array" aca="1" ref="X10" ca="1">INDIRECT("'"&amp;$C$6&amp;"'!"&amp;ADDRESS(ROW(),COLUMN()+44))</f>
        <v>110380.99000103529</v>
      </c>
      <c r="Y10" s="8" cm="1">
        <f t="array" aca="1" ref="Y10" ca="1">INDIRECT("'"&amp;$C$6&amp;"'!"&amp;ADDRESS(ROW(),COLUMN()+44))</f>
        <v>118196.06991999997</v>
      </c>
      <c r="Z10" s="8" cm="1">
        <f t="array" aca="1" ref="Z10" ca="1">INDIRECT("'"&amp;$C$6&amp;"'!"&amp;ADDRESS(ROW(),COLUMN()+44))</f>
        <v>92392.453339999993</v>
      </c>
      <c r="AA10" s="8" cm="1">
        <f t="array" aca="1" ref="AA10" ca="1">INDIRECT("'"&amp;$C$6&amp;"'!"&amp;ADDRESS(ROW(),COLUMN()+44))</f>
        <v>66766.564360000004</v>
      </c>
      <c r="AB10" s="8" cm="1">
        <f t="array" aca="1" ref="AB10" ca="1">INDIRECT("'"&amp;$C$6&amp;"'!"&amp;ADDRESS(ROW(),COLUMN()+44))</f>
        <v>67763.653459999987</v>
      </c>
      <c r="AD10" s="34">
        <f t="shared" ca="1" si="13"/>
        <v>8094.5255889647087</v>
      </c>
      <c r="AE10" s="34">
        <f t="shared" ca="1" si="13"/>
        <v>279.44567000003008</v>
      </c>
      <c r="AF10" s="34">
        <f t="shared" ca="1" si="13"/>
        <v>26083.062250000003</v>
      </c>
      <c r="AG10" s="34">
        <f t="shared" ca="1" si="13"/>
        <v>51708.951229999991</v>
      </c>
      <c r="AH10" s="34">
        <f t="shared" ca="1" si="13"/>
        <v>50711.862130000009</v>
      </c>
      <c r="AJ10" s="36">
        <f t="shared" ca="1" si="14"/>
        <v>7.333260545034781E-2</v>
      </c>
      <c r="AK10" s="36">
        <f t="shared" ca="1" si="14"/>
        <v>2.3642551752285357E-3</v>
      </c>
      <c r="AL10" s="36">
        <f t="shared" ca="1" si="14"/>
        <v>0.28230728059591104</v>
      </c>
      <c r="AM10" s="36">
        <f t="shared" ca="1" si="14"/>
        <v>0.77447374633790411</v>
      </c>
      <c r="AN10" s="36">
        <f t="shared" ca="1" si="14"/>
        <v>0.74836375461861082</v>
      </c>
    </row>
    <row r="11" spans="1:40" x14ac:dyDescent="0.25">
      <c r="C11" s="3" t="s">
        <v>2</v>
      </c>
      <c r="D11" s="10">
        <f ca="1">SUM(D8:D10)</f>
        <v>5708767.1532327402</v>
      </c>
      <c r="E11" s="10">
        <f t="shared" ref="E11:I11" ca="1" si="17">SUM(E8:E10)</f>
        <v>6043907.1626858497</v>
      </c>
      <c r="F11" s="10">
        <f t="shared" ca="1" si="17"/>
        <v>5695772.5417802008</v>
      </c>
      <c r="G11" s="10">
        <f t="shared" ca="1" si="17"/>
        <v>5763798.5381008005</v>
      </c>
      <c r="H11" s="10">
        <f t="shared" ca="1" si="17"/>
        <v>5773595.0403503999</v>
      </c>
      <c r="I11" s="10">
        <f t="shared" ca="1" si="17"/>
        <v>5036099.882389999</v>
      </c>
      <c r="K11" s="35">
        <f t="shared" ca="1" si="15"/>
        <v>-335140.00945310947</v>
      </c>
      <c r="L11" s="35">
        <f t="shared" ca="1" si="11"/>
        <v>12994.611452539451</v>
      </c>
      <c r="M11" s="35">
        <f t="shared" ca="1" si="11"/>
        <v>-55031.384868060239</v>
      </c>
      <c r="N11" s="35">
        <f t="shared" ca="1" si="11"/>
        <v>-64827.887117659673</v>
      </c>
      <c r="O11" s="35">
        <f t="shared" ca="1" si="11"/>
        <v>672667.27084274124</v>
      </c>
      <c r="Q11" s="37">
        <f t="shared" ca="1" si="16"/>
        <v>-5.5450886393856647E-2</v>
      </c>
      <c r="R11" s="37">
        <f t="shared" ca="1" si="12"/>
        <v>2.2814484527287071E-3</v>
      </c>
      <c r="S11" s="37">
        <f t="shared" ca="1" si="12"/>
        <v>-9.547763424464395E-3</v>
      </c>
      <c r="T11" s="37">
        <f t="shared" ca="1" si="12"/>
        <v>-1.1228339823730615E-2</v>
      </c>
      <c r="U11" s="37">
        <f t="shared" ca="1" si="12"/>
        <v>0.13356908849145199</v>
      </c>
      <c r="W11" s="10">
        <f ca="1">SUM(W8:W10)</f>
        <v>5708767.1532327402</v>
      </c>
      <c r="X11" s="10">
        <f t="shared" ref="X11" ca="1" si="18">SUM(X8:X10)</f>
        <v>6043907.1626858497</v>
      </c>
      <c r="Y11" s="10">
        <f t="shared" ref="Y11" ca="1" si="19">SUM(Y8:Y10)</f>
        <v>5695772.5417802008</v>
      </c>
      <c r="Z11" s="10">
        <f t="shared" ref="Z11" ca="1" si="20">SUM(Z8:Z10)</f>
        <v>5763798.5381008005</v>
      </c>
      <c r="AA11" s="10">
        <f t="shared" ref="AA11" ca="1" si="21">SUM(AA8:AA10)</f>
        <v>5773595.0403503999</v>
      </c>
      <c r="AB11" s="10">
        <f t="shared" ref="AB11" ca="1" si="22">SUM(AB8:AB10)</f>
        <v>5036099.882389999</v>
      </c>
      <c r="AD11" s="35">
        <f t="shared" ca="1" si="13"/>
        <v>-335140.00945310947</v>
      </c>
      <c r="AE11" s="35">
        <f t="shared" ca="1" si="13"/>
        <v>12994.611452539451</v>
      </c>
      <c r="AF11" s="35">
        <f t="shared" ca="1" si="13"/>
        <v>-55031.384868060239</v>
      </c>
      <c r="AG11" s="35">
        <f t="shared" ca="1" si="13"/>
        <v>-64827.887117659673</v>
      </c>
      <c r="AH11" s="35">
        <f t="shared" ca="1" si="13"/>
        <v>672667.27084274124</v>
      </c>
      <c r="AJ11" s="37">
        <f t="shared" ca="1" si="14"/>
        <v>-5.5450886393856647E-2</v>
      </c>
      <c r="AK11" s="37">
        <f t="shared" ca="1" si="14"/>
        <v>2.2814484527287071E-3</v>
      </c>
      <c r="AL11" s="37">
        <f t="shared" ca="1" si="14"/>
        <v>-9.547763424464395E-3</v>
      </c>
      <c r="AM11" s="37">
        <f t="shared" ca="1" si="14"/>
        <v>-1.1228339823730615E-2</v>
      </c>
      <c r="AN11" s="37">
        <f t="shared" ca="1" si="14"/>
        <v>0.13356908849145199</v>
      </c>
    </row>
    <row r="12" spans="1:40" x14ac:dyDescent="0.25">
      <c r="D12" s="9"/>
      <c r="W12" s="9"/>
    </row>
    <row r="14" spans="1:40" outlineLevel="1" x14ac:dyDescent="0.25">
      <c r="A14" s="11" t="s">
        <v>52</v>
      </c>
      <c r="C14" s="2" t="s">
        <v>0</v>
      </c>
      <c r="D14" s="8" cm="1">
        <f t="array" aca="1" ref="D14" ca="1">_xlfn.XLOOKUP(1,
 (INDIRECT("'"&amp;$C$6&amp;"'!$6:$6")=D$6)*
 (INDIRECT("'"&amp;$C$6&amp;"'!$5:$5")=D$5),
 INDIRECT("'"&amp;$C$6&amp;"'!"&amp;ROW()&amp;":"&amp;ROW())
)</f>
        <v>5520303.6173795313</v>
      </c>
      <c r="E14" s="8" cm="1">
        <f t="array" aca="1" ref="E14" ca="1">_xlfn.XLOOKUP(1,
 (INDIRECT("'"&amp;$C$6&amp;"'!$6:$6")=E$6)*
 (INDIRECT("'"&amp;$C$6&amp;"'!$5:$5")=E$5),
 INDIRECT("'"&amp;$C$6&amp;"'!"&amp;ROW()&amp;":"&amp;ROW())
)</f>
        <v>5858551.1445279988</v>
      </c>
      <c r="F14" s="8" cm="1">
        <f t="array" aca="1" ref="F14" ca="1">_xlfn.XLOOKUP(1,
 (INDIRECT("'"&amp;$C$6&amp;"'!$6:$6")=F$6)*
 (INDIRECT("'"&amp;$C$6&amp;"'!$5:$5")=F$5),
 INDIRECT("'"&amp;$C$6&amp;"'!"&amp;ROW()&amp;":"&amp;ROW())
)</f>
        <v>5500202.1718746684</v>
      </c>
      <c r="G14" s="8" cm="1">
        <f t="array" aca="1" ref="G14" ca="1">_xlfn.XLOOKUP(1,
 (INDIRECT("'"&amp;$C$6&amp;"'!$6:$6")=G$6)*
 (INDIRECT("'"&amp;$C$6&amp;"'!$5:$5")=G$5),
 INDIRECT("'"&amp;$C$6&amp;"'!"&amp;ROW()&amp;":"&amp;ROW())
)</f>
        <v>5598131.9612609986</v>
      </c>
      <c r="H14" s="8" cm="1">
        <f t="array" aca="1" ref="H14" ca="1">_xlfn.XLOOKUP(1,
 (INDIRECT("'"&amp;$C$6&amp;"'!$6:$6")=H$6)*
 (INDIRECT("'"&amp;$C$6&amp;"'!$5:$5")=H$5),
 INDIRECT("'"&amp;$C$6&amp;"'!"&amp;ROW()&amp;":"&amp;ROW())
)</f>
        <v>5605866.7655894002</v>
      </c>
      <c r="I14" s="8" cm="1">
        <f t="array" aca="1" ref="I14" ca="1">_xlfn.XLOOKUP(1,
 (INDIRECT("'"&amp;$C$6&amp;"'!$6:$6")=I$6)*
 (INDIRECT("'"&amp;$C$6&amp;"'!$5:$5")=I$5),
 INDIRECT("'"&amp;$C$6&amp;"'!"&amp;ROW()&amp;":"&amp;ROW())
)</f>
        <v>4884943.9586126395</v>
      </c>
      <c r="K14" s="34">
        <f ca="1">$D14-E14</f>
        <v>-338247.52714846749</v>
      </c>
      <c r="L14" s="34">
        <f t="shared" ref="L14:L17" ca="1" si="23">$D14-F14</f>
        <v>20101.445504862815</v>
      </c>
      <c r="M14" s="34">
        <f t="shared" ref="M14:M17" ca="1" si="24">$D14-G14</f>
        <v>-77828.343881467357</v>
      </c>
      <c r="N14" s="34">
        <f t="shared" ref="N14:N17" ca="1" si="25">$D14-H14</f>
        <v>-85563.14820986893</v>
      </c>
      <c r="O14" s="34">
        <f t="shared" ref="O14:O17" ca="1" si="26">$D14-I14</f>
        <v>635359.65876689181</v>
      </c>
      <c r="Q14" s="36">
        <f ca="1">IFERROR($D14/E14-1,0)</f>
        <v>-5.7735695874977067E-2</v>
      </c>
      <c r="R14" s="36">
        <f t="shared" ref="R14:R17" ca="1" si="27">IFERROR($D14/F14-1,0)</f>
        <v>3.6546739331968503E-3</v>
      </c>
      <c r="S14" s="36">
        <f t="shared" ref="S14:S17" ca="1" si="28">IFERROR($D14/G14-1,0)</f>
        <v>-1.3902556141948463E-2</v>
      </c>
      <c r="T14" s="36">
        <f t="shared" ref="T14:T17" ca="1" si="29">IFERROR($D14/H14-1,0)</f>
        <v>-1.5263143379554256E-2</v>
      </c>
      <c r="U14" s="36">
        <f t="shared" ref="U14:U17" ca="1" si="30">IFERROR($D14/I14-1,0)</f>
        <v>0.13006488183895937</v>
      </c>
      <c r="W14" s="8" cm="1">
        <f t="array" aca="1" ref="W14" ca="1">INDIRECT("'"&amp;$C$6&amp;"'!"&amp;ADDRESS(ROW(),COLUMN()+44))</f>
        <v>5501093.2438508403</v>
      </c>
      <c r="X14" s="8" cm="1">
        <f t="array" aca="1" ref="X14" ca="1">INDIRECT("'"&amp;$C$6&amp;"'!"&amp;ADDRESS(ROW(),COLUMN()+44))</f>
        <v>5807134.7322978117</v>
      </c>
      <c r="Y14" s="8" cm="1">
        <f t="array" aca="1" ref="Y14" ca="1">INDIRECT("'"&amp;$C$6&amp;"'!"&amp;ADDRESS(ROW(),COLUMN()+44))</f>
        <v>5496290.650468667</v>
      </c>
      <c r="Z14" s="8" cm="1">
        <f t="array" aca="1" ref="Z14" ca="1">INDIRECT("'"&amp;$C$6&amp;"'!"&amp;ADDRESS(ROW(),COLUMN()+44))</f>
        <v>5603111.6447066609</v>
      </c>
      <c r="AA14" s="8" cm="1">
        <f t="array" aca="1" ref="AA14" ca="1">INDIRECT("'"&amp;$C$6&amp;"'!"&amp;ADDRESS(ROW(),COLUMN()+44))</f>
        <v>5448981.7372094737</v>
      </c>
      <c r="AB14" s="8" cm="1">
        <f t="array" aca="1" ref="AB14" ca="1">INDIRECT("'"&amp;$C$6&amp;"'!"&amp;ADDRESS(ROW(),COLUMN()+44))</f>
        <v>4764493.7767452858</v>
      </c>
      <c r="AD14" s="34">
        <f t="shared" ref="AD14:AH17" ca="1" si="31">$W14-X14</f>
        <v>-306041.4884469714</v>
      </c>
      <c r="AE14" s="34">
        <f t="shared" ca="1" si="31"/>
        <v>4802.5933821732178</v>
      </c>
      <c r="AF14" s="34">
        <f t="shared" ca="1" si="31"/>
        <v>-102018.40085582063</v>
      </c>
      <c r="AG14" s="34">
        <f t="shared" ca="1" si="31"/>
        <v>52111.506641366519</v>
      </c>
      <c r="AH14" s="34">
        <f t="shared" ca="1" si="31"/>
        <v>736599.46710555442</v>
      </c>
      <c r="AJ14" s="36">
        <f t="shared" ref="AJ14:AN17" ca="1" si="32">IFERROR($W14/X14-1,0)</f>
        <v>-5.2700945053822501E-2</v>
      </c>
      <c r="AK14" s="36">
        <f t="shared" ca="1" si="32"/>
        <v>8.7378810321170342E-4</v>
      </c>
      <c r="AL14" s="36">
        <f t="shared" ca="1" si="32"/>
        <v>-1.8207454593948458E-2</v>
      </c>
      <c r="AM14" s="36">
        <f t="shared" ca="1" si="32"/>
        <v>9.5635311613384566E-3</v>
      </c>
      <c r="AN14" s="36">
        <f t="shared" ca="1" si="32"/>
        <v>0.15460183214023204</v>
      </c>
    </row>
    <row r="15" spans="1:40" outlineLevel="1" x14ac:dyDescent="0.25">
      <c r="A15" s="11" t="s">
        <v>52</v>
      </c>
      <c r="C15" s="2" t="s">
        <v>1</v>
      </c>
      <c r="D15" s="8" cm="1">
        <f t="array" aca="1" ref="D15" ca="1">_xlfn.XLOOKUP(1,
 (INDIRECT("'"&amp;$C$6&amp;"'!$6:$6")=D$6)*
 (INDIRECT("'"&amp;$C$6&amp;"'!$5:$5")=D$5),
 INDIRECT("'"&amp;$C$6&amp;"'!"&amp;ROW()&amp;":"&amp;ROW())
)</f>
        <v>28394.212859999996</v>
      </c>
      <c r="E15" s="8" cm="1">
        <f t="array" aca="1" ref="E15" ca="1">_xlfn.XLOOKUP(1,
 (INDIRECT("'"&amp;$C$6&amp;"'!$6:$6")=E$6)*
 (INDIRECT("'"&amp;$C$6&amp;"'!$5:$5")=E$5),
 INDIRECT("'"&amp;$C$6&amp;"'!"&amp;ROW()&amp;":"&amp;ROW())
)</f>
        <v>30473.581861679882</v>
      </c>
      <c r="F15" s="8" cm="1">
        <f t="array" aca="1" ref="F15" ca="1">_xlfn.XLOOKUP(1,
 (INDIRECT("'"&amp;$C$6&amp;"'!$6:$6")=F$6)*
 (INDIRECT("'"&amp;$C$6&amp;"'!$5:$5")=F$5),
 INDIRECT("'"&amp;$C$6&amp;"'!"&amp;ROW()&amp;":"&amp;ROW())
)</f>
        <v>29285.745649999993</v>
      </c>
      <c r="G15" s="8" cm="1">
        <f t="array" aca="1" ref="G15" ca="1">_xlfn.XLOOKUP(1,
 (INDIRECT("'"&amp;$C$6&amp;"'!$6:$6")=G$6)*
 (INDIRECT("'"&amp;$C$6&amp;"'!$5:$5")=G$5),
 INDIRECT("'"&amp;$C$6&amp;"'!"&amp;ROW()&amp;":"&amp;ROW())
)</f>
        <v>27162.267830000001</v>
      </c>
      <c r="H15" s="8" cm="1">
        <f t="array" aca="1" ref="H15" ca="1">_xlfn.XLOOKUP(1,
 (INDIRECT("'"&amp;$C$6&amp;"'!$6:$6")=H$6)*
 (INDIRECT("'"&amp;$C$6&amp;"'!$5:$5")=H$5),
 INDIRECT("'"&amp;$C$6&amp;"'!"&amp;ROW()&amp;":"&amp;ROW())
)</f>
        <v>23089.442430000003</v>
      </c>
      <c r="I15" s="8" cm="1">
        <f t="array" aca="1" ref="I15" ca="1">_xlfn.XLOOKUP(1,
 (INDIRECT("'"&amp;$C$6&amp;"'!$6:$6")=I$6)*
 (INDIRECT("'"&amp;$C$6&amp;"'!$5:$5")=I$5),
 INDIRECT("'"&amp;$C$6&amp;"'!"&amp;ROW()&amp;":"&amp;ROW())
)</f>
        <v>28758.026289999998</v>
      </c>
      <c r="K15" s="34">
        <f t="shared" ref="K15:K17" ca="1" si="33">$D15-E15</f>
        <v>-2079.3690016798864</v>
      </c>
      <c r="L15" s="34">
        <f t="shared" ca="1" si="23"/>
        <v>-891.53278999999748</v>
      </c>
      <c r="M15" s="34">
        <f t="shared" ca="1" si="24"/>
        <v>1231.9450299999953</v>
      </c>
      <c r="N15" s="34">
        <f t="shared" ca="1" si="25"/>
        <v>5304.7704299999932</v>
      </c>
      <c r="O15" s="34">
        <f t="shared" ca="1" si="26"/>
        <v>-363.81343000000197</v>
      </c>
      <c r="Q15" s="36">
        <f t="shared" ref="Q15:Q17" ca="1" si="34">IFERROR($D15/E15-1,0)</f>
        <v>-6.8235135965249438E-2</v>
      </c>
      <c r="R15" s="36">
        <f t="shared" ca="1" si="27"/>
        <v>-3.0442550469941598E-2</v>
      </c>
      <c r="S15" s="36">
        <f t="shared" ca="1" si="28"/>
        <v>4.5355013716466885E-2</v>
      </c>
      <c r="T15" s="36">
        <f t="shared" ca="1" si="29"/>
        <v>0.22974874538795831</v>
      </c>
      <c r="U15" s="36">
        <f t="shared" ca="1" si="30"/>
        <v>-1.2650848369469281E-2</v>
      </c>
      <c r="W15" s="8" cm="1">
        <f t="array" aca="1" ref="W15" ca="1">INDIRECT("'"&amp;$C$6&amp;"'!"&amp;ADDRESS(ROW(),COLUMN()+44))</f>
        <v>29506.607701999998</v>
      </c>
      <c r="X15" s="8" cm="1">
        <f t="array" aca="1" ref="X15" ca="1">INDIRECT("'"&amp;$C$6&amp;"'!"&amp;ADDRESS(ROW(),COLUMN()+44))</f>
        <v>29715.910085582942</v>
      </c>
      <c r="Y15" s="8" cm="1">
        <f t="array" aca="1" ref="Y15" ca="1">INDIRECT("'"&amp;$C$6&amp;"'!"&amp;ADDRESS(ROW(),COLUMN()+44))</f>
        <v>29784.706412499996</v>
      </c>
      <c r="Z15" s="8" cm="1">
        <f t="array" aca="1" ref="Z15" ca="1">INDIRECT("'"&amp;$C$6&amp;"'!"&amp;ADDRESS(ROW(),COLUMN()+44))</f>
        <v>24117.374872</v>
      </c>
      <c r="AA15" s="8" cm="1">
        <f t="array" aca="1" ref="AA15" ca="1">INDIRECT("'"&amp;$C$6&amp;"'!"&amp;ADDRESS(ROW(),COLUMN()+44))</f>
        <v>24880.928760000003</v>
      </c>
      <c r="AB15" s="8" cm="1">
        <f t="array" aca="1" ref="AB15" ca="1">INDIRECT("'"&amp;$C$6&amp;"'!"&amp;ADDRESS(ROW(),COLUMN()+44))</f>
        <v>28956.677867999999</v>
      </c>
      <c r="AD15" s="34">
        <f t="shared" ca="1" si="31"/>
        <v>-209.30238358294446</v>
      </c>
      <c r="AE15" s="34">
        <f t="shared" ca="1" si="31"/>
        <v>-278.09871049999856</v>
      </c>
      <c r="AF15" s="34">
        <f t="shared" ca="1" si="31"/>
        <v>5389.2328299999972</v>
      </c>
      <c r="AG15" s="34">
        <f t="shared" ca="1" si="31"/>
        <v>4625.678941999995</v>
      </c>
      <c r="AH15" s="34">
        <f t="shared" ca="1" si="31"/>
        <v>549.92983399999866</v>
      </c>
      <c r="AJ15" s="36">
        <f t="shared" ca="1" si="32"/>
        <v>-7.0434451773526696E-3</v>
      </c>
      <c r="AK15" s="36">
        <f t="shared" ca="1" si="32"/>
        <v>-9.3369632941315839E-3</v>
      </c>
      <c r="AL15" s="36">
        <f t="shared" ca="1" si="32"/>
        <v>0.22345851729728827</v>
      </c>
      <c r="AM15" s="36">
        <f t="shared" ca="1" si="32"/>
        <v>0.18591263158296978</v>
      </c>
      <c r="AN15" s="36">
        <f t="shared" ca="1" si="32"/>
        <v>1.8991468444925719E-2</v>
      </c>
    </row>
    <row r="16" spans="1:40" outlineLevel="1" x14ac:dyDescent="0.25">
      <c r="A16" s="11" t="s">
        <v>52</v>
      </c>
      <c r="C16" s="2" t="s">
        <v>45</v>
      </c>
      <c r="D16" s="8" cm="1">
        <f t="array" aca="1" ref="D16" ca="1">_xlfn.XLOOKUP(1,
 (INDIRECT("'"&amp;$C$6&amp;"'!$6:$6")=D$6)*
 (INDIRECT("'"&amp;$C$6&amp;"'!$5:$5")=D$5),
 INDIRECT("'"&amp;$C$6&amp;"'!"&amp;ROW()&amp;":"&amp;ROW())
)</f>
        <v>122191.47714000003</v>
      </c>
      <c r="E16" s="8" cm="1">
        <f t="array" aca="1" ref="E16" ca="1">_xlfn.XLOOKUP(1,
 (INDIRECT("'"&amp;$C$6&amp;"'!$6:$6")=E$6)*
 (INDIRECT("'"&amp;$C$6&amp;"'!$5:$5")=E$5),
 INDIRECT("'"&amp;$C$6&amp;"'!"&amp;ROW()&amp;":"&amp;ROW())
)</f>
        <v>109553.13257602755</v>
      </c>
      <c r="F16" s="8" cm="1">
        <f t="array" aca="1" ref="F16" ca="1">_xlfn.XLOOKUP(1,
 (INDIRECT("'"&amp;$C$6&amp;"'!$6:$6")=F$6)*
 (INDIRECT("'"&amp;$C$6&amp;"'!$5:$5")=F$5),
 INDIRECT("'"&amp;$C$6&amp;"'!"&amp;ROW()&amp;":"&amp;ROW())
)</f>
        <v>120999.42267999997</v>
      </c>
      <c r="G16" s="8" cm="1">
        <f t="array" aca="1" ref="G16" ca="1">_xlfn.XLOOKUP(1,
 (INDIRECT("'"&amp;$C$6&amp;"'!$6:$6")=G$6)*
 (INDIRECT("'"&amp;$C$6&amp;"'!$5:$5")=G$5),
 INDIRECT("'"&amp;$C$6&amp;"'!"&amp;ROW()&amp;":"&amp;ROW())
)</f>
        <v>96660.590920000017</v>
      </c>
      <c r="H16" s="8" cm="1">
        <f t="array" aca="1" ref="H16" ca="1">_xlfn.XLOOKUP(1,
 (INDIRECT("'"&amp;$C$6&amp;"'!$6:$6")=H$6)*
 (INDIRECT("'"&amp;$C$6&amp;"'!$5:$5")=H$5),
 INDIRECT("'"&amp;$C$6&amp;"'!"&amp;ROW()&amp;":"&amp;ROW())
)</f>
        <v>74499.61828000001</v>
      </c>
      <c r="I16" s="8" cm="1">
        <f t="array" aca="1" ref="I16" ca="1">_xlfn.XLOOKUP(1,
 (INDIRECT("'"&amp;$C$6&amp;"'!$6:$6")=I$6)*
 (INDIRECT("'"&amp;$C$6&amp;"'!$5:$5")=I$5),
 INDIRECT("'"&amp;$C$6&amp;"'!"&amp;ROW()&amp;":"&amp;ROW())
)</f>
        <v>75534.136790000004</v>
      </c>
      <c r="K16" s="34">
        <f t="shared" ca="1" si="33"/>
        <v>12638.344563972481</v>
      </c>
      <c r="L16" s="34">
        <f t="shared" ca="1" si="23"/>
        <v>1192.0544600000576</v>
      </c>
      <c r="M16" s="34">
        <f t="shared" ca="1" si="24"/>
        <v>25530.886220000015</v>
      </c>
      <c r="N16" s="34">
        <f t="shared" ca="1" si="25"/>
        <v>47691.858860000022</v>
      </c>
      <c r="O16" s="34">
        <f t="shared" ca="1" si="26"/>
        <v>46657.340350000028</v>
      </c>
      <c r="Q16" s="36">
        <f t="shared" ca="1" si="34"/>
        <v>0.11536269449165903</v>
      </c>
      <c r="R16" s="36">
        <f t="shared" ca="1" si="27"/>
        <v>9.8517367570638559E-3</v>
      </c>
      <c r="S16" s="36">
        <f t="shared" ca="1" si="28"/>
        <v>0.26412921726425553</v>
      </c>
      <c r="T16" s="36">
        <f t="shared" ca="1" si="29"/>
        <v>0.64016245936663085</v>
      </c>
      <c r="U16" s="36">
        <f t="shared" ca="1" si="30"/>
        <v>0.61769872977719675</v>
      </c>
      <c r="W16" s="8" cm="1">
        <f t="array" aca="1" ref="W16" ca="1">INDIRECT("'"&amp;$C$6&amp;"'!"&amp;ADDRESS(ROW(),COLUMN()+44))</f>
        <v>126492.97596399998</v>
      </c>
      <c r="X16" s="8" cm="1">
        <f t="array" aca="1" ref="X16" ca="1">INDIRECT("'"&amp;$C$6&amp;"'!"&amp;ADDRESS(ROW(),COLUMN()+44))</f>
        <v>113056.72583768734</v>
      </c>
      <c r="Y16" s="8" cm="1">
        <f t="array" aca="1" ref="Y16" ca="1">INDIRECT("'"&amp;$C$6&amp;"'!"&amp;ADDRESS(ROW(),COLUMN()+44))</f>
        <v>127568.35066999999</v>
      </c>
      <c r="Z16" s="8" cm="1">
        <f t="array" aca="1" ref="Z16" ca="1">INDIRECT("'"&amp;$C$6&amp;"'!"&amp;ADDRESS(ROW(),COLUMN()+44))</f>
        <v>98315.231891999996</v>
      </c>
      <c r="AA16" s="8" cm="1">
        <f t="array" aca="1" ref="AA16" ca="1">INDIRECT("'"&amp;$C$6&amp;"'!"&amp;ADDRESS(ROW(),COLUMN()+44))</f>
        <v>75622.418470000004</v>
      </c>
      <c r="AB16" s="8" cm="1">
        <f t="array" aca="1" ref="AB16" ca="1">INDIRECT("'"&amp;$C$6&amp;"'!"&amp;ADDRESS(ROW(),COLUMN()+44))</f>
        <v>78852.452355999994</v>
      </c>
      <c r="AD16" s="34">
        <f t="shared" ca="1" si="31"/>
        <v>13436.250126312647</v>
      </c>
      <c r="AE16" s="34">
        <f t="shared" ca="1" si="31"/>
        <v>-1075.3747060000023</v>
      </c>
      <c r="AF16" s="34">
        <f t="shared" ca="1" si="31"/>
        <v>28177.744071999987</v>
      </c>
      <c r="AG16" s="34">
        <f t="shared" ca="1" si="31"/>
        <v>50870.557493999979</v>
      </c>
      <c r="AH16" s="34">
        <f t="shared" ca="1" si="31"/>
        <v>47640.523607999989</v>
      </c>
      <c r="AJ16" s="36">
        <f t="shared" ca="1" si="32"/>
        <v>0.11884520825061506</v>
      </c>
      <c r="AK16" s="36">
        <f t="shared" ca="1" si="32"/>
        <v>-8.4297923454528245E-3</v>
      </c>
      <c r="AL16" s="36">
        <f t="shared" ca="1" si="32"/>
        <v>0.28660608869796955</v>
      </c>
      <c r="AM16" s="36">
        <f t="shared" ca="1" si="32"/>
        <v>0.67269149179856913</v>
      </c>
      <c r="AN16" s="36">
        <f t="shared" ca="1" si="32"/>
        <v>0.60417301154965219</v>
      </c>
    </row>
    <row r="17" spans="1:40" x14ac:dyDescent="0.25">
      <c r="C17" s="3" t="s">
        <v>56</v>
      </c>
      <c r="D17" s="10">
        <f ca="1">SUM(D14:D16)</f>
        <v>5670889.3073795317</v>
      </c>
      <c r="E17" s="10">
        <f t="shared" ref="E17:I17" ca="1" si="35">SUM(E14:E16)</f>
        <v>5998577.8589657061</v>
      </c>
      <c r="F17" s="10">
        <f t="shared" ca="1" si="35"/>
        <v>5650487.3402046682</v>
      </c>
      <c r="G17" s="10">
        <f t="shared" ca="1" si="35"/>
        <v>5721954.8200109992</v>
      </c>
      <c r="H17" s="10">
        <f t="shared" ca="1" si="35"/>
        <v>5703455.8262994001</v>
      </c>
      <c r="I17" s="10">
        <f t="shared" ca="1" si="35"/>
        <v>4989236.1216926398</v>
      </c>
      <c r="K17" s="35">
        <f t="shared" ca="1" si="33"/>
        <v>-327688.55158617441</v>
      </c>
      <c r="L17" s="35">
        <f t="shared" ca="1" si="23"/>
        <v>20401.967174863443</v>
      </c>
      <c r="M17" s="35">
        <f t="shared" ca="1" si="24"/>
        <v>-51065.512631467544</v>
      </c>
      <c r="N17" s="35">
        <f t="shared" ca="1" si="25"/>
        <v>-32566.518919868395</v>
      </c>
      <c r="O17" s="35">
        <f t="shared" ca="1" si="26"/>
        <v>681653.1856868919</v>
      </c>
      <c r="Q17" s="37">
        <f t="shared" ca="1" si="34"/>
        <v>-5.4627706648234686E-2</v>
      </c>
      <c r="R17" s="37">
        <f t="shared" ca="1" si="27"/>
        <v>3.6106562047664159E-3</v>
      </c>
      <c r="S17" s="37">
        <f t="shared" ca="1" si="28"/>
        <v>-8.9244872142085763E-3</v>
      </c>
      <c r="T17" s="37">
        <f t="shared" ca="1" si="29"/>
        <v>-5.7099625054864989E-3</v>
      </c>
      <c r="U17" s="37">
        <f t="shared" ca="1" si="30"/>
        <v>0.13662475959458797</v>
      </c>
      <c r="W17" s="10">
        <f ca="1">SUM(W14:W16)</f>
        <v>5657092.8275168408</v>
      </c>
      <c r="X17" s="10">
        <f t="shared" ref="X17" ca="1" si="36">SUM(X14:X16)</f>
        <v>5949907.3682210818</v>
      </c>
      <c r="Y17" s="10">
        <f t="shared" ref="Y17" ca="1" si="37">SUM(Y14:Y16)</f>
        <v>5653643.7075511664</v>
      </c>
      <c r="Z17" s="10">
        <f t="shared" ref="Z17" ca="1" si="38">SUM(Z14:Z16)</f>
        <v>5725544.2514706608</v>
      </c>
      <c r="AA17" s="10">
        <f t="shared" ref="AA17" ca="1" si="39">SUM(AA14:AA16)</f>
        <v>5549485.0844394732</v>
      </c>
      <c r="AB17" s="10">
        <f t="shared" ref="AB17" ca="1" si="40">SUM(AB14:AB16)</f>
        <v>4872302.9069692865</v>
      </c>
      <c r="AD17" s="35">
        <f t="shared" ca="1" si="31"/>
        <v>-292814.54070424102</v>
      </c>
      <c r="AE17" s="35">
        <f t="shared" ca="1" si="31"/>
        <v>3449.1199656743556</v>
      </c>
      <c r="AF17" s="35">
        <f t="shared" ca="1" si="31"/>
        <v>-68451.42395382002</v>
      </c>
      <c r="AG17" s="35">
        <f t="shared" ca="1" si="31"/>
        <v>107607.74307736754</v>
      </c>
      <c r="AH17" s="35">
        <f t="shared" ca="1" si="31"/>
        <v>784789.92054755427</v>
      </c>
      <c r="AJ17" s="37">
        <f t="shared" ca="1" si="32"/>
        <v>-4.9213294020035714E-2</v>
      </c>
      <c r="AK17" s="37">
        <f t="shared" ca="1" si="32"/>
        <v>6.1007027398418678E-4</v>
      </c>
      <c r="AL17" s="37">
        <f t="shared" ca="1" si="32"/>
        <v>-1.1955444049923769E-2</v>
      </c>
      <c r="AM17" s="37">
        <f t="shared" ca="1" si="32"/>
        <v>1.9390581547663821E-2</v>
      </c>
      <c r="AN17" s="37">
        <f t="shared" ca="1" si="32"/>
        <v>0.16107166067713075</v>
      </c>
    </row>
    <row r="18" spans="1:40" x14ac:dyDescent="0.25">
      <c r="D18" s="8"/>
      <c r="E18" s="8"/>
      <c r="F18" s="8"/>
      <c r="G18" s="8"/>
      <c r="H18" s="8"/>
      <c r="I18" s="8"/>
      <c r="W18" s="8"/>
      <c r="X18" s="8"/>
      <c r="Y18" s="8"/>
      <c r="Z18" s="8"/>
      <c r="AA18" s="8"/>
      <c r="AB18" s="8"/>
    </row>
    <row r="19" spans="1:40" x14ac:dyDescent="0.25">
      <c r="D19" s="16"/>
      <c r="E19" s="16"/>
      <c r="F19" s="16"/>
      <c r="G19" s="16"/>
      <c r="H19" s="16"/>
      <c r="I19" s="16"/>
      <c r="W19" s="16"/>
      <c r="X19" s="16"/>
      <c r="Y19" s="16"/>
      <c r="Z19" s="16"/>
      <c r="AA19" s="16"/>
      <c r="AB19" s="16"/>
    </row>
    <row r="20" spans="1:40" hidden="1" outlineLevel="1" x14ac:dyDescent="0.25">
      <c r="A20" s="11"/>
      <c r="C20" s="2" t="s">
        <v>0</v>
      </c>
      <c r="D20" s="14">
        <f ca="1">IFERROR(((1+D38/D14)^(360/D$3))-1,0)</f>
        <v>0.11338470217976071</v>
      </c>
      <c r="E20" s="14">
        <f t="shared" ref="E20:I23" ca="1" si="41">IFERROR(((1+E38/E14)^(360/E$3))-1,0)</f>
        <v>0.11336707332270701</v>
      </c>
      <c r="F20" s="14">
        <f t="shared" ca="1" si="41"/>
        <v>0.11363050440025391</v>
      </c>
      <c r="G20" s="14">
        <f t="shared" ca="1" si="41"/>
        <v>0.11892968463275921</v>
      </c>
      <c r="H20" s="14">
        <f t="shared" ca="1" si="41"/>
        <v>0.11834040373761634</v>
      </c>
      <c r="I20" s="14">
        <f t="shared" ca="1" si="41"/>
        <v>0.11933461071174056</v>
      </c>
      <c r="K20" s="44"/>
      <c r="L20" s="44"/>
      <c r="M20" s="44"/>
      <c r="N20" s="44"/>
      <c r="O20" s="44"/>
      <c r="Q20" s="42">
        <f ca="1">($D20-E20)*10000</f>
        <v>0.17628857053697544</v>
      </c>
      <c r="R20" s="42">
        <f t="shared" ref="R20:U23" ca="1" si="42">($D20-F20)*10000</f>
        <v>-2.4580222049319644</v>
      </c>
      <c r="S20" s="42">
        <f t="shared" ca="1" si="42"/>
        <v>-55.449824529985037</v>
      </c>
      <c r="T20" s="42">
        <f t="shared" ca="1" si="42"/>
        <v>-49.557015578556296</v>
      </c>
      <c r="U20" s="42">
        <f t="shared" ca="1" si="42"/>
        <v>-59.499085319798525</v>
      </c>
      <c r="W20" s="14" cm="1">
        <f t="array" aca="1" ref="W20" ca="1">INDIRECT("'"&amp;$C$6&amp;"'!"&amp;ADDRESS(ROW(),COLUMN()+44))</f>
        <v>0.11401333636761657</v>
      </c>
      <c r="X20" s="14" cm="1">
        <f t="array" aca="1" ref="X20" ca="1">INDIRECT("'"&amp;$C$6&amp;"'!"&amp;ADDRESS(ROW(),COLUMN()+44))</f>
        <v>0.11413189696859938</v>
      </c>
      <c r="Y20" s="14" cm="1">
        <f t="array" aca="1" ref="Y20" ca="1">INDIRECT("'"&amp;$C$6&amp;"'!"&amp;ADDRESS(ROW(),COLUMN()+44))</f>
        <v>0.11417123262650986</v>
      </c>
      <c r="Z20" s="14" cm="1">
        <f t="array" aca="1" ref="Z20" ca="1">INDIRECT("'"&amp;$C$6&amp;"'!"&amp;ADDRESS(ROW(),COLUMN()+44))</f>
        <v>0.11828543314256157</v>
      </c>
      <c r="AA20" s="14" cm="1">
        <f t="array" aca="1" ref="AA20" ca="1">INDIRECT("'"&amp;$C$6&amp;"'!"&amp;ADDRESS(ROW(),COLUMN()+44))</f>
        <v>0.11880863703627287</v>
      </c>
      <c r="AB20" s="14" cm="1">
        <f t="array" aca="1" ref="AB20" ca="1">INDIRECT("'"&amp;$C$6&amp;"'!"&amp;ADDRESS(ROW(),COLUMN()+44))</f>
        <v>0.11977101943585744</v>
      </c>
      <c r="AD20" s="44"/>
      <c r="AE20" s="44"/>
      <c r="AF20" s="44"/>
      <c r="AG20" s="44"/>
      <c r="AH20" s="44"/>
      <c r="AJ20" s="42">
        <f t="shared" ref="AJ20:AN23" ca="1" si="43">($W20-X20)*10000</f>
        <v>-1.1856060098280885</v>
      </c>
      <c r="AK20" s="42">
        <f t="shared" ca="1" si="43"/>
        <v>-1.578962588932864</v>
      </c>
      <c r="AL20" s="42">
        <f t="shared" ca="1" si="43"/>
        <v>-42.720967749449997</v>
      </c>
      <c r="AM20" s="42">
        <f t="shared" ca="1" si="43"/>
        <v>-47.953006686562993</v>
      </c>
      <c r="AN20" s="42">
        <f t="shared" ca="1" si="43"/>
        <v>-57.576830682408712</v>
      </c>
    </row>
    <row r="21" spans="1:40" hidden="1" outlineLevel="1" x14ac:dyDescent="0.25">
      <c r="A21" s="11"/>
      <c r="C21" s="2" t="s">
        <v>1</v>
      </c>
      <c r="D21" s="14">
        <f t="shared" ref="D21:I23" ca="1" si="44">IFERROR(((1+D39/D15)^(360/D$3))-1,0)</f>
        <v>0.10778940432719097</v>
      </c>
      <c r="E21" s="14">
        <f t="shared" ca="1" si="44"/>
        <v>0.11403590886317194</v>
      </c>
      <c r="F21" s="14">
        <f t="shared" ca="1" si="44"/>
        <v>0.11098927284682203</v>
      </c>
      <c r="G21" s="14">
        <f t="shared" ca="1" si="44"/>
        <v>0.11572726898826913</v>
      </c>
      <c r="H21" s="14">
        <f t="shared" ca="1" si="44"/>
        <v>0.1167099557060971</v>
      </c>
      <c r="I21" s="14">
        <f t="shared" ca="1" si="44"/>
        <v>0.10262374320854173</v>
      </c>
      <c r="K21" s="44"/>
      <c r="L21" s="44"/>
      <c r="M21" s="44"/>
      <c r="N21" s="44"/>
      <c r="O21" s="44"/>
      <c r="Q21" s="42">
        <f t="shared" ref="Q21:Q23" ca="1" si="45">($D21-E21)*10000</f>
        <v>-62.465045359809679</v>
      </c>
      <c r="R21" s="42">
        <f t="shared" ca="1" si="42"/>
        <v>-31.99868519631055</v>
      </c>
      <c r="S21" s="42">
        <f t="shared" ca="1" si="42"/>
        <v>-79.37864661078153</v>
      </c>
      <c r="T21" s="42">
        <f t="shared" ca="1" si="42"/>
        <v>-89.205513789061271</v>
      </c>
      <c r="U21" s="42">
        <f t="shared" ca="1" si="42"/>
        <v>51.656611186492455</v>
      </c>
      <c r="W21" s="14" cm="1">
        <f t="array" aca="1" ref="W21" ca="1">INDIRECT("'"&amp;$C$6&amp;"'!"&amp;ADDRESS(ROW(),COLUMN()+44))</f>
        <v>0.11095200066859157</v>
      </c>
      <c r="X21" s="14" cm="1">
        <f t="array" aca="1" ref="X21" ca="1">INDIRECT("'"&amp;$C$6&amp;"'!"&amp;ADDRESS(ROW(),COLUMN()+44))</f>
        <v>0.11688992569509793</v>
      </c>
      <c r="Y21" s="14" cm="1">
        <f t="array" aca="1" ref="Y21" ca="1">INDIRECT("'"&amp;$C$6&amp;"'!"&amp;ADDRESS(ROW(),COLUMN()+44))</f>
        <v>0.11170695872495129</v>
      </c>
      <c r="Z21" s="14" cm="1">
        <f t="array" aca="1" ref="Z21" ca="1">INDIRECT("'"&amp;$C$6&amp;"'!"&amp;ADDRESS(ROW(),COLUMN()+44))</f>
        <v>0.11587421448268431</v>
      </c>
      <c r="AA21" s="14" cm="1">
        <f t="array" aca="1" ref="AA21" ca="1">INDIRECT("'"&amp;$C$6&amp;"'!"&amp;ADDRESS(ROW(),COLUMN()+44))</f>
        <v>0.11264978703342932</v>
      </c>
      <c r="AB21" s="14" cm="1">
        <f t="array" aca="1" ref="AB21" ca="1">INDIRECT("'"&amp;$C$6&amp;"'!"&amp;ADDRESS(ROW(),COLUMN()+44))</f>
        <v>0.10954140857155492</v>
      </c>
      <c r="AD21" s="44"/>
      <c r="AE21" s="44"/>
      <c r="AF21" s="44"/>
      <c r="AG21" s="44"/>
      <c r="AH21" s="44"/>
      <c r="AJ21" s="42">
        <f t="shared" ca="1" si="43"/>
        <v>-59.379250265063632</v>
      </c>
      <c r="AK21" s="42">
        <f t="shared" ca="1" si="43"/>
        <v>-7.5495805635972246</v>
      </c>
      <c r="AL21" s="42">
        <f t="shared" ca="1" si="43"/>
        <v>-49.222138140927463</v>
      </c>
      <c r="AM21" s="42">
        <f t="shared" ca="1" si="43"/>
        <v>-16.9778636483775</v>
      </c>
      <c r="AN21" s="42">
        <f t="shared" ca="1" si="43"/>
        <v>14.105920970366448</v>
      </c>
    </row>
    <row r="22" spans="1:40" hidden="1" outlineLevel="1" x14ac:dyDescent="0.25">
      <c r="A22" s="11"/>
      <c r="C22" s="2" t="s">
        <v>45</v>
      </c>
      <c r="D22" s="14">
        <f t="shared" ca="1" si="44"/>
        <v>2.4883357358519875E-2</v>
      </c>
      <c r="E22" s="14">
        <f t="shared" ca="1" si="41"/>
        <v>3.4926112043342394E-2</v>
      </c>
      <c r="F22" s="14">
        <f t="shared" ca="1" si="41"/>
        <v>2.2940677035199197E-2</v>
      </c>
      <c r="G22" s="14">
        <f t="shared" ca="1" si="41"/>
        <v>2.8044434041843314E-2</v>
      </c>
      <c r="H22" s="14">
        <f t="shared" ca="1" si="41"/>
        <v>3.8737247934287122E-2</v>
      </c>
      <c r="I22" s="14">
        <f t="shared" ca="1" si="41"/>
        <v>4.4821992284606704E-2</v>
      </c>
      <c r="K22" s="44"/>
      <c r="L22" s="44"/>
      <c r="M22" s="44"/>
      <c r="N22" s="44"/>
      <c r="O22" s="44"/>
      <c r="Q22" s="42">
        <f t="shared" ca="1" si="45"/>
        <v>-100.42754684822519</v>
      </c>
      <c r="R22" s="42">
        <f t="shared" ca="1" si="42"/>
        <v>19.42680323320678</v>
      </c>
      <c r="S22" s="42">
        <f t="shared" ca="1" si="42"/>
        <v>-31.610766833234383</v>
      </c>
      <c r="T22" s="42">
        <f t="shared" ca="1" si="42"/>
        <v>-138.53890575767247</v>
      </c>
      <c r="U22" s="42">
        <f t="shared" ca="1" si="42"/>
        <v>-199.38634926086829</v>
      </c>
      <c r="W22" s="14" cm="1">
        <f t="array" aca="1" ref="W22" ca="1">INDIRECT("'"&amp;$C$6&amp;"'!"&amp;ADDRESS(ROW(),COLUMN()+44))</f>
        <v>2.5773004630724516E-2</v>
      </c>
      <c r="X22" s="14" cm="1">
        <f t="array" aca="1" ref="X22" ca="1">INDIRECT("'"&amp;$C$6&amp;"'!"&amp;ADDRESS(ROW(),COLUMN()+44))</f>
        <v>3.3758697682397587E-2</v>
      </c>
      <c r="Y22" s="14" cm="1">
        <f t="array" aca="1" ref="Y22" ca="1">INDIRECT("'"&amp;$C$6&amp;"'!"&amp;ADDRESS(ROW(),COLUMN()+44))</f>
        <v>2.5986147049099628E-2</v>
      </c>
      <c r="Z22" s="14" cm="1">
        <f t="array" aca="1" ref="Z22" ca="1">INDIRECT("'"&amp;$C$6&amp;"'!"&amp;ADDRESS(ROW(),COLUMN()+44))</f>
        <v>2.5489459969385342E-2</v>
      </c>
      <c r="AA22" s="14" cm="1">
        <f t="array" aca="1" ref="AA22" ca="1">INDIRECT("'"&amp;$C$6&amp;"'!"&amp;ADDRESS(ROW(),COLUMN()+44))</f>
        <v>3.4623467114097251E-2</v>
      </c>
      <c r="AB22" s="14" cm="1">
        <f t="array" aca="1" ref="AB22" ca="1">INDIRECT("'"&amp;$C$6&amp;"'!"&amp;ADDRESS(ROW(),COLUMN()+44))</f>
        <v>4.5571915062322166E-2</v>
      </c>
      <c r="AD22" s="44"/>
      <c r="AE22" s="44"/>
      <c r="AF22" s="44"/>
      <c r="AG22" s="44"/>
      <c r="AH22" s="44"/>
      <c r="AJ22" s="42">
        <f t="shared" ca="1" si="43"/>
        <v>-79.856930516730699</v>
      </c>
      <c r="AK22" s="42">
        <f t="shared" ca="1" si="43"/>
        <v>-2.1314241837511183</v>
      </c>
      <c r="AL22" s="42">
        <f t="shared" ca="1" si="43"/>
        <v>2.8354466133917455</v>
      </c>
      <c r="AM22" s="42">
        <f t="shared" ca="1" si="43"/>
        <v>-88.504624833727348</v>
      </c>
      <c r="AN22" s="42">
        <f t="shared" ca="1" si="43"/>
        <v>-197.9891043159765</v>
      </c>
    </row>
    <row r="23" spans="1:40" collapsed="1" x14ac:dyDescent="0.25">
      <c r="C23" s="3" t="s">
        <v>59</v>
      </c>
      <c r="D23" s="15">
        <f t="shared" ca="1" si="44"/>
        <v>0.11137810889782074</v>
      </c>
      <c r="E23" s="15">
        <f t="shared" ca="1" si="41"/>
        <v>0.11189033146697924</v>
      </c>
      <c r="F23" s="15">
        <f t="shared" ca="1" si="41"/>
        <v>0.11159997234887631</v>
      </c>
      <c r="G23" s="15">
        <f t="shared" ca="1" si="41"/>
        <v>0.11731989596549397</v>
      </c>
      <c r="H23" s="15">
        <f t="shared" ca="1" si="41"/>
        <v>0.11725893724675163</v>
      </c>
      <c r="I23" s="15">
        <f t="shared" ca="1" si="41"/>
        <v>0.11807423959690211</v>
      </c>
      <c r="K23" s="44"/>
      <c r="L23" s="44"/>
      <c r="M23" s="44"/>
      <c r="N23" s="44"/>
      <c r="O23" s="44"/>
      <c r="Q23" s="43">
        <f t="shared" ca="1" si="45"/>
        <v>-5.1222256915850473</v>
      </c>
      <c r="R23" s="43">
        <f t="shared" ca="1" si="42"/>
        <v>-2.2186345105557059</v>
      </c>
      <c r="S23" s="43">
        <f t="shared" ca="1" si="42"/>
        <v>-59.417870676732321</v>
      </c>
      <c r="T23" s="43">
        <f t="shared" ca="1" si="42"/>
        <v>-58.808283489308891</v>
      </c>
      <c r="U23" s="43">
        <f t="shared" ca="1" si="42"/>
        <v>-66.961306990813711</v>
      </c>
      <c r="W23" s="15" cm="1">
        <f t="array" aca="1" ref="W23" ca="1">INDIRECT("'"&amp;$C$6&amp;"'!"&amp;ADDRESS(ROW(),COLUMN()+44))</f>
        <v>0.11195056290401917</v>
      </c>
      <c r="X23" s="15" cm="1">
        <f t="array" aca="1" ref="X23" ca="1">INDIRECT("'"&amp;$C$6&amp;"'!"&amp;ADDRESS(ROW(),COLUMN()+44))</f>
        <v>0.11256650679778146</v>
      </c>
      <c r="Y23" s="15" cm="1">
        <f t="array" aca="1" ref="Y23" ca="1">INDIRECT("'"&amp;$C$6&amp;"'!"&amp;ADDRESS(ROW(),COLUMN()+44))</f>
        <v>0.11209415533323352</v>
      </c>
      <c r="Z23" s="15" cm="1">
        <f t="array" aca="1" ref="Z23" ca="1">INDIRECT("'"&amp;$C$6&amp;"'!"&amp;ADDRESS(ROW(),COLUMN()+44))</f>
        <v>0.11661895173165804</v>
      </c>
      <c r="AA23" s="15" cm="1">
        <f t="array" aca="1" ref="AA23" ca="1">INDIRECT("'"&amp;$C$6&amp;"'!"&amp;ADDRESS(ROW(),COLUMN()+44))</f>
        <v>0.11759279875473028</v>
      </c>
      <c r="AB23" s="15" cm="1">
        <f t="array" aca="1" ref="AB23" ca="1">INDIRECT("'"&amp;$C$6&amp;"'!"&amp;ADDRESS(ROW(),COLUMN()+44))</f>
        <v>0.11847174226152402</v>
      </c>
      <c r="AD23" s="44"/>
      <c r="AE23" s="44"/>
      <c r="AF23" s="44"/>
      <c r="AG23" s="44"/>
      <c r="AH23" s="44"/>
      <c r="AJ23" s="43">
        <f t="shared" ca="1" si="43"/>
        <v>-6.1594389376229408</v>
      </c>
      <c r="AK23" s="43">
        <f t="shared" ca="1" si="43"/>
        <v>-1.4359242921435644</v>
      </c>
      <c r="AL23" s="43">
        <f t="shared" ca="1" si="43"/>
        <v>-46.6838882763887</v>
      </c>
      <c r="AM23" s="43">
        <f t="shared" ca="1" si="43"/>
        <v>-56.422358507111085</v>
      </c>
      <c r="AN23" s="43">
        <f t="shared" ca="1" si="43"/>
        <v>-65.211793575048475</v>
      </c>
    </row>
    <row r="26" spans="1:40" hidden="1" outlineLevel="1" x14ac:dyDescent="0.25">
      <c r="A26" s="11"/>
      <c r="C26" s="2" t="s">
        <v>0</v>
      </c>
      <c r="D26" s="14">
        <f ca="1">-IFERROR(((1-D44/D14)^(360/D$4))-1,0)</f>
        <v>-5.7323725635762157E-2</v>
      </c>
      <c r="E26" s="14">
        <f t="shared" ref="E26:I29" ca="1" si="46">-IFERROR(((1-E44/E14)^(360/E$4))-1,0)</f>
        <v>-5.6793005471472702E-2</v>
      </c>
      <c r="F26" s="14">
        <f t="shared" ca="1" si="46"/>
        <v>-5.7639054652626864E-2</v>
      </c>
      <c r="G26" s="14">
        <f t="shared" ca="1" si="46"/>
        <v>-6.5226119453547504E-2</v>
      </c>
      <c r="H26" s="14">
        <f t="shared" ca="1" si="46"/>
        <v>-7.2331259185598018E-2</v>
      </c>
      <c r="I26" s="14">
        <f t="shared" ca="1" si="46"/>
        <v>-6.8542710826318576E-2</v>
      </c>
      <c r="K26" s="44"/>
      <c r="L26" s="44"/>
      <c r="M26" s="44"/>
      <c r="N26" s="44"/>
      <c r="O26" s="44"/>
      <c r="Q26" s="42">
        <f ca="1">($D26-E26)*10000</f>
        <v>-5.3072016428945545</v>
      </c>
      <c r="R26" s="42">
        <f t="shared" ref="R26:R29" ca="1" si="47">($D26-F26)*10000</f>
        <v>3.1532901686470716</v>
      </c>
      <c r="S26" s="42">
        <f t="shared" ref="S26:S29" ca="1" si="48">($D26-G26)*10000</f>
        <v>79.023938177853466</v>
      </c>
      <c r="T26" s="42">
        <f t="shared" ref="T26:T29" ca="1" si="49">($D26-H26)*10000</f>
        <v>150.07533549835861</v>
      </c>
      <c r="U26" s="42">
        <f t="shared" ref="U26:U29" ca="1" si="50">($D26-I26)*10000</f>
        <v>112.18985190556418</v>
      </c>
      <c r="W26" s="14" cm="1">
        <f t="array" aca="1" ref="W26" ca="1">INDIRECT("'"&amp;$C$6&amp;"'!"&amp;ADDRESS(ROW(),COLUMN()+44))</f>
        <v>-5.8266489590054871E-2</v>
      </c>
      <c r="X26" s="14" cm="1">
        <f t="array" aca="1" ref="X26" ca="1">INDIRECT("'"&amp;$C$6&amp;"'!"&amp;ADDRESS(ROW(),COLUMN()+44))</f>
        <v>-5.7861331500637991E-2</v>
      </c>
      <c r="Y26" s="14" cm="1">
        <f t="array" aca="1" ref="Y26" ca="1">INDIRECT("'"&amp;$C$6&amp;"'!"&amp;ADDRESS(ROW(),COLUMN()+44))</f>
        <v>-5.8509487501390289E-2</v>
      </c>
      <c r="Z26" s="14" cm="1">
        <f t="array" aca="1" ref="Z26" ca="1">INDIRECT("'"&amp;$C$6&amp;"'!"&amp;ADDRESS(ROW(),COLUMN()+44))</f>
        <v>-6.6763515940362339E-2</v>
      </c>
      <c r="AA26" s="14" cm="1">
        <f t="array" aca="1" ref="AA26" ca="1">INDIRECT("'"&amp;$C$6&amp;"'!"&amp;ADDRESS(ROW(),COLUMN()+44))</f>
        <v>-7.2994065697968846E-2</v>
      </c>
      <c r="AB26" s="14" cm="1">
        <f t="array" aca="1" ref="AB26" ca="1">INDIRECT("'"&amp;$C$6&amp;"'!"&amp;ADDRESS(ROW(),COLUMN()+44))</f>
        <v>-6.4995088481226926E-2</v>
      </c>
      <c r="AD26" s="44"/>
      <c r="AE26" s="44"/>
      <c r="AF26" s="44"/>
      <c r="AG26" s="44"/>
      <c r="AH26" s="44"/>
      <c r="AJ26" s="42">
        <f t="shared" ref="AJ26:AN29" ca="1" si="51">($W26-X26)*10000</f>
        <v>-4.0515808941687936</v>
      </c>
      <c r="AK26" s="42">
        <f t="shared" ca="1" si="51"/>
        <v>2.4299791133541859</v>
      </c>
      <c r="AL26" s="42">
        <f t="shared" ca="1" si="51"/>
        <v>84.970263503074676</v>
      </c>
      <c r="AM26" s="42">
        <f t="shared" ca="1" si="51"/>
        <v>147.27576107913976</v>
      </c>
      <c r="AN26" s="42">
        <f t="shared" ca="1" si="51"/>
        <v>67.285988911720551</v>
      </c>
    </row>
    <row r="27" spans="1:40" hidden="1" outlineLevel="1" x14ac:dyDescent="0.25">
      <c r="A27" s="11"/>
      <c r="C27" s="2" t="s">
        <v>1</v>
      </c>
      <c r="D27" s="14">
        <f t="shared" ref="D27:I29" ca="1" si="52">-IFERROR(((1-D45/D15)^(360/D$4))-1,0)</f>
        <v>-6.1201162142980881E-2</v>
      </c>
      <c r="E27" s="14">
        <f t="shared" ca="1" si="52"/>
        <v>-5.7238902916850298E-2</v>
      </c>
      <c r="F27" s="14">
        <f t="shared" ca="1" si="52"/>
        <v>-6.1211607879303243E-2</v>
      </c>
      <c r="G27" s="14">
        <f t="shared" ca="1" si="52"/>
        <v>-6.508277618623648E-2</v>
      </c>
      <c r="H27" s="14">
        <f t="shared" ca="1" si="52"/>
        <v>-6.9448694418875689E-2</v>
      </c>
      <c r="I27" s="14">
        <f t="shared" ca="1" si="52"/>
        <v>-5.967208074151098E-2</v>
      </c>
      <c r="K27" s="44"/>
      <c r="L27" s="44"/>
      <c r="M27" s="44"/>
      <c r="N27" s="44"/>
      <c r="O27" s="44"/>
      <c r="Q27" s="42">
        <f t="shared" ref="Q27:Q29" ca="1" si="53">($D27-E27)*10000</f>
        <v>-39.622592261305826</v>
      </c>
      <c r="R27" s="42">
        <f t="shared" ca="1" si="47"/>
        <v>0.10445736322362009</v>
      </c>
      <c r="S27" s="42">
        <f t="shared" ca="1" si="48"/>
        <v>38.81614043255599</v>
      </c>
      <c r="T27" s="42">
        <f t="shared" ca="1" si="49"/>
        <v>82.475322758948096</v>
      </c>
      <c r="U27" s="42">
        <f t="shared" ca="1" si="50"/>
        <v>-15.290814014699006</v>
      </c>
      <c r="W27" s="14" cm="1">
        <f t="array" aca="1" ref="W27" ca="1">INDIRECT("'"&amp;$C$6&amp;"'!"&amp;ADDRESS(ROW(),COLUMN()+44))</f>
        <v>-6.1453175602631527E-2</v>
      </c>
      <c r="X27" s="14" cm="1">
        <f t="array" aca="1" ref="X27" ca="1">INDIRECT("'"&amp;$C$6&amp;"'!"&amp;ADDRESS(ROW(),COLUMN()+44))</f>
        <v>-5.939236733727471E-2</v>
      </c>
      <c r="Y27" s="14" cm="1">
        <f t="array" aca="1" ref="Y27" ca="1">INDIRECT("'"&amp;$C$6&amp;"'!"&amp;ADDRESS(ROW(),COLUMN()+44))</f>
        <v>-6.1534928841556757E-2</v>
      </c>
      <c r="Z27" s="14" cm="1">
        <f t="array" aca="1" ref="Z27" ca="1">INDIRECT("'"&amp;$C$6&amp;"'!"&amp;ADDRESS(ROW(),COLUMN()+44))</f>
        <v>-6.6536457058662624E-2</v>
      </c>
      <c r="AA27" s="14" cm="1">
        <f t="array" aca="1" ref="AA27" ca="1">INDIRECT("'"&amp;$C$6&amp;"'!"&amp;ADDRESS(ROW(),COLUMN()+44))</f>
        <v>-6.8231683778715135E-2</v>
      </c>
      <c r="AB27" s="14" cm="1">
        <f t="array" aca="1" ref="AB27" ca="1">INDIRECT("'"&amp;$C$6&amp;"'!"&amp;ADDRESS(ROW(),COLUMN()+44))</f>
        <v>-5.6855971124091242E-2</v>
      </c>
      <c r="AD27" s="44"/>
      <c r="AE27" s="44"/>
      <c r="AF27" s="44"/>
      <c r="AG27" s="44"/>
      <c r="AH27" s="44"/>
      <c r="AJ27" s="42">
        <f t="shared" ca="1" si="51"/>
        <v>-20.608082653568172</v>
      </c>
      <c r="AK27" s="42">
        <f t="shared" ca="1" si="51"/>
        <v>0.81753238925230676</v>
      </c>
      <c r="AL27" s="42">
        <f t="shared" ca="1" si="51"/>
        <v>50.832814560310965</v>
      </c>
      <c r="AM27" s="42">
        <f t="shared" ca="1" si="51"/>
        <v>67.785081760836079</v>
      </c>
      <c r="AN27" s="42">
        <f t="shared" ca="1" si="51"/>
        <v>-45.972044785402844</v>
      </c>
    </row>
    <row r="28" spans="1:40" hidden="1" outlineLevel="1" x14ac:dyDescent="0.25">
      <c r="A28" s="11"/>
      <c r="C28" s="2" t="s">
        <v>45</v>
      </c>
      <c r="D28" s="14">
        <f t="shared" ca="1" si="52"/>
        <v>-5.6536271216045542E-2</v>
      </c>
      <c r="E28" s="14">
        <f t="shared" ca="1" si="46"/>
        <v>-6.1129681313655926E-2</v>
      </c>
      <c r="F28" s="14">
        <f t="shared" ca="1" si="46"/>
        <v>-5.5789993103533719E-2</v>
      </c>
      <c r="G28" s="14">
        <f t="shared" ca="1" si="46"/>
        <v>-6.5814474859728689E-2</v>
      </c>
      <c r="H28" s="14">
        <f t="shared" ca="1" si="46"/>
        <v>-6.8826652847109093E-2</v>
      </c>
      <c r="I28" s="14">
        <f t="shared" ca="1" si="46"/>
        <v>-3.9940912492100189E-2</v>
      </c>
      <c r="K28" s="44"/>
      <c r="L28" s="44"/>
      <c r="M28" s="44"/>
      <c r="N28" s="44"/>
      <c r="O28" s="44"/>
      <c r="Q28" s="42">
        <f t="shared" ca="1" si="53"/>
        <v>45.934100976103842</v>
      </c>
      <c r="R28" s="42">
        <f t="shared" ca="1" si="47"/>
        <v>-7.462781125118223</v>
      </c>
      <c r="S28" s="42">
        <f t="shared" ca="1" si="48"/>
        <v>92.782036436831476</v>
      </c>
      <c r="T28" s="42">
        <f t="shared" ca="1" si="49"/>
        <v>122.90381631063552</v>
      </c>
      <c r="U28" s="42">
        <f t="shared" ca="1" si="50"/>
        <v>-165.95358723945353</v>
      </c>
      <c r="W28" s="14" cm="1">
        <f t="array" aca="1" ref="W28" ca="1">INDIRECT("'"&amp;$C$6&amp;"'!"&amp;ADDRESS(ROW(),COLUMN()+44))</f>
        <v>-5.6001441551509989E-2</v>
      </c>
      <c r="X28" s="14" cm="1">
        <f t="array" aca="1" ref="X28" ca="1">INDIRECT("'"&amp;$C$6&amp;"'!"&amp;ADDRESS(ROW(),COLUMN()+44))</f>
        <v>-5.9798828835754492E-2</v>
      </c>
      <c r="Y28" s="14" cm="1">
        <f t="array" aca="1" ref="Y28" ca="1">INDIRECT("'"&amp;$C$6&amp;"'!"&amp;ADDRESS(ROW(),COLUMN()+44))</f>
        <v>-5.5885258223468792E-2</v>
      </c>
      <c r="Z28" s="14" cm="1">
        <f t="array" aca="1" ref="Z28" ca="1">INDIRECT("'"&amp;$C$6&amp;"'!"&amp;ADDRESS(ROW(),COLUMN()+44))</f>
        <v>-6.6820171133608941E-2</v>
      </c>
      <c r="AA28" s="14" cm="1">
        <f t="array" aca="1" ref="AA28" ca="1">INDIRECT("'"&amp;$C$6&amp;"'!"&amp;ADDRESS(ROW(),COLUMN()+44))</f>
        <v>-6.7442073631436061E-2</v>
      </c>
      <c r="AB28" s="14" cm="1">
        <f t="array" aca="1" ref="AB28" ca="1">INDIRECT("'"&amp;$C$6&amp;"'!"&amp;ADDRESS(ROW(),COLUMN()+44))</f>
        <v>-3.906441266421723E-2</v>
      </c>
      <c r="AD28" s="44"/>
      <c r="AE28" s="44"/>
      <c r="AF28" s="44"/>
      <c r="AG28" s="44"/>
      <c r="AH28" s="44"/>
      <c r="AJ28" s="42">
        <f t="shared" ca="1" si="51"/>
        <v>37.973872842445019</v>
      </c>
      <c r="AK28" s="42">
        <f t="shared" ca="1" si="51"/>
        <v>-1.1618332804119724</v>
      </c>
      <c r="AL28" s="42">
        <f t="shared" ca="1" si="51"/>
        <v>108.18729582098952</v>
      </c>
      <c r="AM28" s="42">
        <f t="shared" ca="1" si="51"/>
        <v>114.40632079926073</v>
      </c>
      <c r="AN28" s="42">
        <f t="shared" ca="1" si="51"/>
        <v>-169.3702888729276</v>
      </c>
    </row>
    <row r="29" spans="1:40" collapsed="1" x14ac:dyDescent="0.25">
      <c r="C29" s="3" t="s">
        <v>60</v>
      </c>
      <c r="D29" s="15">
        <f t="shared" ca="1" si="52"/>
        <v>-5.7326134381774807E-2</v>
      </c>
      <c r="E29" s="15">
        <f t="shared" ca="1" si="46"/>
        <v>-5.687432649780777E-2</v>
      </c>
      <c r="F29" s="15">
        <f t="shared" ca="1" si="46"/>
        <v>-5.7617914792827518E-2</v>
      </c>
      <c r="G29" s="15">
        <f t="shared" ca="1" si="46"/>
        <v>-6.5235375534262285E-2</v>
      </c>
      <c r="H29" s="15">
        <f t="shared" ca="1" si="46"/>
        <v>-7.2273730340795428E-2</v>
      </c>
      <c r="I29" s="15">
        <f t="shared" ca="1" si="46"/>
        <v>-6.8053084856959822E-2</v>
      </c>
      <c r="K29" s="44"/>
      <c r="L29" s="44"/>
      <c r="M29" s="44"/>
      <c r="N29" s="44"/>
      <c r="O29" s="44"/>
      <c r="Q29" s="43">
        <f t="shared" ca="1" si="53"/>
        <v>-4.5180788396703697</v>
      </c>
      <c r="R29" s="43">
        <f t="shared" ca="1" si="47"/>
        <v>2.9178041105271113</v>
      </c>
      <c r="S29" s="43">
        <f t="shared" ca="1" si="48"/>
        <v>79.092411524874791</v>
      </c>
      <c r="T29" s="43">
        <f t="shared" ca="1" si="49"/>
        <v>149.4759595902062</v>
      </c>
      <c r="U29" s="43">
        <f t="shared" ca="1" si="50"/>
        <v>107.26950475185015</v>
      </c>
      <c r="W29" s="15" cm="1">
        <f t="array" aca="1" ref="W29" ca="1">INDIRECT("'"&amp;$C$6&amp;"'!"&amp;ADDRESS(ROW(),COLUMN()+44))</f>
        <v>-5.823239217336118E-2</v>
      </c>
      <c r="X29" s="15" cm="1">
        <f t="array" aca="1" ref="X29" ca="1">INDIRECT("'"&amp;$C$6&amp;"'!"&amp;ADDRESS(ROW(),COLUMN()+44))</f>
        <v>-5.7905758180050393E-2</v>
      </c>
      <c r="Y29" s="15" cm="1">
        <f t="array" aca="1" ref="Y29" ca="1">INDIRECT("'"&amp;$C$6&amp;"'!"&amp;ADDRESS(ROW(),COLUMN()+44))</f>
        <v>-5.8466125917575162E-2</v>
      </c>
      <c r="Z29" s="15" cm="1">
        <f t="array" aca="1" ref="Z29" ca="1">INDIRECT("'"&amp;$C$6&amp;"'!"&amp;ADDRESS(ROW(),COLUMN()+44))</f>
        <v>-6.6763532241838952E-2</v>
      </c>
      <c r="AA29" s="15" cm="1">
        <f t="array" aca="1" ref="AA29" ca="1">INDIRECT("'"&amp;$C$6&amp;"'!"&amp;ADDRESS(ROW(),COLUMN()+44))</f>
        <v>-7.2896837865202624E-2</v>
      </c>
      <c r="AB29" s="15" cm="1">
        <f t="array" aca="1" ref="AB29" ca="1">INDIRECT("'"&amp;$C$6&amp;"'!"&amp;ADDRESS(ROW(),COLUMN()+44))</f>
        <v>-6.4522231026847621E-2</v>
      </c>
      <c r="AD29" s="44"/>
      <c r="AE29" s="44"/>
      <c r="AF29" s="44"/>
      <c r="AG29" s="44"/>
      <c r="AH29" s="44"/>
      <c r="AJ29" s="43">
        <f t="shared" ca="1" si="51"/>
        <v>-3.2663399331078757</v>
      </c>
      <c r="AK29" s="43">
        <f t="shared" ca="1" si="51"/>
        <v>2.3373374421398196</v>
      </c>
      <c r="AL29" s="43">
        <f t="shared" ca="1" si="51"/>
        <v>85.311400684777709</v>
      </c>
      <c r="AM29" s="43">
        <f t="shared" ca="1" si="51"/>
        <v>146.64445691841445</v>
      </c>
      <c r="AN29" s="43">
        <f t="shared" ca="1" si="51"/>
        <v>62.898388534864402</v>
      </c>
    </row>
    <row r="32" spans="1:40" hidden="1" outlineLevel="1" x14ac:dyDescent="0.25">
      <c r="A32" s="11"/>
      <c r="C32" s="2" t="s">
        <v>0</v>
      </c>
      <c r="D32" s="14">
        <f ca="1">D20+D26</f>
        <v>5.6060976543998553E-2</v>
      </c>
      <c r="E32" s="14">
        <f t="shared" ref="E32:I32" ca="1" si="54">E20+E26</f>
        <v>5.6574067851234311E-2</v>
      </c>
      <c r="F32" s="14">
        <f t="shared" ca="1" si="54"/>
        <v>5.5991449747627042E-2</v>
      </c>
      <c r="G32" s="14">
        <f t="shared" ca="1" si="54"/>
        <v>5.370356517921171E-2</v>
      </c>
      <c r="H32" s="14">
        <f t="shared" ca="1" si="54"/>
        <v>4.6009144552018322E-2</v>
      </c>
      <c r="I32" s="14">
        <f t="shared" ca="1" si="54"/>
        <v>5.0791899885421987E-2</v>
      </c>
      <c r="K32" s="44"/>
      <c r="L32" s="44"/>
      <c r="M32" s="44"/>
      <c r="N32" s="44"/>
      <c r="O32" s="44"/>
      <c r="Q32" s="42">
        <f ca="1">($D32-E32)*10000</f>
        <v>-5.1309130723575791</v>
      </c>
      <c r="R32" s="42">
        <f t="shared" ref="R32:R35" ca="1" si="55">($D32-F32)*10000</f>
        <v>0.69526796371510713</v>
      </c>
      <c r="S32" s="42">
        <f t="shared" ref="S32:S35" ca="1" si="56">($D32-G32)*10000</f>
        <v>23.574113647868433</v>
      </c>
      <c r="T32" s="42">
        <f t="shared" ref="T32:T35" ca="1" si="57">($D32-H32)*10000</f>
        <v>100.51831991980231</v>
      </c>
      <c r="U32" s="42">
        <f t="shared" ref="U32:U35" ca="1" si="58">($D32-I32)*10000</f>
        <v>52.690766585765658</v>
      </c>
      <c r="W32" s="14">
        <f ca="1">W20+W26</f>
        <v>5.5746846777561698E-2</v>
      </c>
      <c r="X32" s="14">
        <f t="shared" ref="X32:AB32" ca="1" si="59">X20+X26</f>
        <v>5.6270565467961386E-2</v>
      </c>
      <c r="Y32" s="14">
        <f t="shared" ca="1" si="59"/>
        <v>5.5661745125119566E-2</v>
      </c>
      <c r="Z32" s="14">
        <f t="shared" ca="1" si="59"/>
        <v>5.152191720219923E-2</v>
      </c>
      <c r="AA32" s="14">
        <f t="shared" ca="1" si="59"/>
        <v>4.5814571338304022E-2</v>
      </c>
      <c r="AB32" s="14">
        <f t="shared" ca="1" si="59"/>
        <v>5.4775930954630514E-2</v>
      </c>
      <c r="AD32" s="44"/>
      <c r="AE32" s="44"/>
      <c r="AF32" s="44"/>
      <c r="AG32" s="44"/>
      <c r="AH32" s="44"/>
      <c r="AJ32" s="42">
        <f t="shared" ref="AJ32:AN35" ca="1" si="60">($W32-X32)*10000</f>
        <v>-5.2371869039968821</v>
      </c>
      <c r="AK32" s="42">
        <f t="shared" ca="1" si="60"/>
        <v>0.85101652442132192</v>
      </c>
      <c r="AL32" s="42">
        <f t="shared" ca="1" si="60"/>
        <v>42.249295753624679</v>
      </c>
      <c r="AM32" s="42">
        <f t="shared" ca="1" si="60"/>
        <v>99.322754392576769</v>
      </c>
      <c r="AN32" s="42">
        <f t="shared" ca="1" si="60"/>
        <v>9.7091582293118428</v>
      </c>
    </row>
    <row r="33" spans="1:40" hidden="1" outlineLevel="1" x14ac:dyDescent="0.25">
      <c r="A33" s="11"/>
      <c r="C33" s="2" t="s">
        <v>1</v>
      </c>
      <c r="D33" s="14">
        <f t="shared" ref="D33:I35" ca="1" si="61">D21+D27</f>
        <v>4.6588242184210094E-2</v>
      </c>
      <c r="E33" s="14">
        <f t="shared" ca="1" si="61"/>
        <v>5.6797005946321644E-2</v>
      </c>
      <c r="F33" s="14">
        <f t="shared" ca="1" si="61"/>
        <v>4.9777664967518787E-2</v>
      </c>
      <c r="G33" s="14">
        <f t="shared" ca="1" si="61"/>
        <v>5.0644492802032648E-2</v>
      </c>
      <c r="H33" s="14">
        <f t="shared" ca="1" si="61"/>
        <v>4.7261261287221412E-2</v>
      </c>
      <c r="I33" s="14">
        <f t="shared" ca="1" si="61"/>
        <v>4.2951662467030749E-2</v>
      </c>
      <c r="K33" s="44"/>
      <c r="L33" s="44"/>
      <c r="M33" s="44"/>
      <c r="N33" s="44"/>
      <c r="O33" s="44"/>
      <c r="Q33" s="42">
        <f t="shared" ref="Q33:Q35" ca="1" si="62">($D33-E33)*10000</f>
        <v>-102.0876376211155</v>
      </c>
      <c r="R33" s="42">
        <f t="shared" ca="1" si="55"/>
        <v>-31.89422783308693</v>
      </c>
      <c r="S33" s="42">
        <f t="shared" ca="1" si="56"/>
        <v>-40.562506178225547</v>
      </c>
      <c r="T33" s="42">
        <f t="shared" ca="1" si="57"/>
        <v>-6.7301910301131862</v>
      </c>
      <c r="U33" s="42">
        <f t="shared" ca="1" si="58"/>
        <v>36.365797171793446</v>
      </c>
      <c r="W33" s="14">
        <f t="shared" ref="W33:AB33" ca="1" si="63">W21+W27</f>
        <v>4.9498825065960039E-2</v>
      </c>
      <c r="X33" s="14">
        <f t="shared" ca="1" si="63"/>
        <v>5.749755835782322E-2</v>
      </c>
      <c r="Y33" s="14">
        <f t="shared" ca="1" si="63"/>
        <v>5.0172029883394531E-2</v>
      </c>
      <c r="Z33" s="14">
        <f t="shared" ca="1" si="63"/>
        <v>4.9337757424021689E-2</v>
      </c>
      <c r="AA33" s="14">
        <f t="shared" ca="1" si="63"/>
        <v>4.4418103254714181E-2</v>
      </c>
      <c r="AB33" s="14">
        <f t="shared" ca="1" si="63"/>
        <v>5.2685437447463679E-2</v>
      </c>
      <c r="AD33" s="44"/>
      <c r="AE33" s="44"/>
      <c r="AF33" s="44"/>
      <c r="AG33" s="44"/>
      <c r="AH33" s="44"/>
      <c r="AJ33" s="42">
        <f t="shared" ca="1" si="60"/>
        <v>-79.987332918631807</v>
      </c>
      <c r="AK33" s="42">
        <f t="shared" ca="1" si="60"/>
        <v>-6.7320481743449179</v>
      </c>
      <c r="AL33" s="42">
        <f t="shared" ca="1" si="60"/>
        <v>1.6106764193835055</v>
      </c>
      <c r="AM33" s="42">
        <f t="shared" ca="1" si="60"/>
        <v>50.807218112458585</v>
      </c>
      <c r="AN33" s="42">
        <f t="shared" ca="1" si="60"/>
        <v>-31.866123815036396</v>
      </c>
    </row>
    <row r="34" spans="1:40" hidden="1" outlineLevel="1" x14ac:dyDescent="0.25">
      <c r="A34" s="11"/>
      <c r="C34" s="2" t="s">
        <v>45</v>
      </c>
      <c r="D34" s="14">
        <f t="shared" ca="1" si="61"/>
        <v>-3.1652913857525666E-2</v>
      </c>
      <c r="E34" s="14">
        <f t="shared" ca="1" si="61"/>
        <v>-2.6203569270313531E-2</v>
      </c>
      <c r="F34" s="14">
        <f t="shared" ca="1" si="61"/>
        <v>-3.2849316068334522E-2</v>
      </c>
      <c r="G34" s="14">
        <f t="shared" ca="1" si="61"/>
        <v>-3.7770040817885375E-2</v>
      </c>
      <c r="H34" s="14">
        <f t="shared" ca="1" si="61"/>
        <v>-3.0089404912821971E-2</v>
      </c>
      <c r="I34" s="14">
        <f t="shared" ca="1" si="61"/>
        <v>4.8810797925065152E-3</v>
      </c>
      <c r="K34" s="44"/>
      <c r="L34" s="44"/>
      <c r="M34" s="44"/>
      <c r="N34" s="44"/>
      <c r="O34" s="44"/>
      <c r="Q34" s="42">
        <f t="shared" ca="1" si="62"/>
        <v>-54.493445872121349</v>
      </c>
      <c r="R34" s="42">
        <f t="shared" ca="1" si="55"/>
        <v>11.964022108088557</v>
      </c>
      <c r="S34" s="42">
        <f t="shared" ca="1" si="56"/>
        <v>61.171269603597089</v>
      </c>
      <c r="T34" s="42">
        <f t="shared" ca="1" si="57"/>
        <v>-15.635089447036954</v>
      </c>
      <c r="U34" s="42">
        <f t="shared" ca="1" si="58"/>
        <v>-365.33993650032181</v>
      </c>
      <c r="W34" s="14">
        <f t="shared" ref="W34:AB34" ca="1" si="64">W22+W28</f>
        <v>-3.0228436920785473E-2</v>
      </c>
      <c r="X34" s="14">
        <f t="shared" ca="1" si="64"/>
        <v>-2.6040131153356905E-2</v>
      </c>
      <c r="Y34" s="14">
        <f t="shared" ca="1" si="64"/>
        <v>-2.9899111174369164E-2</v>
      </c>
      <c r="Z34" s="14">
        <f t="shared" ca="1" si="64"/>
        <v>-4.1330711164223599E-2</v>
      </c>
      <c r="AA34" s="14">
        <f t="shared" ca="1" si="64"/>
        <v>-3.2818606517338811E-2</v>
      </c>
      <c r="AB34" s="14">
        <f t="shared" ca="1" si="64"/>
        <v>6.5075023981049362E-3</v>
      </c>
      <c r="AD34" s="44"/>
      <c r="AE34" s="44"/>
      <c r="AF34" s="44"/>
      <c r="AG34" s="44"/>
      <c r="AH34" s="44"/>
      <c r="AJ34" s="42">
        <f t="shared" ca="1" si="60"/>
        <v>-41.883057674285681</v>
      </c>
      <c r="AK34" s="42">
        <f t="shared" ca="1" si="60"/>
        <v>-3.2932574641630907</v>
      </c>
      <c r="AL34" s="42">
        <f t="shared" ca="1" si="60"/>
        <v>111.02274243438126</v>
      </c>
      <c r="AM34" s="42">
        <f t="shared" ca="1" si="60"/>
        <v>25.901695965533378</v>
      </c>
      <c r="AN34" s="42">
        <f t="shared" ca="1" si="60"/>
        <v>-367.35939318890411</v>
      </c>
    </row>
    <row r="35" spans="1:40" collapsed="1" x14ac:dyDescent="0.25">
      <c r="C35" s="3" t="s">
        <v>63</v>
      </c>
      <c r="D35" s="15">
        <f t="shared" ca="1" si="61"/>
        <v>5.4051974516045931E-2</v>
      </c>
      <c r="E35" s="15">
        <f t="shared" ca="1" si="61"/>
        <v>5.5016004969171473E-2</v>
      </c>
      <c r="F35" s="15">
        <f t="shared" ca="1" si="61"/>
        <v>5.398205755604879E-2</v>
      </c>
      <c r="G35" s="15">
        <f t="shared" ca="1" si="61"/>
        <v>5.2084520431231685E-2</v>
      </c>
      <c r="H35" s="15">
        <f t="shared" ca="1" si="61"/>
        <v>4.4985206905956199E-2</v>
      </c>
      <c r="I35" s="15">
        <f t="shared" ca="1" si="61"/>
        <v>5.0021154739942286E-2</v>
      </c>
      <c r="K35" s="44"/>
      <c r="L35" s="44"/>
      <c r="M35" s="44"/>
      <c r="N35" s="44"/>
      <c r="O35" s="44"/>
      <c r="Q35" s="43">
        <f t="shared" ca="1" si="62"/>
        <v>-9.640304531255417</v>
      </c>
      <c r="R35" s="43">
        <f t="shared" ca="1" si="55"/>
        <v>0.69916959997140538</v>
      </c>
      <c r="S35" s="43">
        <f t="shared" ca="1" si="56"/>
        <v>19.674540848142463</v>
      </c>
      <c r="T35" s="43">
        <f t="shared" ca="1" si="57"/>
        <v>90.667676100897324</v>
      </c>
      <c r="U35" s="43">
        <f t="shared" ca="1" si="58"/>
        <v>40.308197761036446</v>
      </c>
      <c r="W35" s="15">
        <f t="shared" ref="W35:AB35" ca="1" si="65">W23+W29</f>
        <v>5.3718170730657988E-2</v>
      </c>
      <c r="X35" s="15">
        <f t="shared" ca="1" si="65"/>
        <v>5.466074861773107E-2</v>
      </c>
      <c r="Y35" s="15">
        <f t="shared" ca="1" si="65"/>
        <v>5.3628029415658363E-2</v>
      </c>
      <c r="Z35" s="15">
        <f t="shared" ca="1" si="65"/>
        <v>4.9855419489819086E-2</v>
      </c>
      <c r="AA35" s="15">
        <f t="shared" ca="1" si="65"/>
        <v>4.4695960889527653E-2</v>
      </c>
      <c r="AB35" s="15">
        <f t="shared" ca="1" si="65"/>
        <v>5.3949511234676395E-2</v>
      </c>
      <c r="AD35" s="44"/>
      <c r="AE35" s="44"/>
      <c r="AF35" s="44"/>
      <c r="AG35" s="44"/>
      <c r="AH35" s="44"/>
      <c r="AJ35" s="43">
        <f t="shared" ca="1" si="60"/>
        <v>-9.4257788707308165</v>
      </c>
      <c r="AK35" s="43">
        <f t="shared" ca="1" si="60"/>
        <v>0.90141314999625521</v>
      </c>
      <c r="AL35" s="43">
        <f t="shared" ca="1" si="60"/>
        <v>38.627512408389023</v>
      </c>
      <c r="AM35" s="43">
        <f t="shared" ca="1" si="60"/>
        <v>90.22209841130335</v>
      </c>
      <c r="AN35" s="43">
        <f t="shared" ca="1" si="60"/>
        <v>-2.3134050401840689</v>
      </c>
    </row>
    <row r="38" spans="1:40" hidden="1" outlineLevel="1" x14ac:dyDescent="0.25">
      <c r="A38" s="11" t="s">
        <v>55</v>
      </c>
      <c r="C38" s="2" t="s">
        <v>0</v>
      </c>
      <c r="D38" s="8" cm="1">
        <f t="array" aca="1" ref="D38" ca="1">_xlfn.XLOOKUP(1,
 (INDIRECT("'"&amp;$C$6&amp;"'!$6:$6")=D$6)*
 (INDIRECT("'"&amp;$C$6&amp;"'!$5:$5")=D$5),
 INDIRECT("'"&amp;$C$6&amp;"'!"&amp;ROW()&amp;":"&amp;ROW())
)</f>
        <v>49630.63508426</v>
      </c>
      <c r="E38" s="8" cm="1">
        <f t="array" aca="1" ref="E38" ca="1">_xlfn.XLOOKUP(1,
 (INDIRECT("'"&amp;$C$6&amp;"'!$6:$6")=E$6)*
 (INDIRECT("'"&amp;$C$6&amp;"'!$5:$5")=E$5),
 INDIRECT("'"&amp;$C$6&amp;"'!"&amp;ROW()&amp;":"&amp;ROW())
)</f>
        <v>52663.870937288666</v>
      </c>
      <c r="F38" s="8" cm="1">
        <f t="array" aca="1" ref="F38" ca="1">_xlfn.XLOOKUP(1,
 (INDIRECT("'"&amp;$C$6&amp;"'!$6:$6")=F$6)*
 (INDIRECT("'"&amp;$C$6&amp;"'!$5:$5")=F$5),
 INDIRECT("'"&amp;$C$6&amp;"'!"&amp;ROW()&amp;":"&amp;ROW())
)</f>
        <v>49552.001291450004</v>
      </c>
      <c r="G38" s="8" cm="1">
        <f t="array" aca="1" ref="G38" ca="1">_xlfn.XLOOKUP(1,
 (INDIRECT("'"&amp;$C$6&amp;"'!$6:$6")=G$6)*
 (INDIRECT("'"&amp;$C$6&amp;"'!$5:$5")=G$5),
 INDIRECT("'"&amp;$C$6&amp;"'!"&amp;ROW()&amp;":"&amp;ROW())
)</f>
        <v>52669.271532090002</v>
      </c>
      <c r="H38" s="8" cm="1">
        <f t="array" aca="1" ref="H38" ca="1">_xlfn.XLOOKUP(1,
 (INDIRECT("'"&amp;$C$6&amp;"'!$6:$6")=H$6)*
 (INDIRECT("'"&amp;$C$6&amp;"'!$5:$5")=H$5),
 INDIRECT("'"&amp;$C$6&amp;"'!"&amp;ROW()&amp;":"&amp;ROW())
)</f>
        <v>52493.64268211001</v>
      </c>
      <c r="I38" s="8" cm="1">
        <f t="array" aca="1" ref="I38" ca="1">_xlfn.XLOOKUP(1,
 (INDIRECT("'"&amp;$C$6&amp;"'!$6:$6")=I$6)*
 (INDIRECT("'"&amp;$C$6&amp;"'!$5:$5")=I$5),
 INDIRECT("'"&amp;$C$6&amp;"'!"&amp;ROW()&amp;":"&amp;ROW())
)</f>
        <v>46108.015957150012</v>
      </c>
      <c r="K38" s="34">
        <f ca="1">$D38-E38</f>
        <v>-3033.2358530286656</v>
      </c>
      <c r="L38" s="34">
        <f t="shared" ref="L38:L41" ca="1" si="66">$D38-F38</f>
        <v>78.633792809996521</v>
      </c>
      <c r="M38" s="34">
        <f t="shared" ref="M38:M41" ca="1" si="67">$D38-G38</f>
        <v>-3038.636447830002</v>
      </c>
      <c r="N38" s="34">
        <f t="shared" ref="N38:N41" ca="1" si="68">$D38-H38</f>
        <v>-2863.0075978500099</v>
      </c>
      <c r="O38" s="34">
        <f t="shared" ref="O38:O41" ca="1" si="69">$D38-I38</f>
        <v>3522.6191271099888</v>
      </c>
      <c r="Q38" s="36">
        <f ca="1">IFERROR($D38/E38-1,0)</f>
        <v>-5.7596143220094764E-2</v>
      </c>
      <c r="R38" s="36">
        <f t="shared" ref="R38:R41" ca="1" si="70">IFERROR($D38/F38-1,0)</f>
        <v>1.5868943889369991E-3</v>
      </c>
      <c r="S38" s="36">
        <f t="shared" ref="S38:S41" ca="1" si="71">IFERROR($D38/G38-1,0)</f>
        <v>-5.7692775302172983E-2</v>
      </c>
      <c r="T38" s="36">
        <f t="shared" ref="T38:T41" ca="1" si="72">IFERROR($D38/H38-1,0)</f>
        <v>-5.4540082409364476E-2</v>
      </c>
      <c r="U38" s="36">
        <f t="shared" ref="U38:U41" ca="1" si="73">IFERROR($D38/I38-1,0)</f>
        <v>7.63992779560001E-2</v>
      </c>
      <c r="W38" s="8" cm="1">
        <f t="array" aca="1" ref="W38" ca="1">INDIRECT("'"&amp;$C$6&amp;"'!"&amp;ADDRESS(ROW(),COLUMN()+44))</f>
        <v>248595.08015744999</v>
      </c>
      <c r="X38" s="8" cm="1">
        <f t="array" aca="1" ref="X38" ca="1">INDIRECT("'"&amp;$C$6&amp;"'!"&amp;ADDRESS(ROW(),COLUMN()+44))</f>
        <v>262684.96128914895</v>
      </c>
      <c r="Y38" s="8" cm="1">
        <f t="array" aca="1" ref="Y38" ca="1">INDIRECT("'"&amp;$C$6&amp;"'!"&amp;ADDRESS(ROW(),COLUMN()+44))</f>
        <v>198964.44507319</v>
      </c>
      <c r="Z38" s="8" cm="1">
        <f t="array" aca="1" ref="Z38" ca="1">INDIRECT("'"&amp;$C$6&amp;"'!"&amp;ADDRESS(ROW(),COLUMN()+44))</f>
        <v>262223.38495908002</v>
      </c>
      <c r="AA38" s="8" cm="1">
        <f t="array" aca="1" ref="AA38" ca="1">INDIRECT("'"&amp;$C$6&amp;"'!"&amp;ADDRESS(ROW(),COLUMN()+44))</f>
        <v>256082.11894575003</v>
      </c>
      <c r="AB38" s="8" cm="1">
        <f t="array" aca="1" ref="AB38" ca="1">INDIRECT("'"&amp;$C$6&amp;"'!"&amp;ADDRESS(ROW(),COLUMN()+44))</f>
        <v>225636.71559787</v>
      </c>
      <c r="AD38" s="34">
        <f t="shared" ref="AD38:AH41" ca="1" si="74">$W38-X38</f>
        <v>-14089.88113169896</v>
      </c>
      <c r="AE38" s="34">
        <f t="shared" ca="1" si="74"/>
        <v>49630.635084259993</v>
      </c>
      <c r="AF38" s="34">
        <f t="shared" ca="1" si="74"/>
        <v>-13628.304801630031</v>
      </c>
      <c r="AG38" s="34">
        <f t="shared" ca="1" si="74"/>
        <v>-7487.0387883000367</v>
      </c>
      <c r="AH38" s="34">
        <f t="shared" ca="1" si="74"/>
        <v>22958.36455957999</v>
      </c>
      <c r="AJ38" s="36">
        <f t="shared" ref="AJ38:AN41" ca="1" si="75">IFERROR($W38/X38-1,0)</f>
        <v>-5.3637943575268521E-2</v>
      </c>
      <c r="AK38" s="36">
        <f t="shared" ca="1" si="75"/>
        <v>0.24944474408984552</v>
      </c>
      <c r="AL38" s="36">
        <f t="shared" ca="1" si="75"/>
        <v>-5.1972118366776177E-2</v>
      </c>
      <c r="AM38" s="36">
        <f t="shared" ca="1" si="75"/>
        <v>-2.9236866748537538E-2</v>
      </c>
      <c r="AN38" s="36">
        <f t="shared" ca="1" si="75"/>
        <v>0.10174924102554495</v>
      </c>
    </row>
    <row r="39" spans="1:40" hidden="1" outlineLevel="1" x14ac:dyDescent="0.25">
      <c r="A39" s="11" t="s">
        <v>55</v>
      </c>
      <c r="C39" s="2" t="s">
        <v>1</v>
      </c>
      <c r="D39" s="8" cm="1">
        <f t="array" aca="1" ref="D39" ca="1">_xlfn.XLOOKUP(1,
 (INDIRECT("'"&amp;$C$6&amp;"'!$6:$6")=D$6)*
 (INDIRECT("'"&amp;$C$6&amp;"'!$5:$5")=D$5),
 INDIRECT("'"&amp;$C$6&amp;"'!"&amp;ROW()&amp;":"&amp;ROW())
)</f>
        <v>243.25409000000002</v>
      </c>
      <c r="E39" s="8" cm="1">
        <f t="array" aca="1" ref="E39" ca="1">_xlfn.XLOOKUP(1,
 (INDIRECT("'"&amp;$C$6&amp;"'!$6:$6")=E$6)*
 (INDIRECT("'"&amp;$C$6&amp;"'!$5:$5")=E$5),
 INDIRECT("'"&amp;$C$6&amp;"'!"&amp;ROW()&amp;":"&amp;ROW())
)</f>
        <v>275.47290236241389</v>
      </c>
      <c r="F39" s="8" cm="1">
        <f t="array" aca="1" ref="F39" ca="1">_xlfn.XLOOKUP(1,
 (INDIRECT("'"&amp;$C$6&amp;"'!$6:$6")=F$6)*
 (INDIRECT("'"&amp;$C$6&amp;"'!$5:$5")=F$5),
 INDIRECT("'"&amp;$C$6&amp;"'!"&amp;ROW()&amp;":"&amp;ROW())
)</f>
        <v>257.99223999999998</v>
      </c>
      <c r="G39" s="8" cm="1">
        <f t="array" aca="1" ref="G39" ca="1">_xlfn.XLOOKUP(1,
 (INDIRECT("'"&amp;$C$6&amp;"'!$6:$6")=G$6)*
 (INDIRECT("'"&amp;$C$6&amp;"'!$5:$5")=G$5),
 INDIRECT("'"&amp;$C$6&amp;"'!"&amp;ROW()&amp;":"&amp;ROW())
)</f>
        <v>249.00471995999999</v>
      </c>
      <c r="H39" s="8" cm="1">
        <f t="array" aca="1" ref="H39" ca="1">_xlfn.XLOOKUP(1,
 (INDIRECT("'"&amp;$C$6&amp;"'!$6:$6")=H$6)*
 (INDIRECT("'"&amp;$C$6&amp;"'!$5:$5")=H$5),
 INDIRECT("'"&amp;$C$6&amp;"'!"&amp;ROW()&amp;":"&amp;ROW())
)</f>
        <v>213.37743005000002</v>
      </c>
      <c r="I39" s="8" cm="1">
        <f t="array" aca="1" ref="I39" ca="1">_xlfn.XLOOKUP(1,
 (INDIRECT("'"&amp;$C$6&amp;"'!$6:$6")=I$6)*
 (INDIRECT("'"&amp;$C$6&amp;"'!$5:$5")=I$5),
 INDIRECT("'"&amp;$C$6&amp;"'!"&amp;ROW()&amp;":"&amp;ROW())
)</f>
        <v>235.07602003</v>
      </c>
      <c r="K39" s="34">
        <f t="shared" ref="K39:K41" ca="1" si="76">$D39-E39</f>
        <v>-32.218812362413871</v>
      </c>
      <c r="L39" s="34">
        <f t="shared" ca="1" si="66"/>
        <v>-14.738149999999962</v>
      </c>
      <c r="M39" s="34">
        <f t="shared" ca="1" si="67"/>
        <v>-5.7506299599999693</v>
      </c>
      <c r="N39" s="34">
        <f t="shared" ca="1" si="68"/>
        <v>29.876659950000004</v>
      </c>
      <c r="O39" s="34">
        <f t="shared" ca="1" si="69"/>
        <v>8.1780699700000241</v>
      </c>
      <c r="Q39" s="36">
        <f t="shared" ref="Q39:Q41" ca="1" si="77">IFERROR($D39/E39-1,0)</f>
        <v>-0.11695819111829231</v>
      </c>
      <c r="R39" s="36">
        <f t="shared" ca="1" si="70"/>
        <v>-5.7126330621417032E-2</v>
      </c>
      <c r="S39" s="36">
        <f t="shared" ca="1" si="71"/>
        <v>-2.3094461666926414E-2</v>
      </c>
      <c r="T39" s="36">
        <f t="shared" ca="1" si="72"/>
        <v>0.14001790134504444</v>
      </c>
      <c r="U39" s="36">
        <f t="shared" ca="1" si="73"/>
        <v>3.4789043854648982E-2</v>
      </c>
      <c r="W39" s="8" cm="1">
        <f t="array" aca="1" ref="W39" ca="1">INDIRECT("'"&amp;$C$6&amp;"'!"&amp;ADDRESS(ROW(),COLUMN()+44))</f>
        <v>1299.2734999900003</v>
      </c>
      <c r="X39" s="8" cm="1">
        <f t="array" aca="1" ref="X39" ca="1">INDIRECT("'"&amp;$C$6&amp;"'!"&amp;ADDRESS(ROW(),COLUMN()+44))</f>
        <v>1375.0881400875112</v>
      </c>
      <c r="Y39" s="8" cm="1">
        <f t="array" aca="1" ref="Y39" ca="1">INDIRECT("'"&amp;$C$6&amp;"'!"&amp;ADDRESS(ROW(),COLUMN()+44))</f>
        <v>1056.0194099900002</v>
      </c>
      <c r="Z39" s="8" cm="1">
        <f t="array" aca="1" ref="Z39" ca="1">INDIRECT("'"&amp;$C$6&amp;"'!"&amp;ADDRESS(ROW(),COLUMN()+44))</f>
        <v>1106.79185994</v>
      </c>
      <c r="AA39" s="8" cm="1">
        <f t="array" aca="1" ref="AA39" ca="1">INDIRECT("'"&amp;$C$6&amp;"'!"&amp;ADDRESS(ROW(),COLUMN()+44))</f>
        <v>1111.5611100899998</v>
      </c>
      <c r="AB39" s="8" cm="1">
        <f t="array" aca="1" ref="AB39" ca="1">INDIRECT("'"&amp;$C$6&amp;"'!"&amp;ADDRESS(ROW(),COLUMN()+44))</f>
        <v>1259.5948901000002</v>
      </c>
      <c r="AD39" s="34">
        <f t="shared" ca="1" si="74"/>
        <v>-75.814640097510846</v>
      </c>
      <c r="AE39" s="34">
        <f t="shared" ca="1" si="74"/>
        <v>243.25409000000013</v>
      </c>
      <c r="AF39" s="34">
        <f t="shared" ca="1" si="74"/>
        <v>192.48164005000035</v>
      </c>
      <c r="AG39" s="34">
        <f t="shared" ca="1" si="74"/>
        <v>187.71238990000052</v>
      </c>
      <c r="AH39" s="34">
        <f t="shared" ca="1" si="74"/>
        <v>39.678609890000189</v>
      </c>
      <c r="AJ39" s="36">
        <f t="shared" ca="1" si="75"/>
        <v>-5.5134385853030432E-2</v>
      </c>
      <c r="AK39" s="36">
        <f t="shared" ca="1" si="75"/>
        <v>0.23035001790573495</v>
      </c>
      <c r="AL39" s="36">
        <f t="shared" ca="1" si="75"/>
        <v>0.17390951904943974</v>
      </c>
      <c r="AM39" s="36">
        <f t="shared" ca="1" si="75"/>
        <v>0.16887275759836728</v>
      </c>
      <c r="AN39" s="36">
        <f t="shared" ca="1" si="75"/>
        <v>3.1501088327573479E-2</v>
      </c>
    </row>
    <row r="40" spans="1:40" hidden="1" outlineLevel="1" x14ac:dyDescent="0.25">
      <c r="A40" s="11" t="s">
        <v>55</v>
      </c>
      <c r="C40" s="2" t="s">
        <v>45</v>
      </c>
      <c r="D40" s="8" cm="1">
        <f t="array" aca="1" ref="D40" ca="1">_xlfn.XLOOKUP(1,
 (INDIRECT("'"&amp;$C$6&amp;"'!$6:$6")=D$6)*
 (INDIRECT("'"&amp;$C$6&amp;"'!$5:$5")=D$5),
 INDIRECT("'"&amp;$C$6&amp;"'!"&amp;ROW()&amp;":"&amp;ROW())
)</f>
        <v>250.53322997999996</v>
      </c>
      <c r="E40" s="8" cm="1">
        <f t="array" aca="1" ref="E40" ca="1">_xlfn.XLOOKUP(1,
 (INDIRECT("'"&amp;$C$6&amp;"'!$6:$6")=E$6)*
 (INDIRECT("'"&amp;$C$6&amp;"'!$5:$5")=E$5),
 INDIRECT("'"&amp;$C$6&amp;"'!"&amp;ROW()&amp;":"&amp;ROW())
)</f>
        <v>313.86231177700324</v>
      </c>
      <c r="F40" s="8" cm="1">
        <f t="array" aca="1" ref="F40" ca="1">_xlfn.XLOOKUP(1,
 (INDIRECT("'"&amp;$C$6&amp;"'!$6:$6")=F$6)*
 (INDIRECT("'"&amp;$C$6&amp;"'!$5:$5")=F$5),
 INDIRECT("'"&amp;$C$6&amp;"'!"&amp;ROW()&amp;":"&amp;ROW())
)</f>
        <v>228.92026998999998</v>
      </c>
      <c r="G40" s="8" cm="1">
        <f t="array" aca="1" ref="G40" ca="1">_xlfn.XLOOKUP(1,
 (INDIRECT("'"&amp;$C$6&amp;"'!$6:$6")=G$6)*
 (INDIRECT("'"&amp;$C$6&amp;"'!$5:$5")=G$5),
 INDIRECT("'"&amp;$C$6&amp;"'!"&amp;ROW()&amp;":"&amp;ROW())
)</f>
        <v>223.04663997999998</v>
      </c>
      <c r="H40" s="8" cm="1">
        <f t="array" aca="1" ref="H40" ca="1">_xlfn.XLOOKUP(1,
 (INDIRECT("'"&amp;$C$6&amp;"'!$6:$6")=H$6)*
 (INDIRECT("'"&amp;$C$6&amp;"'!$5:$5")=H$5),
 INDIRECT("'"&amp;$C$6&amp;"'!"&amp;ROW()&amp;":"&amp;ROW())
)</f>
        <v>236.32545008</v>
      </c>
      <c r="I40" s="8" cm="1">
        <f t="array" aca="1" ref="I40" ca="1">_xlfn.XLOOKUP(1,
 (INDIRECT("'"&amp;$C$6&amp;"'!$6:$6")=I$6)*
 (INDIRECT("'"&amp;$C$6&amp;"'!$5:$5")=I$5),
 INDIRECT("'"&amp;$C$6&amp;"'!"&amp;ROW()&amp;":"&amp;ROW())
)</f>
        <v>276.49731006999997</v>
      </c>
      <c r="K40" s="34">
        <f t="shared" ca="1" si="76"/>
        <v>-63.329081797003283</v>
      </c>
      <c r="L40" s="34">
        <f t="shared" ca="1" si="66"/>
        <v>21.612959989999979</v>
      </c>
      <c r="M40" s="34">
        <f t="shared" ca="1" si="67"/>
        <v>27.486589999999978</v>
      </c>
      <c r="N40" s="34">
        <f t="shared" ca="1" si="68"/>
        <v>14.207779899999963</v>
      </c>
      <c r="O40" s="34">
        <f t="shared" ca="1" si="69"/>
        <v>-25.96408009000001</v>
      </c>
      <c r="Q40" s="36">
        <f t="shared" ca="1" si="77"/>
        <v>-0.20177345103479039</v>
      </c>
      <c r="R40" s="36">
        <f t="shared" ca="1" si="70"/>
        <v>9.4412609206446119E-2</v>
      </c>
      <c r="S40" s="36">
        <f t="shared" ca="1" si="71"/>
        <v>0.12323247730817477</v>
      </c>
      <c r="T40" s="36">
        <f t="shared" ca="1" si="72"/>
        <v>6.0119550794001997E-2</v>
      </c>
      <c r="U40" s="36">
        <f t="shared" ca="1" si="73"/>
        <v>-9.3903554010803081E-2</v>
      </c>
      <c r="W40" s="8" cm="1">
        <f t="array" aca="1" ref="W40" ca="1">INDIRECT("'"&amp;$C$6&amp;"'!"&amp;ADDRESS(ROW(),COLUMN()+44))</f>
        <v>1342.5900399799998</v>
      </c>
      <c r="X40" s="8" cm="1">
        <f t="array" aca="1" ref="X40" ca="1">INDIRECT("'"&amp;$C$6&amp;"'!"&amp;ADDRESS(ROW(),COLUMN()+44))</f>
        <v>1566.1820735718661</v>
      </c>
      <c r="Y40" s="8" cm="1">
        <f t="array" aca="1" ref="Y40" ca="1">INDIRECT("'"&amp;$C$6&amp;"'!"&amp;ADDRESS(ROW(),COLUMN()+44))</f>
        <v>1092.0568099999998</v>
      </c>
      <c r="Z40" s="8" cm="1">
        <f t="array" aca="1" ref="Z40" ca="1">INDIRECT("'"&amp;$C$6&amp;"'!"&amp;ADDRESS(ROW(),COLUMN()+44))</f>
        <v>1032.1639400499998</v>
      </c>
      <c r="AA40" s="8" cm="1">
        <f t="array" aca="1" ref="AA40" ca="1">INDIRECT("'"&amp;$C$6&amp;"'!"&amp;ADDRESS(ROW(),COLUMN()+44))</f>
        <v>1074.02360011</v>
      </c>
      <c r="AB40" s="8" cm="1">
        <f t="array" aca="1" ref="AB40" ca="1">INDIRECT("'"&amp;$C$6&amp;"'!"&amp;ADDRESS(ROW(),COLUMN()+44))</f>
        <v>1466.8814401599998</v>
      </c>
      <c r="AD40" s="34">
        <f t="shared" ca="1" si="74"/>
        <v>-223.59203359186631</v>
      </c>
      <c r="AE40" s="34">
        <f t="shared" ca="1" si="74"/>
        <v>250.53322997999999</v>
      </c>
      <c r="AF40" s="34">
        <f t="shared" ca="1" si="74"/>
        <v>310.42609992999996</v>
      </c>
      <c r="AG40" s="34">
        <f t="shared" ca="1" si="74"/>
        <v>268.56643986999984</v>
      </c>
      <c r="AH40" s="34">
        <f t="shared" ca="1" si="74"/>
        <v>-124.29140017999998</v>
      </c>
      <c r="AJ40" s="36">
        <f t="shared" ca="1" si="75"/>
        <v>-0.14276247785287044</v>
      </c>
      <c r="AK40" s="36">
        <f t="shared" ca="1" si="75"/>
        <v>0.22941409978479044</v>
      </c>
      <c r="AL40" s="36">
        <f t="shared" ca="1" si="75"/>
        <v>0.30075270786437502</v>
      </c>
      <c r="AM40" s="36">
        <f t="shared" ca="1" si="75"/>
        <v>0.25005636732981817</v>
      </c>
      <c r="AN40" s="36">
        <f t="shared" ca="1" si="75"/>
        <v>-8.4731728670888962E-2</v>
      </c>
    </row>
    <row r="41" spans="1:40" collapsed="1" x14ac:dyDescent="0.25">
      <c r="C41" s="3" t="s">
        <v>57</v>
      </c>
      <c r="D41" s="10">
        <f ca="1">SUM(D38:D40)</f>
        <v>50124.422404240002</v>
      </c>
      <c r="E41" s="10">
        <f t="shared" ref="E41:I41" ca="1" si="78">SUM(E38:E40)</f>
        <v>53253.206151428087</v>
      </c>
      <c r="F41" s="10">
        <f t="shared" ca="1" si="78"/>
        <v>50038.913801440001</v>
      </c>
      <c r="G41" s="10">
        <f t="shared" ca="1" si="78"/>
        <v>53141.322892030003</v>
      </c>
      <c r="H41" s="10">
        <f t="shared" ca="1" si="78"/>
        <v>52943.345562240014</v>
      </c>
      <c r="I41" s="10">
        <f t="shared" ca="1" si="78"/>
        <v>46619.589287250012</v>
      </c>
      <c r="K41" s="35">
        <f t="shared" ca="1" si="76"/>
        <v>-3128.7837471880848</v>
      </c>
      <c r="L41" s="35">
        <f t="shared" ca="1" si="66"/>
        <v>85.508602800000517</v>
      </c>
      <c r="M41" s="35">
        <f t="shared" ca="1" si="67"/>
        <v>-3016.9004877900006</v>
      </c>
      <c r="N41" s="35">
        <f t="shared" ca="1" si="68"/>
        <v>-2818.9231580000123</v>
      </c>
      <c r="O41" s="35">
        <f t="shared" ca="1" si="69"/>
        <v>3504.8331169899902</v>
      </c>
      <c r="Q41" s="37">
        <f t="shared" ca="1" si="77"/>
        <v>-5.8752964812883501E-2</v>
      </c>
      <c r="R41" s="37">
        <f t="shared" ca="1" si="70"/>
        <v>1.7088421051525415E-3</v>
      </c>
      <c r="S41" s="37">
        <f t="shared" ca="1" si="71"/>
        <v>-5.6771271839046844E-2</v>
      </c>
      <c r="T41" s="37">
        <f t="shared" ca="1" si="72"/>
        <v>-5.3244144812988781E-2</v>
      </c>
      <c r="U41" s="37">
        <f t="shared" ca="1" si="73"/>
        <v>7.5179407853524838E-2</v>
      </c>
      <c r="W41" s="10">
        <f ca="1">SUM(W38:W40)</f>
        <v>251236.94369741998</v>
      </c>
      <c r="X41" s="10">
        <f t="shared" ref="X41" ca="1" si="79">SUM(X38:X40)</f>
        <v>265626.23150280834</v>
      </c>
      <c r="Y41" s="10">
        <f t="shared" ref="Y41" ca="1" si="80">SUM(Y38:Y40)</f>
        <v>201112.52129318001</v>
      </c>
      <c r="Z41" s="10">
        <f t="shared" ref="Z41" ca="1" si="81">SUM(Z38:Z40)</f>
        <v>264362.34075907001</v>
      </c>
      <c r="AA41" s="10">
        <f t="shared" ref="AA41" ca="1" si="82">SUM(AA38:AA40)</f>
        <v>258267.70365595003</v>
      </c>
      <c r="AB41" s="10">
        <f t="shared" ref="AB41" ca="1" si="83">SUM(AB38:AB40)</f>
        <v>228363.19192813002</v>
      </c>
      <c r="AD41" s="35">
        <f t="shared" ca="1" si="74"/>
        <v>-14389.287805388361</v>
      </c>
      <c r="AE41" s="35">
        <f t="shared" ca="1" si="74"/>
        <v>50124.422404239973</v>
      </c>
      <c r="AF41" s="35">
        <f t="shared" ca="1" si="74"/>
        <v>-13125.39706165003</v>
      </c>
      <c r="AG41" s="35">
        <f t="shared" ca="1" si="74"/>
        <v>-7030.7599585300486</v>
      </c>
      <c r="AH41" s="35">
        <f t="shared" ca="1" si="74"/>
        <v>22873.751769289956</v>
      </c>
      <c r="AJ41" s="37">
        <f t="shared" ca="1" si="75"/>
        <v>-5.4171185292881119E-2</v>
      </c>
      <c r="AK41" s="37">
        <f t="shared" ca="1" si="75"/>
        <v>0.24923571183899118</v>
      </c>
      <c r="AL41" s="37">
        <f t="shared" ca="1" si="75"/>
        <v>-4.9649269347376679E-2</v>
      </c>
      <c r="AM41" s="37">
        <f t="shared" ca="1" si="75"/>
        <v>-2.7222760953092395E-2</v>
      </c>
      <c r="AN41" s="37">
        <f t="shared" ca="1" si="75"/>
        <v>0.10016391685613124</v>
      </c>
    </row>
    <row r="44" spans="1:40" hidden="1" outlineLevel="1" x14ac:dyDescent="0.25">
      <c r="A44" s="11" t="s">
        <v>50</v>
      </c>
      <c r="C44" s="2" t="s">
        <v>0</v>
      </c>
      <c r="D44" s="8" cm="1">
        <f t="array" aca="1" ref="D44" ca="1">_xlfn.XLOOKUP(1,
 (INDIRECT("'"&amp;$C$6&amp;"'!$6:$6")=D$6)*
 (INDIRECT("'"&amp;$C$6&amp;"'!$5:$5")=D$5),
 INDIRECT("'"&amp;$C$6&amp;"'!"&amp;ROW()&amp;":"&amp;ROW())
)</f>
        <v>-26560.67207362489</v>
      </c>
      <c r="E44" s="8" cm="1">
        <f t="array" aca="1" ref="E44" ca="1">_xlfn.XLOOKUP(1,
 (INDIRECT("'"&amp;$C$6&amp;"'!$6:$6")=E$6)*
 (INDIRECT("'"&amp;$C$6&amp;"'!$5:$5")=E$5),
 INDIRECT("'"&amp;$C$6&amp;"'!"&amp;ROW()&amp;":"&amp;ROW())
)</f>
        <v>-27933.631559678026</v>
      </c>
      <c r="F44" s="8" cm="1">
        <f t="array" aca="1" ref="F44" ca="1">_xlfn.XLOOKUP(1,
 (INDIRECT("'"&amp;$C$6&amp;"'!$6:$6")=F$6)*
 (INDIRECT("'"&amp;$C$6&amp;"'!$5:$5")=F$5),
 INDIRECT("'"&amp;$C$6&amp;"'!"&amp;ROW()&amp;":"&amp;ROW())
)</f>
        <v>-25745.607702729998</v>
      </c>
      <c r="G44" s="8" cm="1">
        <f t="array" aca="1" ref="G44" ca="1">_xlfn.XLOOKUP(1,
 (INDIRECT("'"&amp;$C$6&amp;"'!$6:$6")=G$6)*
 (INDIRECT("'"&amp;$C$6&amp;"'!$5:$5")=G$5),
 INDIRECT("'"&amp;$C$6&amp;"'!"&amp;ROW()&amp;":"&amp;ROW())
)</f>
        <v>-30543.076114000003</v>
      </c>
      <c r="H44" s="8" cm="1">
        <f t="array" aca="1" ref="H44" ca="1">_xlfn.XLOOKUP(1,
 (INDIRECT("'"&amp;$C$6&amp;"'!$6:$6")=H$6)*
 (INDIRECT("'"&amp;$C$6&amp;"'!$5:$5")=H$5),
 INDIRECT("'"&amp;$C$6&amp;"'!"&amp;ROW()&amp;":"&amp;ROW())
)</f>
        <v>-33812.847419899997</v>
      </c>
      <c r="I44" s="8" cm="1">
        <f t="array" aca="1" ref="I44" ca="1">_xlfn.XLOOKUP(1,
 (INDIRECT("'"&amp;$C$6&amp;"'!$6:$6")=I$6)*
 (INDIRECT("'"&amp;$C$6&amp;"'!$5:$5")=I$5),
 INDIRECT("'"&amp;$C$6&amp;"'!"&amp;ROW()&amp;":"&amp;ROW())
)</f>
        <v>-27966.931784720004</v>
      </c>
      <c r="K44" s="34">
        <f ca="1">$D44-E44</f>
        <v>1372.9594860531361</v>
      </c>
      <c r="L44" s="34">
        <f t="shared" ref="L44:L47" ca="1" si="84">$D44-F44</f>
        <v>-815.06437089489191</v>
      </c>
      <c r="M44" s="34">
        <f t="shared" ref="M44:M47" ca="1" si="85">$D44-G44</f>
        <v>3982.4040403751133</v>
      </c>
      <c r="N44" s="34">
        <f t="shared" ref="N44:N47" ca="1" si="86">$D44-H44</f>
        <v>7252.1753462751076</v>
      </c>
      <c r="O44" s="34">
        <f t="shared" ref="O44:O47" ca="1" si="87">$D44-I44</f>
        <v>1406.2597110951137</v>
      </c>
      <c r="Q44" s="36">
        <f ca="1">IFERROR($D44/E44-1,0)</f>
        <v>-4.9150769498764069E-2</v>
      </c>
      <c r="R44" s="36">
        <f t="shared" ref="R44:R47" ca="1" si="88">IFERROR($D44/F44-1,0)</f>
        <v>3.1658385395519906E-2</v>
      </c>
      <c r="S44" s="36">
        <f t="shared" ref="S44:S47" ca="1" si="89">IFERROR($D44/G44-1,0)</f>
        <v>-0.1303864753344115</v>
      </c>
      <c r="T44" s="36">
        <f t="shared" ref="T44:T47" ca="1" si="90">IFERROR($D44/H44-1,0)</f>
        <v>-0.21447987672303981</v>
      </c>
      <c r="U44" s="36">
        <f t="shared" ref="U44:U47" ca="1" si="91">IFERROR($D44/I44-1,0)</f>
        <v>-5.0282945655963474E-2</v>
      </c>
      <c r="W44" s="8" cm="1">
        <f t="array" aca="1" ref="W44" ca="1">INDIRECT("'"&amp;$C$6&amp;"'!"&amp;ADDRESS(ROW(),COLUMN()+44))</f>
        <v>-130984.1612931249</v>
      </c>
      <c r="X44" s="8" cm="1">
        <f t="array" aca="1" ref="X44" ca="1">INDIRECT("'"&amp;$C$6&amp;"'!"&amp;ADDRESS(ROW(),COLUMN()+44))</f>
        <v>-137334.04167203169</v>
      </c>
      <c r="Y44" s="8" cm="1">
        <f t="array" aca="1" ref="Y44" ca="1">INDIRECT("'"&amp;$C$6&amp;"'!"&amp;ADDRESS(ROW(),COLUMN()+44))</f>
        <v>-104423.48921950001</v>
      </c>
      <c r="Z44" s="8" cm="1">
        <f t="array" aca="1" ref="Z44" ca="1">INDIRECT("'"&amp;$C$6&amp;"'!"&amp;ADDRESS(ROW(),COLUMN()+44))</f>
        <v>-152303.92602018002</v>
      </c>
      <c r="AA44" s="8" cm="1">
        <f t="array" aca="1" ref="AA44" ca="1">INDIRECT("'"&amp;$C$6&amp;"'!"&amp;ADDRESS(ROW(),COLUMN()+44))</f>
        <v>-162572.85964370001</v>
      </c>
      <c r="AB44" s="8" cm="1">
        <f t="array" aca="1" ref="AB44" ca="1">INDIRECT("'"&amp;$C$6&amp;"'!"&amp;ADDRESS(ROW(),COLUMN()+44))</f>
        <v>-126175.13594759999</v>
      </c>
      <c r="AD44" s="34">
        <f t="shared" ref="AD44:AH47" ca="1" si="92">$W44-X44</f>
        <v>6349.8803789067897</v>
      </c>
      <c r="AE44" s="34">
        <f t="shared" ca="1" si="92"/>
        <v>-26560.672073624883</v>
      </c>
      <c r="AF44" s="34">
        <f t="shared" ca="1" si="92"/>
        <v>21319.764727055124</v>
      </c>
      <c r="AG44" s="34">
        <f t="shared" ca="1" si="92"/>
        <v>31588.698350575112</v>
      </c>
      <c r="AH44" s="34">
        <f t="shared" ca="1" si="92"/>
        <v>-4809.025345524904</v>
      </c>
      <c r="AJ44" s="36">
        <f t="shared" ref="AJ44:AN47" ca="1" si="93">IFERROR($W44/X44-1,0)</f>
        <v>-4.6236754570079475E-2</v>
      </c>
      <c r="AK44" s="36">
        <f t="shared" ca="1" si="93"/>
        <v>0.2543553397051681</v>
      </c>
      <c r="AL44" s="36">
        <f t="shared" ca="1" si="93"/>
        <v>-0.1399817147473289</v>
      </c>
      <c r="AM44" s="36">
        <f t="shared" ca="1" si="93"/>
        <v>-0.19430486995065432</v>
      </c>
      <c r="AN44" s="36">
        <f t="shared" ca="1" si="93"/>
        <v>3.8113890739313927E-2</v>
      </c>
    </row>
    <row r="45" spans="1:40" hidden="1" outlineLevel="1" x14ac:dyDescent="0.25">
      <c r="A45" s="11" t="s">
        <v>50</v>
      </c>
      <c r="C45" s="2" t="s">
        <v>1</v>
      </c>
      <c r="D45" s="8" cm="1">
        <f t="array" aca="1" ref="D45" ca="1">_xlfn.XLOOKUP(1,
 (INDIRECT("'"&amp;$C$6&amp;"'!$6:$6")=D$6)*
 (INDIRECT("'"&amp;$C$6&amp;"'!$5:$5")=D$5),
 INDIRECT("'"&amp;$C$6&amp;"'!"&amp;ROW()&amp;":"&amp;ROW())
)</f>
        <v>-145.61201</v>
      </c>
      <c r="E45" s="8" cm="1">
        <f t="array" aca="1" ref="E45" ca="1">_xlfn.XLOOKUP(1,
 (INDIRECT("'"&amp;$C$6&amp;"'!$6:$6")=E$6)*
 (INDIRECT("'"&amp;$C$6&amp;"'!$5:$5")=E$5),
 INDIRECT("'"&amp;$C$6&amp;"'!"&amp;ROW()&amp;":"&amp;ROW())
)</f>
        <v>-146.41061786227522</v>
      </c>
      <c r="F45" s="8" cm="1">
        <f t="array" aca="1" ref="F45" ca="1">_xlfn.XLOOKUP(1,
 (INDIRECT("'"&amp;$C$6&amp;"'!$6:$6")=F$6)*
 (INDIRECT("'"&amp;$C$6&amp;"'!$5:$5")=F$5),
 INDIRECT("'"&amp;$C$6&amp;"'!"&amp;ROW()&amp;":"&amp;ROW())
)</f>
        <v>-145.35149000000001</v>
      </c>
      <c r="G45" s="8" cm="1">
        <f t="array" aca="1" ref="G45" ca="1">_xlfn.XLOOKUP(1,
 (INDIRECT("'"&amp;$C$6&amp;"'!$6:$6")=G$6)*
 (INDIRECT("'"&amp;$C$6&amp;"'!$5:$5")=G$5),
 INDIRECT("'"&amp;$C$6&amp;"'!"&amp;ROW()&amp;":"&amp;ROW())
)</f>
        <v>-147.87924000000001</v>
      </c>
      <c r="H45" s="8" cm="1">
        <f t="array" aca="1" ref="H45" ca="1">_xlfn.XLOOKUP(1,
 (INDIRECT("'"&amp;$C$6&amp;"'!$6:$6")=H$6)*
 (INDIRECT("'"&amp;$C$6&amp;"'!$5:$5")=H$5),
 INDIRECT("'"&amp;$C$6&amp;"'!"&amp;ROW()&amp;":"&amp;ROW())
)</f>
        <v>-133.88479999999998</v>
      </c>
      <c r="I45" s="8" cm="1">
        <f t="array" aca="1" ref="I45" ca="1">_xlfn.XLOOKUP(1,
 (INDIRECT("'"&amp;$C$6&amp;"'!$6:$6")=I$6)*
 (INDIRECT("'"&amp;$C$6&amp;"'!$5:$5")=I$5),
 INDIRECT("'"&amp;$C$6&amp;"'!"&amp;ROW()&amp;":"&amp;ROW())
)</f>
        <v>-143.88884999999999</v>
      </c>
      <c r="K45" s="34">
        <f t="shared" ref="K45:K47" ca="1" si="94">$D45-E45</f>
        <v>0.79860786227521885</v>
      </c>
      <c r="L45" s="34">
        <f t="shared" ca="1" si="84"/>
        <v>-0.26051999999998543</v>
      </c>
      <c r="M45" s="34">
        <f t="shared" ca="1" si="85"/>
        <v>2.2672300000000121</v>
      </c>
      <c r="N45" s="34">
        <f t="shared" ca="1" si="86"/>
        <v>-11.727210000000014</v>
      </c>
      <c r="O45" s="34">
        <f t="shared" ca="1" si="87"/>
        <v>-1.7231600000000071</v>
      </c>
      <c r="Q45" s="36">
        <f t="shared" ref="Q45:Q47" ca="1" si="95">IFERROR($D45/E45-1,0)</f>
        <v>-5.4545761361819434E-3</v>
      </c>
      <c r="R45" s="36">
        <f t="shared" ca="1" si="88"/>
        <v>1.7923448875549752E-3</v>
      </c>
      <c r="S45" s="36">
        <f t="shared" ca="1" si="89"/>
        <v>-1.5331631404110646E-2</v>
      </c>
      <c r="T45" s="36">
        <f t="shared" ca="1" si="90"/>
        <v>8.759179533449668E-2</v>
      </c>
      <c r="U45" s="36">
        <f t="shared" ca="1" si="91"/>
        <v>1.1975632580286888E-2</v>
      </c>
      <c r="W45" s="8" cm="1">
        <f t="array" aca="1" ref="W45" ca="1">INDIRECT("'"&amp;$C$6&amp;"'!"&amp;ADDRESS(ROW(),COLUMN()+44))</f>
        <v>-739.96321000000012</v>
      </c>
      <c r="X45" s="8" cm="1">
        <f t="array" aca="1" ref="X45" ca="1">INDIRECT("'"&amp;$C$6&amp;"'!"&amp;ADDRESS(ROW(),COLUMN()+44))</f>
        <v>-720.86988567208346</v>
      </c>
      <c r="Y45" s="8" cm="1">
        <f t="array" aca="1" ref="Y45" ca="1">INDIRECT("'"&amp;$C$6&amp;"'!"&amp;ADDRESS(ROW(),COLUMN()+44))</f>
        <v>-594.35120000000006</v>
      </c>
      <c r="Z45" s="8" cm="1">
        <f t="array" aca="1" ref="Z45" ca="1">INDIRECT("'"&amp;$C$6&amp;"'!"&amp;ADDRESS(ROW(),COLUMN()+44))</f>
        <v>-653.39404000000002</v>
      </c>
      <c r="AA45" s="8" cm="1">
        <f t="array" aca="1" ref="AA45" ca="1">INDIRECT("'"&amp;$C$6&amp;"'!"&amp;ADDRESS(ROW(),COLUMN()+44))</f>
        <v>-695.33339000000001</v>
      </c>
      <c r="AB45" s="8" cm="1">
        <f t="array" aca="1" ref="AB45" ca="1">INDIRECT("'"&amp;$C$6&amp;"'!"&amp;ADDRESS(ROW(),COLUMN()+44))</f>
        <v>-673.19943999999987</v>
      </c>
      <c r="AD45" s="34">
        <f t="shared" ca="1" si="92"/>
        <v>-19.093324327916662</v>
      </c>
      <c r="AE45" s="34">
        <f t="shared" ca="1" si="92"/>
        <v>-145.61201000000005</v>
      </c>
      <c r="AF45" s="34">
        <f t="shared" ca="1" si="92"/>
        <v>-86.569170000000099</v>
      </c>
      <c r="AG45" s="34">
        <f t="shared" ca="1" si="92"/>
        <v>-44.629820000000109</v>
      </c>
      <c r="AH45" s="34">
        <f t="shared" ca="1" si="92"/>
        <v>-66.76377000000025</v>
      </c>
      <c r="AJ45" s="36">
        <f t="shared" ca="1" si="93"/>
        <v>2.6486505689047535E-2</v>
      </c>
      <c r="AK45" s="36">
        <f t="shared" ca="1" si="93"/>
        <v>0.24499321276713171</v>
      </c>
      <c r="AL45" s="36">
        <f t="shared" ca="1" si="93"/>
        <v>0.1324915207368591</v>
      </c>
      <c r="AM45" s="36">
        <f t="shared" ca="1" si="93"/>
        <v>6.4184779045344253E-2</v>
      </c>
      <c r="AN45" s="36">
        <f t="shared" ca="1" si="93"/>
        <v>9.917383472570962E-2</v>
      </c>
    </row>
    <row r="46" spans="1:40" hidden="1" outlineLevel="1" x14ac:dyDescent="0.25">
      <c r="A46" s="11" t="s">
        <v>50</v>
      </c>
      <c r="C46" s="2" t="s">
        <v>45</v>
      </c>
      <c r="D46" s="8" cm="1">
        <f t="array" aca="1" ref="D46" ca="1">_xlfn.XLOOKUP(1,
 (INDIRECT("'"&amp;$C$6&amp;"'!$6:$6")=D$6)*
 (INDIRECT("'"&amp;$C$6&amp;"'!$5:$5")=D$5),
 INDIRECT("'"&amp;$C$6&amp;"'!"&amp;ROW()&amp;":"&amp;ROW())
)</f>
        <v>-580.04154000000017</v>
      </c>
      <c r="E46" s="8" cm="1">
        <f t="array" aca="1" ref="E46" ca="1">_xlfn.XLOOKUP(1,
 (INDIRECT("'"&amp;$C$6&amp;"'!$6:$6")=E$6)*
 (INDIRECT("'"&amp;$C$6&amp;"'!$5:$5")=E$5),
 INDIRECT("'"&amp;$C$6&amp;"'!"&amp;ROW()&amp;":"&amp;ROW())
)</f>
        <v>-561.17477020907722</v>
      </c>
      <c r="F46" s="8" cm="1">
        <f t="array" aca="1" ref="F46" ca="1">_xlfn.XLOOKUP(1,
 (INDIRECT("'"&amp;$C$6&amp;"'!$6:$6")=F$6)*
 (INDIRECT("'"&amp;$C$6&amp;"'!$5:$5")=F$5),
 INDIRECT("'"&amp;$C$6&amp;"'!"&amp;ROW()&amp;":"&amp;ROW())
)</f>
        <v>-548.65460000000007</v>
      </c>
      <c r="G46" s="8" cm="1">
        <f t="array" aca="1" ref="G46" ca="1">_xlfn.XLOOKUP(1,
 (INDIRECT("'"&amp;$C$6&amp;"'!$6:$6")=G$6)*
 (INDIRECT("'"&amp;$C$6&amp;"'!$5:$5")=G$5),
 INDIRECT("'"&amp;$C$6&amp;"'!"&amp;ROW()&amp;":"&amp;ROW())
)</f>
        <v>-531.99571000000003</v>
      </c>
      <c r="H46" s="8" cm="1">
        <f t="array" aca="1" ref="H46" ca="1">_xlfn.XLOOKUP(1,
 (INDIRECT("'"&amp;$C$6&amp;"'!$6:$6")=H$6)*
 (INDIRECT("'"&amp;$C$6&amp;"'!$5:$5")=H$5),
 INDIRECT("'"&amp;$C$6&amp;"'!"&amp;ROW()&amp;":"&amp;ROW())
)</f>
        <v>-428.23414999999994</v>
      </c>
      <c r="I46" s="8" cm="1">
        <f t="array" aca="1" ref="I46" ca="1">_xlfn.XLOOKUP(1,
 (INDIRECT("'"&amp;$C$6&amp;"'!$6:$6")=I$6)*
 (INDIRECT("'"&amp;$C$6&amp;"'!$5:$5")=I$5),
 INDIRECT("'"&amp;$C$6&amp;"'!"&amp;ROW()&amp;":"&amp;ROW())
)</f>
        <v>-255.16487000000001</v>
      </c>
      <c r="K46" s="34">
        <f t="shared" ca="1" si="94"/>
        <v>-18.866769790922945</v>
      </c>
      <c r="L46" s="34">
        <f t="shared" ca="1" si="84"/>
        <v>-31.386940000000095</v>
      </c>
      <c r="M46" s="34">
        <f t="shared" ca="1" si="85"/>
        <v>-48.045830000000137</v>
      </c>
      <c r="N46" s="34">
        <f t="shared" ca="1" si="86"/>
        <v>-151.80739000000023</v>
      </c>
      <c r="O46" s="34">
        <f t="shared" ca="1" si="87"/>
        <v>-324.87667000000016</v>
      </c>
      <c r="Q46" s="36">
        <f t="shared" ca="1" si="95"/>
        <v>3.3620131895619076E-2</v>
      </c>
      <c r="R46" s="36">
        <f t="shared" ca="1" si="88"/>
        <v>5.7207102610640881E-2</v>
      </c>
      <c r="S46" s="36">
        <f t="shared" ca="1" si="89"/>
        <v>9.0312438797673922E-2</v>
      </c>
      <c r="T46" s="36">
        <f t="shared" ca="1" si="90"/>
        <v>0.35449622595489005</v>
      </c>
      <c r="U46" s="36">
        <f t="shared" ca="1" si="91"/>
        <v>1.2732029687315505</v>
      </c>
      <c r="W46" s="8" cm="1">
        <f t="array" aca="1" ref="W46" ca="1">INDIRECT("'"&amp;$C$6&amp;"'!"&amp;ADDRESS(ROW(),COLUMN()+44))</f>
        <v>-2897.6575199999997</v>
      </c>
      <c r="X46" s="8" cm="1">
        <f t="array" aca="1" ref="X46" ca="1">INDIRECT("'"&amp;$C$6&amp;"'!"&amp;ADDRESS(ROW(),COLUMN()+44))</f>
        <v>-2760.8905214471442</v>
      </c>
      <c r="Y46" s="8" cm="1">
        <f t="array" aca="1" ref="Y46" ca="1">INDIRECT("'"&amp;$C$6&amp;"'!"&amp;ADDRESS(ROW(),COLUMN()+44))</f>
        <v>-2317.6159799999996</v>
      </c>
      <c r="Z46" s="8" cm="1">
        <f t="array" aca="1" ref="Z46" ca="1">INDIRECT("'"&amp;$C$6&amp;"'!"&amp;ADDRESS(ROW(),COLUMN()+44))</f>
        <v>-2674.6091500000002</v>
      </c>
      <c r="AA46" s="8" cm="1">
        <f t="array" aca="1" ref="AA46" ca="1">INDIRECT("'"&amp;$C$6&amp;"'!"&amp;ADDRESS(ROW(),COLUMN()+44))</f>
        <v>-2089.6359899999998</v>
      </c>
      <c r="AB46" s="8" cm="1">
        <f t="array" aca="1" ref="AB46" ca="1">INDIRECT("'"&amp;$C$6&amp;"'!"&amp;ADDRESS(ROW(),COLUMN()+44))</f>
        <v>-1269.4669199999998</v>
      </c>
      <c r="AD46" s="34">
        <f t="shared" ca="1" si="92"/>
        <v>-136.76699855285551</v>
      </c>
      <c r="AE46" s="34">
        <f t="shared" ca="1" si="92"/>
        <v>-580.04154000000017</v>
      </c>
      <c r="AF46" s="34">
        <f t="shared" ca="1" si="92"/>
        <v>-223.04836999999952</v>
      </c>
      <c r="AG46" s="34">
        <f t="shared" ca="1" si="92"/>
        <v>-808.02152999999998</v>
      </c>
      <c r="AH46" s="34">
        <f t="shared" ca="1" si="92"/>
        <v>-1628.1905999999999</v>
      </c>
      <c r="AJ46" s="36">
        <f t="shared" ca="1" si="93"/>
        <v>4.9537277009147118E-2</v>
      </c>
      <c r="AK46" s="36">
        <f t="shared" ca="1" si="93"/>
        <v>0.2502750865568335</v>
      </c>
      <c r="AL46" s="36">
        <f t="shared" ca="1" si="93"/>
        <v>8.3394753210950245E-2</v>
      </c>
      <c r="AM46" s="36">
        <f t="shared" ca="1" si="93"/>
        <v>0.38668051941429282</v>
      </c>
      <c r="AN46" s="36">
        <f t="shared" ca="1" si="93"/>
        <v>1.2825782021952965</v>
      </c>
    </row>
    <row r="47" spans="1:40" collapsed="1" x14ac:dyDescent="0.25">
      <c r="C47" s="3" t="s">
        <v>58</v>
      </c>
      <c r="D47" s="10">
        <f ca="1">SUM(D44:D46)</f>
        <v>-27286.325623624893</v>
      </c>
      <c r="E47" s="10">
        <f t="shared" ref="E47:I47" ca="1" si="96">SUM(E44:E46)</f>
        <v>-28641.216947749377</v>
      </c>
      <c r="F47" s="10">
        <f t="shared" ca="1" si="96"/>
        <v>-26439.613792730001</v>
      </c>
      <c r="G47" s="10">
        <f t="shared" ca="1" si="96"/>
        <v>-31222.951064000001</v>
      </c>
      <c r="H47" s="10">
        <f t="shared" ca="1" si="96"/>
        <v>-34374.966369899994</v>
      </c>
      <c r="I47" s="10">
        <f t="shared" ca="1" si="96"/>
        <v>-28365.985504720004</v>
      </c>
      <c r="K47" s="35">
        <f t="shared" ca="1" si="94"/>
        <v>1354.8913241244845</v>
      </c>
      <c r="L47" s="35">
        <f t="shared" ca="1" si="84"/>
        <v>-846.71183089489205</v>
      </c>
      <c r="M47" s="35">
        <f t="shared" ca="1" si="85"/>
        <v>3936.6254403751082</v>
      </c>
      <c r="N47" s="35">
        <f t="shared" ca="1" si="86"/>
        <v>7088.6407462751013</v>
      </c>
      <c r="O47" s="35">
        <f t="shared" ca="1" si="87"/>
        <v>1079.6598810951109</v>
      </c>
      <c r="Q47" s="37">
        <f t="shared" ca="1" si="95"/>
        <v>-4.7305647891855762E-2</v>
      </c>
      <c r="R47" s="37">
        <f t="shared" ca="1" si="88"/>
        <v>3.2024364558899565E-2</v>
      </c>
      <c r="S47" s="37">
        <f t="shared" ca="1" si="89"/>
        <v>-0.12608114563885764</v>
      </c>
      <c r="T47" s="37">
        <f t="shared" ca="1" si="90"/>
        <v>-0.20621520527456227</v>
      </c>
      <c r="U47" s="37">
        <f t="shared" ca="1" si="91"/>
        <v>-3.8061779341862056E-2</v>
      </c>
      <c r="W47" s="10">
        <f ca="1">SUM(W44:W46)</f>
        <v>-134621.78202312489</v>
      </c>
      <c r="X47" s="10">
        <f t="shared" ref="X47" ca="1" si="97">SUM(X44:X46)</f>
        <v>-140815.80207915092</v>
      </c>
      <c r="Y47" s="10">
        <f t="shared" ref="Y47" ca="1" si="98">SUM(Y44:Y46)</f>
        <v>-107335.45639950002</v>
      </c>
      <c r="Z47" s="10">
        <f t="shared" ref="Z47" ca="1" si="99">SUM(Z44:Z46)</f>
        <v>-155631.92921018004</v>
      </c>
      <c r="AA47" s="10">
        <f t="shared" ref="AA47" ca="1" si="100">SUM(AA44:AA46)</f>
        <v>-165357.82902370003</v>
      </c>
      <c r="AB47" s="10">
        <f t="shared" ref="AB47" ca="1" si="101">SUM(AB44:AB46)</f>
        <v>-128117.8023076</v>
      </c>
      <c r="AD47" s="35">
        <f t="shared" ca="1" si="92"/>
        <v>6194.0200560260273</v>
      </c>
      <c r="AE47" s="35">
        <f t="shared" ca="1" si="92"/>
        <v>-27286.325623624871</v>
      </c>
      <c r="AF47" s="35">
        <f t="shared" ca="1" si="92"/>
        <v>21010.147187055147</v>
      </c>
      <c r="AG47" s="35">
        <f t="shared" ca="1" si="92"/>
        <v>30736.047000575141</v>
      </c>
      <c r="AH47" s="35">
        <f t="shared" ca="1" si="92"/>
        <v>-6503.9797155248962</v>
      </c>
      <c r="AJ47" s="37">
        <f t="shared" ca="1" si="93"/>
        <v>-4.3986683060928344E-2</v>
      </c>
      <c r="AK47" s="37">
        <f t="shared" ca="1" si="93"/>
        <v>0.2542153966538867</v>
      </c>
      <c r="AL47" s="37">
        <f t="shared" ca="1" si="93"/>
        <v>-0.13499895101011739</v>
      </c>
      <c r="AM47" s="37">
        <f t="shared" ca="1" si="93"/>
        <v>-0.18587597080855411</v>
      </c>
      <c r="AN47" s="37">
        <f t="shared" ca="1" si="93"/>
        <v>5.0765620377325904E-2</v>
      </c>
    </row>
    <row r="50" spans="1:40" hidden="1" outlineLevel="1" x14ac:dyDescent="0.25">
      <c r="A50" s="11"/>
      <c r="C50" s="2" t="s">
        <v>0</v>
      </c>
      <c r="D50" s="8">
        <f ca="1">D38+D44</f>
        <v>23069.963010635111</v>
      </c>
      <c r="E50" s="8">
        <f t="shared" ref="E50:I50" ca="1" si="102">E38+E44</f>
        <v>24730.23937761064</v>
      </c>
      <c r="F50" s="8">
        <f t="shared" ca="1" si="102"/>
        <v>23806.393588720006</v>
      </c>
      <c r="G50" s="8">
        <f t="shared" ca="1" si="102"/>
        <v>22126.195418089999</v>
      </c>
      <c r="H50" s="8">
        <f t="shared" ca="1" si="102"/>
        <v>18680.795262210013</v>
      </c>
      <c r="I50" s="8">
        <f t="shared" ca="1" si="102"/>
        <v>18141.084172430008</v>
      </c>
      <c r="K50" s="34">
        <f ca="1">$D50-E50</f>
        <v>-1660.2763669755295</v>
      </c>
      <c r="L50" s="34">
        <f t="shared" ref="L50:L53" ca="1" si="103">$D50-F50</f>
        <v>-736.43057808489539</v>
      </c>
      <c r="M50" s="34">
        <f t="shared" ref="M50:M53" ca="1" si="104">$D50-G50</f>
        <v>943.76759254511126</v>
      </c>
      <c r="N50" s="34">
        <f t="shared" ref="N50:N53" ca="1" si="105">$D50-H50</f>
        <v>4389.1677484250977</v>
      </c>
      <c r="O50" s="34">
        <f t="shared" ref="O50:O53" ca="1" si="106">$D50-I50</f>
        <v>4928.8788382051025</v>
      </c>
      <c r="Q50" s="36">
        <f ca="1">IFERROR($D50/E50-1,0)</f>
        <v>-6.7135474979617471E-2</v>
      </c>
      <c r="R50" s="36">
        <f t="shared" ref="R50:R53" ca="1" si="107">IFERROR($D50/F50-1,0)</f>
        <v>-3.0934151169954349E-2</v>
      </c>
      <c r="S50" s="36">
        <f t="shared" ref="S50:S53" ca="1" si="108">IFERROR($D50/G50-1,0)</f>
        <v>4.2653857778617521E-2</v>
      </c>
      <c r="T50" s="36">
        <f t="shared" ref="T50:T53" ca="1" si="109">IFERROR($D50/H50-1,0)</f>
        <v>0.23495615078572629</v>
      </c>
      <c r="U50" s="36">
        <f t="shared" ref="U50:U53" ca="1" si="110">IFERROR($D50/I50-1,0)</f>
        <v>0.27169703813489754</v>
      </c>
      <c r="W50" s="8">
        <f ca="1">W38+W44</f>
        <v>117610.9188643251</v>
      </c>
      <c r="X50" s="8">
        <f t="shared" ref="X50:AB50" ca="1" si="111">X38+X44</f>
        <v>125350.91961711727</v>
      </c>
      <c r="Y50" s="8">
        <f t="shared" ca="1" si="111"/>
        <v>94540.955853689986</v>
      </c>
      <c r="Z50" s="8">
        <f t="shared" ca="1" si="111"/>
        <v>109919.4589389</v>
      </c>
      <c r="AA50" s="8">
        <f t="shared" ca="1" si="111"/>
        <v>93509.259302050021</v>
      </c>
      <c r="AB50" s="8">
        <f t="shared" ca="1" si="111"/>
        <v>99461.57965027001</v>
      </c>
      <c r="AD50" s="34">
        <f t="shared" ref="AD50:AH53" ca="1" si="112">$W50-X50</f>
        <v>-7740.0007527921698</v>
      </c>
      <c r="AE50" s="34">
        <f t="shared" ca="1" si="112"/>
        <v>23069.963010635111</v>
      </c>
      <c r="AF50" s="34">
        <f t="shared" ca="1" si="112"/>
        <v>7691.4599254250934</v>
      </c>
      <c r="AG50" s="34">
        <f t="shared" ca="1" si="112"/>
        <v>24101.659562275076</v>
      </c>
      <c r="AH50" s="34">
        <f t="shared" ca="1" si="112"/>
        <v>18149.339214055086</v>
      </c>
      <c r="AJ50" s="36">
        <f t="shared" ref="AJ50:AN53" ca="1" si="113">IFERROR($W50/X50-1,0)</f>
        <v>-6.1746661104951639E-2</v>
      </c>
      <c r="AK50" s="36">
        <f t="shared" ca="1" si="113"/>
        <v>0.24402083522762141</v>
      </c>
      <c r="AL50" s="36">
        <f t="shared" ca="1" si="113"/>
        <v>6.9973597028897938E-2</v>
      </c>
      <c r="AM50" s="36">
        <f t="shared" ca="1" si="113"/>
        <v>0.25774623542277042</v>
      </c>
      <c r="AN50" s="36">
        <f t="shared" ca="1" si="113"/>
        <v>0.18247587940863563</v>
      </c>
    </row>
    <row r="51" spans="1:40" hidden="1" outlineLevel="1" x14ac:dyDescent="0.25">
      <c r="A51" s="11"/>
      <c r="C51" s="2" t="s">
        <v>1</v>
      </c>
      <c r="D51" s="8">
        <f t="shared" ref="D51:I53" ca="1" si="114">D39+D45</f>
        <v>97.642080000000021</v>
      </c>
      <c r="E51" s="8">
        <f t="shared" ca="1" si="114"/>
        <v>129.06228450013867</v>
      </c>
      <c r="F51" s="8">
        <f t="shared" ca="1" si="114"/>
        <v>112.64074999999997</v>
      </c>
      <c r="G51" s="8">
        <f t="shared" ca="1" si="114"/>
        <v>101.12547995999998</v>
      </c>
      <c r="H51" s="8">
        <f t="shared" ca="1" si="114"/>
        <v>79.492630050000031</v>
      </c>
      <c r="I51" s="8">
        <f t="shared" ca="1" si="114"/>
        <v>91.187170030000004</v>
      </c>
      <c r="K51" s="34">
        <f t="shared" ref="K51:K53" ca="1" si="115">$D51-E51</f>
        <v>-31.420204500138652</v>
      </c>
      <c r="L51" s="34">
        <f t="shared" ca="1" si="103"/>
        <v>-14.998669999999947</v>
      </c>
      <c r="M51" s="34">
        <f t="shared" ca="1" si="104"/>
        <v>-3.4833999599999572</v>
      </c>
      <c r="N51" s="34">
        <f t="shared" ca="1" si="105"/>
        <v>18.14944994999999</v>
      </c>
      <c r="O51" s="34">
        <f t="shared" ca="1" si="106"/>
        <v>6.454909970000017</v>
      </c>
      <c r="Q51" s="36">
        <f t="shared" ref="Q51:Q53" ca="1" si="116">IFERROR($D51/E51-1,0)</f>
        <v>-0.24344993288961103</v>
      </c>
      <c r="R51" s="36">
        <f t="shared" ca="1" si="107"/>
        <v>-0.13315491951181035</v>
      </c>
      <c r="S51" s="36">
        <f t="shared" ca="1" si="108"/>
        <v>-3.4446313247440852E-2</v>
      </c>
      <c r="T51" s="36">
        <f t="shared" ca="1" si="109"/>
        <v>0.22831613369169168</v>
      </c>
      <c r="U51" s="36">
        <f t="shared" ca="1" si="110"/>
        <v>7.0787479947852283E-2</v>
      </c>
      <c r="W51" s="8">
        <f t="shared" ref="W51:AB51" ca="1" si="117">W39+W45</f>
        <v>559.31028999000023</v>
      </c>
      <c r="X51" s="8">
        <f t="shared" ca="1" si="117"/>
        <v>654.21825441542774</v>
      </c>
      <c r="Y51" s="8">
        <f t="shared" ca="1" si="117"/>
        <v>461.66820999000015</v>
      </c>
      <c r="Z51" s="8">
        <f t="shared" ca="1" si="117"/>
        <v>453.39781993999998</v>
      </c>
      <c r="AA51" s="8">
        <f t="shared" ca="1" si="117"/>
        <v>416.22772008999982</v>
      </c>
      <c r="AB51" s="8">
        <f t="shared" ca="1" si="117"/>
        <v>586.39545010000029</v>
      </c>
      <c r="AD51" s="34">
        <f t="shared" ca="1" si="112"/>
        <v>-94.907964425427508</v>
      </c>
      <c r="AE51" s="34">
        <f t="shared" ca="1" si="112"/>
        <v>97.642080000000078</v>
      </c>
      <c r="AF51" s="34">
        <f t="shared" ca="1" si="112"/>
        <v>105.91247005000025</v>
      </c>
      <c r="AG51" s="34">
        <f t="shared" ca="1" si="112"/>
        <v>143.08256990000041</v>
      </c>
      <c r="AH51" s="34">
        <f t="shared" ca="1" si="112"/>
        <v>-27.085160110000061</v>
      </c>
      <c r="AJ51" s="36">
        <f t="shared" ca="1" si="113"/>
        <v>-0.1450707982922792</v>
      </c>
      <c r="AK51" s="36">
        <f t="shared" ca="1" si="113"/>
        <v>0.21149838322659265</v>
      </c>
      <c r="AL51" s="36">
        <f t="shared" ca="1" si="113"/>
        <v>0.23359721946615464</v>
      </c>
      <c r="AM51" s="36">
        <f t="shared" ca="1" si="113"/>
        <v>0.34376030954656756</v>
      </c>
      <c r="AN51" s="36">
        <f t="shared" ca="1" si="113"/>
        <v>-4.6189239881348154E-2</v>
      </c>
    </row>
    <row r="52" spans="1:40" hidden="1" outlineLevel="1" x14ac:dyDescent="0.25">
      <c r="A52" s="11"/>
      <c r="C52" s="2" t="s">
        <v>45</v>
      </c>
      <c r="D52" s="8">
        <f t="shared" ca="1" si="114"/>
        <v>-329.50831002000018</v>
      </c>
      <c r="E52" s="8">
        <f t="shared" ca="1" si="114"/>
        <v>-247.31245843207398</v>
      </c>
      <c r="F52" s="8">
        <f t="shared" ca="1" si="114"/>
        <v>-319.73433001000012</v>
      </c>
      <c r="G52" s="8">
        <f t="shared" ca="1" si="114"/>
        <v>-308.94907002000002</v>
      </c>
      <c r="H52" s="8">
        <f t="shared" ca="1" si="114"/>
        <v>-191.90869991999995</v>
      </c>
      <c r="I52" s="8">
        <f t="shared" ca="1" si="114"/>
        <v>21.332440069999961</v>
      </c>
      <c r="K52" s="34">
        <f t="shared" ca="1" si="115"/>
        <v>-82.195851587926199</v>
      </c>
      <c r="L52" s="34">
        <f t="shared" ca="1" si="103"/>
        <v>-9.7739800100000593</v>
      </c>
      <c r="M52" s="34">
        <f t="shared" ca="1" si="104"/>
        <v>-20.559240000000159</v>
      </c>
      <c r="N52" s="34">
        <f t="shared" ca="1" si="105"/>
        <v>-137.59961010000023</v>
      </c>
      <c r="O52" s="34">
        <f t="shared" ca="1" si="106"/>
        <v>-350.84075009000014</v>
      </c>
      <c r="Q52" s="36">
        <f t="shared" ca="1" si="116"/>
        <v>0.33235629174945847</v>
      </c>
      <c r="R52" s="36">
        <f t="shared" ca="1" si="107"/>
        <v>3.0569066542508461E-2</v>
      </c>
      <c r="S52" s="36">
        <f t="shared" ca="1" si="108"/>
        <v>6.6545725477242135E-2</v>
      </c>
      <c r="T52" s="36">
        <f t="shared" ca="1" si="109"/>
        <v>0.71700558733064579</v>
      </c>
      <c r="U52" s="36">
        <f t="shared" ca="1" si="110"/>
        <v>-16.446348797360095</v>
      </c>
      <c r="W52" s="8">
        <f t="shared" ref="W52:AB52" ca="1" si="118">W40+W46</f>
        <v>-1555.0674800199999</v>
      </c>
      <c r="X52" s="8">
        <f t="shared" ca="1" si="118"/>
        <v>-1194.7084478752781</v>
      </c>
      <c r="Y52" s="8">
        <f t="shared" ca="1" si="118"/>
        <v>-1225.5591699999998</v>
      </c>
      <c r="Z52" s="8">
        <f t="shared" ca="1" si="118"/>
        <v>-1642.4452099500004</v>
      </c>
      <c r="AA52" s="8">
        <f t="shared" ca="1" si="118"/>
        <v>-1015.6123898899998</v>
      </c>
      <c r="AB52" s="8">
        <f t="shared" ca="1" si="118"/>
        <v>197.41452015999994</v>
      </c>
      <c r="AD52" s="34">
        <f t="shared" ca="1" si="112"/>
        <v>-360.35903214472182</v>
      </c>
      <c r="AE52" s="34">
        <f t="shared" ca="1" si="112"/>
        <v>-329.50831002000018</v>
      </c>
      <c r="AF52" s="34">
        <f t="shared" ca="1" si="112"/>
        <v>87.377729930000442</v>
      </c>
      <c r="AG52" s="34">
        <f t="shared" ca="1" si="112"/>
        <v>-539.45509013000014</v>
      </c>
      <c r="AH52" s="34">
        <f t="shared" ca="1" si="112"/>
        <v>-1752.4820001799999</v>
      </c>
      <c r="AJ52" s="36">
        <f t="shared" ca="1" si="113"/>
        <v>0.30162926593982009</v>
      </c>
      <c r="AK52" s="36">
        <f t="shared" ca="1" si="113"/>
        <v>0.26886364859886802</v>
      </c>
      <c r="AL52" s="36">
        <f t="shared" ca="1" si="113"/>
        <v>-5.3199783713126392E-2</v>
      </c>
      <c r="AM52" s="36">
        <f t="shared" ca="1" si="113"/>
        <v>0.53116237602066674</v>
      </c>
      <c r="AN52" s="36">
        <f t="shared" ca="1" si="113"/>
        <v>-8.8771687045089358</v>
      </c>
    </row>
    <row r="53" spans="1:40" collapsed="1" x14ac:dyDescent="0.25">
      <c r="C53" s="3" t="s">
        <v>66</v>
      </c>
      <c r="D53" s="10">
        <f t="shared" ca="1" si="114"/>
        <v>22838.096780615109</v>
      </c>
      <c r="E53" s="10">
        <f t="shared" ca="1" si="114"/>
        <v>24611.98920367871</v>
      </c>
      <c r="F53" s="10">
        <f t="shared" ca="1" si="114"/>
        <v>23599.300008710001</v>
      </c>
      <c r="G53" s="10">
        <f t="shared" ca="1" si="114"/>
        <v>21918.371828030002</v>
      </c>
      <c r="H53" s="10">
        <f t="shared" ca="1" si="114"/>
        <v>18568.37919234002</v>
      </c>
      <c r="I53" s="10">
        <f t="shared" ca="1" si="114"/>
        <v>18253.603782530008</v>
      </c>
      <c r="K53" s="35">
        <f t="shared" ca="1" si="115"/>
        <v>-1773.8924230636003</v>
      </c>
      <c r="L53" s="35">
        <f t="shared" ca="1" si="103"/>
        <v>-761.20322809489153</v>
      </c>
      <c r="M53" s="35">
        <f t="shared" ca="1" si="104"/>
        <v>919.72495258510753</v>
      </c>
      <c r="N53" s="35">
        <f t="shared" ca="1" si="105"/>
        <v>4269.7175882750889</v>
      </c>
      <c r="O53" s="35">
        <f t="shared" ca="1" si="106"/>
        <v>4584.4929980851011</v>
      </c>
      <c r="Q53" s="37">
        <f t="shared" ca="1" si="116"/>
        <v>-7.2074321518004747E-2</v>
      </c>
      <c r="R53" s="37">
        <f t="shared" ca="1" si="107"/>
        <v>-3.2255330785826208E-2</v>
      </c>
      <c r="S53" s="37">
        <f t="shared" ca="1" si="108"/>
        <v>4.1961371939540193E-2</v>
      </c>
      <c r="T53" s="37">
        <f t="shared" ca="1" si="109"/>
        <v>0.22994562659709517</v>
      </c>
      <c r="U53" s="37">
        <f t="shared" ca="1" si="110"/>
        <v>0.25115550072763093</v>
      </c>
      <c r="W53" s="10">
        <f t="shared" ref="W53:AB53" ca="1" si="119">W41+W47</f>
        <v>116615.16167429509</v>
      </c>
      <c r="X53" s="10">
        <f t="shared" ca="1" si="119"/>
        <v>124810.42942365742</v>
      </c>
      <c r="Y53" s="10">
        <f t="shared" ca="1" si="119"/>
        <v>93777.064893679984</v>
      </c>
      <c r="Z53" s="10">
        <f t="shared" ca="1" si="119"/>
        <v>108730.41154888997</v>
      </c>
      <c r="AA53" s="10">
        <f t="shared" ca="1" si="119"/>
        <v>92909.874632249994</v>
      </c>
      <c r="AB53" s="10">
        <f t="shared" ca="1" si="119"/>
        <v>100245.38962053003</v>
      </c>
      <c r="AD53" s="35">
        <f t="shared" ca="1" si="112"/>
        <v>-8195.2677493623341</v>
      </c>
      <c r="AE53" s="35">
        <f t="shared" ca="1" si="112"/>
        <v>22838.096780615102</v>
      </c>
      <c r="AF53" s="35">
        <f t="shared" ca="1" si="112"/>
        <v>7884.7501254051167</v>
      </c>
      <c r="AG53" s="35">
        <f t="shared" ca="1" si="112"/>
        <v>23705.287042045093</v>
      </c>
      <c r="AH53" s="35">
        <f t="shared" ca="1" si="112"/>
        <v>16369.77205376506</v>
      </c>
      <c r="AJ53" s="37">
        <f t="shared" ca="1" si="113"/>
        <v>-6.5661722239126807E-2</v>
      </c>
      <c r="AK53" s="37">
        <f t="shared" ca="1" si="113"/>
        <v>0.243536058699511</v>
      </c>
      <c r="AL53" s="37">
        <f t="shared" ca="1" si="113"/>
        <v>7.2516511370508185E-2</v>
      </c>
      <c r="AM53" s="37">
        <f t="shared" ca="1" si="113"/>
        <v>0.25514281593720645</v>
      </c>
      <c r="AN53" s="37">
        <f t="shared" ca="1" si="113"/>
        <v>0.16329700663273772</v>
      </c>
    </row>
    <row r="54" spans="1:40" x14ac:dyDescent="0.25">
      <c r="D54" s="17"/>
      <c r="E54" s="17"/>
      <c r="F54" s="17"/>
      <c r="G54" s="17"/>
      <c r="H54" s="17"/>
      <c r="I54" s="17"/>
      <c r="W54" s="17"/>
      <c r="X54" s="17"/>
      <c r="Y54" s="17"/>
      <c r="Z54" s="17"/>
      <c r="AA54" s="17"/>
      <c r="AB54" s="17"/>
    </row>
    <row r="55" spans="1:40" x14ac:dyDescent="0.25">
      <c r="D55" s="19"/>
      <c r="E55" s="19"/>
      <c r="F55" s="19"/>
      <c r="G55" s="19"/>
      <c r="H55" s="19"/>
      <c r="I55" s="19"/>
      <c r="W55" s="19"/>
      <c r="X55" s="19"/>
      <c r="Y55" s="19"/>
      <c r="Z55" s="19"/>
      <c r="AA55" s="19"/>
      <c r="AB55" s="19"/>
    </row>
    <row r="56" spans="1:40" hidden="1" outlineLevel="1" x14ac:dyDescent="0.25">
      <c r="A56" s="11" t="s">
        <v>64</v>
      </c>
      <c r="C56" s="2" t="s">
        <v>67</v>
      </c>
      <c r="D56" s="8" cm="1">
        <f t="array" aca="1" ref="D56" ca="1">_xlfn.XLOOKUP(1,
 (INDIRECT("'"&amp;$C$6&amp;"'!$6:$6")=D$6)*
 (INDIRECT("'"&amp;$C$6&amp;"'!$5:$5")=D$5),
 INDIRECT("'"&amp;$C$6&amp;"'!"&amp;ROW()&amp;":"&amp;ROW())
)</f>
        <v>-12270.8948099998</v>
      </c>
      <c r="E56" s="8" cm="1">
        <f t="array" aca="1" ref="E56" ca="1">_xlfn.XLOOKUP(1,
 (INDIRECT("'"&amp;$C$6&amp;"'!$6:$6")=E$6)*
 (INDIRECT("'"&amp;$C$6&amp;"'!$5:$5")=E$5),
 INDIRECT("'"&amp;$C$6&amp;"'!"&amp;ROW()&amp;":"&amp;ROW())
)</f>
        <v>-11961.36947779949</v>
      </c>
      <c r="F56" s="8" cm="1">
        <f t="array" aca="1" ref="F56" ca="1">_xlfn.XLOOKUP(1,
 (INDIRECT("'"&amp;$C$6&amp;"'!$6:$6")=F$6)*
 (INDIRECT("'"&amp;$C$6&amp;"'!$5:$5")=F$5),
 INDIRECT("'"&amp;$C$6&amp;"'!"&amp;ROW()&amp;":"&amp;ROW())
)</f>
        <v>-13060.035843702297</v>
      </c>
      <c r="G56" s="8" cm="1">
        <f t="array" aca="1" ref="G56" ca="1">_xlfn.XLOOKUP(1,
 (INDIRECT("'"&amp;$C$6&amp;"'!$6:$6")=G$6)*
 (INDIRECT("'"&amp;$C$6&amp;"'!$5:$5")=G$5),
 INDIRECT("'"&amp;$C$6&amp;"'!"&amp;ROW()&amp;":"&amp;ROW())
)</f>
        <v>-11611.597095198445</v>
      </c>
      <c r="H56" s="8" cm="1">
        <f t="array" aca="1" ref="H56" ca="1">_xlfn.XLOOKUP(1,
 (INDIRECT("'"&amp;$C$6&amp;"'!$6:$6")=H$6)*
 (INDIRECT("'"&amp;$C$6&amp;"'!$5:$5")=H$5),
 INDIRECT("'"&amp;$C$6&amp;"'!"&amp;ROW()&amp;":"&amp;ROW())
)</f>
        <v>-9856.1384315685918</v>
      </c>
      <c r="I56" s="8" cm="1">
        <f t="array" aca="1" ref="I56" ca="1">_xlfn.XLOOKUP(1,
 (INDIRECT("'"&amp;$C$6&amp;"'!$6:$6")=I$6)*
 (INDIRECT("'"&amp;$C$6&amp;"'!$5:$5")=I$5),
 INDIRECT("'"&amp;$C$6&amp;"'!"&amp;ROW()&amp;":"&amp;ROW())
)</f>
        <v>-8448.1942709969153</v>
      </c>
      <c r="K56" s="34">
        <f t="shared" ref="K56:K58" ca="1" si="120">$D56-E56</f>
        <v>-309.52533220031</v>
      </c>
      <c r="L56" s="34">
        <f t="shared" ref="L56:L58" ca="1" si="121">$D56-F56</f>
        <v>789.14103370249723</v>
      </c>
      <c r="M56" s="34">
        <f t="shared" ref="M56:M58" ca="1" si="122">$D56-G56</f>
        <v>-659.29771480135423</v>
      </c>
      <c r="N56" s="34">
        <f t="shared" ref="N56:N58" ca="1" si="123">$D56-H56</f>
        <v>-2414.7563784312078</v>
      </c>
      <c r="O56" s="34">
        <f t="shared" ref="O56:O58" ca="1" si="124">$D56-I56</f>
        <v>-3822.7005390028844</v>
      </c>
      <c r="Q56" s="36">
        <f t="shared" ref="Q56:Q58" ca="1" si="125">IFERROR($D56/E56-1,0)</f>
        <v>2.5877081447470918E-2</v>
      </c>
      <c r="R56" s="36">
        <f t="shared" ref="R56:R58" ca="1" si="126">IFERROR($D56/F56-1,0)</f>
        <v>-6.0424109332213649E-2</v>
      </c>
      <c r="S56" s="36">
        <f t="shared" ref="S56:S58" ca="1" si="127">IFERROR($D56/G56-1,0)</f>
        <v>5.67792448701121E-2</v>
      </c>
      <c r="T56" s="36">
        <f t="shared" ref="T56:T58" ca="1" si="128">IFERROR($D56/H56-1,0)</f>
        <v>0.24500024986427693</v>
      </c>
      <c r="U56" s="36">
        <f t="shared" ref="U56:U58" ca="1" si="129">IFERROR($D56/I56-1,0)</f>
        <v>0.45248729093818452</v>
      </c>
      <c r="W56" s="8" cm="1">
        <f t="array" aca="1" ref="W56" ca="1">INDIRECT("'"&amp;$C$6&amp;"'!"&amp;ADDRESS(ROW(),COLUMN()+44))</f>
        <v>-60623.611322692283</v>
      </c>
      <c r="X56" s="8" cm="1">
        <f t="array" aca="1" ref="X56" ca="1">INDIRECT("'"&amp;$C$6&amp;"'!"&amp;ADDRESS(ROW(),COLUMN()+44))</f>
        <v>-63589.90121566593</v>
      </c>
      <c r="Y56" s="8" cm="1">
        <f t="array" aca="1" ref="Y56" ca="1">INDIRECT("'"&amp;$C$6&amp;"'!"&amp;ADDRESS(ROW(),COLUMN()+44))</f>
        <v>-48352.716512692481</v>
      </c>
      <c r="Z56" s="8" cm="1">
        <f t="array" aca="1" ref="Z56" ca="1">INDIRECT("'"&amp;$C$6&amp;"'!"&amp;ADDRESS(ROW(),COLUMN()+44))</f>
        <v>-55698.116704479267</v>
      </c>
      <c r="AA56" s="8" cm="1">
        <f t="array" aca="1" ref="AA56" ca="1">INDIRECT("'"&amp;$C$6&amp;"'!"&amp;ADDRESS(ROW(),COLUMN()+44))</f>
        <v>-56705.241972289667</v>
      </c>
      <c r="AB56" s="8" cm="1">
        <f t="array" aca="1" ref="AB56" ca="1">INDIRECT("'"&amp;$C$6&amp;"'!"&amp;ADDRESS(ROW(),COLUMN()+44))</f>
        <v>-38946.122122819041</v>
      </c>
      <c r="AD56" s="34">
        <f t="shared" ref="AD56:AH58" ca="1" si="130">$W56-X56</f>
        <v>2966.2898929736475</v>
      </c>
      <c r="AE56" s="34">
        <f t="shared" ca="1" si="130"/>
        <v>-12270.894809999802</v>
      </c>
      <c r="AF56" s="34">
        <f t="shared" ca="1" si="130"/>
        <v>-4925.4946182130152</v>
      </c>
      <c r="AG56" s="34">
        <f t="shared" ca="1" si="130"/>
        <v>-3918.369350402616</v>
      </c>
      <c r="AH56" s="34">
        <f t="shared" ca="1" si="130"/>
        <v>-21677.489199873242</v>
      </c>
      <c r="AJ56" s="36">
        <f t="shared" ref="AJ56:AN58" ca="1" si="131">IFERROR($W56/X56-1,0)</f>
        <v>-4.6647185107481781E-2</v>
      </c>
      <c r="AK56" s="36">
        <f t="shared" ca="1" si="131"/>
        <v>0.25377880903089944</v>
      </c>
      <c r="AL56" s="36">
        <f t="shared" ca="1" si="131"/>
        <v>8.8431977769490855E-2</v>
      </c>
      <c r="AM56" s="36">
        <f t="shared" ca="1" si="131"/>
        <v>6.910065479162264E-2</v>
      </c>
      <c r="AN56" s="36">
        <f t="shared" ca="1" si="131"/>
        <v>0.55660199317179559</v>
      </c>
    </row>
    <row r="57" spans="1:40" hidden="1" outlineLevel="1" x14ac:dyDescent="0.25">
      <c r="A57" s="11" t="s">
        <v>65</v>
      </c>
      <c r="C57" s="2" t="s">
        <v>69</v>
      </c>
      <c r="D57" s="8" cm="1">
        <f t="array" aca="1" ref="D57" ca="1">_xlfn.XLOOKUP(1,
 (INDIRECT("'"&amp;$C$6&amp;"'!$6:$6")=D$6)*
 (INDIRECT("'"&amp;$C$6&amp;"'!$5:$5")=D$5),
 INDIRECT("'"&amp;$C$6&amp;"'!"&amp;ROW()&amp;":"&amp;ROW())
)</f>
        <v>2058.72939</v>
      </c>
      <c r="E57" s="8" cm="1">
        <f t="array" aca="1" ref="E57" ca="1">_xlfn.XLOOKUP(1,
 (INDIRECT("'"&amp;$C$6&amp;"'!$6:$6")=E$6)*
 (INDIRECT("'"&amp;$C$6&amp;"'!$5:$5")=E$5),
 INDIRECT("'"&amp;$C$6&amp;"'!"&amp;ROW()&amp;":"&amp;ROW())
)</f>
        <v>2342.9858171901906</v>
      </c>
      <c r="F57" s="8" cm="1">
        <f t="array" aca="1" ref="F57" ca="1">_xlfn.XLOOKUP(1,
 (INDIRECT("'"&amp;$C$6&amp;"'!$6:$6")=F$6)*
 (INDIRECT("'"&amp;$C$6&amp;"'!$5:$5")=F$5),
 INDIRECT("'"&amp;$C$6&amp;"'!"&amp;ROW()&amp;":"&amp;ROW())
)</f>
        <v>2202.9048600000001</v>
      </c>
      <c r="G57" s="8" cm="1">
        <f t="array" aca="1" ref="G57" ca="1">_xlfn.XLOOKUP(1,
 (INDIRECT("'"&amp;$C$6&amp;"'!$6:$6")=G$6)*
 (INDIRECT("'"&amp;$C$6&amp;"'!$5:$5")=G$5),
 INDIRECT("'"&amp;$C$6&amp;"'!"&amp;ROW()&amp;":"&amp;ROW())
)</f>
        <v>2498.6106699999996</v>
      </c>
      <c r="H57" s="8" cm="1">
        <f t="array" aca="1" ref="H57" ca="1">_xlfn.XLOOKUP(1,
 (INDIRECT("'"&amp;$C$6&amp;"'!$6:$6")=H$6)*
 (INDIRECT("'"&amp;$C$6&amp;"'!$5:$5")=H$5),
 INDIRECT("'"&amp;$C$6&amp;"'!"&amp;ROW()&amp;":"&amp;ROW())
)</f>
        <v>2500.0294899999994</v>
      </c>
      <c r="I57" s="8" cm="1">
        <f t="array" aca="1" ref="I57" ca="1">_xlfn.XLOOKUP(1,
 (INDIRECT("'"&amp;$C$6&amp;"'!$6:$6")=I$6)*
 (INDIRECT("'"&amp;$C$6&amp;"'!$5:$5")=I$5),
 INDIRECT("'"&amp;$C$6&amp;"'!"&amp;ROW()&amp;":"&amp;ROW())
)</f>
        <v>3445.8707300000069</v>
      </c>
      <c r="K57" s="34">
        <f t="shared" ca="1" si="120"/>
        <v>-284.25642719019061</v>
      </c>
      <c r="L57" s="34">
        <f t="shared" ca="1" si="121"/>
        <v>-144.17547000000013</v>
      </c>
      <c r="M57" s="34">
        <f t="shared" ca="1" si="122"/>
        <v>-439.88127999999961</v>
      </c>
      <c r="N57" s="34">
        <f t="shared" ca="1" si="123"/>
        <v>-441.30009999999947</v>
      </c>
      <c r="O57" s="34">
        <f t="shared" ca="1" si="124"/>
        <v>-1387.1413400000069</v>
      </c>
      <c r="Q57" s="36">
        <f t="shared" ca="1" si="125"/>
        <v>-0.12132229956521168</v>
      </c>
      <c r="R57" s="36">
        <f t="shared" ca="1" si="126"/>
        <v>-6.5447887749450984E-2</v>
      </c>
      <c r="S57" s="36">
        <f t="shared" ca="1" si="127"/>
        <v>-0.17605034881244608</v>
      </c>
      <c r="T57" s="36">
        <f t="shared" ca="1" si="128"/>
        <v>-0.17651795779416968</v>
      </c>
      <c r="U57" s="36">
        <f t="shared" ca="1" si="129"/>
        <v>-0.40255176374535795</v>
      </c>
      <c r="W57" s="8" cm="1">
        <f t="array" aca="1" ref="W57" ca="1">INDIRECT("'"&amp;$C$6&amp;"'!"&amp;ADDRESS(ROW(),COLUMN()+44))</f>
        <v>11355.88471</v>
      </c>
      <c r="X57" s="8" cm="1">
        <f t="array" aca="1" ref="X57" ca="1">INDIRECT("'"&amp;$C$6&amp;"'!"&amp;ADDRESS(ROW(),COLUMN()+44))</f>
        <v>11183.872093716556</v>
      </c>
      <c r="Y57" s="8" cm="1">
        <f t="array" aca="1" ref="Y57" ca="1">INDIRECT("'"&amp;$C$6&amp;"'!"&amp;ADDRESS(ROW(),COLUMN()+44))</f>
        <v>9297.1553199999998</v>
      </c>
      <c r="Z57" s="8" cm="1">
        <f t="array" aca="1" ref="Z57" ca="1">INDIRECT("'"&amp;$C$6&amp;"'!"&amp;ADDRESS(ROW(),COLUMN()+44))</f>
        <v>12783.39474</v>
      </c>
      <c r="AA57" s="8" cm="1">
        <f t="array" aca="1" ref="AA57" ca="1">INDIRECT("'"&amp;$C$6&amp;"'!"&amp;ADDRESS(ROW(),COLUMN()+44))</f>
        <v>13381.307449999998</v>
      </c>
      <c r="AB57" s="8" cm="1">
        <f t="array" aca="1" ref="AB57" ca="1">INDIRECT("'"&amp;$C$6&amp;"'!"&amp;ADDRESS(ROW(),COLUMN()+44))</f>
        <v>13488.688860000013</v>
      </c>
      <c r="AD57" s="34">
        <f t="shared" ca="1" si="130"/>
        <v>172.012616283444</v>
      </c>
      <c r="AE57" s="34">
        <f t="shared" ca="1" si="130"/>
        <v>2058.7293900000004</v>
      </c>
      <c r="AF57" s="34">
        <f t="shared" ca="1" si="130"/>
        <v>-1427.5100299999995</v>
      </c>
      <c r="AG57" s="34">
        <f t="shared" ca="1" si="130"/>
        <v>-2025.4227399999982</v>
      </c>
      <c r="AH57" s="34">
        <f t="shared" ca="1" si="130"/>
        <v>-2132.8041500000127</v>
      </c>
      <c r="AJ57" s="36">
        <f t="shared" ca="1" si="131"/>
        <v>1.5380416982780698E-2</v>
      </c>
      <c r="AK57" s="36">
        <f t="shared" ca="1" si="131"/>
        <v>0.22143648450954356</v>
      </c>
      <c r="AL57" s="36">
        <f t="shared" ca="1" si="131"/>
        <v>-0.11166908783104668</v>
      </c>
      <c r="AM57" s="36">
        <f t="shared" ca="1" si="131"/>
        <v>-0.15136209578683568</v>
      </c>
      <c r="AN57" s="36">
        <f t="shared" ca="1" si="131"/>
        <v>-0.15811797366938529</v>
      </c>
    </row>
    <row r="58" spans="1:40" collapsed="1" x14ac:dyDescent="0.25">
      <c r="C58" s="3" t="s">
        <v>68</v>
      </c>
      <c r="D58" s="10">
        <f t="shared" ref="D58:I58" ca="1" si="132">SUM(D56:D57)</f>
        <v>-10212.165419999799</v>
      </c>
      <c r="E58" s="10">
        <f t="shared" ca="1" si="132"/>
        <v>-9618.3836606092991</v>
      </c>
      <c r="F58" s="10">
        <f t="shared" ca="1" si="132"/>
        <v>-10857.130983702296</v>
      </c>
      <c r="G58" s="10">
        <f t="shared" ca="1" si="132"/>
        <v>-9112.9864251984454</v>
      </c>
      <c r="H58" s="10">
        <f t="shared" ca="1" si="132"/>
        <v>-7356.1089415685929</v>
      </c>
      <c r="I58" s="10">
        <f t="shared" ca="1" si="132"/>
        <v>-5002.3235409969084</v>
      </c>
      <c r="K58" s="35">
        <f t="shared" ca="1" si="120"/>
        <v>-593.78175939050016</v>
      </c>
      <c r="L58" s="35">
        <f t="shared" ca="1" si="121"/>
        <v>644.96556370249709</v>
      </c>
      <c r="M58" s="35">
        <f t="shared" ca="1" si="122"/>
        <v>-1099.1789948013538</v>
      </c>
      <c r="N58" s="35">
        <f t="shared" ca="1" si="123"/>
        <v>-2856.0564784312064</v>
      </c>
      <c r="O58" s="35">
        <f t="shared" ca="1" si="124"/>
        <v>-5209.8418790028909</v>
      </c>
      <c r="Q58" s="37">
        <f t="shared" ca="1" si="125"/>
        <v>6.1734048083593063E-2</v>
      </c>
      <c r="R58" s="37">
        <f t="shared" ca="1" si="126"/>
        <v>-5.9404787938052817E-2</v>
      </c>
      <c r="S58" s="37">
        <f t="shared" ca="1" si="127"/>
        <v>0.12061677078350508</v>
      </c>
      <c r="T58" s="37">
        <f t="shared" ca="1" si="128"/>
        <v>0.38825641397069766</v>
      </c>
      <c r="U58" s="37">
        <f t="shared" ca="1" si="129"/>
        <v>1.0414843894652654</v>
      </c>
      <c r="W58" s="10">
        <f t="shared" ref="W58:AB58" ca="1" si="133">SUM(W56:W57)</f>
        <v>-49267.726612692284</v>
      </c>
      <c r="X58" s="10">
        <f t="shared" ca="1" si="133"/>
        <v>-52406.029121949374</v>
      </c>
      <c r="Y58" s="10">
        <f t="shared" ca="1" si="133"/>
        <v>-39055.561192692483</v>
      </c>
      <c r="Z58" s="10">
        <f t="shared" ca="1" si="133"/>
        <v>-42914.721964479264</v>
      </c>
      <c r="AA58" s="10">
        <f t="shared" ca="1" si="133"/>
        <v>-43323.934522289666</v>
      </c>
      <c r="AB58" s="10">
        <f t="shared" ca="1" si="133"/>
        <v>-25457.433262819028</v>
      </c>
      <c r="AD58" s="35">
        <f t="shared" ca="1" si="130"/>
        <v>3138.3025092570897</v>
      </c>
      <c r="AE58" s="35">
        <f t="shared" ca="1" si="130"/>
        <v>-10212.165419999801</v>
      </c>
      <c r="AF58" s="35">
        <f t="shared" ca="1" si="130"/>
        <v>-6353.0046482130201</v>
      </c>
      <c r="AG58" s="35">
        <f t="shared" ca="1" si="130"/>
        <v>-5943.7920904026178</v>
      </c>
      <c r="AH58" s="35">
        <f t="shared" ca="1" si="130"/>
        <v>-23810.293349873256</v>
      </c>
      <c r="AJ58" s="37">
        <f t="shared" ca="1" si="131"/>
        <v>-5.9884378989185194E-2</v>
      </c>
      <c r="AK58" s="37">
        <f t="shared" ca="1" si="131"/>
        <v>0.26147788197473276</v>
      </c>
      <c r="AL58" s="37">
        <f t="shared" ca="1" si="131"/>
        <v>0.14803788437616894</v>
      </c>
      <c r="AM58" s="37">
        <f t="shared" ca="1" si="131"/>
        <v>0.13719418967694641</v>
      </c>
      <c r="AN58" s="37">
        <f t="shared" ca="1" si="131"/>
        <v>0.93529827237722962</v>
      </c>
    </row>
    <row r="60" spans="1:40" x14ac:dyDescent="0.25">
      <c r="C60" s="3" t="s">
        <v>70</v>
      </c>
      <c r="D60" s="10">
        <f ca="1">D53+D58</f>
        <v>12625.93136061531</v>
      </c>
      <c r="E60" s="10">
        <f t="shared" ref="E60:I60" ca="1" si="134">E53+E58</f>
        <v>14993.60554306941</v>
      </c>
      <c r="F60" s="10">
        <f t="shared" ca="1" si="134"/>
        <v>12742.169025007704</v>
      </c>
      <c r="G60" s="10">
        <f t="shared" ca="1" si="134"/>
        <v>12805.385402831556</v>
      </c>
      <c r="H60" s="10">
        <f t="shared" ca="1" si="134"/>
        <v>11212.270250771428</v>
      </c>
      <c r="I60" s="10">
        <f t="shared" ca="1" si="134"/>
        <v>13251.280241533099</v>
      </c>
      <c r="K60" s="35">
        <f t="shared" ref="K60" ca="1" si="135">$D60-E60</f>
        <v>-2367.6741824541004</v>
      </c>
      <c r="L60" s="35">
        <f t="shared" ref="L60" ca="1" si="136">$D60-F60</f>
        <v>-116.23766439239444</v>
      </c>
      <c r="M60" s="35">
        <f t="shared" ref="M60" ca="1" si="137">$D60-G60</f>
        <v>-179.45404221624631</v>
      </c>
      <c r="N60" s="35">
        <f t="shared" ref="N60" ca="1" si="138">$D60-H60</f>
        <v>1413.6611098438825</v>
      </c>
      <c r="O60" s="35">
        <f t="shared" ref="O60" ca="1" si="139">$D60-I60</f>
        <v>-625.34888091778885</v>
      </c>
      <c r="Q60" s="37">
        <f t="shared" ref="Q60" ca="1" si="140">IFERROR($D60/E60-1,0)</f>
        <v>-0.15791226304126194</v>
      </c>
      <c r="R60" s="37">
        <f t="shared" ref="R60" ca="1" si="141">IFERROR($D60/F60-1,0)</f>
        <v>-9.1222824123794455E-3</v>
      </c>
      <c r="S60" s="37">
        <f t="shared" ref="S60" ca="1" si="142">IFERROR($D60/G60-1,0)</f>
        <v>-1.4013950894173455E-2</v>
      </c>
      <c r="T60" s="37">
        <f t="shared" ref="T60" ca="1" si="143">IFERROR($D60/H60-1,0)</f>
        <v>0.12608161221824088</v>
      </c>
      <c r="U60" s="37">
        <f t="shared" ref="U60" ca="1" si="144">IFERROR($D60/I60-1,0)</f>
        <v>-4.7191582210885263E-2</v>
      </c>
      <c r="W60" s="10">
        <f ca="1">W53+W58</f>
        <v>67347.435061602795</v>
      </c>
      <c r="X60" s="10">
        <f t="shared" ref="X60:AB60" ca="1" si="145">X53+X58</f>
        <v>72404.400301708054</v>
      </c>
      <c r="Y60" s="10">
        <f t="shared" ca="1" si="145"/>
        <v>54721.503700987501</v>
      </c>
      <c r="Z60" s="10">
        <f t="shared" ca="1" si="145"/>
        <v>65815.689584410706</v>
      </c>
      <c r="AA60" s="10">
        <f t="shared" ca="1" si="145"/>
        <v>49585.940109960327</v>
      </c>
      <c r="AB60" s="10">
        <f t="shared" ca="1" si="145"/>
        <v>74787.956357710995</v>
      </c>
      <c r="AD60" s="35">
        <f ca="1">$W60-X60</f>
        <v>-5056.965240105259</v>
      </c>
      <c r="AE60" s="35">
        <f ca="1">$W60-Y60</f>
        <v>12625.931360615294</v>
      </c>
      <c r="AF60" s="35">
        <f ca="1">$W60-Z60</f>
        <v>1531.7454771920893</v>
      </c>
      <c r="AG60" s="35">
        <f ca="1">$W60-AA60</f>
        <v>17761.494951642468</v>
      </c>
      <c r="AH60" s="35">
        <f ca="1">$W60-AB60</f>
        <v>-7440.5212961081997</v>
      </c>
      <c r="AJ60" s="37">
        <f ca="1">IFERROR($W60/X60-1,0)</f>
        <v>-6.9843341275294901E-2</v>
      </c>
      <c r="AK60" s="37">
        <f ca="1">IFERROR($W60/Y60-1,0)</f>
        <v>0.23073070925840522</v>
      </c>
      <c r="AL60" s="37">
        <f ca="1">IFERROR($W60/Z60-1,0)</f>
        <v>2.3273257286586357E-2</v>
      </c>
      <c r="AM60" s="37">
        <f ca="1">IFERROR($W60/AA60-1,0)</f>
        <v>0.35819619255488755</v>
      </c>
      <c r="AN60" s="37">
        <f ca="1">IFERROR($W60/AB60-1,0)</f>
        <v>-9.9488228566109838E-2</v>
      </c>
    </row>
    <row r="63" spans="1:40" hidden="1" outlineLevel="1" x14ac:dyDescent="0.25">
      <c r="A63" s="11" t="s">
        <v>71</v>
      </c>
      <c r="C63" s="2" t="s">
        <v>74</v>
      </c>
      <c r="D63" s="8" cm="1">
        <f t="array" aca="1" ref="D63" ca="1">_xlfn.XLOOKUP(1,
 (INDIRECT("'"&amp;$C$6&amp;"'!$6:$6")=D$6)*
 (INDIRECT("'"&amp;$C$6&amp;"'!$5:$5")=D$5),
 INDIRECT("'"&amp;$C$6&amp;"'!"&amp;ROW()&amp;":"&amp;ROW())
)</f>
        <v>538.26567000000023</v>
      </c>
      <c r="E63" s="8" cm="1">
        <f t="array" aca="1" ref="E63" ca="1">_xlfn.XLOOKUP(1,
 (INDIRECT("'"&amp;$C$6&amp;"'!$6:$6")=E$6)*
 (INDIRECT("'"&amp;$C$6&amp;"'!$5:$5")=E$5),
 INDIRECT("'"&amp;$C$6&amp;"'!"&amp;ROW()&amp;":"&amp;ROW())
)</f>
        <v>570.49</v>
      </c>
      <c r="F63" s="8" cm="1">
        <f t="array" aca="1" ref="F63" ca="1">_xlfn.XLOOKUP(1,
 (INDIRECT("'"&amp;$C$6&amp;"'!$6:$6")=F$6)*
 (INDIRECT("'"&amp;$C$6&amp;"'!$5:$5")=F$5),
 INDIRECT("'"&amp;$C$6&amp;"'!"&amp;ROW()&amp;":"&amp;ROW())
)</f>
        <v>531.33536000000004</v>
      </c>
      <c r="G63" s="8" cm="1">
        <f t="array" aca="1" ref="G63" ca="1">_xlfn.XLOOKUP(1,
 (INDIRECT("'"&amp;$C$6&amp;"'!$6:$6")=G$6)*
 (INDIRECT("'"&amp;$C$6&amp;"'!$5:$5")=G$5),
 INDIRECT("'"&amp;$C$6&amp;"'!"&amp;ROW()&amp;":"&amp;ROW())
)</f>
        <v>522.19528000599996</v>
      </c>
      <c r="H63" s="8" cm="1">
        <f t="array" aca="1" ref="H63" ca="1">_xlfn.XLOOKUP(1,
 (INDIRECT("'"&amp;$C$6&amp;"'!$6:$6")=H$6)*
 (INDIRECT("'"&amp;$C$6&amp;"'!$5:$5")=H$5),
 INDIRECT("'"&amp;$C$6&amp;"'!"&amp;ROW()&amp;":"&amp;ROW())
)</f>
        <v>553.83819001699999</v>
      </c>
      <c r="I63" s="8" cm="1">
        <f t="array" aca="1" ref="I63" ca="1">_xlfn.XLOOKUP(1,
 (INDIRECT("'"&amp;$C$6&amp;"'!$6:$6")=I$6)*
 (INDIRECT("'"&amp;$C$6&amp;"'!$5:$5")=I$5),
 INDIRECT("'"&amp;$C$6&amp;"'!"&amp;ROW()&amp;":"&amp;ROW())
)</f>
        <v>493.20948001699998</v>
      </c>
      <c r="K63" s="34">
        <f t="shared" ref="K63:K83" ca="1" si="146">$D63-E63</f>
        <v>-32.224329999999782</v>
      </c>
      <c r="L63" s="34">
        <f t="shared" ref="L63:L83" ca="1" si="147">$D63-F63</f>
        <v>6.9303100000001905</v>
      </c>
      <c r="M63" s="34">
        <f t="shared" ref="M63:M83" ca="1" si="148">$D63-G63</f>
        <v>16.070389994000266</v>
      </c>
      <c r="N63" s="34">
        <f t="shared" ref="N63:N83" ca="1" si="149">$D63-H63</f>
        <v>-15.572520016999761</v>
      </c>
      <c r="O63" s="34">
        <f t="shared" ref="O63:O83" ca="1" si="150">$D63-I63</f>
        <v>45.056189983000252</v>
      </c>
      <c r="Q63" s="36">
        <f t="shared" ref="Q63:Q83" ca="1" si="151">IFERROR($D63/E63-1,0)</f>
        <v>-5.6485354695086309E-2</v>
      </c>
      <c r="R63" s="36">
        <f t="shared" ref="R63:R83" ca="1" si="152">IFERROR($D63/F63-1,0)</f>
        <v>1.3043193662097385E-2</v>
      </c>
      <c r="S63" s="36">
        <f t="shared" ref="S63:S83" ca="1" si="153">IFERROR($D63/G63-1,0)</f>
        <v>3.077467493351449E-2</v>
      </c>
      <c r="T63" s="36">
        <f t="shared" ref="T63:T83" ca="1" si="154">IFERROR($D63/H63-1,0)</f>
        <v>-2.8117454335393144E-2</v>
      </c>
      <c r="U63" s="36">
        <f t="shared" ref="U63:U83" ca="1" si="155">IFERROR($D63/I63-1,0)</f>
        <v>9.1353049380655138E-2</v>
      </c>
      <c r="W63" s="8" cm="1">
        <f t="array" aca="1" ref="W63" ca="1">INDIRECT("'"&amp;$C$6&amp;"'!"&amp;ADDRESS(ROW(),COLUMN()+44))</f>
        <v>2657.0745500000003</v>
      </c>
      <c r="X63" s="8" cm="1">
        <f t="array" aca="1" ref="X63" ca="1">INDIRECT("'"&amp;$C$6&amp;"'!"&amp;ADDRESS(ROW(),COLUMN()+44))</f>
        <v>2827.4799999999996</v>
      </c>
      <c r="Y63" s="8" cm="1">
        <f t="array" aca="1" ref="Y63" ca="1">INDIRECT("'"&amp;$C$6&amp;"'!"&amp;ADDRESS(ROW(),COLUMN()+44))</f>
        <v>2118.80888</v>
      </c>
      <c r="Z63" s="8" cm="1">
        <f t="array" aca="1" ref="Z63" ca="1">INDIRECT("'"&amp;$C$6&amp;"'!"&amp;ADDRESS(ROW(),COLUMN()+44))</f>
        <v>2731.0347300359999</v>
      </c>
      <c r="AA63" s="8" cm="1">
        <f t="array" aca="1" ref="AA63" ca="1">INDIRECT("'"&amp;$C$6&amp;"'!"&amp;ADDRESS(ROW(),COLUMN()+44))</f>
        <v>2840.536190027</v>
      </c>
      <c r="AB63" s="8" cm="1">
        <f t="array" aca="1" ref="AB63" ca="1">INDIRECT("'"&amp;$C$6&amp;"'!"&amp;ADDRESS(ROW(),COLUMN()+44))</f>
        <v>2496.7509899769998</v>
      </c>
      <c r="AD63" s="34">
        <f t="shared" ref="AD63:AD83" ca="1" si="156">$W63-X63</f>
        <v>-170.40544999999929</v>
      </c>
      <c r="AE63" s="34">
        <f t="shared" ref="AE63:AE83" ca="1" si="157">$W63-Y63</f>
        <v>538.26567000000023</v>
      </c>
      <c r="AF63" s="34">
        <f t="shared" ref="AF63:AF83" ca="1" si="158">$W63-Z63</f>
        <v>-73.960180035999656</v>
      </c>
      <c r="AG63" s="34">
        <f t="shared" ref="AG63:AG83" ca="1" si="159">$W63-AA63</f>
        <v>-183.4616400269997</v>
      </c>
      <c r="AH63" s="34">
        <f t="shared" ref="AH63:AH83" ca="1" si="160">$W63-AB63</f>
        <v>160.32356002300048</v>
      </c>
      <c r="AJ63" s="36">
        <f t="shared" ref="AJ63:AJ83" ca="1" si="161">IFERROR($W63/X63-1,0)</f>
        <v>-6.0267605783241418E-2</v>
      </c>
      <c r="AK63" s="36">
        <f t="shared" ref="AK63:AK83" ca="1" si="162">IFERROR($W63/Y63-1,0)</f>
        <v>0.25404163399579494</v>
      </c>
      <c r="AL63" s="36">
        <f t="shared" ref="AL63:AL83" ca="1" si="163">IFERROR($W63/Z63-1,0)</f>
        <v>-2.7081376601543528E-2</v>
      </c>
      <c r="AM63" s="36">
        <f t="shared" ref="AM63:AM83" ca="1" si="164">IFERROR($W63/AA63-1,0)</f>
        <v>-6.458697504757227E-2</v>
      </c>
      <c r="AN63" s="36">
        <f t="shared" ref="AN63:AN83" ca="1" si="165">IFERROR($W63/AB63-1,0)</f>
        <v>6.4212875319407559E-2</v>
      </c>
    </row>
    <row r="64" spans="1:40" hidden="1" outlineLevel="1" x14ac:dyDescent="0.25">
      <c r="A64" s="11" t="s">
        <v>71</v>
      </c>
      <c r="C64" s="2" t="s">
        <v>72</v>
      </c>
      <c r="D64" s="8" cm="1">
        <f t="array" aca="1" ref="D64" ca="1">_xlfn.XLOOKUP(1,
 (INDIRECT("'"&amp;$C$6&amp;"'!$6:$6")=D$6)*
 (INDIRECT("'"&amp;$C$6&amp;"'!$5:$5")=D$5),
 INDIRECT("'"&amp;$C$6&amp;"'!"&amp;ROW()&amp;":"&amp;ROW())
)</f>
        <v>713.48594999999989</v>
      </c>
      <c r="E64" s="8" cm="1">
        <f t="array" aca="1" ref="E64" ca="1">_xlfn.XLOOKUP(1,
 (INDIRECT("'"&amp;$C$6&amp;"'!$6:$6")=E$6)*
 (INDIRECT("'"&amp;$C$6&amp;"'!$5:$5")=E$5),
 INDIRECT("'"&amp;$C$6&amp;"'!"&amp;ROW()&amp;":"&amp;ROW())
)</f>
        <v>739.37663372000009</v>
      </c>
      <c r="F64" s="8" cm="1">
        <f t="array" aca="1" ref="F64" ca="1">_xlfn.XLOOKUP(1,
 (INDIRECT("'"&amp;$C$6&amp;"'!$6:$6")=F$6)*
 (INDIRECT("'"&amp;$C$6&amp;"'!$5:$5")=F$5),
 INDIRECT("'"&amp;$C$6&amp;"'!"&amp;ROW()&amp;":"&amp;ROW())
)</f>
        <v>698.90253999999993</v>
      </c>
      <c r="G64" s="8" cm="1">
        <f t="array" aca="1" ref="G64" ca="1">_xlfn.XLOOKUP(1,
 (INDIRECT("'"&amp;$C$6&amp;"'!$6:$6")=G$6)*
 (INDIRECT("'"&amp;$C$6&amp;"'!$5:$5")=G$5),
 INDIRECT("'"&amp;$C$6&amp;"'!"&amp;ROW()&amp;":"&amp;ROW())
)</f>
        <v>752.49437</v>
      </c>
      <c r="H64" s="8" cm="1">
        <f t="array" aca="1" ref="H64" ca="1">_xlfn.XLOOKUP(1,
 (INDIRECT("'"&amp;$C$6&amp;"'!$6:$6")=H$6)*
 (INDIRECT("'"&amp;$C$6&amp;"'!$5:$5")=H$5),
 INDIRECT("'"&amp;$C$6&amp;"'!"&amp;ROW()&amp;":"&amp;ROW())
)</f>
        <v>732.31598999999994</v>
      </c>
      <c r="I64" s="8" cm="1">
        <f t="array" aca="1" ref="I64" ca="1">_xlfn.XLOOKUP(1,
 (INDIRECT("'"&amp;$C$6&amp;"'!$6:$6")=I$6)*
 (INDIRECT("'"&amp;$C$6&amp;"'!$5:$5")=I$5),
 INDIRECT("'"&amp;$C$6&amp;"'!"&amp;ROW()&amp;":"&amp;ROW())
)</f>
        <v>677.1092000000001</v>
      </c>
      <c r="K64" s="34">
        <f t="shared" ca="1" si="146"/>
        <v>-25.890683720000197</v>
      </c>
      <c r="L64" s="34">
        <f t="shared" ca="1" si="147"/>
        <v>14.583409999999958</v>
      </c>
      <c r="M64" s="34">
        <f t="shared" ca="1" si="148"/>
        <v>-39.008420000000115</v>
      </c>
      <c r="N64" s="34">
        <f t="shared" ca="1" si="149"/>
        <v>-18.830040000000054</v>
      </c>
      <c r="O64" s="34">
        <f t="shared" ca="1" si="150"/>
        <v>36.376749999999788</v>
      </c>
      <c r="Q64" s="36">
        <f t="shared" ca="1" si="151"/>
        <v>-3.5016908215962039E-2</v>
      </c>
      <c r="R64" s="36">
        <f t="shared" ca="1" si="152"/>
        <v>2.0866156817801684E-2</v>
      </c>
      <c r="S64" s="36">
        <f t="shared" ca="1" si="153"/>
        <v>-5.183881973761495E-2</v>
      </c>
      <c r="T64" s="36">
        <f t="shared" ca="1" si="154"/>
        <v>-2.5712998565004752E-2</v>
      </c>
      <c r="U64" s="36">
        <f t="shared" ca="1" si="155"/>
        <v>5.372360913128893E-2</v>
      </c>
      <c r="W64" s="8" cm="1">
        <f t="array" aca="1" ref="W64" ca="1">INDIRECT("'"&amp;$C$6&amp;"'!"&amp;ADDRESS(ROW(),COLUMN()+44))</f>
        <v>3591.3921499999997</v>
      </c>
      <c r="X64" s="8" cm="1">
        <f t="array" aca="1" ref="X64" ca="1">INDIRECT("'"&amp;$C$6&amp;"'!"&amp;ADDRESS(ROW(),COLUMN()+44))</f>
        <v>3734.3599011600004</v>
      </c>
      <c r="Y64" s="8" cm="1">
        <f t="array" aca="1" ref="Y64" ca="1">INDIRECT("'"&amp;$C$6&amp;"'!"&amp;ADDRESS(ROW(),COLUMN()+44))</f>
        <v>2877.9061999999999</v>
      </c>
      <c r="Z64" s="8" cm="1">
        <f t="array" aca="1" ref="Z64" ca="1">INDIRECT("'"&amp;$C$6&amp;"'!"&amp;ADDRESS(ROW(),COLUMN()+44))</f>
        <v>3823.0475799999999</v>
      </c>
      <c r="AA64" s="8" cm="1">
        <f t="array" aca="1" ref="AA64" ca="1">INDIRECT("'"&amp;$C$6&amp;"'!"&amp;ADDRESS(ROW(),COLUMN()+44))</f>
        <v>3590.1602600000001</v>
      </c>
      <c r="AB64" s="8" cm="1">
        <f t="array" aca="1" ref="AB64" ca="1">INDIRECT("'"&amp;$C$6&amp;"'!"&amp;ADDRESS(ROW(),COLUMN()+44))</f>
        <v>3403.2876900000001</v>
      </c>
      <c r="AD64" s="34">
        <f t="shared" ca="1" si="156"/>
        <v>-142.96775116000072</v>
      </c>
      <c r="AE64" s="34">
        <f t="shared" ca="1" si="157"/>
        <v>713.48594999999978</v>
      </c>
      <c r="AF64" s="34">
        <f t="shared" ca="1" si="158"/>
        <v>-231.65543000000025</v>
      </c>
      <c r="AG64" s="34">
        <f t="shared" ca="1" si="159"/>
        <v>1.2318899999995665</v>
      </c>
      <c r="AH64" s="34">
        <f t="shared" ca="1" si="160"/>
        <v>188.10445999999956</v>
      </c>
      <c r="AJ64" s="36">
        <f t="shared" ca="1" si="161"/>
        <v>-3.8284406148317629E-2</v>
      </c>
      <c r="AK64" s="36">
        <f t="shared" ca="1" si="162"/>
        <v>0.24791841721596053</v>
      </c>
      <c r="AL64" s="36">
        <f t="shared" ca="1" si="163"/>
        <v>-6.0594440731496224E-2</v>
      </c>
      <c r="AM64" s="36">
        <f t="shared" ca="1" si="164"/>
        <v>3.4312952926485174E-4</v>
      </c>
      <c r="AN64" s="36">
        <f t="shared" ca="1" si="165"/>
        <v>5.5271395525189781E-2</v>
      </c>
    </row>
    <row r="65" spans="1:40" hidden="1" outlineLevel="1" x14ac:dyDescent="0.25">
      <c r="A65" s="11" t="s">
        <v>71</v>
      </c>
      <c r="C65" s="2" t="s">
        <v>73</v>
      </c>
      <c r="D65" s="8" cm="1">
        <f t="array" aca="1" ref="D65" ca="1">_xlfn.XLOOKUP(1,
 (INDIRECT("'"&amp;$C$6&amp;"'!$6:$6")=D$6)*
 (INDIRECT("'"&amp;$C$6&amp;"'!$5:$5")=D$5),
 INDIRECT("'"&amp;$C$6&amp;"'!"&amp;ROW()&amp;":"&amp;ROW())
)</f>
        <v>-337.3052200000003</v>
      </c>
      <c r="E65" s="8" cm="1">
        <f t="array" aca="1" ref="E65" ca="1">_xlfn.XLOOKUP(1,
 (INDIRECT("'"&amp;$C$6&amp;"'!$6:$6")=E$6)*
 (INDIRECT("'"&amp;$C$6&amp;"'!$5:$5")=E$5),
 INDIRECT("'"&amp;$C$6&amp;"'!"&amp;ROW()&amp;":"&amp;ROW())
)</f>
        <v>-575</v>
      </c>
      <c r="F65" s="8" cm="1">
        <f t="array" aca="1" ref="F65" ca="1">_xlfn.XLOOKUP(1,
 (INDIRECT("'"&amp;$C$6&amp;"'!$6:$6")=F$6)*
 (INDIRECT("'"&amp;$C$6&amp;"'!$5:$5")=F$5),
 INDIRECT("'"&amp;$C$6&amp;"'!"&amp;ROW()&amp;":"&amp;ROW())
)</f>
        <v>-8.1772900000000455</v>
      </c>
      <c r="G65" s="8" cm="1">
        <f t="array" aca="1" ref="G65" ca="1">_xlfn.XLOOKUP(1,
 (INDIRECT("'"&amp;$C$6&amp;"'!$6:$6")=G$6)*
 (INDIRECT("'"&amp;$C$6&amp;"'!$5:$5")=G$5),
 INDIRECT("'"&amp;$C$6&amp;"'!"&amp;ROW()&amp;":"&amp;ROW())
)</f>
        <v>-205.42356004239997</v>
      </c>
      <c r="H65" s="8" cm="1">
        <f t="array" aca="1" ref="H65" ca="1">_xlfn.XLOOKUP(1,
 (INDIRECT("'"&amp;$C$6&amp;"'!$6:$6")=H$6)*
 (INDIRECT("'"&amp;$C$6&amp;"'!$5:$5")=H$5),
 INDIRECT("'"&amp;$C$6&amp;"'!"&amp;ROW()&amp;":"&amp;ROW())
)</f>
        <v>-788.67093003899993</v>
      </c>
      <c r="I65" s="8" cm="1">
        <f t="array" aca="1" ref="I65" ca="1">_xlfn.XLOOKUP(1,
 (INDIRECT("'"&amp;$C$6&amp;"'!$6:$6")=I$6)*
 (INDIRECT("'"&amp;$C$6&amp;"'!$5:$5")=I$5),
 INDIRECT("'"&amp;$C$6&amp;"'!"&amp;ROW()&amp;":"&amp;ROW())
)</f>
        <v>-576.71598008499996</v>
      </c>
      <c r="K65" s="34">
        <f t="shared" ca="1" si="146"/>
        <v>237.6947799999997</v>
      </c>
      <c r="L65" s="34">
        <f t="shared" ca="1" si="147"/>
        <v>-329.12793000000028</v>
      </c>
      <c r="M65" s="34">
        <f t="shared" ca="1" si="148"/>
        <v>-131.88165995760033</v>
      </c>
      <c r="N65" s="34">
        <f t="shared" ca="1" si="149"/>
        <v>451.36571003899962</v>
      </c>
      <c r="O65" s="34">
        <f t="shared" ca="1" si="150"/>
        <v>239.41076008499965</v>
      </c>
      <c r="Q65" s="36">
        <f t="shared" ca="1" si="151"/>
        <v>-0.41338222608695596</v>
      </c>
      <c r="R65" s="36">
        <f t="shared" ca="1" si="152"/>
        <v>40.249022597950962</v>
      </c>
      <c r="S65" s="36">
        <f t="shared" ca="1" si="153"/>
        <v>0.64199870711217155</v>
      </c>
      <c r="T65" s="36">
        <f t="shared" ca="1" si="154"/>
        <v>-0.57231183862283286</v>
      </c>
      <c r="U65" s="36">
        <f t="shared" ca="1" si="155"/>
        <v>-0.41512766830167225</v>
      </c>
      <c r="W65" s="8" cm="1">
        <f t="array" aca="1" ref="W65" ca="1">INDIRECT("'"&amp;$C$6&amp;"'!"&amp;ADDRESS(ROW(),COLUMN()+44))</f>
        <v>-1192.9396400000005</v>
      </c>
      <c r="X65" s="8" cm="1">
        <f t="array" aca="1" ref="X65" ca="1">INDIRECT("'"&amp;$C$6&amp;"'!"&amp;ADDRESS(ROW(),COLUMN()+44))</f>
        <v>-2236</v>
      </c>
      <c r="Y65" s="8" cm="1">
        <f t="array" aca="1" ref="Y65" ca="1">INDIRECT("'"&amp;$C$6&amp;"'!"&amp;ADDRESS(ROW(),COLUMN()+44))</f>
        <v>-855.63442000000009</v>
      </c>
      <c r="Z65" s="8" cm="1">
        <f t="array" aca="1" ref="Z65" ca="1">INDIRECT("'"&amp;$C$6&amp;"'!"&amp;ADDRESS(ROW(),COLUMN()+44))</f>
        <v>-3385.5477799904002</v>
      </c>
      <c r="AA65" s="8" cm="1">
        <f t="array" aca="1" ref="AA65" ca="1">INDIRECT("'"&amp;$C$6&amp;"'!"&amp;ADDRESS(ROW(),COLUMN()+44))</f>
        <v>-3527.4263100414</v>
      </c>
      <c r="AB65" s="8" cm="1">
        <f t="array" aca="1" ref="AB65" ca="1">INDIRECT("'"&amp;$C$6&amp;"'!"&amp;ADDRESS(ROW(),COLUMN()+44))</f>
        <v>-2700.6071900023999</v>
      </c>
      <c r="AD65" s="34">
        <f t="shared" ca="1" si="156"/>
        <v>1043.0603599999995</v>
      </c>
      <c r="AE65" s="34">
        <f t="shared" ca="1" si="157"/>
        <v>-337.30522000000042</v>
      </c>
      <c r="AF65" s="34">
        <f t="shared" ca="1" si="158"/>
        <v>2192.6081399903996</v>
      </c>
      <c r="AG65" s="34">
        <f t="shared" ca="1" si="159"/>
        <v>2334.4866700413995</v>
      </c>
      <c r="AH65" s="34">
        <f t="shared" ca="1" si="160"/>
        <v>1507.6675500023994</v>
      </c>
      <c r="AJ65" s="36">
        <f t="shared" ca="1" si="161"/>
        <v>-0.46648495527728062</v>
      </c>
      <c r="AK65" s="36">
        <f t="shared" ca="1" si="162"/>
        <v>0.39421651597419416</v>
      </c>
      <c r="AL65" s="36">
        <f t="shared" ca="1" si="163"/>
        <v>-0.64763762985398388</v>
      </c>
      <c r="AM65" s="36">
        <f t="shared" ca="1" si="164"/>
        <v>-0.66181018818051518</v>
      </c>
      <c r="AN65" s="36">
        <f t="shared" ca="1" si="165"/>
        <v>-0.5582698422724186</v>
      </c>
    </row>
    <row r="66" spans="1:40" hidden="1" outlineLevel="1" x14ac:dyDescent="0.25">
      <c r="A66" s="11" t="s">
        <v>71</v>
      </c>
      <c r="C66" s="2"/>
      <c r="D66" s="8" cm="1">
        <f t="array" aca="1" ref="D66" ca="1">_xlfn.XLOOKUP(1,
 (INDIRECT("'"&amp;$C$6&amp;"'!$6:$6")=D$6)*
 (INDIRECT("'"&amp;$C$6&amp;"'!$5:$5")=D$5),
 INDIRECT("'"&amp;$C$6&amp;"'!"&amp;ROW()&amp;":"&amp;ROW())
)</f>
        <v>0</v>
      </c>
      <c r="E66" s="8" cm="1">
        <f t="array" aca="1" ref="E66" ca="1">_xlfn.XLOOKUP(1,
 (INDIRECT("'"&amp;$C$6&amp;"'!$6:$6")=E$6)*
 (INDIRECT("'"&amp;$C$6&amp;"'!$5:$5")=E$5),
 INDIRECT("'"&amp;$C$6&amp;"'!"&amp;ROW()&amp;":"&amp;ROW())
)</f>
        <v>0</v>
      </c>
      <c r="F66" s="8" cm="1">
        <f t="array" aca="1" ref="F66" ca="1">_xlfn.XLOOKUP(1,
 (INDIRECT("'"&amp;$C$6&amp;"'!$6:$6")=F$6)*
 (INDIRECT("'"&amp;$C$6&amp;"'!$5:$5")=F$5),
 INDIRECT("'"&amp;$C$6&amp;"'!"&amp;ROW()&amp;":"&amp;ROW())
)</f>
        <v>0</v>
      </c>
      <c r="G66" s="8" cm="1">
        <f t="array" aca="1" ref="G66" ca="1">_xlfn.XLOOKUP(1,
 (INDIRECT("'"&amp;$C$6&amp;"'!$6:$6")=G$6)*
 (INDIRECT("'"&amp;$C$6&amp;"'!$5:$5")=G$5),
 INDIRECT("'"&amp;$C$6&amp;"'!"&amp;ROW()&amp;":"&amp;ROW())
)</f>
        <v>0</v>
      </c>
      <c r="H66" s="8" cm="1">
        <f t="array" aca="1" ref="H66" ca="1">_xlfn.XLOOKUP(1,
 (INDIRECT("'"&amp;$C$6&amp;"'!$6:$6")=H$6)*
 (INDIRECT("'"&amp;$C$6&amp;"'!$5:$5")=H$5),
 INDIRECT("'"&amp;$C$6&amp;"'!"&amp;ROW()&amp;":"&amp;ROW())
)</f>
        <v>0</v>
      </c>
      <c r="I66" s="8" cm="1">
        <f t="array" aca="1" ref="I66" ca="1">_xlfn.XLOOKUP(1,
 (INDIRECT("'"&amp;$C$6&amp;"'!$6:$6")=I$6)*
 (INDIRECT("'"&amp;$C$6&amp;"'!$5:$5")=I$5),
 INDIRECT("'"&amp;$C$6&amp;"'!"&amp;ROW()&amp;":"&amp;ROW())
)</f>
        <v>0</v>
      </c>
      <c r="K66" s="34">
        <f t="shared" ca="1" si="146"/>
        <v>0</v>
      </c>
      <c r="L66" s="34">
        <f t="shared" ca="1" si="147"/>
        <v>0</v>
      </c>
      <c r="M66" s="34">
        <f t="shared" ca="1" si="148"/>
        <v>0</v>
      </c>
      <c r="N66" s="34">
        <f t="shared" ca="1" si="149"/>
        <v>0</v>
      </c>
      <c r="O66" s="34">
        <f t="shared" ca="1" si="150"/>
        <v>0</v>
      </c>
      <c r="Q66" s="36">
        <f t="shared" ca="1" si="151"/>
        <v>0</v>
      </c>
      <c r="R66" s="36">
        <f t="shared" ca="1" si="152"/>
        <v>0</v>
      </c>
      <c r="S66" s="36">
        <f t="shared" ca="1" si="153"/>
        <v>0</v>
      </c>
      <c r="T66" s="36">
        <f t="shared" ca="1" si="154"/>
        <v>0</v>
      </c>
      <c r="U66" s="36">
        <f t="shared" ca="1" si="155"/>
        <v>0</v>
      </c>
      <c r="W66" s="8" cm="1">
        <f t="array" aca="1" ref="W66" ca="1">INDIRECT("'"&amp;$C$6&amp;"'!"&amp;ADDRESS(ROW(),COLUMN()+44))</f>
        <v>0</v>
      </c>
      <c r="X66" s="8" cm="1">
        <f t="array" aca="1" ref="X66" ca="1">INDIRECT("'"&amp;$C$6&amp;"'!"&amp;ADDRESS(ROW(),COLUMN()+44))</f>
        <v>0</v>
      </c>
      <c r="Y66" s="8" cm="1">
        <f t="array" aca="1" ref="Y66" ca="1">INDIRECT("'"&amp;$C$6&amp;"'!"&amp;ADDRESS(ROW(),COLUMN()+44))</f>
        <v>0</v>
      </c>
      <c r="Z66" s="8" cm="1">
        <f t="array" aca="1" ref="Z66" ca="1">INDIRECT("'"&amp;$C$6&amp;"'!"&amp;ADDRESS(ROW(),COLUMN()+44))</f>
        <v>0</v>
      </c>
      <c r="AA66" s="8" cm="1">
        <f t="array" aca="1" ref="AA66" ca="1">INDIRECT("'"&amp;$C$6&amp;"'!"&amp;ADDRESS(ROW(),COLUMN()+44))</f>
        <v>0</v>
      </c>
      <c r="AB66" s="8" cm="1">
        <f t="array" aca="1" ref="AB66" ca="1">INDIRECT("'"&amp;$C$6&amp;"'!"&amp;ADDRESS(ROW(),COLUMN()+44))</f>
        <v>0</v>
      </c>
      <c r="AD66" s="34">
        <f t="shared" ca="1" si="156"/>
        <v>0</v>
      </c>
      <c r="AE66" s="34">
        <f t="shared" ca="1" si="157"/>
        <v>0</v>
      </c>
      <c r="AF66" s="34">
        <f t="shared" ca="1" si="158"/>
        <v>0</v>
      </c>
      <c r="AG66" s="34">
        <f t="shared" ca="1" si="159"/>
        <v>0</v>
      </c>
      <c r="AH66" s="34">
        <f t="shared" ca="1" si="160"/>
        <v>0</v>
      </c>
      <c r="AJ66" s="36">
        <f t="shared" ca="1" si="161"/>
        <v>0</v>
      </c>
      <c r="AK66" s="36">
        <f t="shared" ca="1" si="162"/>
        <v>0</v>
      </c>
      <c r="AL66" s="36">
        <f t="shared" ca="1" si="163"/>
        <v>0</v>
      </c>
      <c r="AM66" s="36">
        <f t="shared" ca="1" si="164"/>
        <v>0</v>
      </c>
      <c r="AN66" s="36">
        <f t="shared" ca="1" si="165"/>
        <v>0</v>
      </c>
    </row>
    <row r="67" spans="1:40" hidden="1" outlineLevel="1" x14ac:dyDescent="0.25">
      <c r="A67" s="11" t="s">
        <v>71</v>
      </c>
      <c r="C67" s="2"/>
      <c r="D67" s="8" cm="1">
        <f t="array" aca="1" ref="D67" ca="1">_xlfn.XLOOKUP(1,
 (INDIRECT("'"&amp;$C$6&amp;"'!$6:$6")=D$6)*
 (INDIRECT("'"&amp;$C$6&amp;"'!$5:$5")=D$5),
 INDIRECT("'"&amp;$C$6&amp;"'!"&amp;ROW()&amp;":"&amp;ROW())
)</f>
        <v>0</v>
      </c>
      <c r="E67" s="8" cm="1">
        <f t="array" aca="1" ref="E67" ca="1">_xlfn.XLOOKUP(1,
 (INDIRECT("'"&amp;$C$6&amp;"'!$6:$6")=E$6)*
 (INDIRECT("'"&amp;$C$6&amp;"'!$5:$5")=E$5),
 INDIRECT("'"&amp;$C$6&amp;"'!"&amp;ROW()&amp;":"&amp;ROW())
)</f>
        <v>0</v>
      </c>
      <c r="F67" s="8" cm="1">
        <f t="array" aca="1" ref="F67" ca="1">_xlfn.XLOOKUP(1,
 (INDIRECT("'"&amp;$C$6&amp;"'!$6:$6")=F$6)*
 (INDIRECT("'"&amp;$C$6&amp;"'!$5:$5")=F$5),
 INDIRECT("'"&amp;$C$6&amp;"'!"&amp;ROW()&amp;":"&amp;ROW())
)</f>
        <v>0</v>
      </c>
      <c r="G67" s="8" cm="1">
        <f t="array" aca="1" ref="G67" ca="1">_xlfn.XLOOKUP(1,
 (INDIRECT("'"&amp;$C$6&amp;"'!$6:$6")=G$6)*
 (INDIRECT("'"&amp;$C$6&amp;"'!$5:$5")=G$5),
 INDIRECT("'"&amp;$C$6&amp;"'!"&amp;ROW()&amp;":"&amp;ROW())
)</f>
        <v>0</v>
      </c>
      <c r="H67" s="8" cm="1">
        <f t="array" aca="1" ref="H67" ca="1">_xlfn.XLOOKUP(1,
 (INDIRECT("'"&amp;$C$6&amp;"'!$6:$6")=H$6)*
 (INDIRECT("'"&amp;$C$6&amp;"'!$5:$5")=H$5),
 INDIRECT("'"&amp;$C$6&amp;"'!"&amp;ROW()&amp;":"&amp;ROW())
)</f>
        <v>0</v>
      </c>
      <c r="I67" s="8" cm="1">
        <f t="array" aca="1" ref="I67" ca="1">_xlfn.XLOOKUP(1,
 (INDIRECT("'"&amp;$C$6&amp;"'!$6:$6")=I$6)*
 (INDIRECT("'"&amp;$C$6&amp;"'!$5:$5")=I$5),
 INDIRECT("'"&amp;$C$6&amp;"'!"&amp;ROW()&amp;":"&amp;ROW())
)</f>
        <v>0</v>
      </c>
      <c r="K67" s="34">
        <f t="shared" ca="1" si="146"/>
        <v>0</v>
      </c>
      <c r="L67" s="34">
        <f t="shared" ca="1" si="147"/>
        <v>0</v>
      </c>
      <c r="M67" s="34">
        <f t="shared" ca="1" si="148"/>
        <v>0</v>
      </c>
      <c r="N67" s="34">
        <f t="shared" ca="1" si="149"/>
        <v>0</v>
      </c>
      <c r="O67" s="34">
        <f t="shared" ca="1" si="150"/>
        <v>0</v>
      </c>
      <c r="Q67" s="36">
        <f t="shared" ca="1" si="151"/>
        <v>0</v>
      </c>
      <c r="R67" s="36">
        <f t="shared" ca="1" si="152"/>
        <v>0</v>
      </c>
      <c r="S67" s="36">
        <f t="shared" ca="1" si="153"/>
        <v>0</v>
      </c>
      <c r="T67" s="36">
        <f t="shared" ca="1" si="154"/>
        <v>0</v>
      </c>
      <c r="U67" s="36">
        <f t="shared" ca="1" si="155"/>
        <v>0</v>
      </c>
      <c r="W67" s="8" cm="1">
        <f t="array" aca="1" ref="W67" ca="1">INDIRECT("'"&amp;$C$6&amp;"'!"&amp;ADDRESS(ROW(),COLUMN()+44))</f>
        <v>0</v>
      </c>
      <c r="X67" s="8" cm="1">
        <f t="array" aca="1" ref="X67" ca="1">INDIRECT("'"&amp;$C$6&amp;"'!"&amp;ADDRESS(ROW(),COLUMN()+44))</f>
        <v>0</v>
      </c>
      <c r="Y67" s="8" cm="1">
        <f t="array" aca="1" ref="Y67" ca="1">INDIRECT("'"&amp;$C$6&amp;"'!"&amp;ADDRESS(ROW(),COLUMN()+44))</f>
        <v>0</v>
      </c>
      <c r="Z67" s="8" cm="1">
        <f t="array" aca="1" ref="Z67" ca="1">INDIRECT("'"&amp;$C$6&amp;"'!"&amp;ADDRESS(ROW(),COLUMN()+44))</f>
        <v>0</v>
      </c>
      <c r="AA67" s="8" cm="1">
        <f t="array" aca="1" ref="AA67" ca="1">INDIRECT("'"&amp;$C$6&amp;"'!"&amp;ADDRESS(ROW(),COLUMN()+44))</f>
        <v>0</v>
      </c>
      <c r="AB67" s="8" cm="1">
        <f t="array" aca="1" ref="AB67" ca="1">INDIRECT("'"&amp;$C$6&amp;"'!"&amp;ADDRESS(ROW(),COLUMN()+44))</f>
        <v>0</v>
      </c>
      <c r="AD67" s="34">
        <f t="shared" ca="1" si="156"/>
        <v>0</v>
      </c>
      <c r="AE67" s="34">
        <f t="shared" ca="1" si="157"/>
        <v>0</v>
      </c>
      <c r="AF67" s="34">
        <f t="shared" ca="1" si="158"/>
        <v>0</v>
      </c>
      <c r="AG67" s="34">
        <f t="shared" ca="1" si="159"/>
        <v>0</v>
      </c>
      <c r="AH67" s="34">
        <f t="shared" ca="1" si="160"/>
        <v>0</v>
      </c>
      <c r="AJ67" s="36">
        <f t="shared" ca="1" si="161"/>
        <v>0</v>
      </c>
      <c r="AK67" s="36">
        <f t="shared" ca="1" si="162"/>
        <v>0</v>
      </c>
      <c r="AL67" s="36">
        <f t="shared" ca="1" si="163"/>
        <v>0</v>
      </c>
      <c r="AM67" s="36">
        <f t="shared" ca="1" si="164"/>
        <v>0</v>
      </c>
      <c r="AN67" s="36">
        <f t="shared" ca="1" si="165"/>
        <v>0</v>
      </c>
    </row>
    <row r="68" spans="1:40" hidden="1" outlineLevel="1" x14ac:dyDescent="0.25">
      <c r="A68" s="11" t="s">
        <v>71</v>
      </c>
      <c r="C68" s="2"/>
      <c r="D68" s="8" cm="1">
        <f t="array" aca="1" ref="D68" ca="1">_xlfn.XLOOKUP(1,
 (INDIRECT("'"&amp;$C$6&amp;"'!$6:$6")=D$6)*
 (INDIRECT("'"&amp;$C$6&amp;"'!$5:$5")=D$5),
 INDIRECT("'"&amp;$C$6&amp;"'!"&amp;ROW()&amp;":"&amp;ROW())
)</f>
        <v>0</v>
      </c>
      <c r="E68" s="8" cm="1">
        <f t="array" aca="1" ref="E68" ca="1">_xlfn.XLOOKUP(1,
 (INDIRECT("'"&amp;$C$6&amp;"'!$6:$6")=E$6)*
 (INDIRECT("'"&amp;$C$6&amp;"'!$5:$5")=E$5),
 INDIRECT("'"&amp;$C$6&amp;"'!"&amp;ROW()&amp;":"&amp;ROW())
)</f>
        <v>0</v>
      </c>
      <c r="F68" s="8" cm="1">
        <f t="array" aca="1" ref="F68" ca="1">_xlfn.XLOOKUP(1,
 (INDIRECT("'"&amp;$C$6&amp;"'!$6:$6")=F$6)*
 (INDIRECT("'"&amp;$C$6&amp;"'!$5:$5")=F$5),
 INDIRECT("'"&amp;$C$6&amp;"'!"&amp;ROW()&amp;":"&amp;ROW())
)</f>
        <v>0</v>
      </c>
      <c r="G68" s="8" cm="1">
        <f t="array" aca="1" ref="G68" ca="1">_xlfn.XLOOKUP(1,
 (INDIRECT("'"&amp;$C$6&amp;"'!$6:$6")=G$6)*
 (INDIRECT("'"&amp;$C$6&amp;"'!$5:$5")=G$5),
 INDIRECT("'"&amp;$C$6&amp;"'!"&amp;ROW()&amp;":"&amp;ROW())
)</f>
        <v>0</v>
      </c>
      <c r="H68" s="8" cm="1">
        <f t="array" aca="1" ref="H68" ca="1">_xlfn.XLOOKUP(1,
 (INDIRECT("'"&amp;$C$6&amp;"'!$6:$6")=H$6)*
 (INDIRECT("'"&amp;$C$6&amp;"'!$5:$5")=H$5),
 INDIRECT("'"&amp;$C$6&amp;"'!"&amp;ROW()&amp;":"&amp;ROW())
)</f>
        <v>0</v>
      </c>
      <c r="I68" s="8" cm="1">
        <f t="array" aca="1" ref="I68" ca="1">_xlfn.XLOOKUP(1,
 (INDIRECT("'"&amp;$C$6&amp;"'!$6:$6")=I$6)*
 (INDIRECT("'"&amp;$C$6&amp;"'!$5:$5")=I$5),
 INDIRECT("'"&amp;$C$6&amp;"'!"&amp;ROW()&amp;":"&amp;ROW())
)</f>
        <v>0</v>
      </c>
      <c r="K68" s="34">
        <f t="shared" ca="1" si="146"/>
        <v>0</v>
      </c>
      <c r="L68" s="34">
        <f t="shared" ca="1" si="147"/>
        <v>0</v>
      </c>
      <c r="M68" s="34">
        <f t="shared" ca="1" si="148"/>
        <v>0</v>
      </c>
      <c r="N68" s="34">
        <f t="shared" ca="1" si="149"/>
        <v>0</v>
      </c>
      <c r="O68" s="34">
        <f t="shared" ca="1" si="150"/>
        <v>0</v>
      </c>
      <c r="Q68" s="36">
        <f t="shared" ca="1" si="151"/>
        <v>0</v>
      </c>
      <c r="R68" s="36">
        <f t="shared" ca="1" si="152"/>
        <v>0</v>
      </c>
      <c r="S68" s="36">
        <f t="shared" ca="1" si="153"/>
        <v>0</v>
      </c>
      <c r="T68" s="36">
        <f t="shared" ca="1" si="154"/>
        <v>0</v>
      </c>
      <c r="U68" s="36">
        <f t="shared" ca="1" si="155"/>
        <v>0</v>
      </c>
      <c r="W68" s="8" cm="1">
        <f t="array" aca="1" ref="W68" ca="1">INDIRECT("'"&amp;$C$6&amp;"'!"&amp;ADDRESS(ROW(),COLUMN()+44))</f>
        <v>0</v>
      </c>
      <c r="X68" s="8" cm="1">
        <f t="array" aca="1" ref="X68" ca="1">INDIRECT("'"&amp;$C$6&amp;"'!"&amp;ADDRESS(ROW(),COLUMN()+44))</f>
        <v>0</v>
      </c>
      <c r="Y68" s="8" cm="1">
        <f t="array" aca="1" ref="Y68" ca="1">INDIRECT("'"&amp;$C$6&amp;"'!"&amp;ADDRESS(ROW(),COLUMN()+44))</f>
        <v>0</v>
      </c>
      <c r="Z68" s="8" cm="1">
        <f t="array" aca="1" ref="Z68" ca="1">INDIRECT("'"&amp;$C$6&amp;"'!"&amp;ADDRESS(ROW(),COLUMN()+44))</f>
        <v>0</v>
      </c>
      <c r="AA68" s="8" cm="1">
        <f t="array" aca="1" ref="AA68" ca="1">INDIRECT("'"&amp;$C$6&amp;"'!"&amp;ADDRESS(ROW(),COLUMN()+44))</f>
        <v>0</v>
      </c>
      <c r="AB68" s="8" cm="1">
        <f t="array" aca="1" ref="AB68" ca="1">INDIRECT("'"&amp;$C$6&amp;"'!"&amp;ADDRESS(ROW(),COLUMN()+44))</f>
        <v>0</v>
      </c>
      <c r="AD68" s="34">
        <f t="shared" ca="1" si="156"/>
        <v>0</v>
      </c>
      <c r="AE68" s="34">
        <f t="shared" ca="1" si="157"/>
        <v>0</v>
      </c>
      <c r="AF68" s="34">
        <f t="shared" ca="1" si="158"/>
        <v>0</v>
      </c>
      <c r="AG68" s="34">
        <f t="shared" ca="1" si="159"/>
        <v>0</v>
      </c>
      <c r="AH68" s="34">
        <f t="shared" ca="1" si="160"/>
        <v>0</v>
      </c>
      <c r="AJ68" s="36">
        <f t="shared" ca="1" si="161"/>
        <v>0</v>
      </c>
      <c r="AK68" s="36">
        <f t="shared" ca="1" si="162"/>
        <v>0</v>
      </c>
      <c r="AL68" s="36">
        <f t="shared" ca="1" si="163"/>
        <v>0</v>
      </c>
      <c r="AM68" s="36">
        <f t="shared" ca="1" si="164"/>
        <v>0</v>
      </c>
      <c r="AN68" s="36">
        <f t="shared" ca="1" si="165"/>
        <v>0</v>
      </c>
    </row>
    <row r="69" spans="1:40" hidden="1" outlineLevel="1" x14ac:dyDescent="0.25">
      <c r="A69" s="11" t="s">
        <v>71</v>
      </c>
      <c r="C69" s="2"/>
      <c r="D69" s="8" cm="1">
        <f t="array" aca="1" ref="D69" ca="1">_xlfn.XLOOKUP(1,
 (INDIRECT("'"&amp;$C$6&amp;"'!$6:$6")=D$6)*
 (INDIRECT("'"&amp;$C$6&amp;"'!$5:$5")=D$5),
 INDIRECT("'"&amp;$C$6&amp;"'!"&amp;ROW()&amp;":"&amp;ROW())
)</f>
        <v>0</v>
      </c>
      <c r="E69" s="8" cm="1">
        <f t="array" aca="1" ref="E69" ca="1">_xlfn.XLOOKUP(1,
 (INDIRECT("'"&amp;$C$6&amp;"'!$6:$6")=E$6)*
 (INDIRECT("'"&amp;$C$6&amp;"'!$5:$5")=E$5),
 INDIRECT("'"&amp;$C$6&amp;"'!"&amp;ROW()&amp;":"&amp;ROW())
)</f>
        <v>0</v>
      </c>
      <c r="F69" s="8" cm="1">
        <f t="array" aca="1" ref="F69" ca="1">_xlfn.XLOOKUP(1,
 (INDIRECT("'"&amp;$C$6&amp;"'!$6:$6")=F$6)*
 (INDIRECT("'"&amp;$C$6&amp;"'!$5:$5")=F$5),
 INDIRECT("'"&amp;$C$6&amp;"'!"&amp;ROW()&amp;":"&amp;ROW())
)</f>
        <v>0</v>
      </c>
      <c r="G69" s="8" cm="1">
        <f t="array" aca="1" ref="G69" ca="1">_xlfn.XLOOKUP(1,
 (INDIRECT("'"&amp;$C$6&amp;"'!$6:$6")=G$6)*
 (INDIRECT("'"&amp;$C$6&amp;"'!$5:$5")=G$5),
 INDIRECT("'"&amp;$C$6&amp;"'!"&amp;ROW()&amp;":"&amp;ROW())
)</f>
        <v>0</v>
      </c>
      <c r="H69" s="8" cm="1">
        <f t="array" aca="1" ref="H69" ca="1">_xlfn.XLOOKUP(1,
 (INDIRECT("'"&amp;$C$6&amp;"'!$6:$6")=H$6)*
 (INDIRECT("'"&amp;$C$6&amp;"'!$5:$5")=H$5),
 INDIRECT("'"&amp;$C$6&amp;"'!"&amp;ROW()&amp;":"&amp;ROW())
)</f>
        <v>0</v>
      </c>
      <c r="I69" s="8" cm="1">
        <f t="array" aca="1" ref="I69" ca="1">_xlfn.XLOOKUP(1,
 (INDIRECT("'"&amp;$C$6&amp;"'!$6:$6")=I$6)*
 (INDIRECT("'"&amp;$C$6&amp;"'!$5:$5")=I$5),
 INDIRECT("'"&amp;$C$6&amp;"'!"&amp;ROW()&amp;":"&amp;ROW())
)</f>
        <v>0</v>
      </c>
      <c r="K69" s="34">
        <f t="shared" ca="1" si="146"/>
        <v>0</v>
      </c>
      <c r="L69" s="34">
        <f t="shared" ca="1" si="147"/>
        <v>0</v>
      </c>
      <c r="M69" s="34">
        <f t="shared" ca="1" si="148"/>
        <v>0</v>
      </c>
      <c r="N69" s="34">
        <f t="shared" ca="1" si="149"/>
        <v>0</v>
      </c>
      <c r="O69" s="34">
        <f t="shared" ca="1" si="150"/>
        <v>0</v>
      </c>
      <c r="Q69" s="36">
        <f t="shared" ca="1" si="151"/>
        <v>0</v>
      </c>
      <c r="R69" s="36">
        <f t="shared" ca="1" si="152"/>
        <v>0</v>
      </c>
      <c r="S69" s="36">
        <f t="shared" ca="1" si="153"/>
        <v>0</v>
      </c>
      <c r="T69" s="36">
        <f t="shared" ca="1" si="154"/>
        <v>0</v>
      </c>
      <c r="U69" s="36">
        <f t="shared" ca="1" si="155"/>
        <v>0</v>
      </c>
      <c r="W69" s="8" cm="1">
        <f t="array" aca="1" ref="W69" ca="1">INDIRECT("'"&amp;$C$6&amp;"'!"&amp;ADDRESS(ROW(),COLUMN()+44))</f>
        <v>0</v>
      </c>
      <c r="X69" s="8" cm="1">
        <f t="array" aca="1" ref="X69" ca="1">INDIRECT("'"&amp;$C$6&amp;"'!"&amp;ADDRESS(ROW(),COLUMN()+44))</f>
        <v>0</v>
      </c>
      <c r="Y69" s="8" cm="1">
        <f t="array" aca="1" ref="Y69" ca="1">INDIRECT("'"&amp;$C$6&amp;"'!"&amp;ADDRESS(ROW(),COLUMN()+44))</f>
        <v>0</v>
      </c>
      <c r="Z69" s="8" cm="1">
        <f t="array" aca="1" ref="Z69" ca="1">INDIRECT("'"&amp;$C$6&amp;"'!"&amp;ADDRESS(ROW(),COLUMN()+44))</f>
        <v>0</v>
      </c>
      <c r="AA69" s="8" cm="1">
        <f t="array" aca="1" ref="AA69" ca="1">INDIRECT("'"&amp;$C$6&amp;"'!"&amp;ADDRESS(ROW(),COLUMN()+44))</f>
        <v>0</v>
      </c>
      <c r="AB69" s="8" cm="1">
        <f t="array" aca="1" ref="AB69" ca="1">INDIRECT("'"&amp;$C$6&amp;"'!"&amp;ADDRESS(ROW(),COLUMN()+44))</f>
        <v>0</v>
      </c>
      <c r="AD69" s="34">
        <f t="shared" ca="1" si="156"/>
        <v>0</v>
      </c>
      <c r="AE69" s="34">
        <f t="shared" ca="1" si="157"/>
        <v>0</v>
      </c>
      <c r="AF69" s="34">
        <f t="shared" ca="1" si="158"/>
        <v>0</v>
      </c>
      <c r="AG69" s="34">
        <f t="shared" ca="1" si="159"/>
        <v>0</v>
      </c>
      <c r="AH69" s="34">
        <f t="shared" ca="1" si="160"/>
        <v>0</v>
      </c>
      <c r="AJ69" s="36">
        <f t="shared" ca="1" si="161"/>
        <v>0</v>
      </c>
      <c r="AK69" s="36">
        <f t="shared" ca="1" si="162"/>
        <v>0</v>
      </c>
      <c r="AL69" s="36">
        <f t="shared" ca="1" si="163"/>
        <v>0</v>
      </c>
      <c r="AM69" s="36">
        <f t="shared" ca="1" si="164"/>
        <v>0</v>
      </c>
      <c r="AN69" s="36">
        <f t="shared" ca="1" si="165"/>
        <v>0</v>
      </c>
    </row>
    <row r="70" spans="1:40" hidden="1" outlineLevel="1" x14ac:dyDescent="0.25">
      <c r="A70" s="11" t="s">
        <v>71</v>
      </c>
      <c r="C70" s="2"/>
      <c r="D70" s="8" cm="1">
        <f t="array" aca="1" ref="D70" ca="1">_xlfn.XLOOKUP(1,
 (INDIRECT("'"&amp;$C$6&amp;"'!$6:$6")=D$6)*
 (INDIRECT("'"&amp;$C$6&amp;"'!$5:$5")=D$5),
 INDIRECT("'"&amp;$C$6&amp;"'!"&amp;ROW()&amp;":"&amp;ROW())
)</f>
        <v>0</v>
      </c>
      <c r="E70" s="8" cm="1">
        <f t="array" aca="1" ref="E70" ca="1">_xlfn.XLOOKUP(1,
 (INDIRECT("'"&amp;$C$6&amp;"'!$6:$6")=E$6)*
 (INDIRECT("'"&amp;$C$6&amp;"'!$5:$5")=E$5),
 INDIRECT("'"&amp;$C$6&amp;"'!"&amp;ROW()&amp;":"&amp;ROW())
)</f>
        <v>0</v>
      </c>
      <c r="F70" s="8" cm="1">
        <f t="array" aca="1" ref="F70" ca="1">_xlfn.XLOOKUP(1,
 (INDIRECT("'"&amp;$C$6&amp;"'!$6:$6")=F$6)*
 (INDIRECT("'"&amp;$C$6&amp;"'!$5:$5")=F$5),
 INDIRECT("'"&amp;$C$6&amp;"'!"&amp;ROW()&amp;":"&amp;ROW())
)</f>
        <v>0</v>
      </c>
      <c r="G70" s="8" cm="1">
        <f t="array" aca="1" ref="G70" ca="1">_xlfn.XLOOKUP(1,
 (INDIRECT("'"&amp;$C$6&amp;"'!$6:$6")=G$6)*
 (INDIRECT("'"&amp;$C$6&amp;"'!$5:$5")=G$5),
 INDIRECT("'"&amp;$C$6&amp;"'!"&amp;ROW()&amp;":"&amp;ROW())
)</f>
        <v>0</v>
      </c>
      <c r="H70" s="8" cm="1">
        <f t="array" aca="1" ref="H70" ca="1">_xlfn.XLOOKUP(1,
 (INDIRECT("'"&amp;$C$6&amp;"'!$6:$6")=H$6)*
 (INDIRECT("'"&amp;$C$6&amp;"'!$5:$5")=H$5),
 INDIRECT("'"&amp;$C$6&amp;"'!"&amp;ROW()&amp;":"&amp;ROW())
)</f>
        <v>0</v>
      </c>
      <c r="I70" s="8" cm="1">
        <f t="array" aca="1" ref="I70" ca="1">_xlfn.XLOOKUP(1,
 (INDIRECT("'"&amp;$C$6&amp;"'!$6:$6")=I$6)*
 (INDIRECT("'"&amp;$C$6&amp;"'!$5:$5")=I$5),
 INDIRECT("'"&amp;$C$6&amp;"'!"&amp;ROW()&amp;":"&amp;ROW())
)</f>
        <v>0</v>
      </c>
      <c r="K70" s="34">
        <f t="shared" ca="1" si="146"/>
        <v>0</v>
      </c>
      <c r="L70" s="34">
        <f t="shared" ca="1" si="147"/>
        <v>0</v>
      </c>
      <c r="M70" s="34">
        <f t="shared" ca="1" si="148"/>
        <v>0</v>
      </c>
      <c r="N70" s="34">
        <f t="shared" ca="1" si="149"/>
        <v>0</v>
      </c>
      <c r="O70" s="34">
        <f t="shared" ca="1" si="150"/>
        <v>0</v>
      </c>
      <c r="Q70" s="36">
        <f t="shared" ca="1" si="151"/>
        <v>0</v>
      </c>
      <c r="R70" s="36">
        <f t="shared" ca="1" si="152"/>
        <v>0</v>
      </c>
      <c r="S70" s="36">
        <f t="shared" ca="1" si="153"/>
        <v>0</v>
      </c>
      <c r="T70" s="36">
        <f t="shared" ca="1" si="154"/>
        <v>0</v>
      </c>
      <c r="U70" s="36">
        <f t="shared" ca="1" si="155"/>
        <v>0</v>
      </c>
      <c r="W70" s="8" cm="1">
        <f t="array" aca="1" ref="W70" ca="1">INDIRECT("'"&amp;$C$6&amp;"'!"&amp;ADDRESS(ROW(),COLUMN()+44))</f>
        <v>0</v>
      </c>
      <c r="X70" s="8" cm="1">
        <f t="array" aca="1" ref="X70" ca="1">INDIRECT("'"&amp;$C$6&amp;"'!"&amp;ADDRESS(ROW(),COLUMN()+44))</f>
        <v>0</v>
      </c>
      <c r="Y70" s="8" cm="1">
        <f t="array" aca="1" ref="Y70" ca="1">INDIRECT("'"&amp;$C$6&amp;"'!"&amp;ADDRESS(ROW(),COLUMN()+44))</f>
        <v>0</v>
      </c>
      <c r="Z70" s="8" cm="1">
        <f t="array" aca="1" ref="Z70" ca="1">INDIRECT("'"&amp;$C$6&amp;"'!"&amp;ADDRESS(ROW(),COLUMN()+44))</f>
        <v>0</v>
      </c>
      <c r="AA70" s="8" cm="1">
        <f t="array" aca="1" ref="AA70" ca="1">INDIRECT("'"&amp;$C$6&amp;"'!"&amp;ADDRESS(ROW(),COLUMN()+44))</f>
        <v>0</v>
      </c>
      <c r="AB70" s="8" cm="1">
        <f t="array" aca="1" ref="AB70" ca="1">INDIRECT("'"&amp;$C$6&amp;"'!"&amp;ADDRESS(ROW(),COLUMN()+44))</f>
        <v>0</v>
      </c>
      <c r="AD70" s="34">
        <f t="shared" ca="1" si="156"/>
        <v>0</v>
      </c>
      <c r="AE70" s="34">
        <f t="shared" ca="1" si="157"/>
        <v>0</v>
      </c>
      <c r="AF70" s="34">
        <f t="shared" ca="1" si="158"/>
        <v>0</v>
      </c>
      <c r="AG70" s="34">
        <f t="shared" ca="1" si="159"/>
        <v>0</v>
      </c>
      <c r="AH70" s="34">
        <f t="shared" ca="1" si="160"/>
        <v>0</v>
      </c>
      <c r="AJ70" s="36">
        <f t="shared" ca="1" si="161"/>
        <v>0</v>
      </c>
      <c r="AK70" s="36">
        <f t="shared" ca="1" si="162"/>
        <v>0</v>
      </c>
      <c r="AL70" s="36">
        <f t="shared" ca="1" si="163"/>
        <v>0</v>
      </c>
      <c r="AM70" s="36">
        <f t="shared" ca="1" si="164"/>
        <v>0</v>
      </c>
      <c r="AN70" s="36">
        <f t="shared" ca="1" si="165"/>
        <v>0</v>
      </c>
    </row>
    <row r="71" spans="1:40" hidden="1" outlineLevel="1" x14ac:dyDescent="0.25">
      <c r="A71" s="11" t="s">
        <v>71</v>
      </c>
      <c r="C71" s="2"/>
      <c r="D71" s="8" cm="1">
        <f t="array" aca="1" ref="D71" ca="1">_xlfn.XLOOKUP(1,
 (INDIRECT("'"&amp;$C$6&amp;"'!$6:$6")=D$6)*
 (INDIRECT("'"&amp;$C$6&amp;"'!$5:$5")=D$5),
 INDIRECT("'"&amp;$C$6&amp;"'!"&amp;ROW()&amp;":"&amp;ROW())
)</f>
        <v>0</v>
      </c>
      <c r="E71" s="8" cm="1">
        <f t="array" aca="1" ref="E71" ca="1">_xlfn.XLOOKUP(1,
 (INDIRECT("'"&amp;$C$6&amp;"'!$6:$6")=E$6)*
 (INDIRECT("'"&amp;$C$6&amp;"'!$5:$5")=E$5),
 INDIRECT("'"&amp;$C$6&amp;"'!"&amp;ROW()&amp;":"&amp;ROW())
)</f>
        <v>0</v>
      </c>
      <c r="F71" s="8" cm="1">
        <f t="array" aca="1" ref="F71" ca="1">_xlfn.XLOOKUP(1,
 (INDIRECT("'"&amp;$C$6&amp;"'!$6:$6")=F$6)*
 (INDIRECT("'"&amp;$C$6&amp;"'!$5:$5")=F$5),
 INDIRECT("'"&amp;$C$6&amp;"'!"&amp;ROW()&amp;":"&amp;ROW())
)</f>
        <v>0</v>
      </c>
      <c r="G71" s="8" cm="1">
        <f t="array" aca="1" ref="G71" ca="1">_xlfn.XLOOKUP(1,
 (INDIRECT("'"&amp;$C$6&amp;"'!$6:$6")=G$6)*
 (INDIRECT("'"&amp;$C$6&amp;"'!$5:$5")=G$5),
 INDIRECT("'"&amp;$C$6&amp;"'!"&amp;ROW()&amp;":"&amp;ROW())
)</f>
        <v>0</v>
      </c>
      <c r="H71" s="8" cm="1">
        <f t="array" aca="1" ref="H71" ca="1">_xlfn.XLOOKUP(1,
 (INDIRECT("'"&amp;$C$6&amp;"'!$6:$6")=H$6)*
 (INDIRECT("'"&amp;$C$6&amp;"'!$5:$5")=H$5),
 INDIRECT("'"&amp;$C$6&amp;"'!"&amp;ROW()&amp;":"&amp;ROW())
)</f>
        <v>0</v>
      </c>
      <c r="I71" s="8" cm="1">
        <f t="array" aca="1" ref="I71" ca="1">_xlfn.XLOOKUP(1,
 (INDIRECT("'"&amp;$C$6&amp;"'!$6:$6")=I$6)*
 (INDIRECT("'"&amp;$C$6&amp;"'!$5:$5")=I$5),
 INDIRECT("'"&amp;$C$6&amp;"'!"&amp;ROW()&amp;":"&amp;ROW())
)</f>
        <v>0</v>
      </c>
      <c r="K71" s="34">
        <f t="shared" ca="1" si="146"/>
        <v>0</v>
      </c>
      <c r="L71" s="34">
        <f t="shared" ca="1" si="147"/>
        <v>0</v>
      </c>
      <c r="M71" s="34">
        <f t="shared" ca="1" si="148"/>
        <v>0</v>
      </c>
      <c r="N71" s="34">
        <f t="shared" ca="1" si="149"/>
        <v>0</v>
      </c>
      <c r="O71" s="34">
        <f t="shared" ca="1" si="150"/>
        <v>0</v>
      </c>
      <c r="Q71" s="36">
        <f t="shared" ca="1" si="151"/>
        <v>0</v>
      </c>
      <c r="R71" s="36">
        <f t="shared" ca="1" si="152"/>
        <v>0</v>
      </c>
      <c r="S71" s="36">
        <f t="shared" ca="1" si="153"/>
        <v>0</v>
      </c>
      <c r="T71" s="36">
        <f t="shared" ca="1" si="154"/>
        <v>0</v>
      </c>
      <c r="U71" s="36">
        <f t="shared" ca="1" si="155"/>
        <v>0</v>
      </c>
      <c r="W71" s="8" cm="1">
        <f t="array" aca="1" ref="W71" ca="1">INDIRECT("'"&amp;$C$6&amp;"'!"&amp;ADDRESS(ROW(),COLUMN()+44))</f>
        <v>0</v>
      </c>
      <c r="X71" s="8" cm="1">
        <f t="array" aca="1" ref="X71" ca="1">INDIRECT("'"&amp;$C$6&amp;"'!"&amp;ADDRESS(ROW(),COLUMN()+44))</f>
        <v>0</v>
      </c>
      <c r="Y71" s="8" cm="1">
        <f t="array" aca="1" ref="Y71" ca="1">INDIRECT("'"&amp;$C$6&amp;"'!"&amp;ADDRESS(ROW(),COLUMN()+44))</f>
        <v>0</v>
      </c>
      <c r="Z71" s="8" cm="1">
        <f t="array" aca="1" ref="Z71" ca="1">INDIRECT("'"&amp;$C$6&amp;"'!"&amp;ADDRESS(ROW(),COLUMN()+44))</f>
        <v>0</v>
      </c>
      <c r="AA71" s="8" cm="1">
        <f t="array" aca="1" ref="AA71" ca="1">INDIRECT("'"&amp;$C$6&amp;"'!"&amp;ADDRESS(ROW(),COLUMN()+44))</f>
        <v>0</v>
      </c>
      <c r="AB71" s="8" cm="1">
        <f t="array" aca="1" ref="AB71" ca="1">INDIRECT("'"&amp;$C$6&amp;"'!"&amp;ADDRESS(ROW(),COLUMN()+44))</f>
        <v>0</v>
      </c>
      <c r="AD71" s="34">
        <f t="shared" ca="1" si="156"/>
        <v>0</v>
      </c>
      <c r="AE71" s="34">
        <f t="shared" ca="1" si="157"/>
        <v>0</v>
      </c>
      <c r="AF71" s="34">
        <f t="shared" ca="1" si="158"/>
        <v>0</v>
      </c>
      <c r="AG71" s="34">
        <f t="shared" ca="1" si="159"/>
        <v>0</v>
      </c>
      <c r="AH71" s="34">
        <f t="shared" ca="1" si="160"/>
        <v>0</v>
      </c>
      <c r="AJ71" s="36">
        <f t="shared" ca="1" si="161"/>
        <v>0</v>
      </c>
      <c r="AK71" s="36">
        <f t="shared" ca="1" si="162"/>
        <v>0</v>
      </c>
      <c r="AL71" s="36">
        <f t="shared" ca="1" si="163"/>
        <v>0</v>
      </c>
      <c r="AM71" s="36">
        <f t="shared" ca="1" si="164"/>
        <v>0</v>
      </c>
      <c r="AN71" s="36">
        <f t="shared" ca="1" si="165"/>
        <v>0</v>
      </c>
    </row>
    <row r="72" spans="1:40" hidden="1" outlineLevel="1" x14ac:dyDescent="0.25">
      <c r="A72" s="11" t="s">
        <v>71</v>
      </c>
      <c r="C72" s="2"/>
      <c r="D72" s="8" cm="1">
        <f t="array" aca="1" ref="D72" ca="1">_xlfn.XLOOKUP(1,
 (INDIRECT("'"&amp;$C$6&amp;"'!$6:$6")=D$6)*
 (INDIRECT("'"&amp;$C$6&amp;"'!$5:$5")=D$5),
 INDIRECT("'"&amp;$C$6&amp;"'!"&amp;ROW()&amp;":"&amp;ROW())
)</f>
        <v>0</v>
      </c>
      <c r="E72" s="8" cm="1">
        <f t="array" aca="1" ref="E72" ca="1">_xlfn.XLOOKUP(1,
 (INDIRECT("'"&amp;$C$6&amp;"'!$6:$6")=E$6)*
 (INDIRECT("'"&amp;$C$6&amp;"'!$5:$5")=E$5),
 INDIRECT("'"&amp;$C$6&amp;"'!"&amp;ROW()&amp;":"&amp;ROW())
)</f>
        <v>0</v>
      </c>
      <c r="F72" s="8" cm="1">
        <f t="array" aca="1" ref="F72" ca="1">_xlfn.XLOOKUP(1,
 (INDIRECT("'"&amp;$C$6&amp;"'!$6:$6")=F$6)*
 (INDIRECT("'"&amp;$C$6&amp;"'!$5:$5")=F$5),
 INDIRECT("'"&amp;$C$6&amp;"'!"&amp;ROW()&amp;":"&amp;ROW())
)</f>
        <v>0</v>
      </c>
      <c r="G72" s="8" cm="1">
        <f t="array" aca="1" ref="G72" ca="1">_xlfn.XLOOKUP(1,
 (INDIRECT("'"&amp;$C$6&amp;"'!$6:$6")=G$6)*
 (INDIRECT("'"&amp;$C$6&amp;"'!$5:$5")=G$5),
 INDIRECT("'"&amp;$C$6&amp;"'!"&amp;ROW()&amp;":"&amp;ROW())
)</f>
        <v>0</v>
      </c>
      <c r="H72" s="8" cm="1">
        <f t="array" aca="1" ref="H72" ca="1">_xlfn.XLOOKUP(1,
 (INDIRECT("'"&amp;$C$6&amp;"'!$6:$6")=H$6)*
 (INDIRECT("'"&amp;$C$6&amp;"'!$5:$5")=H$5),
 INDIRECT("'"&amp;$C$6&amp;"'!"&amp;ROW()&amp;":"&amp;ROW())
)</f>
        <v>0</v>
      </c>
      <c r="I72" s="8" cm="1">
        <f t="array" aca="1" ref="I72" ca="1">_xlfn.XLOOKUP(1,
 (INDIRECT("'"&amp;$C$6&amp;"'!$6:$6")=I$6)*
 (INDIRECT("'"&amp;$C$6&amp;"'!$5:$5")=I$5),
 INDIRECT("'"&amp;$C$6&amp;"'!"&amp;ROW()&amp;":"&amp;ROW())
)</f>
        <v>0</v>
      </c>
      <c r="K72" s="34">
        <f t="shared" ca="1" si="146"/>
        <v>0</v>
      </c>
      <c r="L72" s="34">
        <f t="shared" ca="1" si="147"/>
        <v>0</v>
      </c>
      <c r="M72" s="34">
        <f t="shared" ca="1" si="148"/>
        <v>0</v>
      </c>
      <c r="N72" s="34">
        <f t="shared" ca="1" si="149"/>
        <v>0</v>
      </c>
      <c r="O72" s="34">
        <f t="shared" ca="1" si="150"/>
        <v>0</v>
      </c>
      <c r="Q72" s="36">
        <f t="shared" ca="1" si="151"/>
        <v>0</v>
      </c>
      <c r="R72" s="36">
        <f t="shared" ca="1" si="152"/>
        <v>0</v>
      </c>
      <c r="S72" s="36">
        <f t="shared" ca="1" si="153"/>
        <v>0</v>
      </c>
      <c r="T72" s="36">
        <f t="shared" ca="1" si="154"/>
        <v>0</v>
      </c>
      <c r="U72" s="36">
        <f t="shared" ca="1" si="155"/>
        <v>0</v>
      </c>
      <c r="W72" s="8" cm="1">
        <f t="array" aca="1" ref="W72" ca="1">INDIRECT("'"&amp;$C$6&amp;"'!"&amp;ADDRESS(ROW(),COLUMN()+44))</f>
        <v>0</v>
      </c>
      <c r="X72" s="8" cm="1">
        <f t="array" aca="1" ref="X72" ca="1">INDIRECT("'"&amp;$C$6&amp;"'!"&amp;ADDRESS(ROW(),COLUMN()+44))</f>
        <v>0</v>
      </c>
      <c r="Y72" s="8" cm="1">
        <f t="array" aca="1" ref="Y72" ca="1">INDIRECT("'"&amp;$C$6&amp;"'!"&amp;ADDRESS(ROW(),COLUMN()+44))</f>
        <v>0</v>
      </c>
      <c r="Z72" s="8" cm="1">
        <f t="array" aca="1" ref="Z72" ca="1">INDIRECT("'"&amp;$C$6&amp;"'!"&amp;ADDRESS(ROW(),COLUMN()+44))</f>
        <v>0</v>
      </c>
      <c r="AA72" s="8" cm="1">
        <f t="array" aca="1" ref="AA72" ca="1">INDIRECT("'"&amp;$C$6&amp;"'!"&amp;ADDRESS(ROW(),COLUMN()+44))</f>
        <v>0</v>
      </c>
      <c r="AB72" s="8" cm="1">
        <f t="array" aca="1" ref="AB72" ca="1">INDIRECT("'"&amp;$C$6&amp;"'!"&amp;ADDRESS(ROW(),COLUMN()+44))</f>
        <v>0</v>
      </c>
      <c r="AD72" s="34">
        <f t="shared" ca="1" si="156"/>
        <v>0</v>
      </c>
      <c r="AE72" s="34">
        <f t="shared" ca="1" si="157"/>
        <v>0</v>
      </c>
      <c r="AF72" s="34">
        <f t="shared" ca="1" si="158"/>
        <v>0</v>
      </c>
      <c r="AG72" s="34">
        <f t="shared" ca="1" si="159"/>
        <v>0</v>
      </c>
      <c r="AH72" s="34">
        <f t="shared" ca="1" si="160"/>
        <v>0</v>
      </c>
      <c r="AJ72" s="36">
        <f t="shared" ca="1" si="161"/>
        <v>0</v>
      </c>
      <c r="AK72" s="36">
        <f t="shared" ca="1" si="162"/>
        <v>0</v>
      </c>
      <c r="AL72" s="36">
        <f t="shared" ca="1" si="163"/>
        <v>0</v>
      </c>
      <c r="AM72" s="36">
        <f t="shared" ca="1" si="164"/>
        <v>0</v>
      </c>
      <c r="AN72" s="36">
        <f t="shared" ca="1" si="165"/>
        <v>0</v>
      </c>
    </row>
    <row r="73" spans="1:40" hidden="1" outlineLevel="1" x14ac:dyDescent="0.25">
      <c r="A73" s="11" t="s">
        <v>71</v>
      </c>
      <c r="C73" s="2"/>
      <c r="D73" s="8" cm="1">
        <f t="array" aca="1" ref="D73" ca="1">_xlfn.XLOOKUP(1,
 (INDIRECT("'"&amp;$C$6&amp;"'!$6:$6")=D$6)*
 (INDIRECT("'"&amp;$C$6&amp;"'!$5:$5")=D$5),
 INDIRECT("'"&amp;$C$6&amp;"'!"&amp;ROW()&amp;":"&amp;ROW())
)</f>
        <v>0</v>
      </c>
      <c r="E73" s="8" cm="1">
        <f t="array" aca="1" ref="E73" ca="1">_xlfn.XLOOKUP(1,
 (INDIRECT("'"&amp;$C$6&amp;"'!$6:$6")=E$6)*
 (INDIRECT("'"&amp;$C$6&amp;"'!$5:$5")=E$5),
 INDIRECT("'"&amp;$C$6&amp;"'!"&amp;ROW()&amp;":"&amp;ROW())
)</f>
        <v>0</v>
      </c>
      <c r="F73" s="8" cm="1">
        <f t="array" aca="1" ref="F73" ca="1">_xlfn.XLOOKUP(1,
 (INDIRECT("'"&amp;$C$6&amp;"'!$6:$6")=F$6)*
 (INDIRECT("'"&amp;$C$6&amp;"'!$5:$5")=F$5),
 INDIRECT("'"&amp;$C$6&amp;"'!"&amp;ROW()&amp;":"&amp;ROW())
)</f>
        <v>0</v>
      </c>
      <c r="G73" s="8" cm="1">
        <f t="array" aca="1" ref="G73" ca="1">_xlfn.XLOOKUP(1,
 (INDIRECT("'"&amp;$C$6&amp;"'!$6:$6")=G$6)*
 (INDIRECT("'"&amp;$C$6&amp;"'!$5:$5")=G$5),
 INDIRECT("'"&amp;$C$6&amp;"'!"&amp;ROW()&amp;":"&amp;ROW())
)</f>
        <v>0</v>
      </c>
      <c r="H73" s="8" cm="1">
        <f t="array" aca="1" ref="H73" ca="1">_xlfn.XLOOKUP(1,
 (INDIRECT("'"&amp;$C$6&amp;"'!$6:$6")=H$6)*
 (INDIRECT("'"&amp;$C$6&amp;"'!$5:$5")=H$5),
 INDIRECT("'"&amp;$C$6&amp;"'!"&amp;ROW()&amp;":"&amp;ROW())
)</f>
        <v>0</v>
      </c>
      <c r="I73" s="8" cm="1">
        <f t="array" aca="1" ref="I73" ca="1">_xlfn.XLOOKUP(1,
 (INDIRECT("'"&amp;$C$6&amp;"'!$6:$6")=I$6)*
 (INDIRECT("'"&amp;$C$6&amp;"'!$5:$5")=I$5),
 INDIRECT("'"&amp;$C$6&amp;"'!"&amp;ROW()&amp;":"&amp;ROW())
)</f>
        <v>0</v>
      </c>
      <c r="K73" s="34">
        <f t="shared" ca="1" si="146"/>
        <v>0</v>
      </c>
      <c r="L73" s="34">
        <f t="shared" ca="1" si="147"/>
        <v>0</v>
      </c>
      <c r="M73" s="34">
        <f t="shared" ca="1" si="148"/>
        <v>0</v>
      </c>
      <c r="N73" s="34">
        <f t="shared" ca="1" si="149"/>
        <v>0</v>
      </c>
      <c r="O73" s="34">
        <f t="shared" ca="1" si="150"/>
        <v>0</v>
      </c>
      <c r="Q73" s="36">
        <f t="shared" ca="1" si="151"/>
        <v>0</v>
      </c>
      <c r="R73" s="36">
        <f t="shared" ca="1" si="152"/>
        <v>0</v>
      </c>
      <c r="S73" s="36">
        <f t="shared" ca="1" si="153"/>
        <v>0</v>
      </c>
      <c r="T73" s="36">
        <f t="shared" ca="1" si="154"/>
        <v>0</v>
      </c>
      <c r="U73" s="36">
        <f t="shared" ca="1" si="155"/>
        <v>0</v>
      </c>
      <c r="W73" s="8" cm="1">
        <f t="array" aca="1" ref="W73" ca="1">INDIRECT("'"&amp;$C$6&amp;"'!"&amp;ADDRESS(ROW(),COLUMN()+44))</f>
        <v>0</v>
      </c>
      <c r="X73" s="8" cm="1">
        <f t="array" aca="1" ref="X73" ca="1">INDIRECT("'"&amp;$C$6&amp;"'!"&amp;ADDRESS(ROW(),COLUMN()+44))</f>
        <v>0</v>
      </c>
      <c r="Y73" s="8" cm="1">
        <f t="array" aca="1" ref="Y73" ca="1">INDIRECT("'"&amp;$C$6&amp;"'!"&amp;ADDRESS(ROW(),COLUMN()+44))</f>
        <v>0</v>
      </c>
      <c r="Z73" s="8" cm="1">
        <f t="array" aca="1" ref="Z73" ca="1">INDIRECT("'"&amp;$C$6&amp;"'!"&amp;ADDRESS(ROW(),COLUMN()+44))</f>
        <v>0</v>
      </c>
      <c r="AA73" s="8" cm="1">
        <f t="array" aca="1" ref="AA73" ca="1">INDIRECT("'"&amp;$C$6&amp;"'!"&amp;ADDRESS(ROW(),COLUMN()+44))</f>
        <v>0</v>
      </c>
      <c r="AB73" s="8" cm="1">
        <f t="array" aca="1" ref="AB73" ca="1">INDIRECT("'"&amp;$C$6&amp;"'!"&amp;ADDRESS(ROW(),COLUMN()+44))</f>
        <v>0</v>
      </c>
      <c r="AD73" s="34">
        <f t="shared" ca="1" si="156"/>
        <v>0</v>
      </c>
      <c r="AE73" s="34">
        <f t="shared" ca="1" si="157"/>
        <v>0</v>
      </c>
      <c r="AF73" s="34">
        <f t="shared" ca="1" si="158"/>
        <v>0</v>
      </c>
      <c r="AG73" s="34">
        <f t="shared" ca="1" si="159"/>
        <v>0</v>
      </c>
      <c r="AH73" s="34">
        <f t="shared" ca="1" si="160"/>
        <v>0</v>
      </c>
      <c r="AJ73" s="36">
        <f t="shared" ca="1" si="161"/>
        <v>0</v>
      </c>
      <c r="AK73" s="36">
        <f t="shared" ca="1" si="162"/>
        <v>0</v>
      </c>
      <c r="AL73" s="36">
        <f t="shared" ca="1" si="163"/>
        <v>0</v>
      </c>
      <c r="AM73" s="36">
        <f t="shared" ca="1" si="164"/>
        <v>0</v>
      </c>
      <c r="AN73" s="36">
        <f t="shared" ca="1" si="165"/>
        <v>0</v>
      </c>
    </row>
    <row r="74" spans="1:40" hidden="1" outlineLevel="1" x14ac:dyDescent="0.25">
      <c r="A74" s="11" t="s">
        <v>71</v>
      </c>
      <c r="C74" s="2"/>
      <c r="D74" s="8" cm="1">
        <f t="array" aca="1" ref="D74" ca="1">_xlfn.XLOOKUP(1,
 (INDIRECT("'"&amp;$C$6&amp;"'!$6:$6")=D$6)*
 (INDIRECT("'"&amp;$C$6&amp;"'!$5:$5")=D$5),
 INDIRECT("'"&amp;$C$6&amp;"'!"&amp;ROW()&amp;":"&amp;ROW())
)</f>
        <v>0</v>
      </c>
      <c r="E74" s="8" cm="1">
        <f t="array" aca="1" ref="E74" ca="1">_xlfn.XLOOKUP(1,
 (INDIRECT("'"&amp;$C$6&amp;"'!$6:$6")=E$6)*
 (INDIRECT("'"&amp;$C$6&amp;"'!$5:$5")=E$5),
 INDIRECT("'"&amp;$C$6&amp;"'!"&amp;ROW()&amp;":"&amp;ROW())
)</f>
        <v>0</v>
      </c>
      <c r="F74" s="8" cm="1">
        <f t="array" aca="1" ref="F74" ca="1">_xlfn.XLOOKUP(1,
 (INDIRECT("'"&amp;$C$6&amp;"'!$6:$6")=F$6)*
 (INDIRECT("'"&amp;$C$6&amp;"'!$5:$5")=F$5),
 INDIRECT("'"&amp;$C$6&amp;"'!"&amp;ROW()&amp;":"&amp;ROW())
)</f>
        <v>0</v>
      </c>
      <c r="G74" s="8" cm="1">
        <f t="array" aca="1" ref="G74" ca="1">_xlfn.XLOOKUP(1,
 (INDIRECT("'"&amp;$C$6&amp;"'!$6:$6")=G$6)*
 (INDIRECT("'"&amp;$C$6&amp;"'!$5:$5")=G$5),
 INDIRECT("'"&amp;$C$6&amp;"'!"&amp;ROW()&amp;":"&amp;ROW())
)</f>
        <v>0</v>
      </c>
      <c r="H74" s="8" cm="1">
        <f t="array" aca="1" ref="H74" ca="1">_xlfn.XLOOKUP(1,
 (INDIRECT("'"&amp;$C$6&amp;"'!$6:$6")=H$6)*
 (INDIRECT("'"&amp;$C$6&amp;"'!$5:$5")=H$5),
 INDIRECT("'"&amp;$C$6&amp;"'!"&amp;ROW()&amp;":"&amp;ROW())
)</f>
        <v>0</v>
      </c>
      <c r="I74" s="8" cm="1">
        <f t="array" aca="1" ref="I74" ca="1">_xlfn.XLOOKUP(1,
 (INDIRECT("'"&amp;$C$6&amp;"'!$6:$6")=I$6)*
 (INDIRECT("'"&amp;$C$6&amp;"'!$5:$5")=I$5),
 INDIRECT("'"&amp;$C$6&amp;"'!"&amp;ROW()&amp;":"&amp;ROW())
)</f>
        <v>0</v>
      </c>
      <c r="K74" s="34">
        <f t="shared" ca="1" si="146"/>
        <v>0</v>
      </c>
      <c r="L74" s="34">
        <f t="shared" ca="1" si="147"/>
        <v>0</v>
      </c>
      <c r="M74" s="34">
        <f t="shared" ca="1" si="148"/>
        <v>0</v>
      </c>
      <c r="N74" s="34">
        <f t="shared" ca="1" si="149"/>
        <v>0</v>
      </c>
      <c r="O74" s="34">
        <f t="shared" ca="1" si="150"/>
        <v>0</v>
      </c>
      <c r="Q74" s="36">
        <f t="shared" ca="1" si="151"/>
        <v>0</v>
      </c>
      <c r="R74" s="36">
        <f t="shared" ca="1" si="152"/>
        <v>0</v>
      </c>
      <c r="S74" s="36">
        <f t="shared" ca="1" si="153"/>
        <v>0</v>
      </c>
      <c r="T74" s="36">
        <f t="shared" ca="1" si="154"/>
        <v>0</v>
      </c>
      <c r="U74" s="36">
        <f t="shared" ca="1" si="155"/>
        <v>0</v>
      </c>
      <c r="W74" s="8" cm="1">
        <f t="array" aca="1" ref="W74" ca="1">INDIRECT("'"&amp;$C$6&amp;"'!"&amp;ADDRESS(ROW(),COLUMN()+44))</f>
        <v>0</v>
      </c>
      <c r="X74" s="8" cm="1">
        <f t="array" aca="1" ref="X74" ca="1">INDIRECT("'"&amp;$C$6&amp;"'!"&amp;ADDRESS(ROW(),COLUMN()+44))</f>
        <v>0</v>
      </c>
      <c r="Y74" s="8" cm="1">
        <f t="array" aca="1" ref="Y74" ca="1">INDIRECT("'"&amp;$C$6&amp;"'!"&amp;ADDRESS(ROW(),COLUMN()+44))</f>
        <v>0</v>
      </c>
      <c r="Z74" s="8" cm="1">
        <f t="array" aca="1" ref="Z74" ca="1">INDIRECT("'"&amp;$C$6&amp;"'!"&amp;ADDRESS(ROW(),COLUMN()+44))</f>
        <v>0</v>
      </c>
      <c r="AA74" s="8" cm="1">
        <f t="array" aca="1" ref="AA74" ca="1">INDIRECT("'"&amp;$C$6&amp;"'!"&amp;ADDRESS(ROW(),COLUMN()+44))</f>
        <v>0</v>
      </c>
      <c r="AB74" s="8" cm="1">
        <f t="array" aca="1" ref="AB74" ca="1">INDIRECT("'"&amp;$C$6&amp;"'!"&amp;ADDRESS(ROW(),COLUMN()+44))</f>
        <v>0</v>
      </c>
      <c r="AD74" s="34">
        <f t="shared" ca="1" si="156"/>
        <v>0</v>
      </c>
      <c r="AE74" s="34">
        <f t="shared" ca="1" si="157"/>
        <v>0</v>
      </c>
      <c r="AF74" s="34">
        <f t="shared" ca="1" si="158"/>
        <v>0</v>
      </c>
      <c r="AG74" s="34">
        <f t="shared" ca="1" si="159"/>
        <v>0</v>
      </c>
      <c r="AH74" s="34">
        <f t="shared" ca="1" si="160"/>
        <v>0</v>
      </c>
      <c r="AJ74" s="36">
        <f t="shared" ca="1" si="161"/>
        <v>0</v>
      </c>
      <c r="AK74" s="36">
        <f t="shared" ca="1" si="162"/>
        <v>0</v>
      </c>
      <c r="AL74" s="36">
        <f t="shared" ca="1" si="163"/>
        <v>0</v>
      </c>
      <c r="AM74" s="36">
        <f t="shared" ca="1" si="164"/>
        <v>0</v>
      </c>
      <c r="AN74" s="36">
        <f t="shared" ca="1" si="165"/>
        <v>0</v>
      </c>
    </row>
    <row r="75" spans="1:40" hidden="1" outlineLevel="1" x14ac:dyDescent="0.25">
      <c r="A75" s="11" t="s">
        <v>71</v>
      </c>
      <c r="C75" s="2"/>
      <c r="D75" s="8" cm="1">
        <f t="array" aca="1" ref="D75" ca="1">_xlfn.XLOOKUP(1,
 (INDIRECT("'"&amp;$C$6&amp;"'!$6:$6")=D$6)*
 (INDIRECT("'"&amp;$C$6&amp;"'!$5:$5")=D$5),
 INDIRECT("'"&amp;$C$6&amp;"'!"&amp;ROW()&amp;":"&amp;ROW())
)</f>
        <v>0</v>
      </c>
      <c r="E75" s="8" cm="1">
        <f t="array" aca="1" ref="E75" ca="1">_xlfn.XLOOKUP(1,
 (INDIRECT("'"&amp;$C$6&amp;"'!$6:$6")=E$6)*
 (INDIRECT("'"&amp;$C$6&amp;"'!$5:$5")=E$5),
 INDIRECT("'"&amp;$C$6&amp;"'!"&amp;ROW()&amp;":"&amp;ROW())
)</f>
        <v>0</v>
      </c>
      <c r="F75" s="8" cm="1">
        <f t="array" aca="1" ref="F75" ca="1">_xlfn.XLOOKUP(1,
 (INDIRECT("'"&amp;$C$6&amp;"'!$6:$6")=F$6)*
 (INDIRECT("'"&amp;$C$6&amp;"'!$5:$5")=F$5),
 INDIRECT("'"&amp;$C$6&amp;"'!"&amp;ROW()&amp;":"&amp;ROW())
)</f>
        <v>0</v>
      </c>
      <c r="G75" s="8" cm="1">
        <f t="array" aca="1" ref="G75" ca="1">_xlfn.XLOOKUP(1,
 (INDIRECT("'"&amp;$C$6&amp;"'!$6:$6")=G$6)*
 (INDIRECT("'"&amp;$C$6&amp;"'!$5:$5")=G$5),
 INDIRECT("'"&amp;$C$6&amp;"'!"&amp;ROW()&amp;":"&amp;ROW())
)</f>
        <v>0</v>
      </c>
      <c r="H75" s="8" cm="1">
        <f t="array" aca="1" ref="H75" ca="1">_xlfn.XLOOKUP(1,
 (INDIRECT("'"&amp;$C$6&amp;"'!$6:$6")=H$6)*
 (INDIRECT("'"&amp;$C$6&amp;"'!$5:$5")=H$5),
 INDIRECT("'"&amp;$C$6&amp;"'!"&amp;ROW()&amp;":"&amp;ROW())
)</f>
        <v>0</v>
      </c>
      <c r="I75" s="8" cm="1">
        <f t="array" aca="1" ref="I75" ca="1">_xlfn.XLOOKUP(1,
 (INDIRECT("'"&amp;$C$6&amp;"'!$6:$6")=I$6)*
 (INDIRECT("'"&amp;$C$6&amp;"'!$5:$5")=I$5),
 INDIRECT("'"&amp;$C$6&amp;"'!"&amp;ROW()&amp;":"&amp;ROW())
)</f>
        <v>0</v>
      </c>
      <c r="K75" s="34">
        <f t="shared" ca="1" si="146"/>
        <v>0</v>
      </c>
      <c r="L75" s="34">
        <f t="shared" ca="1" si="147"/>
        <v>0</v>
      </c>
      <c r="M75" s="34">
        <f t="shared" ca="1" si="148"/>
        <v>0</v>
      </c>
      <c r="N75" s="34">
        <f t="shared" ca="1" si="149"/>
        <v>0</v>
      </c>
      <c r="O75" s="34">
        <f t="shared" ca="1" si="150"/>
        <v>0</v>
      </c>
      <c r="Q75" s="36">
        <f t="shared" ca="1" si="151"/>
        <v>0</v>
      </c>
      <c r="R75" s="36">
        <f t="shared" ca="1" si="152"/>
        <v>0</v>
      </c>
      <c r="S75" s="36">
        <f t="shared" ca="1" si="153"/>
        <v>0</v>
      </c>
      <c r="T75" s="36">
        <f t="shared" ca="1" si="154"/>
        <v>0</v>
      </c>
      <c r="U75" s="36">
        <f t="shared" ca="1" si="155"/>
        <v>0</v>
      </c>
      <c r="W75" s="8" cm="1">
        <f t="array" aca="1" ref="W75" ca="1">INDIRECT("'"&amp;$C$6&amp;"'!"&amp;ADDRESS(ROW(),COLUMN()+44))</f>
        <v>0</v>
      </c>
      <c r="X75" s="8" cm="1">
        <f t="array" aca="1" ref="X75" ca="1">INDIRECT("'"&amp;$C$6&amp;"'!"&amp;ADDRESS(ROW(),COLUMN()+44))</f>
        <v>0</v>
      </c>
      <c r="Y75" s="8" cm="1">
        <f t="array" aca="1" ref="Y75" ca="1">INDIRECT("'"&amp;$C$6&amp;"'!"&amp;ADDRESS(ROW(),COLUMN()+44))</f>
        <v>0</v>
      </c>
      <c r="Z75" s="8" cm="1">
        <f t="array" aca="1" ref="Z75" ca="1">INDIRECT("'"&amp;$C$6&amp;"'!"&amp;ADDRESS(ROW(),COLUMN()+44))</f>
        <v>0</v>
      </c>
      <c r="AA75" s="8" cm="1">
        <f t="array" aca="1" ref="AA75" ca="1">INDIRECT("'"&amp;$C$6&amp;"'!"&amp;ADDRESS(ROW(),COLUMN()+44))</f>
        <v>0</v>
      </c>
      <c r="AB75" s="8" cm="1">
        <f t="array" aca="1" ref="AB75" ca="1">INDIRECT("'"&amp;$C$6&amp;"'!"&amp;ADDRESS(ROW(),COLUMN()+44))</f>
        <v>0</v>
      </c>
      <c r="AD75" s="34">
        <f t="shared" ca="1" si="156"/>
        <v>0</v>
      </c>
      <c r="AE75" s="34">
        <f t="shared" ca="1" si="157"/>
        <v>0</v>
      </c>
      <c r="AF75" s="34">
        <f t="shared" ca="1" si="158"/>
        <v>0</v>
      </c>
      <c r="AG75" s="34">
        <f t="shared" ca="1" si="159"/>
        <v>0</v>
      </c>
      <c r="AH75" s="34">
        <f t="shared" ca="1" si="160"/>
        <v>0</v>
      </c>
      <c r="AJ75" s="36">
        <f t="shared" ca="1" si="161"/>
        <v>0</v>
      </c>
      <c r="AK75" s="36">
        <f t="shared" ca="1" si="162"/>
        <v>0</v>
      </c>
      <c r="AL75" s="36">
        <f t="shared" ca="1" si="163"/>
        <v>0</v>
      </c>
      <c r="AM75" s="36">
        <f t="shared" ca="1" si="164"/>
        <v>0</v>
      </c>
      <c r="AN75" s="36">
        <f t="shared" ca="1" si="165"/>
        <v>0</v>
      </c>
    </row>
    <row r="76" spans="1:40" hidden="1" outlineLevel="1" x14ac:dyDescent="0.25">
      <c r="A76" s="11" t="s">
        <v>71</v>
      </c>
      <c r="C76" s="2"/>
      <c r="D76" s="8" cm="1">
        <f t="array" aca="1" ref="D76" ca="1">_xlfn.XLOOKUP(1,
 (INDIRECT("'"&amp;$C$6&amp;"'!$6:$6")=D$6)*
 (INDIRECT("'"&amp;$C$6&amp;"'!$5:$5")=D$5),
 INDIRECT("'"&amp;$C$6&amp;"'!"&amp;ROW()&amp;":"&amp;ROW())
)</f>
        <v>0</v>
      </c>
      <c r="E76" s="8" cm="1">
        <f t="array" aca="1" ref="E76" ca="1">_xlfn.XLOOKUP(1,
 (INDIRECT("'"&amp;$C$6&amp;"'!$6:$6")=E$6)*
 (INDIRECT("'"&amp;$C$6&amp;"'!$5:$5")=E$5),
 INDIRECT("'"&amp;$C$6&amp;"'!"&amp;ROW()&amp;":"&amp;ROW())
)</f>
        <v>0</v>
      </c>
      <c r="F76" s="8" cm="1">
        <f t="array" aca="1" ref="F76" ca="1">_xlfn.XLOOKUP(1,
 (INDIRECT("'"&amp;$C$6&amp;"'!$6:$6")=F$6)*
 (INDIRECT("'"&amp;$C$6&amp;"'!$5:$5")=F$5),
 INDIRECT("'"&amp;$C$6&amp;"'!"&amp;ROW()&amp;":"&amp;ROW())
)</f>
        <v>0</v>
      </c>
      <c r="G76" s="8" cm="1">
        <f t="array" aca="1" ref="G76" ca="1">_xlfn.XLOOKUP(1,
 (INDIRECT("'"&amp;$C$6&amp;"'!$6:$6")=G$6)*
 (INDIRECT("'"&amp;$C$6&amp;"'!$5:$5")=G$5),
 INDIRECT("'"&amp;$C$6&amp;"'!"&amp;ROW()&amp;":"&amp;ROW())
)</f>
        <v>0</v>
      </c>
      <c r="H76" s="8" cm="1">
        <f t="array" aca="1" ref="H76" ca="1">_xlfn.XLOOKUP(1,
 (INDIRECT("'"&amp;$C$6&amp;"'!$6:$6")=H$6)*
 (INDIRECT("'"&amp;$C$6&amp;"'!$5:$5")=H$5),
 INDIRECT("'"&amp;$C$6&amp;"'!"&amp;ROW()&amp;":"&amp;ROW())
)</f>
        <v>0</v>
      </c>
      <c r="I76" s="8" cm="1">
        <f t="array" aca="1" ref="I76" ca="1">_xlfn.XLOOKUP(1,
 (INDIRECT("'"&amp;$C$6&amp;"'!$6:$6")=I$6)*
 (INDIRECT("'"&amp;$C$6&amp;"'!$5:$5")=I$5),
 INDIRECT("'"&amp;$C$6&amp;"'!"&amp;ROW()&amp;":"&amp;ROW())
)</f>
        <v>0</v>
      </c>
      <c r="K76" s="34">
        <f t="shared" ca="1" si="146"/>
        <v>0</v>
      </c>
      <c r="L76" s="34">
        <f t="shared" ca="1" si="147"/>
        <v>0</v>
      </c>
      <c r="M76" s="34">
        <f t="shared" ca="1" si="148"/>
        <v>0</v>
      </c>
      <c r="N76" s="34">
        <f t="shared" ca="1" si="149"/>
        <v>0</v>
      </c>
      <c r="O76" s="34">
        <f t="shared" ca="1" si="150"/>
        <v>0</v>
      </c>
      <c r="Q76" s="36">
        <f t="shared" ca="1" si="151"/>
        <v>0</v>
      </c>
      <c r="R76" s="36">
        <f t="shared" ca="1" si="152"/>
        <v>0</v>
      </c>
      <c r="S76" s="36">
        <f t="shared" ca="1" si="153"/>
        <v>0</v>
      </c>
      <c r="T76" s="36">
        <f t="shared" ca="1" si="154"/>
        <v>0</v>
      </c>
      <c r="U76" s="36">
        <f t="shared" ca="1" si="155"/>
        <v>0</v>
      </c>
      <c r="W76" s="8" cm="1">
        <f t="array" aca="1" ref="W76" ca="1">INDIRECT("'"&amp;$C$6&amp;"'!"&amp;ADDRESS(ROW(),COLUMN()+44))</f>
        <v>0</v>
      </c>
      <c r="X76" s="8" cm="1">
        <f t="array" aca="1" ref="X76" ca="1">INDIRECT("'"&amp;$C$6&amp;"'!"&amp;ADDRESS(ROW(),COLUMN()+44))</f>
        <v>0</v>
      </c>
      <c r="Y76" s="8" cm="1">
        <f t="array" aca="1" ref="Y76" ca="1">INDIRECT("'"&amp;$C$6&amp;"'!"&amp;ADDRESS(ROW(),COLUMN()+44))</f>
        <v>0</v>
      </c>
      <c r="Z76" s="8" cm="1">
        <f t="array" aca="1" ref="Z76" ca="1">INDIRECT("'"&amp;$C$6&amp;"'!"&amp;ADDRESS(ROW(),COLUMN()+44))</f>
        <v>0</v>
      </c>
      <c r="AA76" s="8" cm="1">
        <f t="array" aca="1" ref="AA76" ca="1">INDIRECT("'"&amp;$C$6&amp;"'!"&amp;ADDRESS(ROW(),COLUMN()+44))</f>
        <v>0</v>
      </c>
      <c r="AB76" s="8" cm="1">
        <f t="array" aca="1" ref="AB76" ca="1">INDIRECT("'"&amp;$C$6&amp;"'!"&amp;ADDRESS(ROW(),COLUMN()+44))</f>
        <v>0</v>
      </c>
      <c r="AD76" s="34">
        <f t="shared" ca="1" si="156"/>
        <v>0</v>
      </c>
      <c r="AE76" s="34">
        <f t="shared" ca="1" si="157"/>
        <v>0</v>
      </c>
      <c r="AF76" s="34">
        <f t="shared" ca="1" si="158"/>
        <v>0</v>
      </c>
      <c r="AG76" s="34">
        <f t="shared" ca="1" si="159"/>
        <v>0</v>
      </c>
      <c r="AH76" s="34">
        <f t="shared" ca="1" si="160"/>
        <v>0</v>
      </c>
      <c r="AJ76" s="36">
        <f t="shared" ca="1" si="161"/>
        <v>0</v>
      </c>
      <c r="AK76" s="36">
        <f t="shared" ca="1" si="162"/>
        <v>0</v>
      </c>
      <c r="AL76" s="36">
        <f t="shared" ca="1" si="163"/>
        <v>0</v>
      </c>
      <c r="AM76" s="36">
        <f t="shared" ca="1" si="164"/>
        <v>0</v>
      </c>
      <c r="AN76" s="36">
        <f t="shared" ca="1" si="165"/>
        <v>0</v>
      </c>
    </row>
    <row r="77" spans="1:40" hidden="1" outlineLevel="1" x14ac:dyDescent="0.25">
      <c r="A77" s="11" t="s">
        <v>71</v>
      </c>
      <c r="C77" s="2"/>
      <c r="D77" s="8" cm="1">
        <f t="array" aca="1" ref="D77" ca="1">_xlfn.XLOOKUP(1,
 (INDIRECT("'"&amp;$C$6&amp;"'!$6:$6")=D$6)*
 (INDIRECT("'"&amp;$C$6&amp;"'!$5:$5")=D$5),
 INDIRECT("'"&amp;$C$6&amp;"'!"&amp;ROW()&amp;":"&amp;ROW())
)</f>
        <v>0</v>
      </c>
      <c r="E77" s="8" cm="1">
        <f t="array" aca="1" ref="E77" ca="1">_xlfn.XLOOKUP(1,
 (INDIRECT("'"&amp;$C$6&amp;"'!$6:$6")=E$6)*
 (INDIRECT("'"&amp;$C$6&amp;"'!$5:$5")=E$5),
 INDIRECT("'"&amp;$C$6&amp;"'!"&amp;ROW()&amp;":"&amp;ROW())
)</f>
        <v>0</v>
      </c>
      <c r="F77" s="8" cm="1">
        <f t="array" aca="1" ref="F77" ca="1">_xlfn.XLOOKUP(1,
 (INDIRECT("'"&amp;$C$6&amp;"'!$6:$6")=F$6)*
 (INDIRECT("'"&amp;$C$6&amp;"'!$5:$5")=F$5),
 INDIRECT("'"&amp;$C$6&amp;"'!"&amp;ROW()&amp;":"&amp;ROW())
)</f>
        <v>0</v>
      </c>
      <c r="G77" s="8" cm="1">
        <f t="array" aca="1" ref="G77" ca="1">_xlfn.XLOOKUP(1,
 (INDIRECT("'"&amp;$C$6&amp;"'!$6:$6")=G$6)*
 (INDIRECT("'"&amp;$C$6&amp;"'!$5:$5")=G$5),
 INDIRECT("'"&amp;$C$6&amp;"'!"&amp;ROW()&amp;":"&amp;ROW())
)</f>
        <v>0</v>
      </c>
      <c r="H77" s="8" cm="1">
        <f t="array" aca="1" ref="H77" ca="1">_xlfn.XLOOKUP(1,
 (INDIRECT("'"&amp;$C$6&amp;"'!$6:$6")=H$6)*
 (INDIRECT("'"&amp;$C$6&amp;"'!$5:$5")=H$5),
 INDIRECT("'"&amp;$C$6&amp;"'!"&amp;ROW()&amp;":"&amp;ROW())
)</f>
        <v>0</v>
      </c>
      <c r="I77" s="8" cm="1">
        <f t="array" aca="1" ref="I77" ca="1">_xlfn.XLOOKUP(1,
 (INDIRECT("'"&amp;$C$6&amp;"'!$6:$6")=I$6)*
 (INDIRECT("'"&amp;$C$6&amp;"'!$5:$5")=I$5),
 INDIRECT("'"&amp;$C$6&amp;"'!"&amp;ROW()&amp;":"&amp;ROW())
)</f>
        <v>0</v>
      </c>
      <c r="K77" s="34">
        <f t="shared" ca="1" si="146"/>
        <v>0</v>
      </c>
      <c r="L77" s="34">
        <f t="shared" ca="1" si="147"/>
        <v>0</v>
      </c>
      <c r="M77" s="34">
        <f t="shared" ca="1" si="148"/>
        <v>0</v>
      </c>
      <c r="N77" s="34">
        <f t="shared" ca="1" si="149"/>
        <v>0</v>
      </c>
      <c r="O77" s="34">
        <f t="shared" ca="1" si="150"/>
        <v>0</v>
      </c>
      <c r="Q77" s="36">
        <f t="shared" ca="1" si="151"/>
        <v>0</v>
      </c>
      <c r="R77" s="36">
        <f t="shared" ca="1" si="152"/>
        <v>0</v>
      </c>
      <c r="S77" s="36">
        <f t="shared" ca="1" si="153"/>
        <v>0</v>
      </c>
      <c r="T77" s="36">
        <f t="shared" ca="1" si="154"/>
        <v>0</v>
      </c>
      <c r="U77" s="36">
        <f t="shared" ca="1" si="155"/>
        <v>0</v>
      </c>
      <c r="W77" s="8" cm="1">
        <f t="array" aca="1" ref="W77" ca="1">INDIRECT("'"&amp;$C$6&amp;"'!"&amp;ADDRESS(ROW(),COLUMN()+44))</f>
        <v>0</v>
      </c>
      <c r="X77" s="8" cm="1">
        <f t="array" aca="1" ref="X77" ca="1">INDIRECT("'"&amp;$C$6&amp;"'!"&amp;ADDRESS(ROW(),COLUMN()+44))</f>
        <v>0</v>
      </c>
      <c r="Y77" s="8" cm="1">
        <f t="array" aca="1" ref="Y77" ca="1">INDIRECT("'"&amp;$C$6&amp;"'!"&amp;ADDRESS(ROW(),COLUMN()+44))</f>
        <v>0</v>
      </c>
      <c r="Z77" s="8" cm="1">
        <f t="array" aca="1" ref="Z77" ca="1">INDIRECT("'"&amp;$C$6&amp;"'!"&amp;ADDRESS(ROW(),COLUMN()+44))</f>
        <v>0</v>
      </c>
      <c r="AA77" s="8" cm="1">
        <f t="array" aca="1" ref="AA77" ca="1">INDIRECT("'"&amp;$C$6&amp;"'!"&amp;ADDRESS(ROW(),COLUMN()+44))</f>
        <v>0</v>
      </c>
      <c r="AB77" s="8" cm="1">
        <f t="array" aca="1" ref="AB77" ca="1">INDIRECT("'"&amp;$C$6&amp;"'!"&amp;ADDRESS(ROW(),COLUMN()+44))</f>
        <v>0</v>
      </c>
      <c r="AD77" s="34">
        <f t="shared" ca="1" si="156"/>
        <v>0</v>
      </c>
      <c r="AE77" s="34">
        <f t="shared" ca="1" si="157"/>
        <v>0</v>
      </c>
      <c r="AF77" s="34">
        <f t="shared" ca="1" si="158"/>
        <v>0</v>
      </c>
      <c r="AG77" s="34">
        <f t="shared" ca="1" si="159"/>
        <v>0</v>
      </c>
      <c r="AH77" s="34">
        <f t="shared" ca="1" si="160"/>
        <v>0</v>
      </c>
      <c r="AJ77" s="36">
        <f t="shared" ca="1" si="161"/>
        <v>0</v>
      </c>
      <c r="AK77" s="36">
        <f t="shared" ca="1" si="162"/>
        <v>0</v>
      </c>
      <c r="AL77" s="36">
        <f t="shared" ca="1" si="163"/>
        <v>0</v>
      </c>
      <c r="AM77" s="36">
        <f t="shared" ca="1" si="164"/>
        <v>0</v>
      </c>
      <c r="AN77" s="36">
        <f t="shared" ca="1" si="165"/>
        <v>0</v>
      </c>
    </row>
    <row r="78" spans="1:40" hidden="1" outlineLevel="1" x14ac:dyDescent="0.25">
      <c r="A78" s="11" t="s">
        <v>71</v>
      </c>
      <c r="C78" s="2"/>
      <c r="D78" s="8" cm="1">
        <f t="array" aca="1" ref="D78" ca="1">_xlfn.XLOOKUP(1,
 (INDIRECT("'"&amp;$C$6&amp;"'!$6:$6")=D$6)*
 (INDIRECT("'"&amp;$C$6&amp;"'!$5:$5")=D$5),
 INDIRECT("'"&amp;$C$6&amp;"'!"&amp;ROW()&amp;":"&amp;ROW())
)</f>
        <v>0</v>
      </c>
      <c r="E78" s="8" cm="1">
        <f t="array" aca="1" ref="E78" ca="1">_xlfn.XLOOKUP(1,
 (INDIRECT("'"&amp;$C$6&amp;"'!$6:$6")=E$6)*
 (INDIRECT("'"&amp;$C$6&amp;"'!$5:$5")=E$5),
 INDIRECT("'"&amp;$C$6&amp;"'!"&amp;ROW()&amp;":"&amp;ROW())
)</f>
        <v>0</v>
      </c>
      <c r="F78" s="8" cm="1">
        <f t="array" aca="1" ref="F78" ca="1">_xlfn.XLOOKUP(1,
 (INDIRECT("'"&amp;$C$6&amp;"'!$6:$6")=F$6)*
 (INDIRECT("'"&amp;$C$6&amp;"'!$5:$5")=F$5),
 INDIRECT("'"&amp;$C$6&amp;"'!"&amp;ROW()&amp;":"&amp;ROW())
)</f>
        <v>0</v>
      </c>
      <c r="G78" s="8" cm="1">
        <f t="array" aca="1" ref="G78" ca="1">_xlfn.XLOOKUP(1,
 (INDIRECT("'"&amp;$C$6&amp;"'!$6:$6")=G$6)*
 (INDIRECT("'"&amp;$C$6&amp;"'!$5:$5")=G$5),
 INDIRECT("'"&amp;$C$6&amp;"'!"&amp;ROW()&amp;":"&amp;ROW())
)</f>
        <v>0</v>
      </c>
      <c r="H78" s="8" cm="1">
        <f t="array" aca="1" ref="H78" ca="1">_xlfn.XLOOKUP(1,
 (INDIRECT("'"&amp;$C$6&amp;"'!$6:$6")=H$6)*
 (INDIRECT("'"&amp;$C$6&amp;"'!$5:$5")=H$5),
 INDIRECT("'"&amp;$C$6&amp;"'!"&amp;ROW()&amp;":"&amp;ROW())
)</f>
        <v>0</v>
      </c>
      <c r="I78" s="8" cm="1">
        <f t="array" aca="1" ref="I78" ca="1">_xlfn.XLOOKUP(1,
 (INDIRECT("'"&amp;$C$6&amp;"'!$6:$6")=I$6)*
 (INDIRECT("'"&amp;$C$6&amp;"'!$5:$5")=I$5),
 INDIRECT("'"&amp;$C$6&amp;"'!"&amp;ROW()&amp;":"&amp;ROW())
)</f>
        <v>0</v>
      </c>
      <c r="K78" s="34">
        <f t="shared" ca="1" si="146"/>
        <v>0</v>
      </c>
      <c r="L78" s="34">
        <f t="shared" ca="1" si="147"/>
        <v>0</v>
      </c>
      <c r="M78" s="34">
        <f t="shared" ca="1" si="148"/>
        <v>0</v>
      </c>
      <c r="N78" s="34">
        <f t="shared" ca="1" si="149"/>
        <v>0</v>
      </c>
      <c r="O78" s="34">
        <f t="shared" ca="1" si="150"/>
        <v>0</v>
      </c>
      <c r="Q78" s="36">
        <f t="shared" ca="1" si="151"/>
        <v>0</v>
      </c>
      <c r="R78" s="36">
        <f t="shared" ca="1" si="152"/>
        <v>0</v>
      </c>
      <c r="S78" s="36">
        <f t="shared" ca="1" si="153"/>
        <v>0</v>
      </c>
      <c r="T78" s="36">
        <f t="shared" ca="1" si="154"/>
        <v>0</v>
      </c>
      <c r="U78" s="36">
        <f t="shared" ca="1" si="155"/>
        <v>0</v>
      </c>
      <c r="W78" s="8" cm="1">
        <f t="array" aca="1" ref="W78" ca="1">INDIRECT("'"&amp;$C$6&amp;"'!"&amp;ADDRESS(ROW(),COLUMN()+44))</f>
        <v>0</v>
      </c>
      <c r="X78" s="8" cm="1">
        <f t="array" aca="1" ref="X78" ca="1">INDIRECT("'"&amp;$C$6&amp;"'!"&amp;ADDRESS(ROW(),COLUMN()+44))</f>
        <v>0</v>
      </c>
      <c r="Y78" s="8" cm="1">
        <f t="array" aca="1" ref="Y78" ca="1">INDIRECT("'"&amp;$C$6&amp;"'!"&amp;ADDRESS(ROW(),COLUMN()+44))</f>
        <v>0</v>
      </c>
      <c r="Z78" s="8" cm="1">
        <f t="array" aca="1" ref="Z78" ca="1">INDIRECT("'"&amp;$C$6&amp;"'!"&amp;ADDRESS(ROW(),COLUMN()+44))</f>
        <v>0</v>
      </c>
      <c r="AA78" s="8" cm="1">
        <f t="array" aca="1" ref="AA78" ca="1">INDIRECT("'"&amp;$C$6&amp;"'!"&amp;ADDRESS(ROW(),COLUMN()+44))</f>
        <v>0</v>
      </c>
      <c r="AB78" s="8" cm="1">
        <f t="array" aca="1" ref="AB78" ca="1">INDIRECT("'"&amp;$C$6&amp;"'!"&amp;ADDRESS(ROW(),COLUMN()+44))</f>
        <v>0</v>
      </c>
      <c r="AD78" s="34">
        <f t="shared" ca="1" si="156"/>
        <v>0</v>
      </c>
      <c r="AE78" s="34">
        <f t="shared" ca="1" si="157"/>
        <v>0</v>
      </c>
      <c r="AF78" s="34">
        <f t="shared" ca="1" si="158"/>
        <v>0</v>
      </c>
      <c r="AG78" s="34">
        <f t="shared" ca="1" si="159"/>
        <v>0</v>
      </c>
      <c r="AH78" s="34">
        <f t="shared" ca="1" si="160"/>
        <v>0</v>
      </c>
      <c r="AJ78" s="36">
        <f t="shared" ca="1" si="161"/>
        <v>0</v>
      </c>
      <c r="AK78" s="36">
        <f t="shared" ca="1" si="162"/>
        <v>0</v>
      </c>
      <c r="AL78" s="36">
        <f t="shared" ca="1" si="163"/>
        <v>0</v>
      </c>
      <c r="AM78" s="36">
        <f t="shared" ca="1" si="164"/>
        <v>0</v>
      </c>
      <c r="AN78" s="36">
        <f t="shared" ca="1" si="165"/>
        <v>0</v>
      </c>
    </row>
    <row r="79" spans="1:40" hidden="1" outlineLevel="1" x14ac:dyDescent="0.25">
      <c r="A79" s="11" t="s">
        <v>71</v>
      </c>
      <c r="C79" s="2"/>
      <c r="D79" s="8" cm="1">
        <f t="array" aca="1" ref="D79" ca="1">_xlfn.XLOOKUP(1,
 (INDIRECT("'"&amp;$C$6&amp;"'!$6:$6")=D$6)*
 (INDIRECT("'"&amp;$C$6&amp;"'!$5:$5")=D$5),
 INDIRECT("'"&amp;$C$6&amp;"'!"&amp;ROW()&amp;":"&amp;ROW())
)</f>
        <v>0</v>
      </c>
      <c r="E79" s="8" cm="1">
        <f t="array" aca="1" ref="E79" ca="1">_xlfn.XLOOKUP(1,
 (INDIRECT("'"&amp;$C$6&amp;"'!$6:$6")=E$6)*
 (INDIRECT("'"&amp;$C$6&amp;"'!$5:$5")=E$5),
 INDIRECT("'"&amp;$C$6&amp;"'!"&amp;ROW()&amp;":"&amp;ROW())
)</f>
        <v>0</v>
      </c>
      <c r="F79" s="8" cm="1">
        <f t="array" aca="1" ref="F79" ca="1">_xlfn.XLOOKUP(1,
 (INDIRECT("'"&amp;$C$6&amp;"'!$6:$6")=F$6)*
 (INDIRECT("'"&amp;$C$6&amp;"'!$5:$5")=F$5),
 INDIRECT("'"&amp;$C$6&amp;"'!"&amp;ROW()&amp;":"&amp;ROW())
)</f>
        <v>0</v>
      </c>
      <c r="G79" s="8" cm="1">
        <f t="array" aca="1" ref="G79" ca="1">_xlfn.XLOOKUP(1,
 (INDIRECT("'"&amp;$C$6&amp;"'!$6:$6")=G$6)*
 (INDIRECT("'"&amp;$C$6&amp;"'!$5:$5")=G$5),
 INDIRECT("'"&amp;$C$6&amp;"'!"&amp;ROW()&amp;":"&amp;ROW())
)</f>
        <v>0</v>
      </c>
      <c r="H79" s="8" cm="1">
        <f t="array" aca="1" ref="H79" ca="1">_xlfn.XLOOKUP(1,
 (INDIRECT("'"&amp;$C$6&amp;"'!$6:$6")=H$6)*
 (INDIRECT("'"&amp;$C$6&amp;"'!$5:$5")=H$5),
 INDIRECT("'"&amp;$C$6&amp;"'!"&amp;ROW()&amp;":"&amp;ROW())
)</f>
        <v>0</v>
      </c>
      <c r="I79" s="8" cm="1">
        <f t="array" aca="1" ref="I79" ca="1">_xlfn.XLOOKUP(1,
 (INDIRECT("'"&amp;$C$6&amp;"'!$6:$6")=I$6)*
 (INDIRECT("'"&amp;$C$6&amp;"'!$5:$5")=I$5),
 INDIRECT("'"&amp;$C$6&amp;"'!"&amp;ROW()&amp;":"&amp;ROW())
)</f>
        <v>0</v>
      </c>
      <c r="K79" s="34">
        <f t="shared" ca="1" si="146"/>
        <v>0</v>
      </c>
      <c r="L79" s="34">
        <f t="shared" ca="1" si="147"/>
        <v>0</v>
      </c>
      <c r="M79" s="34">
        <f t="shared" ca="1" si="148"/>
        <v>0</v>
      </c>
      <c r="N79" s="34">
        <f t="shared" ca="1" si="149"/>
        <v>0</v>
      </c>
      <c r="O79" s="34">
        <f t="shared" ca="1" si="150"/>
        <v>0</v>
      </c>
      <c r="Q79" s="36">
        <f t="shared" ca="1" si="151"/>
        <v>0</v>
      </c>
      <c r="R79" s="36">
        <f t="shared" ca="1" si="152"/>
        <v>0</v>
      </c>
      <c r="S79" s="36">
        <f t="shared" ca="1" si="153"/>
        <v>0</v>
      </c>
      <c r="T79" s="36">
        <f t="shared" ca="1" si="154"/>
        <v>0</v>
      </c>
      <c r="U79" s="36">
        <f t="shared" ca="1" si="155"/>
        <v>0</v>
      </c>
      <c r="W79" s="8" cm="1">
        <f t="array" aca="1" ref="W79" ca="1">INDIRECT("'"&amp;$C$6&amp;"'!"&amp;ADDRESS(ROW(),COLUMN()+44))</f>
        <v>0</v>
      </c>
      <c r="X79" s="8" cm="1">
        <f t="array" aca="1" ref="X79" ca="1">INDIRECT("'"&amp;$C$6&amp;"'!"&amp;ADDRESS(ROW(),COLUMN()+44))</f>
        <v>0</v>
      </c>
      <c r="Y79" s="8" cm="1">
        <f t="array" aca="1" ref="Y79" ca="1">INDIRECT("'"&amp;$C$6&amp;"'!"&amp;ADDRESS(ROW(),COLUMN()+44))</f>
        <v>0</v>
      </c>
      <c r="Z79" s="8" cm="1">
        <f t="array" aca="1" ref="Z79" ca="1">INDIRECT("'"&amp;$C$6&amp;"'!"&amp;ADDRESS(ROW(),COLUMN()+44))</f>
        <v>0</v>
      </c>
      <c r="AA79" s="8" cm="1">
        <f t="array" aca="1" ref="AA79" ca="1">INDIRECT("'"&amp;$C$6&amp;"'!"&amp;ADDRESS(ROW(),COLUMN()+44))</f>
        <v>0</v>
      </c>
      <c r="AB79" s="8" cm="1">
        <f t="array" aca="1" ref="AB79" ca="1">INDIRECT("'"&amp;$C$6&amp;"'!"&amp;ADDRESS(ROW(),COLUMN()+44))</f>
        <v>0</v>
      </c>
      <c r="AD79" s="34">
        <f t="shared" ca="1" si="156"/>
        <v>0</v>
      </c>
      <c r="AE79" s="34">
        <f t="shared" ca="1" si="157"/>
        <v>0</v>
      </c>
      <c r="AF79" s="34">
        <f t="shared" ca="1" si="158"/>
        <v>0</v>
      </c>
      <c r="AG79" s="34">
        <f t="shared" ca="1" si="159"/>
        <v>0</v>
      </c>
      <c r="AH79" s="34">
        <f t="shared" ca="1" si="160"/>
        <v>0</v>
      </c>
      <c r="AJ79" s="36">
        <f t="shared" ca="1" si="161"/>
        <v>0</v>
      </c>
      <c r="AK79" s="36">
        <f t="shared" ca="1" si="162"/>
        <v>0</v>
      </c>
      <c r="AL79" s="36">
        <f t="shared" ca="1" si="163"/>
        <v>0</v>
      </c>
      <c r="AM79" s="36">
        <f t="shared" ca="1" si="164"/>
        <v>0</v>
      </c>
      <c r="AN79" s="36">
        <f t="shared" ca="1" si="165"/>
        <v>0</v>
      </c>
    </row>
    <row r="80" spans="1:40" hidden="1" outlineLevel="1" x14ac:dyDescent="0.25">
      <c r="A80" s="11" t="s">
        <v>71</v>
      </c>
      <c r="C80" s="2"/>
      <c r="D80" s="8" cm="1">
        <f t="array" aca="1" ref="D80" ca="1">_xlfn.XLOOKUP(1,
 (INDIRECT("'"&amp;$C$6&amp;"'!$6:$6")=D$6)*
 (INDIRECT("'"&amp;$C$6&amp;"'!$5:$5")=D$5),
 INDIRECT("'"&amp;$C$6&amp;"'!"&amp;ROW()&amp;":"&amp;ROW())
)</f>
        <v>0</v>
      </c>
      <c r="E80" s="8" cm="1">
        <f t="array" aca="1" ref="E80" ca="1">_xlfn.XLOOKUP(1,
 (INDIRECT("'"&amp;$C$6&amp;"'!$6:$6")=E$6)*
 (INDIRECT("'"&amp;$C$6&amp;"'!$5:$5")=E$5),
 INDIRECT("'"&amp;$C$6&amp;"'!"&amp;ROW()&amp;":"&amp;ROW())
)</f>
        <v>0</v>
      </c>
      <c r="F80" s="8" cm="1">
        <f t="array" aca="1" ref="F80" ca="1">_xlfn.XLOOKUP(1,
 (INDIRECT("'"&amp;$C$6&amp;"'!$6:$6")=F$6)*
 (INDIRECT("'"&amp;$C$6&amp;"'!$5:$5")=F$5),
 INDIRECT("'"&amp;$C$6&amp;"'!"&amp;ROW()&amp;":"&amp;ROW())
)</f>
        <v>0</v>
      </c>
      <c r="G80" s="8" cm="1">
        <f t="array" aca="1" ref="G80" ca="1">_xlfn.XLOOKUP(1,
 (INDIRECT("'"&amp;$C$6&amp;"'!$6:$6")=G$6)*
 (INDIRECT("'"&amp;$C$6&amp;"'!$5:$5")=G$5),
 INDIRECT("'"&amp;$C$6&amp;"'!"&amp;ROW()&amp;":"&amp;ROW())
)</f>
        <v>0</v>
      </c>
      <c r="H80" s="8" cm="1">
        <f t="array" aca="1" ref="H80" ca="1">_xlfn.XLOOKUP(1,
 (INDIRECT("'"&amp;$C$6&amp;"'!$6:$6")=H$6)*
 (INDIRECT("'"&amp;$C$6&amp;"'!$5:$5")=H$5),
 INDIRECT("'"&amp;$C$6&amp;"'!"&amp;ROW()&amp;":"&amp;ROW())
)</f>
        <v>0</v>
      </c>
      <c r="I80" s="8" cm="1">
        <f t="array" aca="1" ref="I80" ca="1">_xlfn.XLOOKUP(1,
 (INDIRECT("'"&amp;$C$6&amp;"'!$6:$6")=I$6)*
 (INDIRECT("'"&amp;$C$6&amp;"'!$5:$5")=I$5),
 INDIRECT("'"&amp;$C$6&amp;"'!"&amp;ROW()&amp;":"&amp;ROW())
)</f>
        <v>0</v>
      </c>
      <c r="K80" s="34">
        <f t="shared" ca="1" si="146"/>
        <v>0</v>
      </c>
      <c r="L80" s="34">
        <f t="shared" ca="1" si="147"/>
        <v>0</v>
      </c>
      <c r="M80" s="34">
        <f t="shared" ca="1" si="148"/>
        <v>0</v>
      </c>
      <c r="N80" s="34">
        <f t="shared" ca="1" si="149"/>
        <v>0</v>
      </c>
      <c r="O80" s="34">
        <f t="shared" ca="1" si="150"/>
        <v>0</v>
      </c>
      <c r="Q80" s="36">
        <f t="shared" ca="1" si="151"/>
        <v>0</v>
      </c>
      <c r="R80" s="36">
        <f t="shared" ca="1" si="152"/>
        <v>0</v>
      </c>
      <c r="S80" s="36">
        <f t="shared" ca="1" si="153"/>
        <v>0</v>
      </c>
      <c r="T80" s="36">
        <f t="shared" ca="1" si="154"/>
        <v>0</v>
      </c>
      <c r="U80" s="36">
        <f t="shared" ca="1" si="155"/>
        <v>0</v>
      </c>
      <c r="W80" s="8" cm="1">
        <f t="array" aca="1" ref="W80" ca="1">INDIRECT("'"&amp;$C$6&amp;"'!"&amp;ADDRESS(ROW(),COLUMN()+44))</f>
        <v>0</v>
      </c>
      <c r="X80" s="8" cm="1">
        <f t="array" aca="1" ref="X80" ca="1">INDIRECT("'"&amp;$C$6&amp;"'!"&amp;ADDRESS(ROW(),COLUMN()+44))</f>
        <v>0</v>
      </c>
      <c r="Y80" s="8" cm="1">
        <f t="array" aca="1" ref="Y80" ca="1">INDIRECT("'"&amp;$C$6&amp;"'!"&amp;ADDRESS(ROW(),COLUMN()+44))</f>
        <v>0</v>
      </c>
      <c r="Z80" s="8" cm="1">
        <f t="array" aca="1" ref="Z80" ca="1">INDIRECT("'"&amp;$C$6&amp;"'!"&amp;ADDRESS(ROW(),COLUMN()+44))</f>
        <v>0</v>
      </c>
      <c r="AA80" s="8" cm="1">
        <f t="array" aca="1" ref="AA80" ca="1">INDIRECT("'"&amp;$C$6&amp;"'!"&amp;ADDRESS(ROW(),COLUMN()+44))</f>
        <v>0</v>
      </c>
      <c r="AB80" s="8" cm="1">
        <f t="array" aca="1" ref="AB80" ca="1">INDIRECT("'"&amp;$C$6&amp;"'!"&amp;ADDRESS(ROW(),COLUMN()+44))</f>
        <v>0</v>
      </c>
      <c r="AD80" s="34">
        <f t="shared" ca="1" si="156"/>
        <v>0</v>
      </c>
      <c r="AE80" s="34">
        <f t="shared" ca="1" si="157"/>
        <v>0</v>
      </c>
      <c r="AF80" s="34">
        <f t="shared" ca="1" si="158"/>
        <v>0</v>
      </c>
      <c r="AG80" s="34">
        <f t="shared" ca="1" si="159"/>
        <v>0</v>
      </c>
      <c r="AH80" s="34">
        <f t="shared" ca="1" si="160"/>
        <v>0</v>
      </c>
      <c r="AJ80" s="36">
        <f t="shared" ca="1" si="161"/>
        <v>0</v>
      </c>
      <c r="AK80" s="36">
        <f t="shared" ca="1" si="162"/>
        <v>0</v>
      </c>
      <c r="AL80" s="36">
        <f t="shared" ca="1" si="163"/>
        <v>0</v>
      </c>
      <c r="AM80" s="36">
        <f t="shared" ca="1" si="164"/>
        <v>0</v>
      </c>
      <c r="AN80" s="36">
        <f t="shared" ca="1" si="165"/>
        <v>0</v>
      </c>
    </row>
    <row r="81" spans="1:40" hidden="1" outlineLevel="1" x14ac:dyDescent="0.25">
      <c r="A81" s="11" t="s">
        <v>71</v>
      </c>
      <c r="C81" s="2"/>
      <c r="D81" s="8" cm="1">
        <f t="array" aca="1" ref="D81" ca="1">_xlfn.XLOOKUP(1,
 (INDIRECT("'"&amp;$C$6&amp;"'!$6:$6")=D$6)*
 (INDIRECT("'"&amp;$C$6&amp;"'!$5:$5")=D$5),
 INDIRECT("'"&amp;$C$6&amp;"'!"&amp;ROW()&amp;":"&amp;ROW())
)</f>
        <v>0</v>
      </c>
      <c r="E81" s="8" cm="1">
        <f t="array" aca="1" ref="E81" ca="1">_xlfn.XLOOKUP(1,
 (INDIRECT("'"&amp;$C$6&amp;"'!$6:$6")=E$6)*
 (INDIRECT("'"&amp;$C$6&amp;"'!$5:$5")=E$5),
 INDIRECT("'"&amp;$C$6&amp;"'!"&amp;ROW()&amp;":"&amp;ROW())
)</f>
        <v>0</v>
      </c>
      <c r="F81" s="8" cm="1">
        <f t="array" aca="1" ref="F81" ca="1">_xlfn.XLOOKUP(1,
 (INDIRECT("'"&amp;$C$6&amp;"'!$6:$6")=F$6)*
 (INDIRECT("'"&amp;$C$6&amp;"'!$5:$5")=F$5),
 INDIRECT("'"&amp;$C$6&amp;"'!"&amp;ROW()&amp;":"&amp;ROW())
)</f>
        <v>0</v>
      </c>
      <c r="G81" s="8" cm="1">
        <f t="array" aca="1" ref="G81" ca="1">_xlfn.XLOOKUP(1,
 (INDIRECT("'"&amp;$C$6&amp;"'!$6:$6")=G$6)*
 (INDIRECT("'"&amp;$C$6&amp;"'!$5:$5")=G$5),
 INDIRECT("'"&amp;$C$6&amp;"'!"&amp;ROW()&amp;":"&amp;ROW())
)</f>
        <v>0</v>
      </c>
      <c r="H81" s="8" cm="1">
        <f t="array" aca="1" ref="H81" ca="1">_xlfn.XLOOKUP(1,
 (INDIRECT("'"&amp;$C$6&amp;"'!$6:$6")=H$6)*
 (INDIRECT("'"&amp;$C$6&amp;"'!$5:$5")=H$5),
 INDIRECT("'"&amp;$C$6&amp;"'!"&amp;ROW()&amp;":"&amp;ROW())
)</f>
        <v>0</v>
      </c>
      <c r="I81" s="8" cm="1">
        <f t="array" aca="1" ref="I81" ca="1">_xlfn.XLOOKUP(1,
 (INDIRECT("'"&amp;$C$6&amp;"'!$6:$6")=I$6)*
 (INDIRECT("'"&amp;$C$6&amp;"'!$5:$5")=I$5),
 INDIRECT("'"&amp;$C$6&amp;"'!"&amp;ROW()&amp;":"&amp;ROW())
)</f>
        <v>0</v>
      </c>
      <c r="K81" s="34">
        <f t="shared" ca="1" si="146"/>
        <v>0</v>
      </c>
      <c r="L81" s="34">
        <f t="shared" ca="1" si="147"/>
        <v>0</v>
      </c>
      <c r="M81" s="34">
        <f t="shared" ca="1" si="148"/>
        <v>0</v>
      </c>
      <c r="N81" s="34">
        <f t="shared" ca="1" si="149"/>
        <v>0</v>
      </c>
      <c r="O81" s="34">
        <f t="shared" ca="1" si="150"/>
        <v>0</v>
      </c>
      <c r="Q81" s="36">
        <f t="shared" ca="1" si="151"/>
        <v>0</v>
      </c>
      <c r="R81" s="36">
        <f t="shared" ca="1" si="152"/>
        <v>0</v>
      </c>
      <c r="S81" s="36">
        <f t="shared" ca="1" si="153"/>
        <v>0</v>
      </c>
      <c r="T81" s="36">
        <f t="shared" ca="1" si="154"/>
        <v>0</v>
      </c>
      <c r="U81" s="36">
        <f t="shared" ca="1" si="155"/>
        <v>0</v>
      </c>
      <c r="W81" s="8" cm="1">
        <f t="array" aca="1" ref="W81" ca="1">INDIRECT("'"&amp;$C$6&amp;"'!"&amp;ADDRESS(ROW(),COLUMN()+44))</f>
        <v>0</v>
      </c>
      <c r="X81" s="8" cm="1">
        <f t="array" aca="1" ref="X81" ca="1">INDIRECT("'"&amp;$C$6&amp;"'!"&amp;ADDRESS(ROW(),COLUMN()+44))</f>
        <v>0</v>
      </c>
      <c r="Y81" s="8" cm="1">
        <f t="array" aca="1" ref="Y81" ca="1">INDIRECT("'"&amp;$C$6&amp;"'!"&amp;ADDRESS(ROW(),COLUMN()+44))</f>
        <v>0</v>
      </c>
      <c r="Z81" s="8" cm="1">
        <f t="array" aca="1" ref="Z81" ca="1">INDIRECT("'"&amp;$C$6&amp;"'!"&amp;ADDRESS(ROW(),COLUMN()+44))</f>
        <v>0</v>
      </c>
      <c r="AA81" s="8" cm="1">
        <f t="array" aca="1" ref="AA81" ca="1">INDIRECT("'"&amp;$C$6&amp;"'!"&amp;ADDRESS(ROW(),COLUMN()+44))</f>
        <v>0</v>
      </c>
      <c r="AB81" s="8" cm="1">
        <f t="array" aca="1" ref="AB81" ca="1">INDIRECT("'"&amp;$C$6&amp;"'!"&amp;ADDRESS(ROW(),COLUMN()+44))</f>
        <v>0</v>
      </c>
      <c r="AD81" s="34">
        <f t="shared" ca="1" si="156"/>
        <v>0</v>
      </c>
      <c r="AE81" s="34">
        <f t="shared" ca="1" si="157"/>
        <v>0</v>
      </c>
      <c r="AF81" s="34">
        <f t="shared" ca="1" si="158"/>
        <v>0</v>
      </c>
      <c r="AG81" s="34">
        <f t="shared" ca="1" si="159"/>
        <v>0</v>
      </c>
      <c r="AH81" s="34">
        <f t="shared" ca="1" si="160"/>
        <v>0</v>
      </c>
      <c r="AJ81" s="36">
        <f t="shared" ca="1" si="161"/>
        <v>0</v>
      </c>
      <c r="AK81" s="36">
        <f t="shared" ca="1" si="162"/>
        <v>0</v>
      </c>
      <c r="AL81" s="36">
        <f t="shared" ca="1" si="163"/>
        <v>0</v>
      </c>
      <c r="AM81" s="36">
        <f t="shared" ca="1" si="164"/>
        <v>0</v>
      </c>
      <c r="AN81" s="36">
        <f t="shared" ca="1" si="165"/>
        <v>0</v>
      </c>
    </row>
    <row r="82" spans="1:40" hidden="1" outlineLevel="1" x14ac:dyDescent="0.25">
      <c r="A82" s="11" t="s">
        <v>71</v>
      </c>
      <c r="C82" s="2"/>
      <c r="D82" s="8" cm="1">
        <f t="array" aca="1" ref="D82" ca="1">_xlfn.XLOOKUP(1,
 (INDIRECT("'"&amp;$C$6&amp;"'!$6:$6")=D$6)*
 (INDIRECT("'"&amp;$C$6&amp;"'!$5:$5")=D$5),
 INDIRECT("'"&amp;$C$6&amp;"'!"&amp;ROW()&amp;":"&amp;ROW())
)</f>
        <v>0</v>
      </c>
      <c r="E82" s="8" cm="1">
        <f t="array" aca="1" ref="E82" ca="1">_xlfn.XLOOKUP(1,
 (INDIRECT("'"&amp;$C$6&amp;"'!$6:$6")=E$6)*
 (INDIRECT("'"&amp;$C$6&amp;"'!$5:$5")=E$5),
 INDIRECT("'"&amp;$C$6&amp;"'!"&amp;ROW()&amp;":"&amp;ROW())
)</f>
        <v>0</v>
      </c>
      <c r="F82" s="8" cm="1">
        <f t="array" aca="1" ref="F82" ca="1">_xlfn.XLOOKUP(1,
 (INDIRECT("'"&amp;$C$6&amp;"'!$6:$6")=F$6)*
 (INDIRECT("'"&amp;$C$6&amp;"'!$5:$5")=F$5),
 INDIRECT("'"&amp;$C$6&amp;"'!"&amp;ROW()&amp;":"&amp;ROW())
)</f>
        <v>0</v>
      </c>
      <c r="G82" s="8" cm="1">
        <f t="array" aca="1" ref="G82" ca="1">_xlfn.XLOOKUP(1,
 (INDIRECT("'"&amp;$C$6&amp;"'!$6:$6")=G$6)*
 (INDIRECT("'"&amp;$C$6&amp;"'!$5:$5")=G$5),
 INDIRECT("'"&amp;$C$6&amp;"'!"&amp;ROW()&amp;":"&amp;ROW())
)</f>
        <v>0</v>
      </c>
      <c r="H82" s="8" cm="1">
        <f t="array" aca="1" ref="H82" ca="1">_xlfn.XLOOKUP(1,
 (INDIRECT("'"&amp;$C$6&amp;"'!$6:$6")=H$6)*
 (INDIRECT("'"&amp;$C$6&amp;"'!$5:$5")=H$5),
 INDIRECT("'"&amp;$C$6&amp;"'!"&amp;ROW()&amp;":"&amp;ROW())
)</f>
        <v>0</v>
      </c>
      <c r="I82" s="8" cm="1">
        <f t="array" aca="1" ref="I82" ca="1">_xlfn.XLOOKUP(1,
 (INDIRECT("'"&amp;$C$6&amp;"'!$6:$6")=I$6)*
 (INDIRECT("'"&amp;$C$6&amp;"'!$5:$5")=I$5),
 INDIRECT("'"&amp;$C$6&amp;"'!"&amp;ROW()&amp;":"&amp;ROW())
)</f>
        <v>0</v>
      </c>
      <c r="K82" s="34">
        <f t="shared" ca="1" si="146"/>
        <v>0</v>
      </c>
      <c r="L82" s="34">
        <f t="shared" ca="1" si="147"/>
        <v>0</v>
      </c>
      <c r="M82" s="34">
        <f t="shared" ca="1" si="148"/>
        <v>0</v>
      </c>
      <c r="N82" s="34">
        <f t="shared" ca="1" si="149"/>
        <v>0</v>
      </c>
      <c r="O82" s="34">
        <f t="shared" ca="1" si="150"/>
        <v>0</v>
      </c>
      <c r="Q82" s="36">
        <f t="shared" ca="1" si="151"/>
        <v>0</v>
      </c>
      <c r="R82" s="36">
        <f t="shared" ca="1" si="152"/>
        <v>0</v>
      </c>
      <c r="S82" s="36">
        <f t="shared" ca="1" si="153"/>
        <v>0</v>
      </c>
      <c r="T82" s="36">
        <f t="shared" ca="1" si="154"/>
        <v>0</v>
      </c>
      <c r="U82" s="36">
        <f t="shared" ca="1" si="155"/>
        <v>0</v>
      </c>
      <c r="W82" s="8" cm="1">
        <f t="array" aca="1" ref="W82" ca="1">INDIRECT("'"&amp;$C$6&amp;"'!"&amp;ADDRESS(ROW(),COLUMN()+44))</f>
        <v>0</v>
      </c>
      <c r="X82" s="8" cm="1">
        <f t="array" aca="1" ref="X82" ca="1">INDIRECT("'"&amp;$C$6&amp;"'!"&amp;ADDRESS(ROW(),COLUMN()+44))</f>
        <v>0</v>
      </c>
      <c r="Y82" s="8" cm="1">
        <f t="array" aca="1" ref="Y82" ca="1">INDIRECT("'"&amp;$C$6&amp;"'!"&amp;ADDRESS(ROW(),COLUMN()+44))</f>
        <v>0</v>
      </c>
      <c r="Z82" s="8" cm="1">
        <f t="array" aca="1" ref="Z82" ca="1">INDIRECT("'"&amp;$C$6&amp;"'!"&amp;ADDRESS(ROW(),COLUMN()+44))</f>
        <v>0</v>
      </c>
      <c r="AA82" s="8" cm="1">
        <f t="array" aca="1" ref="AA82" ca="1">INDIRECT("'"&amp;$C$6&amp;"'!"&amp;ADDRESS(ROW(),COLUMN()+44))</f>
        <v>0</v>
      </c>
      <c r="AB82" s="8" cm="1">
        <f t="array" aca="1" ref="AB82" ca="1">INDIRECT("'"&amp;$C$6&amp;"'!"&amp;ADDRESS(ROW(),COLUMN()+44))</f>
        <v>0</v>
      </c>
      <c r="AD82" s="34">
        <f t="shared" ca="1" si="156"/>
        <v>0</v>
      </c>
      <c r="AE82" s="34">
        <f t="shared" ca="1" si="157"/>
        <v>0</v>
      </c>
      <c r="AF82" s="34">
        <f t="shared" ca="1" si="158"/>
        <v>0</v>
      </c>
      <c r="AG82" s="34">
        <f t="shared" ca="1" si="159"/>
        <v>0</v>
      </c>
      <c r="AH82" s="34">
        <f t="shared" ca="1" si="160"/>
        <v>0</v>
      </c>
      <c r="AJ82" s="36">
        <f t="shared" ca="1" si="161"/>
        <v>0</v>
      </c>
      <c r="AK82" s="36">
        <f t="shared" ca="1" si="162"/>
        <v>0</v>
      </c>
      <c r="AL82" s="36">
        <f t="shared" ca="1" si="163"/>
        <v>0</v>
      </c>
      <c r="AM82" s="36">
        <f t="shared" ca="1" si="164"/>
        <v>0</v>
      </c>
      <c r="AN82" s="36">
        <f t="shared" ca="1" si="165"/>
        <v>0</v>
      </c>
    </row>
    <row r="83" spans="1:40" collapsed="1" x14ac:dyDescent="0.25">
      <c r="C83" s="3" t="s">
        <v>71</v>
      </c>
      <c r="D83" s="10">
        <f t="shared" ref="D83:I83" ca="1" si="166">SUM(D63:D82)</f>
        <v>914.4463999999997</v>
      </c>
      <c r="E83" s="10">
        <f t="shared" ca="1" si="166"/>
        <v>734.86663372000021</v>
      </c>
      <c r="F83" s="10">
        <f t="shared" ca="1" si="166"/>
        <v>1222.06061</v>
      </c>
      <c r="G83" s="10">
        <f t="shared" ca="1" si="166"/>
        <v>1069.2660899636001</v>
      </c>
      <c r="H83" s="10">
        <f t="shared" ca="1" si="166"/>
        <v>497.48324997799989</v>
      </c>
      <c r="I83" s="10">
        <f t="shared" ca="1" si="166"/>
        <v>593.60269993200018</v>
      </c>
      <c r="K83" s="35">
        <f t="shared" ca="1" si="146"/>
        <v>179.57976627999949</v>
      </c>
      <c r="L83" s="35">
        <f t="shared" ca="1" si="147"/>
        <v>-307.6142100000003</v>
      </c>
      <c r="M83" s="35">
        <f t="shared" ca="1" si="148"/>
        <v>-154.81968996360035</v>
      </c>
      <c r="N83" s="35">
        <f t="shared" ca="1" si="149"/>
        <v>416.96315002199981</v>
      </c>
      <c r="O83" s="35">
        <f t="shared" ca="1" si="150"/>
        <v>320.84370006799952</v>
      </c>
      <c r="Q83" s="37">
        <f t="shared" ca="1" si="151"/>
        <v>0.24437055383905637</v>
      </c>
      <c r="R83" s="37">
        <f t="shared" ca="1" si="152"/>
        <v>-0.25171763780194201</v>
      </c>
      <c r="S83" s="37">
        <f t="shared" ca="1" si="153"/>
        <v>-0.14479061051012165</v>
      </c>
      <c r="T83" s="37">
        <f t="shared" ca="1" si="154"/>
        <v>0.83814510345913984</v>
      </c>
      <c r="U83" s="37">
        <f t="shared" ca="1" si="155"/>
        <v>0.54050242713645602</v>
      </c>
      <c r="W83" s="10">
        <f t="shared" ref="W83:AB83" ca="1" si="167">SUM(W63:W82)</f>
        <v>5055.5270599999994</v>
      </c>
      <c r="X83" s="10">
        <f t="shared" ca="1" si="167"/>
        <v>4325.8399011599995</v>
      </c>
      <c r="Y83" s="10">
        <f t="shared" ca="1" si="167"/>
        <v>4141.0806599999996</v>
      </c>
      <c r="Z83" s="10">
        <f t="shared" ca="1" si="167"/>
        <v>3168.5345300455992</v>
      </c>
      <c r="AA83" s="10">
        <f t="shared" ca="1" si="167"/>
        <v>2903.2701399856005</v>
      </c>
      <c r="AB83" s="10">
        <f t="shared" ca="1" si="167"/>
        <v>3199.4314899746005</v>
      </c>
      <c r="AD83" s="35">
        <f t="shared" ca="1" si="156"/>
        <v>729.68715883999994</v>
      </c>
      <c r="AE83" s="35">
        <f t="shared" ca="1" si="157"/>
        <v>914.44639999999981</v>
      </c>
      <c r="AF83" s="35">
        <f t="shared" ca="1" si="158"/>
        <v>1886.9925299544002</v>
      </c>
      <c r="AG83" s="35">
        <f t="shared" ca="1" si="159"/>
        <v>2152.2569200143989</v>
      </c>
      <c r="AH83" s="35">
        <f t="shared" ca="1" si="160"/>
        <v>1856.095570025399</v>
      </c>
      <c r="AJ83" s="37">
        <f t="shared" ca="1" si="161"/>
        <v>0.16868103663391021</v>
      </c>
      <c r="AK83" s="37">
        <f t="shared" ca="1" si="162"/>
        <v>0.2208231317088134</v>
      </c>
      <c r="AL83" s="37">
        <f t="shared" ca="1" si="163"/>
        <v>0.59554109701535873</v>
      </c>
      <c r="AM83" s="37">
        <f t="shared" ca="1" si="164"/>
        <v>0.74132161880915204</v>
      </c>
      <c r="AN83" s="37">
        <f t="shared" ca="1" si="165"/>
        <v>0.58013293169160307</v>
      </c>
    </row>
    <row r="86" spans="1:40" hidden="1" outlineLevel="1" x14ac:dyDescent="0.25">
      <c r="A86" s="11" t="s">
        <v>75</v>
      </c>
      <c r="C86" s="2" t="s">
        <v>78</v>
      </c>
      <c r="D86" s="8" cm="1">
        <f t="array" aca="1" ref="D86" ca="1">_xlfn.XLOOKUP(1,
 (INDIRECT("'"&amp;$C$6&amp;"'!$6:$6")=D$6)*
 (INDIRECT("'"&amp;$C$6&amp;"'!$5:$5")=D$5),
 INDIRECT("'"&amp;$C$6&amp;"'!"&amp;ROW()&amp;":"&amp;ROW())
)</f>
        <v>-5887.2054644342006</v>
      </c>
      <c r="E86" s="8" cm="1">
        <f t="array" aca="1" ref="E86" ca="1">_xlfn.XLOOKUP(1,
 (INDIRECT("'"&amp;$C$6&amp;"'!$6:$6")=E$6)*
 (INDIRECT("'"&amp;$C$6&amp;"'!$5:$5")=E$5),
 INDIRECT("'"&amp;$C$6&amp;"'!"&amp;ROW()&amp;":"&amp;ROW())
)</f>
        <v>-5189.8369057573</v>
      </c>
      <c r="F86" s="8" cm="1">
        <f t="array" aca="1" ref="F86" ca="1">_xlfn.XLOOKUP(1,
 (INDIRECT("'"&amp;$C$6&amp;"'!$6:$6")=F$6)*
 (INDIRECT("'"&amp;$C$6&amp;"'!$5:$5")=F$5),
 INDIRECT("'"&amp;$C$6&amp;"'!"&amp;ROW()&amp;":"&amp;ROW())
)</f>
        <v>-5070.3116497235005</v>
      </c>
      <c r="G86" s="8" cm="1">
        <f t="array" aca="1" ref="G86" ca="1">_xlfn.XLOOKUP(1,
 (INDIRECT("'"&amp;$C$6&amp;"'!$6:$6")=G$6)*
 (INDIRECT("'"&amp;$C$6&amp;"'!$5:$5")=G$5),
 INDIRECT("'"&amp;$C$6&amp;"'!"&amp;ROW()&amp;":"&amp;ROW())
)</f>
        <v>-5118.6389976617002</v>
      </c>
      <c r="H86" s="8" cm="1">
        <f t="array" aca="1" ref="H86" ca="1">_xlfn.XLOOKUP(1,
 (INDIRECT("'"&amp;$C$6&amp;"'!$6:$6")=H$6)*
 (INDIRECT("'"&amp;$C$6&amp;"'!$5:$5")=H$5),
 INDIRECT("'"&amp;$C$6&amp;"'!"&amp;ROW()&amp;":"&amp;ROW())
)</f>
        <v>-4658.4689754195006</v>
      </c>
      <c r="I86" s="8" cm="1">
        <f t="array" aca="1" ref="I86" ca="1">_xlfn.XLOOKUP(1,
 (INDIRECT("'"&amp;$C$6&amp;"'!$6:$6")=I$6)*
 (INDIRECT("'"&amp;$C$6&amp;"'!$5:$5")=I$5),
 INDIRECT("'"&amp;$C$6&amp;"'!"&amp;ROW()&amp;":"&amp;ROW())
)</f>
        <v>-4543.2276056738001</v>
      </c>
      <c r="K86" s="34">
        <f t="shared" ref="K86:K89" ca="1" si="168">$D86-E86</f>
        <v>-697.36855867690065</v>
      </c>
      <c r="L86" s="34">
        <f t="shared" ref="L86:L89" ca="1" si="169">$D86-F86</f>
        <v>-816.8938147107001</v>
      </c>
      <c r="M86" s="34">
        <f t="shared" ref="M86:M89" ca="1" si="170">$D86-G86</f>
        <v>-768.56646677250046</v>
      </c>
      <c r="N86" s="34">
        <f t="shared" ref="N86:N89" ca="1" si="171">$D86-H86</f>
        <v>-1228.7364890147001</v>
      </c>
      <c r="O86" s="34">
        <f t="shared" ref="O86:O89" ca="1" si="172">$D86-I86</f>
        <v>-1343.9778587604005</v>
      </c>
      <c r="Q86" s="36">
        <f t="shared" ref="Q86:Q89" ca="1" si="173">IFERROR($D86/E86-1,0)</f>
        <v>0.13437196030250598</v>
      </c>
      <c r="R86" s="36">
        <f t="shared" ref="R86:R89" ca="1" si="174">IFERROR($D86/F86-1,0)</f>
        <v>0.16111313685328343</v>
      </c>
      <c r="S86" s="36">
        <f t="shared" ref="S86:S89" ca="1" si="175">IFERROR($D86/G86-1,0)</f>
        <v>0.15015055117651332</v>
      </c>
      <c r="T86" s="36">
        <f t="shared" ref="T86:T89" ca="1" si="176">IFERROR($D86/H86-1,0)</f>
        <v>0.26376401678279948</v>
      </c>
      <c r="U86" s="36">
        <f t="shared" ref="U86:U89" ca="1" si="177">IFERROR($D86/I86-1,0)</f>
        <v>0.29582005908794362</v>
      </c>
      <c r="W86" s="8" cm="1">
        <f t="array" aca="1" ref="W86" ca="1">INDIRECT("'"&amp;$C$6&amp;"'!"&amp;ADDRESS(ROW(),COLUMN()+44))</f>
        <v>-26026.555585124297</v>
      </c>
      <c r="X86" s="8" cm="1">
        <f t="array" aca="1" ref="X86" ca="1">INDIRECT("'"&amp;$C$6&amp;"'!"&amp;ADDRESS(ROW(),COLUMN()+44))</f>
        <v>-25098.611969937199</v>
      </c>
      <c r="Y86" s="8" cm="1">
        <f t="array" aca="1" ref="Y86" ca="1">INDIRECT("'"&amp;$C$6&amp;"'!"&amp;ADDRESS(ROW(),COLUMN()+44))</f>
        <v>-20139.350120690098</v>
      </c>
      <c r="Z86" s="8" cm="1">
        <f t="array" aca="1" ref="Z86" ca="1">INDIRECT("'"&amp;$C$6&amp;"'!"&amp;ADDRESS(ROW(),COLUMN()+44))</f>
        <v>-24124.101172244598</v>
      </c>
      <c r="AA86" s="8" cm="1">
        <f t="array" aca="1" ref="AA86" ca="1">INDIRECT("'"&amp;$C$6&amp;"'!"&amp;ADDRESS(ROW(),COLUMN()+44))</f>
        <v>-21998.807428357097</v>
      </c>
      <c r="AB86" s="8" cm="1">
        <f t="array" aca="1" ref="AB86" ca="1">INDIRECT("'"&amp;$C$6&amp;"'!"&amp;ADDRESS(ROW(),COLUMN()+44))</f>
        <v>-24291.622166263802</v>
      </c>
      <c r="AD86" s="34">
        <f t="shared" ref="AD86:AH89" ca="1" si="178">$W86-X86</f>
        <v>-927.94361518709775</v>
      </c>
      <c r="AE86" s="34">
        <f t="shared" ca="1" si="178"/>
        <v>-5887.2054644341988</v>
      </c>
      <c r="AF86" s="34">
        <f t="shared" ca="1" si="178"/>
        <v>-1902.4544128796988</v>
      </c>
      <c r="AG86" s="34">
        <f t="shared" ca="1" si="178"/>
        <v>-4027.7481567672003</v>
      </c>
      <c r="AH86" s="34">
        <f t="shared" ca="1" si="178"/>
        <v>-1734.9334188604953</v>
      </c>
      <c r="AJ86" s="36">
        <f t="shared" ref="AJ86:AN89" ca="1" si="179">IFERROR($W86/X86-1,0)</f>
        <v>3.6971909693594984E-2</v>
      </c>
      <c r="AK86" s="36">
        <f t="shared" ca="1" si="179"/>
        <v>0.29232350741973523</v>
      </c>
      <c r="AL86" s="36">
        <f t="shared" ca="1" si="179"/>
        <v>7.8861152143919977E-2</v>
      </c>
      <c r="AM86" s="36">
        <f t="shared" ca="1" si="179"/>
        <v>0.1830893865444414</v>
      </c>
      <c r="AN86" s="36">
        <f t="shared" ca="1" si="179"/>
        <v>7.1421060602118613E-2</v>
      </c>
    </row>
    <row r="87" spans="1:40" hidden="1" outlineLevel="1" x14ac:dyDescent="0.25">
      <c r="A87" s="11" t="s">
        <v>75</v>
      </c>
      <c r="C87" s="2" t="s">
        <v>77</v>
      </c>
      <c r="D87" s="8" cm="1">
        <f t="array" aca="1" ref="D87" ca="1">_xlfn.XLOOKUP(1,
 (INDIRECT("'"&amp;$C$6&amp;"'!$6:$6")=D$6)*
 (INDIRECT("'"&amp;$C$6&amp;"'!$5:$5")=D$5),
 INDIRECT("'"&amp;$C$6&amp;"'!"&amp;ROW()&amp;":"&amp;ROW())
)</f>
        <v>-296.93512462699999</v>
      </c>
      <c r="E87" s="8" cm="1">
        <f t="array" aca="1" ref="E87" ca="1">_xlfn.XLOOKUP(1,
 (INDIRECT("'"&amp;$C$6&amp;"'!$6:$6")=E$6)*
 (INDIRECT("'"&amp;$C$6&amp;"'!$5:$5")=E$5),
 INDIRECT("'"&amp;$C$6&amp;"'!"&amp;ROW()&amp;":"&amp;ROW())
)</f>
        <v>-374.04955765649999</v>
      </c>
      <c r="F87" s="8" cm="1">
        <f t="array" aca="1" ref="F87" ca="1">_xlfn.XLOOKUP(1,
 (INDIRECT("'"&amp;$C$6&amp;"'!$6:$6")=F$6)*
 (INDIRECT("'"&amp;$C$6&amp;"'!$5:$5")=F$5),
 INDIRECT("'"&amp;$C$6&amp;"'!"&amp;ROW()&amp;":"&amp;ROW())
)</f>
        <v>-297.51288944700002</v>
      </c>
      <c r="G87" s="8" cm="1">
        <f t="array" aca="1" ref="G87" ca="1">_xlfn.XLOOKUP(1,
 (INDIRECT("'"&amp;$C$6&amp;"'!$6:$6")=G$6)*
 (INDIRECT("'"&amp;$C$6&amp;"'!$5:$5")=G$5),
 INDIRECT("'"&amp;$C$6&amp;"'!"&amp;ROW()&amp;":"&amp;ROW())
)</f>
        <v>-333.19079717299996</v>
      </c>
      <c r="H87" s="8" cm="1">
        <f t="array" aca="1" ref="H87" ca="1">_xlfn.XLOOKUP(1,
 (INDIRECT("'"&amp;$C$6&amp;"'!$6:$6")=H$6)*
 (INDIRECT("'"&amp;$C$6&amp;"'!$5:$5")=H$5),
 INDIRECT("'"&amp;$C$6&amp;"'!"&amp;ROW()&amp;":"&amp;ROW())
)</f>
        <v>-362.46590123100003</v>
      </c>
      <c r="I87" s="8" cm="1">
        <f t="array" aca="1" ref="I87" ca="1">_xlfn.XLOOKUP(1,
 (INDIRECT("'"&amp;$C$6&amp;"'!$6:$6")=I$6)*
 (INDIRECT("'"&amp;$C$6&amp;"'!$5:$5")=I$5),
 INDIRECT("'"&amp;$C$6&amp;"'!"&amp;ROW()&amp;":"&amp;ROW())
)</f>
        <v>-295.87896928570001</v>
      </c>
      <c r="K87" s="34">
        <f t="shared" ca="1" si="168"/>
        <v>77.114433029499992</v>
      </c>
      <c r="L87" s="34">
        <f t="shared" ca="1" si="169"/>
        <v>0.57776482000002716</v>
      </c>
      <c r="M87" s="34">
        <f t="shared" ca="1" si="170"/>
        <v>36.255672545999971</v>
      </c>
      <c r="N87" s="34">
        <f t="shared" ca="1" si="171"/>
        <v>65.530776604000039</v>
      </c>
      <c r="O87" s="34">
        <f t="shared" ca="1" si="172"/>
        <v>-1.0561553412999842</v>
      </c>
      <c r="Q87" s="36">
        <f t="shared" ca="1" si="173"/>
        <v>-0.20616100581066932</v>
      </c>
      <c r="R87" s="36">
        <f t="shared" ca="1" si="174"/>
        <v>-1.94198248376376E-3</v>
      </c>
      <c r="S87" s="36">
        <f t="shared" ca="1" si="175"/>
        <v>-0.10881354723364478</v>
      </c>
      <c r="T87" s="36">
        <f t="shared" ca="1" si="176"/>
        <v>-0.18079156241027261</v>
      </c>
      <c r="U87" s="36">
        <f t="shared" ca="1" si="177"/>
        <v>3.569551914587521E-3</v>
      </c>
      <c r="W87" s="8" cm="1">
        <f t="array" aca="1" ref="W87" ca="1">INDIRECT("'"&amp;$C$6&amp;"'!"&amp;ADDRESS(ROW(),COLUMN()+44))</f>
        <v>-1435.2992728503002</v>
      </c>
      <c r="X87" s="8" cm="1">
        <f t="array" aca="1" ref="X87" ca="1">INDIRECT("'"&amp;$C$6&amp;"'!"&amp;ADDRESS(ROW(),COLUMN()+44))</f>
        <v>-1838.6821667104</v>
      </c>
      <c r="Y87" s="8" cm="1">
        <f t="array" aca="1" ref="Y87" ca="1">INDIRECT("'"&amp;$C$6&amp;"'!"&amp;ADDRESS(ROW(),COLUMN()+44))</f>
        <v>-1138.3641482233002</v>
      </c>
      <c r="Z87" s="8" cm="1">
        <f t="array" aca="1" ref="Z87" ca="1">INDIRECT("'"&amp;$C$6&amp;"'!"&amp;ADDRESS(ROW(),COLUMN()+44))</f>
        <v>-1618.3422440147999</v>
      </c>
      <c r="AA87" s="8" cm="1">
        <f t="array" aca="1" ref="AA87" ca="1">INDIRECT("'"&amp;$C$6&amp;"'!"&amp;ADDRESS(ROW(),COLUMN()+44))</f>
        <v>-1850.4811792295</v>
      </c>
      <c r="AB87" s="8" cm="1">
        <f t="array" aca="1" ref="AB87" ca="1">INDIRECT("'"&amp;$C$6&amp;"'!"&amp;ADDRESS(ROW(),COLUMN()+44))</f>
        <v>-1431.5168089917001</v>
      </c>
      <c r="AD87" s="34">
        <f t="shared" ca="1" si="178"/>
        <v>403.38289386009978</v>
      </c>
      <c r="AE87" s="34">
        <f t="shared" ca="1" si="178"/>
        <v>-296.93512462700005</v>
      </c>
      <c r="AF87" s="34">
        <f t="shared" ca="1" si="178"/>
        <v>183.0429711644997</v>
      </c>
      <c r="AG87" s="34">
        <f t="shared" ca="1" si="178"/>
        <v>415.18190637919975</v>
      </c>
      <c r="AH87" s="34">
        <f t="shared" ca="1" si="178"/>
        <v>-3.7824638586000674</v>
      </c>
      <c r="AJ87" s="36">
        <f t="shared" ca="1" si="179"/>
        <v>-0.21938696157683146</v>
      </c>
      <c r="AK87" s="36">
        <f t="shared" ca="1" si="179"/>
        <v>0.26084370725346639</v>
      </c>
      <c r="AL87" s="36">
        <f t="shared" ca="1" si="179"/>
        <v>-0.11310522965179781</v>
      </c>
      <c r="AM87" s="36">
        <f t="shared" ca="1" si="179"/>
        <v>-0.22436429564340254</v>
      </c>
      <c r="AN87" s="36">
        <f t="shared" ca="1" si="179"/>
        <v>2.6422769434779614E-3</v>
      </c>
    </row>
    <row r="88" spans="1:40" hidden="1" outlineLevel="1" x14ac:dyDescent="0.25">
      <c r="A88" s="11" t="s">
        <v>75</v>
      </c>
      <c r="C88" s="2" t="s">
        <v>79</v>
      </c>
      <c r="D88" s="8" cm="1">
        <f t="array" aca="1" ref="D88" ca="1">_xlfn.XLOOKUP(1,
 (INDIRECT("'"&amp;$C$6&amp;"'!$6:$6")=D$6)*
 (INDIRECT("'"&amp;$C$6&amp;"'!$5:$5")=D$5),
 INDIRECT("'"&amp;$C$6&amp;"'!"&amp;ROW()&amp;":"&amp;ROW())
)</f>
        <v>-2296.5994761680995</v>
      </c>
      <c r="E88" s="8" cm="1">
        <f t="array" aca="1" ref="E88" ca="1">_xlfn.XLOOKUP(1,
 (INDIRECT("'"&amp;$C$6&amp;"'!$6:$6")=E$6)*
 (INDIRECT("'"&amp;$C$6&amp;"'!$5:$5")=E$5),
 INDIRECT("'"&amp;$C$6&amp;"'!"&amp;ROW()&amp;":"&amp;ROW())
)</f>
        <v>-2282.2780248229997</v>
      </c>
      <c r="F88" s="8" cm="1">
        <f t="array" aca="1" ref="F88" ca="1">_xlfn.XLOOKUP(1,
 (INDIRECT("'"&amp;$C$6&amp;"'!$6:$6")=F$6)*
 (INDIRECT("'"&amp;$C$6&amp;"'!$5:$5")=F$5),
 INDIRECT("'"&amp;$C$6&amp;"'!"&amp;ROW()&amp;":"&amp;ROW())
)</f>
        <v>-2533.4181528792001</v>
      </c>
      <c r="G88" s="8" cm="1">
        <f t="array" aca="1" ref="G88" ca="1">_xlfn.XLOOKUP(1,
 (INDIRECT("'"&amp;$C$6&amp;"'!$6:$6")=G$6)*
 (INDIRECT("'"&amp;$C$6&amp;"'!$5:$5")=G$5),
 INDIRECT("'"&amp;$C$6&amp;"'!"&amp;ROW()&amp;":"&amp;ROW())
)</f>
        <v>-2223.5883464040999</v>
      </c>
      <c r="H88" s="8" cm="1">
        <f t="array" aca="1" ref="H88" ca="1">_xlfn.XLOOKUP(1,
 (INDIRECT("'"&amp;$C$6&amp;"'!$6:$6")=H$6)*
 (INDIRECT("'"&amp;$C$6&amp;"'!$5:$5")=H$5),
 INDIRECT("'"&amp;$C$6&amp;"'!"&amp;ROW()&amp;":"&amp;ROW())
)</f>
        <v>-2085.0672102997996</v>
      </c>
      <c r="I88" s="8" cm="1">
        <f t="array" aca="1" ref="I88" ca="1">_xlfn.XLOOKUP(1,
 (INDIRECT("'"&amp;$C$6&amp;"'!$6:$6")=I$6)*
 (INDIRECT("'"&amp;$C$6&amp;"'!$5:$5")=I$5),
 INDIRECT("'"&amp;$C$6&amp;"'!"&amp;ROW()&amp;":"&amp;ROW())
)</f>
        <v>-1682.6984251561</v>
      </c>
      <c r="K88" s="34">
        <f t="shared" ca="1" si="168"/>
        <v>-14.321451345099831</v>
      </c>
      <c r="L88" s="34">
        <f t="shared" ca="1" si="169"/>
        <v>236.81867671110058</v>
      </c>
      <c r="M88" s="34">
        <f t="shared" ca="1" si="170"/>
        <v>-73.011129763999634</v>
      </c>
      <c r="N88" s="34">
        <f t="shared" ca="1" si="171"/>
        <v>-211.53226586829987</v>
      </c>
      <c r="O88" s="34">
        <f t="shared" ca="1" si="172"/>
        <v>-613.90105101199947</v>
      </c>
      <c r="Q88" s="36">
        <f t="shared" ca="1" si="173"/>
        <v>6.2750686767054642E-3</v>
      </c>
      <c r="R88" s="36">
        <f t="shared" ca="1" si="174"/>
        <v>-9.3477926824657387E-2</v>
      </c>
      <c r="S88" s="36">
        <f t="shared" ca="1" si="175"/>
        <v>3.2834822993235369E-2</v>
      </c>
      <c r="T88" s="36">
        <f t="shared" ca="1" si="176"/>
        <v>0.10145105386693265</v>
      </c>
      <c r="U88" s="36">
        <f t="shared" ca="1" si="177"/>
        <v>0.36483129824944682</v>
      </c>
      <c r="W88" s="8" cm="1">
        <f t="array" aca="1" ref="W88" ca="1">INDIRECT("'"&amp;$C$6&amp;"'!"&amp;ADDRESS(ROW(),COLUMN()+44))</f>
        <v>-12122.6862313812</v>
      </c>
      <c r="X88" s="8" cm="1">
        <f t="array" aca="1" ref="X88" ca="1">INDIRECT("'"&amp;$C$6&amp;"'!"&amp;ADDRESS(ROW(),COLUMN()+44))</f>
        <v>-11403.412681870699</v>
      </c>
      <c r="Y88" s="8" cm="1">
        <f t="array" aca="1" ref="Y88" ca="1">INDIRECT("'"&amp;$C$6&amp;"'!"&amp;ADDRESS(ROW(),COLUMN()+44))</f>
        <v>-9826.0867552131003</v>
      </c>
      <c r="Z88" s="8" cm="1">
        <f t="array" aca="1" ref="Z88" ca="1">INDIRECT("'"&amp;$C$6&amp;"'!"&amp;ADDRESS(ROW(),COLUMN()+44))</f>
        <v>-10593.2127680703</v>
      </c>
      <c r="AA88" s="8" cm="1">
        <f t="array" aca="1" ref="AA88" ca="1">INDIRECT("'"&amp;$C$6&amp;"'!"&amp;ADDRESS(ROW(),COLUMN()+44))</f>
        <v>-9313.2286215909007</v>
      </c>
      <c r="AB88" s="8" cm="1">
        <f t="array" aca="1" ref="AB88" ca="1">INDIRECT("'"&amp;$C$6&amp;"'!"&amp;ADDRESS(ROW(),COLUMN()+44))</f>
        <v>-8592.9520801621002</v>
      </c>
      <c r="AD88" s="34">
        <f t="shared" ca="1" si="178"/>
        <v>-719.27354951050074</v>
      </c>
      <c r="AE88" s="34">
        <f t="shared" ca="1" si="178"/>
        <v>-2296.5994761680995</v>
      </c>
      <c r="AF88" s="34">
        <f t="shared" ca="1" si="178"/>
        <v>-1529.4734633109001</v>
      </c>
      <c r="AG88" s="34">
        <f t="shared" ca="1" si="178"/>
        <v>-2809.4576097902991</v>
      </c>
      <c r="AH88" s="34">
        <f t="shared" ca="1" si="178"/>
        <v>-3529.7341512190997</v>
      </c>
      <c r="AJ88" s="36">
        <f t="shared" ca="1" si="179"/>
        <v>6.3075288913643446E-2</v>
      </c>
      <c r="AK88" s="36">
        <f t="shared" ca="1" si="179"/>
        <v>0.23372473023909235</v>
      </c>
      <c r="AL88" s="36">
        <f t="shared" ca="1" si="179"/>
        <v>0.14438239812580633</v>
      </c>
      <c r="AM88" s="36">
        <f t="shared" ca="1" si="179"/>
        <v>0.30166312070092638</v>
      </c>
      <c r="AN88" s="36">
        <f t="shared" ca="1" si="179"/>
        <v>0.41077084083454052</v>
      </c>
    </row>
    <row r="89" spans="1:40" collapsed="1" x14ac:dyDescent="0.25">
      <c r="C89" s="3" t="s">
        <v>75</v>
      </c>
      <c r="D89" s="10">
        <f ca="1">SUM(D86:D88)</f>
        <v>-8480.7400652292999</v>
      </c>
      <c r="E89" s="10">
        <f t="shared" ref="E89:I89" ca="1" si="180">SUM(E86:E88)</f>
        <v>-7846.1644882368</v>
      </c>
      <c r="F89" s="10">
        <f t="shared" ca="1" si="180"/>
        <v>-7901.2426920497001</v>
      </c>
      <c r="G89" s="10">
        <f t="shared" ca="1" si="180"/>
        <v>-7675.4181412387998</v>
      </c>
      <c r="H89" s="10">
        <f t="shared" ca="1" si="180"/>
        <v>-7106.0020869503005</v>
      </c>
      <c r="I89" s="10">
        <f t="shared" ca="1" si="180"/>
        <v>-6521.8050001155998</v>
      </c>
      <c r="K89" s="35">
        <f t="shared" ca="1" si="168"/>
        <v>-634.57557699249992</v>
      </c>
      <c r="L89" s="35">
        <f t="shared" ca="1" si="169"/>
        <v>-579.49737317959989</v>
      </c>
      <c r="M89" s="35">
        <f t="shared" ca="1" si="170"/>
        <v>-805.32192399050018</v>
      </c>
      <c r="N89" s="35">
        <f t="shared" ca="1" si="171"/>
        <v>-1374.7379782789994</v>
      </c>
      <c r="O89" s="35">
        <f t="shared" ca="1" si="172"/>
        <v>-1958.9350651137001</v>
      </c>
      <c r="Q89" s="37">
        <f t="shared" ca="1" si="173"/>
        <v>8.0877169723356346E-2</v>
      </c>
      <c r="R89" s="37">
        <f t="shared" ca="1" si="174"/>
        <v>7.334256088130231E-2</v>
      </c>
      <c r="S89" s="37">
        <f t="shared" ca="1" si="175"/>
        <v>0.10492222171762</v>
      </c>
      <c r="T89" s="37">
        <f t="shared" ca="1" si="176"/>
        <v>0.19346152188775934</v>
      </c>
      <c r="U89" s="37">
        <f t="shared" ca="1" si="177"/>
        <v>0.30036700960531282</v>
      </c>
      <c r="W89" s="10">
        <f ca="1">SUM(W86:W88)</f>
        <v>-39584.5410893558</v>
      </c>
      <c r="X89" s="10">
        <f t="shared" ref="X89:AB89" ca="1" si="181">SUM(X86:X88)</f>
        <v>-38340.706818518302</v>
      </c>
      <c r="Y89" s="10">
        <f t="shared" ca="1" si="181"/>
        <v>-31103.8010241265</v>
      </c>
      <c r="Z89" s="10">
        <f t="shared" ca="1" si="181"/>
        <v>-36335.656184329695</v>
      </c>
      <c r="AA89" s="10">
        <f t="shared" ca="1" si="181"/>
        <v>-33162.517229177494</v>
      </c>
      <c r="AB89" s="10">
        <f t="shared" ca="1" si="181"/>
        <v>-34316.091055417601</v>
      </c>
      <c r="AD89" s="35">
        <f t="shared" ca="1" si="178"/>
        <v>-1243.8342708374985</v>
      </c>
      <c r="AE89" s="35">
        <f t="shared" ca="1" si="178"/>
        <v>-8480.7400652292999</v>
      </c>
      <c r="AF89" s="35">
        <f t="shared" ca="1" si="178"/>
        <v>-3248.8849050261051</v>
      </c>
      <c r="AG89" s="35">
        <f t="shared" ca="1" si="178"/>
        <v>-6422.0238601783058</v>
      </c>
      <c r="AH89" s="35">
        <f t="shared" ca="1" si="178"/>
        <v>-5268.4500339381993</v>
      </c>
      <c r="AJ89" s="37">
        <f t="shared" ca="1" si="179"/>
        <v>3.2441610341850335E-2</v>
      </c>
      <c r="AK89" s="37">
        <f t="shared" ca="1" si="179"/>
        <v>0.27265928233822567</v>
      </c>
      <c r="AL89" s="37">
        <f t="shared" ca="1" si="179"/>
        <v>8.9413134265268424E-2</v>
      </c>
      <c r="AM89" s="37">
        <f t="shared" ca="1" si="179"/>
        <v>0.19365308778574852</v>
      </c>
      <c r="AN89" s="37">
        <f t="shared" ca="1" si="179"/>
        <v>0.15352710264785396</v>
      </c>
    </row>
    <row r="91" spans="1:40" hidden="1" outlineLevel="1" x14ac:dyDescent="0.25">
      <c r="A91" s="11" t="s">
        <v>80</v>
      </c>
      <c r="C91" s="2" t="s">
        <v>84</v>
      </c>
      <c r="D91" s="8" cm="1">
        <f t="array" aca="1" ref="D91" ca="1">_xlfn.XLOOKUP(1,
 (INDIRECT("'"&amp;$C$6&amp;"'!$6:$6")=D$6)*
 (INDIRECT("'"&amp;$C$6&amp;"'!$5:$5")=D$5),
 INDIRECT("'"&amp;$C$6&amp;"'!"&amp;ROW()&amp;":"&amp;ROW())
)</f>
        <v>-207.32067000000004</v>
      </c>
      <c r="E91" s="8" cm="1">
        <f t="array" aca="1" ref="E91" ca="1">_xlfn.XLOOKUP(1,
 (INDIRECT("'"&amp;$C$6&amp;"'!$6:$6")=E$6)*
 (INDIRECT("'"&amp;$C$6&amp;"'!$5:$5")=E$5),
 INDIRECT("'"&amp;$C$6&amp;"'!"&amp;ROW()&amp;":"&amp;ROW())
)</f>
        <v>0</v>
      </c>
      <c r="F91" s="8" cm="1">
        <f t="array" aca="1" ref="F91" ca="1">_xlfn.XLOOKUP(1,
 (INDIRECT("'"&amp;$C$6&amp;"'!$6:$6")=F$6)*
 (INDIRECT("'"&amp;$C$6&amp;"'!$5:$5")=F$5),
 INDIRECT("'"&amp;$C$6&amp;"'!"&amp;ROW()&amp;":"&amp;ROW())
)</f>
        <v>-216.74167000000006</v>
      </c>
      <c r="G91" s="8" cm="1">
        <f t="array" aca="1" ref="G91" ca="1">_xlfn.XLOOKUP(1,
 (INDIRECT("'"&amp;$C$6&amp;"'!$6:$6")=G$6)*
 (INDIRECT("'"&amp;$C$6&amp;"'!$5:$5")=G$5),
 INDIRECT("'"&amp;$C$6&amp;"'!"&amp;ROW()&amp;":"&amp;ROW())
)</f>
        <v>-221.46730000000002</v>
      </c>
      <c r="H91" s="8" cm="1">
        <f t="array" aca="1" ref="H91" ca="1">_xlfn.XLOOKUP(1,
 (INDIRECT("'"&amp;$C$6&amp;"'!$6:$6")=H$6)*
 (INDIRECT("'"&amp;$C$6&amp;"'!$5:$5")=H$5),
 INDIRECT("'"&amp;$C$6&amp;"'!"&amp;ROW()&amp;":"&amp;ROW())
)</f>
        <v>-248.79139000000004</v>
      </c>
      <c r="I91" s="8" cm="1">
        <f t="array" aca="1" ref="I91" ca="1">_xlfn.XLOOKUP(1,
 (INDIRECT("'"&amp;$C$6&amp;"'!$6:$6")=I$6)*
 (INDIRECT("'"&amp;$C$6&amp;"'!$5:$5")=I$5),
 INDIRECT("'"&amp;$C$6&amp;"'!"&amp;ROW()&amp;":"&amp;ROW())
)</f>
        <v>-257.16411999999997</v>
      </c>
      <c r="K91" s="34">
        <f t="shared" ref="K91:K93" ca="1" si="182">$D91-E91</f>
        <v>-207.32067000000004</v>
      </c>
      <c r="L91" s="34">
        <f t="shared" ref="L91:L93" ca="1" si="183">$D91-F91</f>
        <v>9.4210000000000207</v>
      </c>
      <c r="M91" s="34">
        <f t="shared" ref="M91:M93" ca="1" si="184">$D91-G91</f>
        <v>14.146629999999988</v>
      </c>
      <c r="N91" s="34">
        <f t="shared" ref="N91:N93" ca="1" si="185">$D91-H91</f>
        <v>41.47072</v>
      </c>
      <c r="O91" s="34">
        <f t="shared" ref="O91:O93" ca="1" si="186">$D91-I91</f>
        <v>49.843449999999933</v>
      </c>
      <c r="Q91" s="36">
        <f t="shared" ref="Q91:Q93" ca="1" si="187">IFERROR($D91/E91-1,0)</f>
        <v>0</v>
      </c>
      <c r="R91" s="36">
        <f t="shared" ref="R91:R93" ca="1" si="188">IFERROR($D91/F91-1,0)</f>
        <v>-4.3466491699542642E-2</v>
      </c>
      <c r="S91" s="36">
        <f t="shared" ref="S91:S93" ca="1" si="189">IFERROR($D91/G91-1,0)</f>
        <v>-6.3876834187259202E-2</v>
      </c>
      <c r="T91" s="36">
        <f t="shared" ref="T91:T93" ca="1" si="190">IFERROR($D91/H91-1,0)</f>
        <v>-0.16668872664765444</v>
      </c>
      <c r="U91" s="36">
        <f t="shared" ref="U91:U93" ca="1" si="191">IFERROR($D91/I91-1,0)</f>
        <v>-0.19381961216051424</v>
      </c>
      <c r="W91" s="8" cm="1">
        <f t="array" aca="1" ref="W91" ca="1">INDIRECT("'"&amp;$C$6&amp;"'!"&amp;ADDRESS(ROW(),COLUMN()+44))</f>
        <v>-995.31235000000015</v>
      </c>
      <c r="X91" s="8" cm="1">
        <f t="array" aca="1" ref="X91" ca="1">INDIRECT("'"&amp;$C$6&amp;"'!"&amp;ADDRESS(ROW(),COLUMN()+44))</f>
        <v>0</v>
      </c>
      <c r="Y91" s="8" cm="1">
        <f t="array" aca="1" ref="Y91" ca="1">INDIRECT("'"&amp;$C$6&amp;"'!"&amp;ADDRESS(ROW(),COLUMN()+44))</f>
        <v>-787.99168000000009</v>
      </c>
      <c r="Z91" s="8" cm="1">
        <f t="array" aca="1" ref="Z91" ca="1">INDIRECT("'"&amp;$C$6&amp;"'!"&amp;ADDRESS(ROW(),COLUMN()+44))</f>
        <v>-903.25847984845791</v>
      </c>
      <c r="AA91" s="8" cm="1">
        <f t="array" aca="1" ref="AA91" ca="1">INDIRECT("'"&amp;$C$6&amp;"'!"&amp;ADDRESS(ROW(),COLUMN()+44))</f>
        <v>-926.46860016666687</v>
      </c>
      <c r="AB91" s="8" cm="1">
        <f t="array" aca="1" ref="AB91" ca="1">INDIRECT("'"&amp;$C$6&amp;"'!"&amp;ADDRESS(ROW(),COLUMN()+44))</f>
        <v>-990.93732983333325</v>
      </c>
      <c r="AD91" s="34">
        <f t="shared" ref="AD91:AH93" ca="1" si="192">$W91-X91</f>
        <v>-995.31235000000015</v>
      </c>
      <c r="AE91" s="34">
        <f t="shared" ca="1" si="192"/>
        <v>-207.32067000000006</v>
      </c>
      <c r="AF91" s="34">
        <f t="shared" ca="1" si="192"/>
        <v>-92.053870151542242</v>
      </c>
      <c r="AG91" s="34">
        <f t="shared" ca="1" si="192"/>
        <v>-68.843749833333277</v>
      </c>
      <c r="AH91" s="34">
        <f t="shared" ca="1" si="192"/>
        <v>-4.3750201666669</v>
      </c>
      <c r="AJ91" s="36">
        <f t="shared" ref="AJ91:AN93" ca="1" si="193">IFERROR($W91/X91-1,0)</f>
        <v>0</v>
      </c>
      <c r="AK91" s="36">
        <f t="shared" ca="1" si="193"/>
        <v>0.26310007486373466</v>
      </c>
      <c r="AL91" s="36">
        <f t="shared" ca="1" si="193"/>
        <v>0.10191309819420269</v>
      </c>
      <c r="AM91" s="36">
        <f t="shared" ca="1" si="193"/>
        <v>7.430769895595879E-2</v>
      </c>
      <c r="AN91" s="36">
        <f t="shared" ca="1" si="193"/>
        <v>4.4150321467884002E-3</v>
      </c>
    </row>
    <row r="92" spans="1:40" hidden="1" outlineLevel="1" x14ac:dyDescent="0.25">
      <c r="A92" s="11" t="s">
        <v>80</v>
      </c>
      <c r="C92" s="2" t="s">
        <v>48</v>
      </c>
      <c r="D92" s="8" cm="1">
        <f t="array" aca="1" ref="D92" ca="1">_xlfn.XLOOKUP(1,
 (INDIRECT("'"&amp;$C$6&amp;"'!$6:$6")=D$6)*
 (INDIRECT("'"&amp;$C$6&amp;"'!$5:$5")=D$5),
 INDIRECT("'"&amp;$C$6&amp;"'!"&amp;ROW()&amp;":"&amp;ROW())
)</f>
        <v>-227.41403000000003</v>
      </c>
      <c r="E92" s="8" cm="1">
        <f t="array" aca="1" ref="E92" ca="1">_xlfn.XLOOKUP(1,
 (INDIRECT("'"&amp;$C$6&amp;"'!$6:$6")=E$6)*
 (INDIRECT("'"&amp;$C$6&amp;"'!$5:$5")=E$5),
 INDIRECT("'"&amp;$C$6&amp;"'!"&amp;ROW()&amp;":"&amp;ROW())
)</f>
        <v>-446.71209813453589</v>
      </c>
      <c r="F92" s="8" cm="1">
        <f t="array" aca="1" ref="F92" ca="1">_xlfn.XLOOKUP(1,
 (INDIRECT("'"&amp;$C$6&amp;"'!$6:$6")=F$6)*
 (INDIRECT("'"&amp;$C$6&amp;"'!$5:$5")=F$5),
 INDIRECT("'"&amp;$C$6&amp;"'!"&amp;ROW()&amp;":"&amp;ROW())
)</f>
        <v>-302.98367371280932</v>
      </c>
      <c r="G92" s="8" cm="1">
        <f t="array" aca="1" ref="G92" ca="1">_xlfn.XLOOKUP(1,
 (INDIRECT("'"&amp;$C$6&amp;"'!$6:$6")=G$6)*
 (INDIRECT("'"&amp;$C$6&amp;"'!$5:$5")=G$5),
 INDIRECT("'"&amp;$C$6&amp;"'!"&amp;ROW()&amp;":"&amp;ROW())
)</f>
        <v>-311.59607312052509</v>
      </c>
      <c r="H92" s="8" cm="1">
        <f t="array" aca="1" ref="H92" ca="1">_xlfn.XLOOKUP(1,
 (INDIRECT("'"&amp;$C$6&amp;"'!$6:$6")=H$6)*
 (INDIRECT("'"&amp;$C$6&amp;"'!$5:$5")=H$5),
 INDIRECT("'"&amp;$C$6&amp;"'!"&amp;ROW()&amp;":"&amp;ROW())
)</f>
        <v>-596.85921000000008</v>
      </c>
      <c r="I92" s="8" cm="1">
        <f t="array" aca="1" ref="I92" ca="1">_xlfn.XLOOKUP(1,
 (INDIRECT("'"&amp;$C$6&amp;"'!$6:$6")=I$6)*
 (INDIRECT("'"&amp;$C$6&amp;"'!$5:$5")=I$5),
 INDIRECT("'"&amp;$C$6&amp;"'!"&amp;ROW()&amp;":"&amp;ROW())
)</f>
        <v>-142.99597000000006</v>
      </c>
      <c r="K92" s="34">
        <f t="shared" ca="1" si="182"/>
        <v>219.29806813453587</v>
      </c>
      <c r="L92" s="34">
        <f t="shared" ca="1" si="183"/>
        <v>75.569643712809295</v>
      </c>
      <c r="M92" s="34">
        <f t="shared" ca="1" si="184"/>
        <v>84.182043120525066</v>
      </c>
      <c r="N92" s="34">
        <f t="shared" ca="1" si="185"/>
        <v>369.44518000000005</v>
      </c>
      <c r="O92" s="34">
        <f t="shared" ca="1" si="186"/>
        <v>-84.418059999999969</v>
      </c>
      <c r="Q92" s="36">
        <f t="shared" ca="1" si="187"/>
        <v>-0.49091589202603159</v>
      </c>
      <c r="R92" s="36">
        <f t="shared" ca="1" si="188"/>
        <v>-0.24941820391431346</v>
      </c>
      <c r="S92" s="36">
        <f t="shared" ca="1" si="189"/>
        <v>-0.27016400520542994</v>
      </c>
      <c r="T92" s="36">
        <f t="shared" ca="1" si="190"/>
        <v>-0.61898212142860287</v>
      </c>
      <c r="U92" s="36">
        <f t="shared" ca="1" si="191"/>
        <v>0.59035272112913351</v>
      </c>
      <c r="W92" s="8" cm="1">
        <f t="array" aca="1" ref="W92" ca="1">INDIRECT("'"&amp;$C$6&amp;"'!"&amp;ADDRESS(ROW(),COLUMN()+44))</f>
        <v>-1133.1584460748049</v>
      </c>
      <c r="X92" s="8" cm="1">
        <f t="array" aca="1" ref="X92" ca="1">INDIRECT("'"&amp;$C$6&amp;"'!"&amp;ADDRESS(ROW(),COLUMN()+44))</f>
        <v>-1564.0116864822703</v>
      </c>
      <c r="Y92" s="8" cm="1">
        <f t="array" aca="1" ref="Y92" ca="1">INDIRECT("'"&amp;$C$6&amp;"'!"&amp;ADDRESS(ROW(),COLUMN()+44))</f>
        <v>-905.74441607480503</v>
      </c>
      <c r="Z92" s="8" cm="1">
        <f t="array" aca="1" ref="Z92" ca="1">INDIRECT("'"&amp;$C$6&amp;"'!"&amp;ADDRESS(ROW(),COLUMN()+44))</f>
        <v>-1253.2679304580852</v>
      </c>
      <c r="AA92" s="8" cm="1">
        <f t="array" aca="1" ref="AA92" ca="1">INDIRECT("'"&amp;$C$6&amp;"'!"&amp;ADDRESS(ROW(),COLUMN()+44))</f>
        <v>-2627.2114200532005</v>
      </c>
      <c r="AB92" s="8" cm="1">
        <f t="array" aca="1" ref="AB92" ca="1">INDIRECT("'"&amp;$C$6&amp;"'!"&amp;ADDRESS(ROW(),COLUMN()+44))</f>
        <v>-819.50276001596353</v>
      </c>
      <c r="AD92" s="34">
        <f t="shared" ca="1" si="192"/>
        <v>430.85324040746536</v>
      </c>
      <c r="AE92" s="34">
        <f t="shared" ca="1" si="192"/>
        <v>-227.41402999999991</v>
      </c>
      <c r="AF92" s="34">
        <f t="shared" ca="1" si="192"/>
        <v>120.10948438328023</v>
      </c>
      <c r="AG92" s="34">
        <f t="shared" ca="1" si="192"/>
        <v>1494.0529739783956</v>
      </c>
      <c r="AH92" s="34">
        <f t="shared" ca="1" si="192"/>
        <v>-313.65568605884141</v>
      </c>
      <c r="AJ92" s="36">
        <f t="shared" ca="1" si="193"/>
        <v>-0.27547955308219463</v>
      </c>
      <c r="AK92" s="36">
        <f t="shared" ca="1" si="193"/>
        <v>0.25107969308332767</v>
      </c>
      <c r="AL92" s="36">
        <f t="shared" ca="1" si="193"/>
        <v>-9.5837036490177052E-2</v>
      </c>
      <c r="AM92" s="36">
        <f t="shared" ca="1" si="193"/>
        <v>-0.56868395233610136</v>
      </c>
      <c r="AN92" s="36">
        <f t="shared" ca="1" si="193"/>
        <v>0.38273902342041111</v>
      </c>
    </row>
    <row r="93" spans="1:40" collapsed="1" x14ac:dyDescent="0.25">
      <c r="C93" s="3" t="s">
        <v>80</v>
      </c>
      <c r="D93" s="10">
        <f ca="1">SUM(D91:D92)</f>
        <v>-434.73470000000009</v>
      </c>
      <c r="E93" s="10">
        <f t="shared" ref="E93:I93" ca="1" si="194">SUM(E91:E92)</f>
        <v>-446.71209813453589</v>
      </c>
      <c r="F93" s="10">
        <f t="shared" ca="1" si="194"/>
        <v>-519.72534371280938</v>
      </c>
      <c r="G93" s="10">
        <f t="shared" ca="1" si="194"/>
        <v>-533.06337312052506</v>
      </c>
      <c r="H93" s="10">
        <f t="shared" ca="1" si="194"/>
        <v>-845.65060000000017</v>
      </c>
      <c r="I93" s="10">
        <f t="shared" ca="1" si="194"/>
        <v>-400.16009000000003</v>
      </c>
      <c r="K93" s="35">
        <f t="shared" ca="1" si="182"/>
        <v>11.977398134535804</v>
      </c>
      <c r="L93" s="35">
        <f t="shared" ca="1" si="183"/>
        <v>84.990643712809288</v>
      </c>
      <c r="M93" s="35">
        <f t="shared" ca="1" si="184"/>
        <v>98.328673120524968</v>
      </c>
      <c r="N93" s="35">
        <f t="shared" ca="1" si="185"/>
        <v>410.91590000000008</v>
      </c>
      <c r="O93" s="35">
        <f t="shared" ca="1" si="186"/>
        <v>-34.574610000000064</v>
      </c>
      <c r="Q93" s="37">
        <f t="shared" ca="1" si="187"/>
        <v>-2.6812343306915731E-2</v>
      </c>
      <c r="R93" s="37">
        <f t="shared" ca="1" si="188"/>
        <v>-0.16352991967960206</v>
      </c>
      <c r="S93" s="37">
        <f t="shared" ca="1" si="189"/>
        <v>-0.1844596310283223</v>
      </c>
      <c r="T93" s="37">
        <f t="shared" ca="1" si="190"/>
        <v>-0.48591687867305955</v>
      </c>
      <c r="U93" s="37">
        <f t="shared" ca="1" si="191"/>
        <v>8.6401944781649975E-2</v>
      </c>
      <c r="W93" s="10">
        <f ca="1">SUM(W91:W92)</f>
        <v>-2128.4707960748051</v>
      </c>
      <c r="X93" s="10">
        <f t="shared" ref="X93:AB93" ca="1" si="195">SUM(X91:X92)</f>
        <v>-1564.0116864822703</v>
      </c>
      <c r="Y93" s="10">
        <f t="shared" ca="1" si="195"/>
        <v>-1693.7360960748051</v>
      </c>
      <c r="Z93" s="10">
        <f t="shared" ca="1" si="195"/>
        <v>-2156.5264103065429</v>
      </c>
      <c r="AA93" s="10">
        <f t="shared" ca="1" si="195"/>
        <v>-3553.6800202198674</v>
      </c>
      <c r="AB93" s="10">
        <f t="shared" ca="1" si="195"/>
        <v>-1810.4400898492968</v>
      </c>
      <c r="AD93" s="35">
        <f t="shared" ca="1" si="192"/>
        <v>-564.45910959253479</v>
      </c>
      <c r="AE93" s="35">
        <f t="shared" ca="1" si="192"/>
        <v>-434.73469999999998</v>
      </c>
      <c r="AF93" s="35">
        <f t="shared" ca="1" si="192"/>
        <v>28.055614231737763</v>
      </c>
      <c r="AG93" s="35">
        <f t="shared" ca="1" si="192"/>
        <v>1425.2092241450623</v>
      </c>
      <c r="AH93" s="35">
        <f t="shared" ca="1" si="192"/>
        <v>-318.03070622550831</v>
      </c>
      <c r="AJ93" s="37">
        <f t="shared" ca="1" si="193"/>
        <v>0.36090466233158391</v>
      </c>
      <c r="AK93" s="37">
        <f t="shared" ca="1" si="193"/>
        <v>0.25667204058972803</v>
      </c>
      <c r="AL93" s="37">
        <f t="shared" ca="1" si="193"/>
        <v>-1.3009631645433783E-2</v>
      </c>
      <c r="AM93" s="37">
        <f t="shared" ca="1" si="193"/>
        <v>-0.40105164675374572</v>
      </c>
      <c r="AN93" s="37">
        <f t="shared" ca="1" si="193"/>
        <v>0.17566486072012566</v>
      </c>
    </row>
    <row r="95" spans="1:40" hidden="1" outlineLevel="1" x14ac:dyDescent="0.25">
      <c r="A95" s="11" t="s">
        <v>81</v>
      </c>
      <c r="C95" s="2" t="s">
        <v>82</v>
      </c>
      <c r="D95" s="8" cm="1">
        <f t="array" aca="1" ref="D95" ca="1">_xlfn.XLOOKUP(1,
 (INDIRECT("'"&amp;$C$6&amp;"'!$6:$6")=D$6)*
 (INDIRECT("'"&amp;$C$6&amp;"'!$5:$5")=D$5),
 INDIRECT("'"&amp;$C$6&amp;"'!"&amp;ROW()&amp;":"&amp;ROW())
)</f>
        <v>0</v>
      </c>
      <c r="E95" s="8" cm="1">
        <f t="array" aca="1" ref="E95" ca="1">_xlfn.XLOOKUP(1,
 (INDIRECT("'"&amp;$C$6&amp;"'!$6:$6")=E$6)*
 (INDIRECT("'"&amp;$C$6&amp;"'!$5:$5")=E$5),
 INDIRECT("'"&amp;$C$6&amp;"'!"&amp;ROW()&amp;":"&amp;ROW())
)</f>
        <v>0</v>
      </c>
      <c r="F95" s="8" cm="1">
        <f t="array" aca="1" ref="F95" ca="1">_xlfn.XLOOKUP(1,
 (INDIRECT("'"&amp;$C$6&amp;"'!$6:$6")=F$6)*
 (INDIRECT("'"&amp;$C$6&amp;"'!$5:$5")=F$5),
 INDIRECT("'"&amp;$C$6&amp;"'!"&amp;ROW()&amp;":"&amp;ROW())
)</f>
        <v>0</v>
      </c>
      <c r="G95" s="8" cm="1">
        <f t="array" aca="1" ref="G95" ca="1">_xlfn.XLOOKUP(1,
 (INDIRECT("'"&amp;$C$6&amp;"'!$6:$6")=G$6)*
 (INDIRECT("'"&amp;$C$6&amp;"'!$5:$5")=G$5),
 INDIRECT("'"&amp;$C$6&amp;"'!"&amp;ROW()&amp;":"&amp;ROW())
)</f>
        <v>0</v>
      </c>
      <c r="H95" s="8" cm="1">
        <f t="array" aca="1" ref="H95" ca="1">_xlfn.XLOOKUP(1,
 (INDIRECT("'"&amp;$C$6&amp;"'!$6:$6")=H$6)*
 (INDIRECT("'"&amp;$C$6&amp;"'!$5:$5")=H$5),
 INDIRECT("'"&amp;$C$6&amp;"'!"&amp;ROW()&amp;":"&amp;ROW())
)</f>
        <v>0</v>
      </c>
      <c r="I95" s="8" cm="1">
        <f t="array" aca="1" ref="I95" ca="1">_xlfn.XLOOKUP(1,
 (INDIRECT("'"&amp;$C$6&amp;"'!$6:$6")=I$6)*
 (INDIRECT("'"&amp;$C$6&amp;"'!$5:$5")=I$5),
 INDIRECT("'"&amp;$C$6&amp;"'!"&amp;ROW()&amp;":"&amp;ROW())
)</f>
        <v>0</v>
      </c>
      <c r="K95" s="34">
        <f t="shared" ref="K95:K96" ca="1" si="196">$D95-E95</f>
        <v>0</v>
      </c>
      <c r="L95" s="34">
        <f t="shared" ref="L95:L96" ca="1" si="197">$D95-F95</f>
        <v>0</v>
      </c>
      <c r="M95" s="34">
        <f t="shared" ref="M95:M96" ca="1" si="198">$D95-G95</f>
        <v>0</v>
      </c>
      <c r="N95" s="34">
        <f t="shared" ref="N95:N96" ca="1" si="199">$D95-H95</f>
        <v>0</v>
      </c>
      <c r="O95" s="34">
        <f t="shared" ref="O95:O96" ca="1" si="200">$D95-I95</f>
        <v>0</v>
      </c>
      <c r="Q95" s="36">
        <f t="shared" ref="Q95:Q96" ca="1" si="201">IFERROR($D95/E95-1,0)</f>
        <v>0</v>
      </c>
      <c r="R95" s="36">
        <f t="shared" ref="R95:R96" ca="1" si="202">IFERROR($D95/F95-1,0)</f>
        <v>0</v>
      </c>
      <c r="S95" s="36">
        <f t="shared" ref="S95:S96" ca="1" si="203">IFERROR($D95/G95-1,0)</f>
        <v>0</v>
      </c>
      <c r="T95" s="36">
        <f t="shared" ref="T95:T96" ca="1" si="204">IFERROR($D95/H95-1,0)</f>
        <v>0</v>
      </c>
      <c r="U95" s="36">
        <f t="shared" ref="U95:U96" ca="1" si="205">IFERROR($D95/I95-1,0)</f>
        <v>0</v>
      </c>
      <c r="W95" s="8" cm="1">
        <f t="array" aca="1" ref="W95" ca="1">INDIRECT("'"&amp;$C$6&amp;"'!"&amp;ADDRESS(ROW(),COLUMN()+44))</f>
        <v>0</v>
      </c>
      <c r="X95" s="8" cm="1">
        <f t="array" aca="1" ref="X95" ca="1">INDIRECT("'"&amp;$C$6&amp;"'!"&amp;ADDRESS(ROW(),COLUMN()+44))</f>
        <v>0</v>
      </c>
      <c r="Y95" s="8" cm="1">
        <f t="array" aca="1" ref="Y95" ca="1">INDIRECT("'"&amp;$C$6&amp;"'!"&amp;ADDRESS(ROW(),COLUMN()+44))</f>
        <v>0</v>
      </c>
      <c r="Z95" s="8" cm="1">
        <f t="array" aca="1" ref="Z95" ca="1">INDIRECT("'"&amp;$C$6&amp;"'!"&amp;ADDRESS(ROW(),COLUMN()+44))</f>
        <v>683.18678903964656</v>
      </c>
      <c r="AA95" s="8" cm="1">
        <f t="array" aca="1" ref="AA95" ca="1">INDIRECT("'"&amp;$C$6&amp;"'!"&amp;ADDRESS(ROW(),COLUMN()+44))</f>
        <v>0</v>
      </c>
      <c r="AB95" s="8" cm="1">
        <f t="array" aca="1" ref="AB95" ca="1">INDIRECT("'"&amp;$C$6&amp;"'!"&amp;ADDRESS(ROW(),COLUMN()+44))</f>
        <v>0</v>
      </c>
      <c r="AD95" s="34">
        <f t="shared" ref="AD95:AH96" ca="1" si="206">$W95-X95</f>
        <v>0</v>
      </c>
      <c r="AE95" s="34">
        <f t="shared" ca="1" si="206"/>
        <v>0</v>
      </c>
      <c r="AF95" s="34">
        <f t="shared" ca="1" si="206"/>
        <v>-683.18678903964656</v>
      </c>
      <c r="AG95" s="34">
        <f t="shared" ca="1" si="206"/>
        <v>0</v>
      </c>
      <c r="AH95" s="34">
        <f t="shared" ca="1" si="206"/>
        <v>0</v>
      </c>
      <c r="AJ95" s="36">
        <f t="shared" ref="AJ95:AN96" ca="1" si="207">IFERROR($W95/X95-1,0)</f>
        <v>0</v>
      </c>
      <c r="AK95" s="36">
        <f t="shared" ca="1" si="207"/>
        <v>0</v>
      </c>
      <c r="AL95" s="36">
        <f t="shared" ca="1" si="207"/>
        <v>-1</v>
      </c>
      <c r="AM95" s="36">
        <f t="shared" ca="1" si="207"/>
        <v>0</v>
      </c>
      <c r="AN95" s="36">
        <f t="shared" ca="1" si="207"/>
        <v>0</v>
      </c>
    </row>
    <row r="96" spans="1:40" collapsed="1" x14ac:dyDescent="0.25">
      <c r="C96" s="3" t="s">
        <v>81</v>
      </c>
      <c r="D96" s="10">
        <f ca="1">SUM(D95:D95)</f>
        <v>0</v>
      </c>
      <c r="E96" s="10">
        <f t="shared" ref="E96:I96" ca="1" si="208">SUM(E95:E95)</f>
        <v>0</v>
      </c>
      <c r="F96" s="10">
        <f t="shared" ca="1" si="208"/>
        <v>0</v>
      </c>
      <c r="G96" s="10">
        <f t="shared" ca="1" si="208"/>
        <v>0</v>
      </c>
      <c r="H96" s="10">
        <f t="shared" ca="1" si="208"/>
        <v>0</v>
      </c>
      <c r="I96" s="10">
        <f t="shared" ca="1" si="208"/>
        <v>0</v>
      </c>
      <c r="K96" s="35">
        <f t="shared" ca="1" si="196"/>
        <v>0</v>
      </c>
      <c r="L96" s="35">
        <f t="shared" ca="1" si="197"/>
        <v>0</v>
      </c>
      <c r="M96" s="35">
        <f t="shared" ca="1" si="198"/>
        <v>0</v>
      </c>
      <c r="N96" s="35">
        <f t="shared" ca="1" si="199"/>
        <v>0</v>
      </c>
      <c r="O96" s="35">
        <f t="shared" ca="1" si="200"/>
        <v>0</v>
      </c>
      <c r="Q96" s="37">
        <f t="shared" ca="1" si="201"/>
        <v>0</v>
      </c>
      <c r="R96" s="37">
        <f t="shared" ca="1" si="202"/>
        <v>0</v>
      </c>
      <c r="S96" s="37">
        <f t="shared" ca="1" si="203"/>
        <v>0</v>
      </c>
      <c r="T96" s="37">
        <f t="shared" ca="1" si="204"/>
        <v>0</v>
      </c>
      <c r="U96" s="37">
        <f t="shared" ca="1" si="205"/>
        <v>0</v>
      </c>
      <c r="W96" s="10">
        <f ca="1">SUM(W95:W95)</f>
        <v>0</v>
      </c>
      <c r="X96" s="10">
        <f t="shared" ref="X96:AB96" ca="1" si="209">SUM(X95:X95)</f>
        <v>0</v>
      </c>
      <c r="Y96" s="10">
        <f t="shared" ca="1" si="209"/>
        <v>0</v>
      </c>
      <c r="Z96" s="10">
        <f t="shared" ca="1" si="209"/>
        <v>683.18678903964656</v>
      </c>
      <c r="AA96" s="10">
        <f t="shared" ca="1" si="209"/>
        <v>0</v>
      </c>
      <c r="AB96" s="10">
        <f t="shared" ca="1" si="209"/>
        <v>0</v>
      </c>
      <c r="AD96" s="35">
        <f t="shared" ca="1" si="206"/>
        <v>0</v>
      </c>
      <c r="AE96" s="35">
        <f t="shared" ca="1" si="206"/>
        <v>0</v>
      </c>
      <c r="AF96" s="35">
        <f t="shared" ca="1" si="206"/>
        <v>-683.18678903964656</v>
      </c>
      <c r="AG96" s="35">
        <f t="shared" ca="1" si="206"/>
        <v>0</v>
      </c>
      <c r="AH96" s="35">
        <f t="shared" ca="1" si="206"/>
        <v>0</v>
      </c>
      <c r="AJ96" s="37">
        <f t="shared" ca="1" si="207"/>
        <v>0</v>
      </c>
      <c r="AK96" s="37">
        <f t="shared" ca="1" si="207"/>
        <v>0</v>
      </c>
      <c r="AL96" s="37">
        <f t="shared" ca="1" si="207"/>
        <v>-1</v>
      </c>
      <c r="AM96" s="37">
        <f t="shared" ca="1" si="207"/>
        <v>0</v>
      </c>
      <c r="AN96" s="37">
        <f t="shared" ca="1" si="207"/>
        <v>0</v>
      </c>
    </row>
    <row r="98" spans="3:40" x14ac:dyDescent="0.25">
      <c r="C98" s="3" t="s">
        <v>83</v>
      </c>
      <c r="D98" s="10">
        <f t="shared" ref="D98:I98" ca="1" si="210">D60+D83+D89+D93+D96</f>
        <v>4624.902995386009</v>
      </c>
      <c r="E98" s="10">
        <f t="shared" ca="1" si="210"/>
        <v>7435.5955904180755</v>
      </c>
      <c r="F98" s="10">
        <f t="shared" ca="1" si="210"/>
        <v>5543.2615992451956</v>
      </c>
      <c r="G98" s="10">
        <f t="shared" ca="1" si="210"/>
        <v>5666.1699784358307</v>
      </c>
      <c r="H98" s="10">
        <f t="shared" ca="1" si="210"/>
        <v>3758.1008137991275</v>
      </c>
      <c r="I98" s="10">
        <f t="shared" ca="1" si="210"/>
        <v>6922.917851349499</v>
      </c>
      <c r="K98" s="35">
        <f t="shared" ref="K98" ca="1" si="211">$D98-E98</f>
        <v>-2810.6925950320665</v>
      </c>
      <c r="L98" s="35">
        <f t="shared" ref="L98" ca="1" si="212">$D98-F98</f>
        <v>-918.35860385918659</v>
      </c>
      <c r="M98" s="35">
        <f t="shared" ref="M98" ca="1" si="213">$D98-G98</f>
        <v>-1041.2669830498216</v>
      </c>
      <c r="N98" s="35">
        <f t="shared" ref="N98" ca="1" si="214">$D98-H98</f>
        <v>866.80218158688149</v>
      </c>
      <c r="O98" s="35">
        <f t="shared" ref="O98" ca="1" si="215">$D98-I98</f>
        <v>-2298.0148559634899</v>
      </c>
      <c r="Q98" s="37">
        <f t="shared" ref="Q98" ca="1" si="216">IFERROR($D98/E98-1,0)</f>
        <v>-0.37800503817798836</v>
      </c>
      <c r="R98" s="37">
        <f t="shared" ref="R98" ca="1" si="217">IFERROR($D98/F98-1,0)</f>
        <v>-0.16567116442497243</v>
      </c>
      <c r="S98" s="37">
        <f t="shared" ref="S98" ca="1" si="218">IFERROR($D98/G98-1,0)</f>
        <v>-0.18376910452962936</v>
      </c>
      <c r="T98" s="37">
        <f t="shared" ref="T98" ca="1" si="219">IFERROR($D98/H98-1,0)</f>
        <v>0.23064899653679505</v>
      </c>
      <c r="U98" s="37">
        <f t="shared" ref="U98" ca="1" si="220">IFERROR($D98/I98-1,0)</f>
        <v>-0.33194310626053913</v>
      </c>
      <c r="W98" s="10">
        <f t="shared" ref="W98:AB98" ca="1" si="221">W60+W83+W89+W93+W96</f>
        <v>30689.950236172182</v>
      </c>
      <c r="X98" s="10">
        <f t="shared" ca="1" si="221"/>
        <v>36825.52169786748</v>
      </c>
      <c r="Y98" s="10">
        <f t="shared" ca="1" si="221"/>
        <v>26065.047240786196</v>
      </c>
      <c r="Z98" s="10">
        <f t="shared" ca="1" si="221"/>
        <v>31175.228308859711</v>
      </c>
      <c r="AA98" s="10">
        <f t="shared" ca="1" si="221"/>
        <v>15773.013000548566</v>
      </c>
      <c r="AB98" s="10">
        <f t="shared" ca="1" si="221"/>
        <v>41860.856702418692</v>
      </c>
      <c r="AD98" s="35">
        <f ca="1">$W98-X98</f>
        <v>-6135.5714616952973</v>
      </c>
      <c r="AE98" s="35">
        <f ca="1">$W98-Y98</f>
        <v>4624.9029953859863</v>
      </c>
      <c r="AF98" s="35">
        <f ca="1">$W98-Z98</f>
        <v>-485.27807268752804</v>
      </c>
      <c r="AG98" s="35">
        <f ca="1">$W98-AA98</f>
        <v>14916.937235623616</v>
      </c>
      <c r="AH98" s="35">
        <f ca="1">$W98-AB98</f>
        <v>-11170.90646624651</v>
      </c>
      <c r="AJ98" s="37">
        <f ca="1">IFERROR($W98/X98-1,0)</f>
        <v>-0.1666119359294943</v>
      </c>
      <c r="AK98" s="37">
        <f ca="1">IFERROR($W98/Y98-1,0)</f>
        <v>0.17743696961918443</v>
      </c>
      <c r="AL98" s="37">
        <f ca="1">IFERROR($W98/Z98-1,0)</f>
        <v>-1.5566143345600358E-2</v>
      </c>
      <c r="AM98" s="37">
        <f ca="1">IFERROR($W98/AA98-1,0)</f>
        <v>0.94572528629151731</v>
      </c>
      <c r="AN98" s="37">
        <f ca="1">IFERROR($W98/AB98-1,0)</f>
        <v>-0.26685804702131344</v>
      </c>
    </row>
    <row r="102" spans="3:40" s="48" customFormat="1" x14ac:dyDescent="0.25">
      <c r="C102" s="46" t="s">
        <v>110</v>
      </c>
      <c r="D102" s="47" cm="1">
        <f t="array" aca="1" ref="D102" ca="1">_xlfn.XLOOKUP(1,
 (INDIRECT("'"&amp;$C$6&amp;"'!$6:$6")=D$6)*
 (INDIRECT("'"&amp;$C$6&amp;"'!$5:$5")=D$5),
 INDIRECT("'"&amp;$C$6&amp;"'!"&amp;ROW()&amp;":"&amp;ROW())
)</f>
        <v>5702269.847506471</v>
      </c>
      <c r="E102" s="47" cm="1">
        <f t="array" aca="1" ref="E102" ca="1">_xlfn.XLOOKUP(1,
 (INDIRECT("'"&amp;$C$6&amp;"'!$6:$6")=E$6)*
 (INDIRECT("'"&amp;$C$6&amp;"'!$5:$5")=E$5),
 INDIRECT("'"&amp;$C$6&amp;"'!"&amp;ROW()&amp;":"&amp;ROW())
)</f>
        <v>6032743.9861387853</v>
      </c>
      <c r="F102" s="47" cm="1">
        <f t="array" aca="1" ref="F102" ca="1">_xlfn.XLOOKUP(1,
 (INDIRECT("'"&amp;$C$6&amp;"'!$6:$6")=F$6)*
 (INDIRECT("'"&amp;$C$6&amp;"'!$5:$5")=F$5),
 INDIRECT("'"&amp;$C$6&amp;"'!"&amp;ROW()&amp;":"&amp;ROW())
)</f>
        <v>5684672.0008901004</v>
      </c>
      <c r="G102" s="47" cm="1">
        <f t="array" aca="1" ref="G102" ca="1">_xlfn.XLOOKUP(1,
 (INDIRECT("'"&amp;$C$6&amp;"'!$6:$6")=G$6)*
 (INDIRECT("'"&amp;$C$6&amp;"'!$5:$5")=G$5),
 INDIRECT("'"&amp;$C$6&amp;"'!"&amp;ROW()&amp;":"&amp;ROW())
)</f>
        <v>5757635.794794051</v>
      </c>
      <c r="H102" s="47" cm="1">
        <f t="array" aca="1" ref="H102" ca="1">_xlfn.XLOOKUP(1,
 (INDIRECT("'"&amp;$C$6&amp;"'!$6:$6")=H$6)*
 (INDIRECT("'"&amp;$C$6&amp;"'!$5:$5")=H$5),
 INDIRECT("'"&amp;$C$6&amp;"'!"&amp;ROW()&amp;":"&amp;ROW())
)</f>
        <v>5727513.5959274098</v>
      </c>
      <c r="I102" s="47" cm="1">
        <f t="array" aca="1" ref="I102" ca="1">_xlfn.XLOOKUP(1,
 (INDIRECT("'"&amp;$C$6&amp;"'!$6:$6")=I$6)*
 (INDIRECT("'"&amp;$C$6&amp;"'!$5:$5")=I$5),
 INDIRECT("'"&amp;$C$6&amp;"'!"&amp;ROW()&amp;":"&amp;ROW())
)</f>
        <v>5006463.0029549999</v>
      </c>
      <c r="W102" s="47" cm="1">
        <f t="array" aca="1" ref="W102" ca="1">INDIRECT("'"&amp;$C$6&amp;"'!"&amp;ADDRESS(ROW(),COLUMN()+44))</f>
        <v>5694660.8529579071</v>
      </c>
      <c r="X102" s="47" cm="1">
        <f t="array" aca="1" ref="X102" ca="1">INDIRECT("'"&amp;$C$6&amp;"'!"&amp;ADDRESS(ROW(),COLUMN()+44))</f>
        <v>5995110.682299817</v>
      </c>
      <c r="Y102" s="47" cm="1">
        <f t="array" aca="1" ref="Y102" ca="1">INDIRECT("'"&amp;$C$6&amp;"'!"&amp;ADDRESS(ROW(),COLUMN()+44))</f>
        <v>5691839.5929029398</v>
      </c>
      <c r="Z102" s="47" cm="1">
        <f t="array" aca="1" ref="Z102" ca="1">INDIRECT("'"&amp;$C$6&amp;"'!"&amp;ADDRESS(ROW(),COLUMN()+44))</f>
        <v>5761990.6009131158</v>
      </c>
      <c r="AA102" s="47" cm="1">
        <f t="array" aca="1" ref="AA102" ca="1">INDIRECT("'"&amp;$C$6&amp;"'!"&amp;ADDRESS(ROW(),COLUMN()+44))</f>
        <v>5566568.9012466529</v>
      </c>
      <c r="AB102" s="47" cm="1">
        <f t="array" aca="1" ref="AB102" ca="1">INDIRECT("'"&amp;$C$6&amp;"'!"&amp;ADDRESS(ROW(),COLUMN()+44))</f>
        <v>4915170.5886736959</v>
      </c>
    </row>
  </sheetData>
  <mergeCells count="6">
    <mergeCell ref="Q5:U5"/>
    <mergeCell ref="D1:U1"/>
    <mergeCell ref="W1:AN1"/>
    <mergeCell ref="AD5:AH5"/>
    <mergeCell ref="AJ5:AN5"/>
    <mergeCell ref="K5:O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ADF1F9-AAF1-4D33-A45A-BF0E1851906F}">
          <x14:formula1>
            <xm:f>Parametros!$C$6:$C$17</xm:f>
          </x14:formula1>
          <xm:sqref>B1</xm:sqref>
        </x14:dataValidation>
        <x14:dataValidation type="list" allowBlank="1" showInputMessage="1" showErrorMessage="1" xr:uid="{701C0967-4EBA-4540-93DA-39CE0B78DFDC}">
          <x14:formula1>
            <xm:f>Parametros!$F$6:$F$9</xm:f>
          </x14:formula1>
          <xm:sqref>C6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43CB-D986-45DD-B457-A054C33120EB}">
  <sheetPr codeName="Hoja4"/>
  <dimension ref="B1:AA19"/>
  <sheetViews>
    <sheetView showGridLines="0" zoomScale="80" zoomScaleNormal="80" workbookViewId="0">
      <pane xSplit="2" ySplit="3" topLeftCell="C4" activePane="bottomRight" state="frozen"/>
      <selection activeCell="AO57" sqref="AO57"/>
      <selection pane="topRight" activeCell="AO57" sqref="AO57"/>
      <selection pane="bottomLeft" activeCell="AO57" sqref="AO57"/>
      <selection pane="bottomRight" activeCell="AO57" sqref="AO57"/>
    </sheetView>
  </sheetViews>
  <sheetFormatPr baseColWidth="10" defaultRowHeight="15" x14ac:dyDescent="0.25"/>
  <cols>
    <col min="1" max="1" width="3.7109375" customWidth="1"/>
    <col min="2" max="2" width="28.140625" bestFit="1" customWidth="1"/>
    <col min="9" max="9" width="1.7109375" customWidth="1"/>
    <col min="10" max="10" width="11.28515625" bestFit="1" customWidth="1"/>
    <col min="15" max="15" width="3.42578125" customWidth="1"/>
    <col min="22" max="22" width="1.85546875" customWidth="1"/>
    <col min="23" max="23" width="11.28515625" bestFit="1" customWidth="1"/>
  </cols>
  <sheetData>
    <row r="1" spans="2:27" x14ac:dyDescent="0.25">
      <c r="C1" s="59" t="s">
        <v>94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P1" s="59" t="s">
        <v>89</v>
      </c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2:27" ht="15.75" thickBot="1" x14ac:dyDescent="0.3">
      <c r="J2" s="57" t="s">
        <v>101</v>
      </c>
      <c r="K2" s="57"/>
      <c r="L2" s="57"/>
      <c r="M2" s="57"/>
      <c r="N2" s="57"/>
      <c r="W2" s="57" t="s">
        <v>101</v>
      </c>
      <c r="X2" s="57"/>
      <c r="Y2" s="57"/>
      <c r="Z2" s="57"/>
      <c r="AA2" s="57"/>
    </row>
    <row r="3" spans="2:27" ht="16.5" thickTop="1" thickBot="1" x14ac:dyDescent="0.3">
      <c r="B3" s="45" t="str">
        <f>Desempeño_Financiero!C6</f>
        <v>Total_Producto</v>
      </c>
      <c r="C3" s="1">
        <f>Desempeño_Financiero!D6</f>
        <v>46173</v>
      </c>
      <c r="D3" s="30">
        <f>Desempeño_Financiero!E6</f>
        <v>46173</v>
      </c>
      <c r="E3" s="1">
        <f>Desempeño_Financiero!F6</f>
        <v>46142</v>
      </c>
      <c r="F3" s="1">
        <f>Desempeño_Financiero!G6</f>
        <v>45808</v>
      </c>
      <c r="G3" s="1">
        <f>Desempeño_Financiero!H6</f>
        <v>45443</v>
      </c>
      <c r="H3" s="1">
        <f>Desempeño_Financiero!I6</f>
        <v>45077</v>
      </c>
      <c r="J3" s="32">
        <f>D3</f>
        <v>46173</v>
      </c>
      <c r="K3" s="33">
        <f>E3</f>
        <v>46142</v>
      </c>
      <c r="L3" s="33">
        <f t="shared" ref="L3:N3" si="0">F3</f>
        <v>45808</v>
      </c>
      <c r="M3" s="33">
        <f t="shared" si="0"/>
        <v>45443</v>
      </c>
      <c r="N3" s="33">
        <f t="shared" si="0"/>
        <v>45077</v>
      </c>
      <c r="P3" s="1">
        <f>C3</f>
        <v>46173</v>
      </c>
      <c r="Q3" s="1">
        <f t="shared" ref="Q3:U3" si="1">D3</f>
        <v>46173</v>
      </c>
      <c r="R3" s="1">
        <f t="shared" si="1"/>
        <v>46142</v>
      </c>
      <c r="S3" s="1">
        <f t="shared" si="1"/>
        <v>45808</v>
      </c>
      <c r="T3" s="1">
        <f t="shared" si="1"/>
        <v>45443</v>
      </c>
      <c r="U3" s="1">
        <f t="shared" si="1"/>
        <v>45077</v>
      </c>
      <c r="W3" s="32">
        <f>Q3</f>
        <v>46173</v>
      </c>
      <c r="X3" s="33">
        <f>R3</f>
        <v>46142</v>
      </c>
      <c r="Y3" s="33">
        <f t="shared" ref="Y3" si="2">S3</f>
        <v>45808</v>
      </c>
      <c r="Z3" s="33">
        <f t="shared" ref="Z3" si="3">T3</f>
        <v>45443</v>
      </c>
      <c r="AA3" s="33">
        <f t="shared" ref="AA3" si="4">U3</f>
        <v>45077</v>
      </c>
    </row>
    <row r="4" spans="2:27" ht="15.75" thickTop="1" x14ac:dyDescent="0.25"/>
    <row r="5" spans="2:27" x14ac:dyDescent="0.25">
      <c r="B5" s="3" t="s">
        <v>104</v>
      </c>
      <c r="C5" s="49">
        <f ca="1">IFERROR((-Desempeño_Financiero!D89)/(Desempeño_Financiero!D53+Desempeño_Financiero!D83+Desempeño_Financiero!D96),0)</f>
        <v>0.35704555932143672</v>
      </c>
      <c r="D5" s="49">
        <f ca="1">IFERROR((-Desempeño_Financiero!E89)/(Desempeño_Financiero!E53+Desempeño_Financiero!E83+Desempeño_Financiero!E96),0)</f>
        <v>0.30955178577454812</v>
      </c>
      <c r="E5" s="49">
        <f ca="1">IFERROR((-Desempeño_Financiero!F89)/(Desempeño_Financiero!F53+Desempeño_Financiero!F83+Desempeño_Financiero!F96),0)</f>
        <v>0.31832431805103589</v>
      </c>
      <c r="F5" s="49">
        <f ca="1">IFERROR((-Desempeño_Financiero!G89)/(Desempeño_Financiero!G53+Desempeño_Financiero!G83+Desempeño_Financiero!G96),0)</f>
        <v>0.33389329380513938</v>
      </c>
      <c r="G5" s="49">
        <f ca="1">IFERROR((-Desempeño_Financiero!H89)/(Desempeño_Financiero!H53+Desempeño_Financiero!H83+Desempeño_Financiero!H96),0)</f>
        <v>0.37270813782743079</v>
      </c>
      <c r="H5" s="49">
        <f ca="1">IFERROR((-Desempeño_Financiero!I89)/(Desempeño_Financiero!I53+Desempeño_Financiero!I83+Desempeño_Financiero!I96),0)</f>
        <v>0.34603563165630774</v>
      </c>
      <c r="J5" s="50">
        <f ca="1">IFERROR(($C5-D5)*10000,0)</f>
        <v>474.93773546888605</v>
      </c>
      <c r="K5" s="50">
        <f t="shared" ref="K5:N5" ca="1" si="5">IFERROR(($C5-E5)*10000,0)</f>
        <v>387.21241270400833</v>
      </c>
      <c r="L5" s="50">
        <f t="shared" ca="1" si="5"/>
        <v>231.52265516297342</v>
      </c>
      <c r="M5" s="50">
        <f t="shared" ca="1" si="5"/>
        <v>-156.62578505994063</v>
      </c>
      <c r="N5" s="50">
        <f t="shared" ca="1" si="5"/>
        <v>110.09927665128983</v>
      </c>
      <c r="P5" s="49">
        <f ca="1">IFERROR((-Desempeño_Financiero!W89)/(Desempeño_Financiero!W53+Desempeño_Financiero!W83+Desempeño_Financiero!W96),0)</f>
        <v>0.32534163734209376</v>
      </c>
      <c r="Q5" s="49">
        <f ca="1">IFERROR((-Desempeño_Financiero!X89)/(Desempeño_Financiero!X53+Desempeño_Financiero!X83+Desempeño_Financiero!X96),0)</f>
        <v>0.29690114960716141</v>
      </c>
      <c r="R5" s="49">
        <f ca="1">IFERROR((-Desempeño_Financiero!Y89)/(Desempeño_Financiero!Y53+Desempeño_Financiero!Y83+Desempeño_Financiero!Y96),0)</f>
        <v>0.31765104259531746</v>
      </c>
      <c r="S5" s="49">
        <f ca="1">IFERROR((-Desempeño_Financiero!Z89)/(Desempeño_Financiero!Z53+Desempeño_Financiero!Z83+Desempeño_Financiero!Z96),0)</f>
        <v>0.32274798192836179</v>
      </c>
      <c r="T5" s="49">
        <f ca="1">IFERROR((-Desempeño_Financiero!AA89)/(Desempeño_Financiero!AA53+Desempeño_Financiero!AA83+Desempeño_Financiero!AA96),0)</f>
        <v>0.34611657208424301</v>
      </c>
      <c r="U5" s="49">
        <f ca="1">IFERROR((-Desempeño_Financiero!AB89)/(Desempeño_Financiero!AB53+Desempeño_Financiero!AB83+Desempeño_Financiero!AB96),0)</f>
        <v>0.33173329207809776</v>
      </c>
      <c r="W5" s="50">
        <f ca="1">IFERROR(($P5-Q5)*10000,0)</f>
        <v>284.4048773493235</v>
      </c>
      <c r="X5" s="50">
        <f ca="1">IFERROR(($P5-R5)*10000,0)</f>
        <v>76.905947467763028</v>
      </c>
      <c r="Y5" s="50">
        <f ca="1">IFERROR(($P5-S5)*10000,0)</f>
        <v>25.936554137319657</v>
      </c>
      <c r="Z5" s="50">
        <f ca="1">IFERROR(($P5-T5)*10000,0)</f>
        <v>-207.74934742149253</v>
      </c>
      <c r="AA5" s="50">
        <f ca="1">IFERROR(($P5-U5)*10000,0)</f>
        <v>-63.916547360040042</v>
      </c>
    </row>
    <row r="7" spans="2:27" x14ac:dyDescent="0.25">
      <c r="B7" s="3" t="s">
        <v>105</v>
      </c>
      <c r="C7" s="49">
        <f ca="1">Desempeño_Financiero!D23</f>
        <v>0.11137810889782074</v>
      </c>
      <c r="D7" s="49">
        <f ca="1">Desempeño_Financiero!E23</f>
        <v>0.11189033146697924</v>
      </c>
      <c r="E7" s="49">
        <f ca="1">Desempeño_Financiero!F23</f>
        <v>0.11159997234887631</v>
      </c>
      <c r="F7" s="49">
        <f ca="1">Desempeño_Financiero!G23</f>
        <v>0.11731989596549397</v>
      </c>
      <c r="G7" s="49">
        <f ca="1">Desempeño_Financiero!H23</f>
        <v>0.11725893724675163</v>
      </c>
      <c r="H7" s="49">
        <f ca="1">Desempeño_Financiero!I23</f>
        <v>0.11807423959690211</v>
      </c>
      <c r="J7" s="50">
        <f ca="1">IFERROR(($C7-D7)*10000,0)</f>
        <v>-5.1222256915850473</v>
      </c>
      <c r="K7" s="50">
        <f t="shared" ref="K7" ca="1" si="6">IFERROR(($C7-E7)*10000,0)</f>
        <v>-2.2186345105557059</v>
      </c>
      <c r="L7" s="50">
        <f t="shared" ref="L7" ca="1" si="7">IFERROR(($C7-F7)*10000,0)</f>
        <v>-59.417870676732321</v>
      </c>
      <c r="M7" s="50">
        <f t="shared" ref="M7" ca="1" si="8">IFERROR(($C7-G7)*10000,0)</f>
        <v>-58.808283489308891</v>
      </c>
      <c r="N7" s="50">
        <f t="shared" ref="N7" ca="1" si="9">IFERROR(($C7-H7)*10000,0)</f>
        <v>-66.961306990813711</v>
      </c>
      <c r="P7" s="49">
        <f ca="1">Desempeño_Financiero!W23</f>
        <v>0.11195056290401917</v>
      </c>
      <c r="Q7" s="49">
        <f ca="1">Desempeño_Financiero!X23</f>
        <v>0.11256650679778146</v>
      </c>
      <c r="R7" s="49">
        <f ca="1">Desempeño_Financiero!Y23</f>
        <v>0.11209415533323352</v>
      </c>
      <c r="S7" s="49">
        <f ca="1">Desempeño_Financiero!Z23</f>
        <v>0.11661895173165804</v>
      </c>
      <c r="T7" s="49">
        <f ca="1">Desempeño_Financiero!AA23</f>
        <v>0.11759279875473028</v>
      </c>
      <c r="U7" s="49">
        <f ca="1">Desempeño_Financiero!AB23</f>
        <v>0.11847174226152402</v>
      </c>
      <c r="W7" s="50">
        <f ca="1">IFERROR(($P7-Q7)*10000,0)</f>
        <v>-6.1594389376229408</v>
      </c>
      <c r="X7" s="50">
        <f ca="1">IFERROR(($P7-R7)*10000,0)</f>
        <v>-1.4359242921435644</v>
      </c>
      <c r="Y7" s="50">
        <f ca="1">IFERROR(($P7-S7)*10000,0)</f>
        <v>-46.6838882763887</v>
      </c>
      <c r="Z7" s="50">
        <f ca="1">IFERROR(($P7-T7)*10000,0)</f>
        <v>-56.422358507111085</v>
      </c>
      <c r="AA7" s="50">
        <f ca="1">IFERROR(($P7-U7)*10000,0)</f>
        <v>-65.211793575048475</v>
      </c>
    </row>
    <row r="9" spans="2:27" x14ac:dyDescent="0.25">
      <c r="B9" s="3" t="s">
        <v>106</v>
      </c>
      <c r="C9" s="49">
        <f ca="1">IFERROR((Desempeño_Financiero!D83)/(Desempeño_Financiero!D53+Desempeño_Financiero!D83+Desempeño_Financiero!D96),0)</f>
        <v>3.8498883805684281E-2</v>
      </c>
      <c r="D9" s="49">
        <f ca="1">IFERROR((Desempeño_Financiero!E83)/(Desempeño_Financiero!E53+Desempeño_Financiero!E83+Desempeño_Financiero!E96),0)</f>
        <v>2.899241777497788E-2</v>
      </c>
      <c r="E9" s="49">
        <f ca="1">IFERROR((Desempeño_Financiero!F83)/(Desempeño_Financiero!F53+Desempeño_Financiero!F83+Desempeño_Financiero!F96),0)</f>
        <v>4.9234231304742714E-2</v>
      </c>
      <c r="F9" s="49">
        <f ca="1">IFERROR((Desempeño_Financiero!G83)/(Desempeño_Financiero!G53+Desempeño_Financiero!G83+Desempeño_Financiero!G96),0)</f>
        <v>4.6514830874668976E-2</v>
      </c>
      <c r="G9" s="49">
        <f ca="1">IFERROR((Desempeño_Financiero!H83)/(Desempeño_Financiero!H53+Desempeño_Financiero!H83+Desempeño_Financiero!H96),0)</f>
        <v>2.6092879432183511E-2</v>
      </c>
      <c r="H9" s="49">
        <f ca="1">IFERROR((Desempeño_Financiero!I83)/(Desempeño_Financiero!I53+Desempeño_Financiero!I83+Desempeño_Financiero!I96),0)</f>
        <v>3.1495526962277851E-2</v>
      </c>
      <c r="J9" s="50">
        <f ca="1">IFERROR(($C9-D9)*10000,0)</f>
        <v>95.064660307064003</v>
      </c>
      <c r="K9" s="50">
        <f t="shared" ref="K9" ca="1" si="10">IFERROR(($C9-E9)*10000,0)</f>
        <v>-107.35347499058433</v>
      </c>
      <c r="L9" s="50">
        <f t="shared" ref="L9" ca="1" si="11">IFERROR(($C9-F9)*10000,0)</f>
        <v>-80.159470689846955</v>
      </c>
      <c r="M9" s="50">
        <f t="shared" ref="M9" ca="1" si="12">IFERROR(($C9-G9)*10000,0)</f>
        <v>124.0600437350077</v>
      </c>
      <c r="N9" s="50">
        <f t="shared" ref="N9" ca="1" si="13">IFERROR(($C9-H9)*10000,0)</f>
        <v>70.033568434064307</v>
      </c>
      <c r="P9" s="49">
        <f ca="1">IFERROR((Desempeño_Financiero!W83)/(Desempeño_Financiero!W53+Desempeño_Financiero!W83+Desempeño_Financiero!W96),0)</f>
        <v>4.155090361196425E-2</v>
      </c>
      <c r="Q9" s="49">
        <f ca="1">IFERROR((Desempeño_Financiero!X83)/(Desempeño_Financiero!X53+Desempeño_Financiero!X83+Desempeño_Financiero!X96),0)</f>
        <v>3.3498256715773493E-2</v>
      </c>
      <c r="R9" s="49">
        <f ca="1">IFERROR((Desempeño_Financiero!Y83)/(Desempeño_Financiero!Y53+Desempeño_Financiero!Y83+Desempeño_Financiero!Y96),0)</f>
        <v>4.2291248844472912E-2</v>
      </c>
      <c r="S9" s="49">
        <f ca="1">IFERROR((Desempeño_Financiero!Z83)/(Desempeño_Financiero!Z53+Desempeño_Financiero!Z83+Desempeño_Financiero!Z96),0)</f>
        <v>2.8144204140823408E-2</v>
      </c>
      <c r="T9" s="49">
        <f ca="1">IFERROR((Desempeño_Financiero!AA83)/(Desempeño_Financiero!AA53+Desempeño_Financiero!AA83+Desempeño_Financiero!AA96),0)</f>
        <v>3.0301376151332632E-2</v>
      </c>
      <c r="U9" s="49">
        <f ca="1">IFERROR((Desempeño_Financiero!AB83)/(Desempeño_Financiero!AB53+Desempeño_Financiero!AB83+Desempeño_Financiero!AB96),0)</f>
        <v>3.092887063487516E-2</v>
      </c>
      <c r="W9" s="50">
        <f ca="1">IFERROR(($P9-Q9)*10000,0)</f>
        <v>80.526468961907568</v>
      </c>
      <c r="X9" s="50">
        <f ca="1">IFERROR(($P9-R9)*10000,0)</f>
        <v>-7.4034523250866151</v>
      </c>
      <c r="Y9" s="50">
        <f ca="1">IFERROR(($P9-S9)*10000,0)</f>
        <v>134.06699471140843</v>
      </c>
      <c r="Z9" s="50">
        <f ca="1">IFERROR(($P9-T9)*10000,0)</f>
        <v>112.49527460631619</v>
      </c>
      <c r="AA9" s="50">
        <f ca="1">IFERROR(($P9-U9)*10000,0)</f>
        <v>106.2203297708909</v>
      </c>
    </row>
    <row r="11" spans="2:27" x14ac:dyDescent="0.25">
      <c r="B11" s="3" t="s">
        <v>107</v>
      </c>
      <c r="C11" s="49">
        <f ca="1">IFERROR((Desempeño_Financiero!D83/-Desempeño_Financiero!D89),0)</f>
        <v>0.10782625018177291</v>
      </c>
      <c r="D11" s="49">
        <f ca="1">IFERROR((Desempeño_Financiero!E83/-Desempeño_Financiero!E89),0)</f>
        <v>9.3659345890815038E-2</v>
      </c>
      <c r="E11" s="49">
        <f ca="1">IFERROR((Desempeño_Financiero!F83/-Desempeño_Financiero!F89),0)</f>
        <v>0.15466688692269231</v>
      </c>
      <c r="F11" s="49">
        <f ca="1">IFERROR((Desempeño_Financiero!G83/-Desempeño_Financiero!G89),0)</f>
        <v>0.13931046755858206</v>
      </c>
      <c r="G11" s="49">
        <f ca="1">IFERROR((Desempeño_Financiero!H83/-Desempeño_Financiero!H89),0)</f>
        <v>7.000888036489529E-2</v>
      </c>
      <c r="H11" s="49">
        <f ca="1">IFERROR((Desempeño_Financiero!I83/-Desempeño_Financiero!I89),0)</f>
        <v>9.1018161371196851E-2</v>
      </c>
      <c r="J11" s="50">
        <f ca="1">IFERROR(($C11-D11)*10000,0)</f>
        <v>141.66904290957876</v>
      </c>
      <c r="K11" s="50">
        <f t="shared" ref="K11" ca="1" si="14">IFERROR(($C11-E11)*10000,0)</f>
        <v>-468.40636740919399</v>
      </c>
      <c r="L11" s="50">
        <f t="shared" ref="L11" ca="1" si="15">IFERROR(($C11-F11)*10000,0)</f>
        <v>-314.84217376809147</v>
      </c>
      <c r="M11" s="50">
        <f t="shared" ref="M11" ca="1" si="16">IFERROR(($C11-G11)*10000,0)</f>
        <v>378.17369816877624</v>
      </c>
      <c r="N11" s="50">
        <f t="shared" ref="N11" ca="1" si="17">IFERROR(($C11-H11)*10000,0)</f>
        <v>168.08088810576064</v>
      </c>
      <c r="P11" s="49">
        <f ca="1">IFERROR((Desempeño_Financiero!W83/-Desempeño_Financiero!W89),0)</f>
        <v>0.12771468156187415</v>
      </c>
      <c r="Q11" s="49">
        <f ca="1">IFERROR((Desempeño_Financiero!X83/-Desempeño_Financiero!X89),0)</f>
        <v>0.11282629508203662</v>
      </c>
      <c r="R11" s="49">
        <f ca="1">IFERROR((Desempeño_Financiero!Y83/-Desempeño_Financiero!Y89),0)</f>
        <v>0.13313744698880561</v>
      </c>
      <c r="S11" s="49">
        <f ca="1">IFERROR((Desempeño_Financiero!Z83/-Desempeño_Financiero!Z89),0)</f>
        <v>8.7201797429272185E-2</v>
      </c>
      <c r="T11" s="49">
        <f ca="1">IFERROR((Desempeño_Financiero!AA83/-Desempeño_Financiero!AA89),0)</f>
        <v>8.75467359706701E-2</v>
      </c>
      <c r="U11" s="49">
        <f ca="1">IFERROR((Desempeño_Financiero!AB83/-Desempeño_Financiero!AB89),0)</f>
        <v>9.3234147351100902E-2</v>
      </c>
      <c r="W11" s="50">
        <f ca="1">IFERROR(($P11-Q11)*10000,0)</f>
        <v>148.88386479837536</v>
      </c>
      <c r="X11" s="50">
        <f ca="1">IFERROR(($P11-R11)*10000,0)</f>
        <v>-54.227654269314584</v>
      </c>
      <c r="Y11" s="50">
        <f ca="1">IFERROR(($P11-S11)*10000,0)</f>
        <v>405.12884132601971</v>
      </c>
      <c r="Z11" s="50">
        <f ca="1">IFERROR(($P11-T11)*10000,0)</f>
        <v>401.67945591204057</v>
      </c>
      <c r="AA11" s="50">
        <f ca="1">IFERROR(($P11-U11)*10000,0)</f>
        <v>344.80534210773254</v>
      </c>
    </row>
    <row r="13" spans="2:27" x14ac:dyDescent="0.25">
      <c r="B13" s="3" t="s">
        <v>108</v>
      </c>
      <c r="C13" s="49">
        <f ca="1">IFERROR(-Desempeño_Financiero!D89/Desempeño_Financiero!D17*12,0)</f>
        <v>1.7945841519128172E-2</v>
      </c>
      <c r="D13" s="49">
        <f ca="1">IFERROR(-Desempeño_Financiero!E89/Desempeño_Financiero!E17*12,0)</f>
        <v>1.569604930910673E-2</v>
      </c>
      <c r="E13" s="49">
        <f ca="1">IFERROR(-Desempeño_Financiero!F89/Desempeño_Financiero!F17*12,0)</f>
        <v>1.6779953054662018E-2</v>
      </c>
      <c r="F13" s="49">
        <f ca="1">IFERROR(-Desempeño_Financiero!G89/Desempeño_Financiero!G17*12,0)</f>
        <v>1.6096774719848023E-2</v>
      </c>
      <c r="G13" s="49">
        <f ca="1">IFERROR(-Desempeño_Financiero!H89/Desempeño_Financiero!H17*12,0)</f>
        <v>1.4950939858287823E-2</v>
      </c>
      <c r="H13" s="49">
        <f ca="1">IFERROR(-Desempeño_Financiero!I89/Desempeño_Financiero!I17*12,0)</f>
        <v>1.5686100655993063E-2</v>
      </c>
      <c r="J13" s="50">
        <f ca="1">IFERROR(($C13-D13)*10000,0)</f>
        <v>22.497922100214417</v>
      </c>
      <c r="K13" s="50">
        <f t="shared" ref="K13" ca="1" si="18">IFERROR(($C13-E13)*10000,0)</f>
        <v>11.658884644661534</v>
      </c>
      <c r="L13" s="50">
        <f t="shared" ref="L13" ca="1" si="19">IFERROR(($C13-F13)*10000,0)</f>
        <v>18.490667992801487</v>
      </c>
      <c r="M13" s="50">
        <f t="shared" ref="M13" ca="1" si="20">IFERROR(($C13-G13)*10000,0)</f>
        <v>29.94901660840349</v>
      </c>
      <c r="N13" s="50">
        <f t="shared" ref="N13" ca="1" si="21">IFERROR(($C13-H13)*10000,0)</f>
        <v>22.597408631351083</v>
      </c>
      <c r="P13" s="49">
        <f ca="1">IFERROR(-Desempeño_Financiero!W89/Desempeño_Financiero!W17*12,0)</f>
        <v>8.3967950952075043E-2</v>
      </c>
      <c r="Q13" s="49">
        <f ca="1">IFERROR(-Desempeño_Financiero!X89/Desempeño_Financiero!X17*12,0)</f>
        <v>7.73269991192784E-2</v>
      </c>
      <c r="R13" s="49">
        <f ca="1">IFERROR(-Desempeño_Financiero!Y89/Desempeño_Financiero!Y17*12,0)</f>
        <v>6.601859466152786E-2</v>
      </c>
      <c r="S13" s="49">
        <f ca="1">IFERROR(-Desempeño_Financiero!Z89/Desempeño_Financiero!Z17*12,0)</f>
        <v>7.6154834381021233E-2</v>
      </c>
      <c r="T13" s="49">
        <f ca="1">IFERROR(-Desempeño_Financiero!AA89/Desempeño_Financiero!AA17*12,0)</f>
        <v>7.1709392978812736E-2</v>
      </c>
      <c r="U13" s="49">
        <f ca="1">IFERROR(-Desempeño_Financiero!AB89/Desempeño_Financiero!AB17*12,0)</f>
        <v>8.4517137076183635E-2</v>
      </c>
      <c r="W13" s="50">
        <f ca="1">IFERROR(($P13-Q13)*10000,0)</f>
        <v>66.409518327966438</v>
      </c>
      <c r="X13" s="50">
        <f ca="1">IFERROR(($P13-R13)*10000,0)</f>
        <v>179.49356290547183</v>
      </c>
      <c r="Y13" s="50">
        <f ca="1">IFERROR(($P13-S13)*10000,0)</f>
        <v>78.131165710538099</v>
      </c>
      <c r="Z13" s="50">
        <f ca="1">IFERROR(($P13-T13)*10000,0)</f>
        <v>122.58557973262307</v>
      </c>
      <c r="AA13" s="50">
        <f ca="1">IFERROR(($P13-U13)*10000,0)</f>
        <v>-5.4918612410859158</v>
      </c>
    </row>
    <row r="15" spans="2:27" x14ac:dyDescent="0.25">
      <c r="B15" s="3" t="s">
        <v>109</v>
      </c>
      <c r="C15" s="49">
        <f ca="1">IFERROR(-Desempeño_Financiero!D56/Desempeño_Financiero!D102,0)*12</f>
        <v>2.5823179480779647E-2</v>
      </c>
      <c r="D15" s="49">
        <f ca="1">IFERROR(-Desempeño_Financiero!E56/Desempeño_Financiero!E102,0)*12</f>
        <v>2.3792893261075271E-2</v>
      </c>
      <c r="E15" s="49">
        <f ca="1">IFERROR(-Desempeño_Financiero!F56/Desempeño_Financiero!F102,0)*12</f>
        <v>2.7568948586635857E-2</v>
      </c>
      <c r="F15" s="49">
        <f ca="1">IFERROR(-Desempeño_Financiero!G56/Desempeño_Financiero!G102,0)*12</f>
        <v>2.4200760539311861E-2</v>
      </c>
      <c r="G15" s="49">
        <f ca="1">IFERROR(-Desempeño_Financiero!H56/Desempeño_Financiero!H102,0)*12</f>
        <v>2.0650088244735458E-2</v>
      </c>
      <c r="H15" s="49">
        <f ca="1">IFERROR(-Desempeño_Financiero!I56/Desempeño_Financiero!I102,0)*12</f>
        <v>2.0249491745395049E-2</v>
      </c>
      <c r="J15" s="50">
        <f ca="1">IFERROR(($C15-D15)*10000,0)</f>
        <v>20.302862197043755</v>
      </c>
      <c r="K15" s="50">
        <f t="shared" ref="K15" ca="1" si="22">IFERROR(($C15-E15)*10000,0)</f>
        <v>-17.457691058562105</v>
      </c>
      <c r="L15" s="50">
        <f t="shared" ref="L15" ca="1" si="23">IFERROR(($C15-F15)*10000,0)</f>
        <v>16.224189414677863</v>
      </c>
      <c r="M15" s="50">
        <f t="shared" ref="M15" ca="1" si="24">IFERROR(($C15-G15)*10000,0)</f>
        <v>51.730912360441891</v>
      </c>
      <c r="N15" s="50">
        <f t="shared" ref="N15" ca="1" si="25">IFERROR(($C15-H15)*10000,0)</f>
        <v>55.736877353845976</v>
      </c>
      <c r="P15" s="49">
        <f ca="1">IFERROR(-Desempeño_Financiero!W56/Desempeño_Financiero!W102,0)*12</f>
        <v>0.12774831630130173</v>
      </c>
      <c r="Q15" s="49">
        <f ca="1">IFERROR(-Desempeño_Financiero!X56/Desempeño_Financiero!X102,0)*12</f>
        <v>0.12728352402916143</v>
      </c>
      <c r="R15" s="49">
        <f ca="1">IFERROR(-Desempeño_Financiero!Y56/Desempeño_Financiero!Y102,0)*12</f>
        <v>0.10194113672419584</v>
      </c>
      <c r="S15" s="49">
        <f ca="1">IFERROR(-Desempeño_Financiero!Z56/Desempeño_Financiero!Z102,0)*12</f>
        <v>0.11599765545397314</v>
      </c>
      <c r="T15" s="49">
        <f ca="1">IFERROR(-Desempeño_Financiero!AA56/Desempeño_Financiero!AA102,0)*12</f>
        <v>0.1222409918459976</v>
      </c>
      <c r="U15" s="49">
        <f ca="1">IFERROR(-Desempeño_Financiero!AB56/Desempeño_Financiero!AB102,0)*12</f>
        <v>9.5083874922017433E-2</v>
      </c>
      <c r="W15" s="50">
        <f ca="1">IFERROR(($P15-Q15)*10000,0)</f>
        <v>4.6479227214030194</v>
      </c>
      <c r="X15" s="50">
        <f ca="1">IFERROR(($P15-R15)*10000,0)</f>
        <v>258.07179577105893</v>
      </c>
      <c r="Y15" s="50">
        <f ca="1">IFERROR(($P15-S15)*10000,0)</f>
        <v>117.50660847328592</v>
      </c>
      <c r="Z15" s="50">
        <f ca="1">IFERROR(($P15-T15)*10000,0)</f>
        <v>55.073244553041356</v>
      </c>
      <c r="AA15" s="50">
        <f ca="1">IFERROR(($P15-U15)*10000,0)</f>
        <v>326.64441379284301</v>
      </c>
    </row>
    <row r="17" spans="2:21" x14ac:dyDescent="0.25">
      <c r="B17" s="3" t="s">
        <v>111</v>
      </c>
      <c r="C17" s="49"/>
      <c r="D17" s="49"/>
      <c r="E17" s="49"/>
      <c r="F17" s="49"/>
      <c r="G17" s="49"/>
      <c r="H17" s="49"/>
      <c r="P17" s="49"/>
      <c r="Q17" s="49"/>
      <c r="R17" s="49"/>
      <c r="S17" s="49"/>
      <c r="T17" s="49"/>
      <c r="U17" s="49"/>
    </row>
    <row r="19" spans="2:21" x14ac:dyDescent="0.25">
      <c r="B19" s="3" t="s">
        <v>112</v>
      </c>
      <c r="C19" s="49"/>
      <c r="D19" s="49"/>
      <c r="E19" s="49"/>
      <c r="F19" s="49"/>
      <c r="G19" s="49"/>
      <c r="H19" s="49"/>
      <c r="P19" s="49"/>
      <c r="Q19" s="49"/>
      <c r="R19" s="49"/>
      <c r="S19" s="49"/>
      <c r="T19" s="49"/>
      <c r="U19" s="49"/>
    </row>
  </sheetData>
  <mergeCells count="4">
    <mergeCell ref="J2:N2"/>
    <mergeCell ref="C1:N1"/>
    <mergeCell ref="P1:AA1"/>
    <mergeCell ref="W2:A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52D1-A054-4BAB-BE46-229707E2CF57}">
  <sheetPr codeName="Hoja5">
    <tabColor theme="7" tint="0.79998168889431442"/>
  </sheetPr>
  <dimension ref="A1"/>
  <sheetViews>
    <sheetView workbookViewId="0">
      <selection activeCell="AO57" sqref="AO57"/>
    </sheetView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B39E-65F7-428B-BC73-896E4F5C030C}">
  <sheetPr codeName="Hoja6"/>
  <dimension ref="A1:CC102"/>
  <sheetViews>
    <sheetView showGridLines="0" tabSelected="1" zoomScale="80" zoomScaleNormal="80" workbookViewId="0">
      <pane xSplit="3" ySplit="6" topLeftCell="D7" activePane="bottomRight" state="frozen"/>
      <selection activeCell="AO57" sqref="AO57"/>
      <selection pane="topRight" activeCell="AO57" sqref="AO57"/>
      <selection pane="bottomLeft" activeCell="AO57" sqref="AO57"/>
      <selection pane="bottomRight" activeCell="L14" sqref="L14"/>
    </sheetView>
  </sheetViews>
  <sheetFormatPr baseColWidth="10" defaultRowHeight="15" outlineLevelRow="1" outlineLevelCol="1" x14ac:dyDescent="0.25"/>
  <cols>
    <col min="1" max="1" width="7.140625" customWidth="1"/>
    <col min="2" max="2" width="6.28515625" customWidth="1"/>
    <col min="3" max="3" width="22.85546875" bestFit="1" customWidth="1"/>
    <col min="4" max="14" width="11.28515625" customWidth="1" outlineLevel="1"/>
    <col min="15" max="15" width="11.28515625" bestFit="1" customWidth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42" width="11.28515625" bestFit="1" customWidth="1"/>
    <col min="43" max="45" width="12.28515625" bestFit="1" customWidth="1"/>
    <col min="46" max="51" width="10.5703125" customWidth="1"/>
    <col min="52" max="63" width="12.28515625" bestFit="1" customWidth="1"/>
  </cols>
  <sheetData>
    <row r="1" spans="1:81" ht="15.75" x14ac:dyDescent="0.25">
      <c r="D1" s="55" t="s">
        <v>92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6" t="s">
        <v>93</v>
      </c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O1" s="54" t="s">
        <v>89</v>
      </c>
      <c r="BP1" s="54"/>
      <c r="BQ1" s="54"/>
      <c r="BR1" s="54"/>
      <c r="BS1" s="54"/>
      <c r="BT1" s="54"/>
      <c r="BW1" s="54" t="s">
        <v>90</v>
      </c>
      <c r="BX1" s="54"/>
      <c r="BY1" s="54"/>
      <c r="BZ1" s="54"/>
      <c r="CA1" s="54"/>
      <c r="CB1" s="54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5">
        <f t="shared" ref="BO2:BT2" si="0">DATE(YEAR(BO6),1,1)</f>
        <v>46023</v>
      </c>
      <c r="BP2" s="25">
        <f t="shared" si="0"/>
        <v>46023</v>
      </c>
      <c r="BQ2" s="25">
        <f t="shared" si="0"/>
        <v>46023</v>
      </c>
      <c r="BR2" s="25">
        <f t="shared" si="0"/>
        <v>45658</v>
      </c>
      <c r="BS2" s="25">
        <f t="shared" si="0"/>
        <v>45292</v>
      </c>
      <c r="BT2" s="25">
        <f t="shared" si="0"/>
        <v>44927</v>
      </c>
    </row>
    <row r="3" spans="1:81" x14ac:dyDescent="0.25">
      <c r="C3" s="13" t="s">
        <v>61</v>
      </c>
      <c r="D3" s="12">
        <v>30</v>
      </c>
      <c r="E3" s="12">
        <v>30</v>
      </c>
      <c r="F3" s="12">
        <v>30</v>
      </c>
      <c r="G3" s="12">
        <v>30</v>
      </c>
      <c r="H3" s="12">
        <v>30</v>
      </c>
      <c r="I3" s="12">
        <v>30</v>
      </c>
      <c r="J3" s="12">
        <v>30</v>
      </c>
      <c r="K3" s="12">
        <v>30</v>
      </c>
      <c r="L3" s="12">
        <v>30</v>
      </c>
      <c r="M3" s="12">
        <v>30</v>
      </c>
      <c r="N3" s="12">
        <v>30</v>
      </c>
      <c r="O3" s="12">
        <v>30</v>
      </c>
      <c r="P3" s="12">
        <v>30</v>
      </c>
      <c r="Q3" s="12">
        <v>30</v>
      </c>
      <c r="R3" s="12">
        <v>30</v>
      </c>
      <c r="S3" s="12">
        <v>30</v>
      </c>
      <c r="T3" s="12">
        <v>30</v>
      </c>
      <c r="U3" s="12">
        <v>30</v>
      </c>
      <c r="V3" s="12">
        <v>30</v>
      </c>
      <c r="W3" s="12">
        <v>30</v>
      </c>
      <c r="X3" s="12">
        <v>30</v>
      </c>
      <c r="Y3" s="12">
        <v>30</v>
      </c>
      <c r="Z3" s="12">
        <v>30</v>
      </c>
      <c r="AA3" s="12">
        <v>30</v>
      </c>
      <c r="AB3" s="12">
        <v>30</v>
      </c>
      <c r="AC3" s="12">
        <v>30</v>
      </c>
      <c r="AD3" s="12">
        <v>30</v>
      </c>
      <c r="AE3" s="12">
        <v>30</v>
      </c>
      <c r="AF3" s="12">
        <v>30</v>
      </c>
      <c r="AG3" s="12">
        <v>30</v>
      </c>
      <c r="AH3" s="12">
        <v>30</v>
      </c>
      <c r="AI3" s="12">
        <v>30</v>
      </c>
      <c r="AJ3" s="12">
        <v>30</v>
      </c>
      <c r="AK3" s="12">
        <v>30</v>
      </c>
      <c r="AL3" s="12">
        <v>30</v>
      </c>
      <c r="AM3" s="12">
        <v>30</v>
      </c>
      <c r="AN3" s="12">
        <v>30</v>
      </c>
      <c r="AO3" s="12">
        <v>30</v>
      </c>
      <c r="AP3" s="12">
        <v>30</v>
      </c>
      <c r="AQ3" s="12">
        <v>30</v>
      </c>
      <c r="AR3" s="12">
        <v>30</v>
      </c>
      <c r="AS3" s="12">
        <v>30</v>
      </c>
      <c r="AT3" s="12">
        <v>30</v>
      </c>
      <c r="AU3" s="12">
        <v>30</v>
      </c>
      <c r="AV3" s="12">
        <v>30</v>
      </c>
      <c r="AW3" s="12">
        <v>30</v>
      </c>
      <c r="AX3" s="12">
        <v>30</v>
      </c>
      <c r="AY3" s="12">
        <v>30</v>
      </c>
      <c r="AZ3" s="12">
        <v>30</v>
      </c>
      <c r="BA3" s="12">
        <v>30</v>
      </c>
      <c r="BB3" s="12">
        <v>30</v>
      </c>
      <c r="BC3" s="12">
        <v>30</v>
      </c>
      <c r="BD3" s="12">
        <v>30</v>
      </c>
      <c r="BE3" s="12">
        <v>30</v>
      </c>
      <c r="BF3" s="12">
        <v>30</v>
      </c>
      <c r="BG3" s="12">
        <v>30</v>
      </c>
      <c r="BH3" s="12">
        <v>30</v>
      </c>
      <c r="BI3" s="12">
        <v>30</v>
      </c>
      <c r="BJ3" s="12">
        <v>30</v>
      </c>
      <c r="BK3" s="12">
        <v>30</v>
      </c>
      <c r="BO3" s="12">
        <f>AVERAGEIFS($D3:$BM3,$D$6:$BM$6,"&gt;="&amp;BO$2,$D$6:$BM$6,"&lt;="&amp;BO$6,$D$5:$BM$5,BO$5)</f>
        <v>30</v>
      </c>
      <c r="BP3" s="12">
        <f t="shared" ref="BP3:BT4" si="1">AVERAGEIFS($D3:$BM3,$D$6:$BM$6,"&gt;="&amp;BP$2,$D$6:$BM$6,"&lt;="&amp;BP$6,$D$5:$BM$5,BP$5)</f>
        <v>30</v>
      </c>
      <c r="BQ3" s="12">
        <f t="shared" si="1"/>
        <v>30</v>
      </c>
      <c r="BR3" s="12">
        <f t="shared" si="1"/>
        <v>30</v>
      </c>
      <c r="BS3" s="12">
        <f t="shared" si="1"/>
        <v>30</v>
      </c>
      <c r="BT3" s="12">
        <f t="shared" si="1"/>
        <v>30</v>
      </c>
    </row>
    <row r="4" spans="1:81" x14ac:dyDescent="0.25">
      <c r="C4" s="13" t="s">
        <v>62</v>
      </c>
      <c r="D4" s="12">
        <f>DAY(D6)</f>
        <v>31</v>
      </c>
      <c r="E4" s="12">
        <f t="shared" ref="E4:BK4" si="2">DAY(E6)</f>
        <v>28</v>
      </c>
      <c r="F4" s="12">
        <f t="shared" si="2"/>
        <v>31</v>
      </c>
      <c r="G4" s="12">
        <f t="shared" si="2"/>
        <v>30</v>
      </c>
      <c r="H4" s="12">
        <f t="shared" si="2"/>
        <v>31</v>
      </c>
      <c r="I4" s="12">
        <f t="shared" si="2"/>
        <v>30</v>
      </c>
      <c r="J4" s="12">
        <f t="shared" si="2"/>
        <v>31</v>
      </c>
      <c r="K4" s="12">
        <f t="shared" si="2"/>
        <v>31</v>
      </c>
      <c r="L4" s="12">
        <f t="shared" si="2"/>
        <v>30</v>
      </c>
      <c r="M4" s="12">
        <f t="shared" si="2"/>
        <v>31</v>
      </c>
      <c r="N4" s="12">
        <f t="shared" si="2"/>
        <v>30</v>
      </c>
      <c r="O4" s="12">
        <f t="shared" si="2"/>
        <v>31</v>
      </c>
      <c r="P4" s="12">
        <f t="shared" si="2"/>
        <v>31</v>
      </c>
      <c r="Q4" s="12">
        <f t="shared" si="2"/>
        <v>29</v>
      </c>
      <c r="R4" s="12">
        <f t="shared" si="2"/>
        <v>31</v>
      </c>
      <c r="S4" s="12">
        <f t="shared" si="2"/>
        <v>30</v>
      </c>
      <c r="T4" s="12">
        <f t="shared" si="2"/>
        <v>31</v>
      </c>
      <c r="U4" s="12">
        <f t="shared" si="2"/>
        <v>30</v>
      </c>
      <c r="V4" s="12">
        <f t="shared" si="2"/>
        <v>31</v>
      </c>
      <c r="W4" s="12">
        <f t="shared" si="2"/>
        <v>31</v>
      </c>
      <c r="X4" s="12">
        <f t="shared" si="2"/>
        <v>30</v>
      </c>
      <c r="Y4" s="12">
        <f t="shared" si="2"/>
        <v>31</v>
      </c>
      <c r="Z4" s="12">
        <f t="shared" si="2"/>
        <v>30</v>
      </c>
      <c r="AA4" s="12">
        <f t="shared" si="2"/>
        <v>31</v>
      </c>
      <c r="AB4" s="12">
        <f t="shared" si="2"/>
        <v>31</v>
      </c>
      <c r="AC4" s="12">
        <f t="shared" si="2"/>
        <v>28</v>
      </c>
      <c r="AD4" s="12">
        <f t="shared" si="2"/>
        <v>31</v>
      </c>
      <c r="AE4" s="12">
        <f t="shared" si="2"/>
        <v>30</v>
      </c>
      <c r="AF4" s="12">
        <f t="shared" si="2"/>
        <v>31</v>
      </c>
      <c r="AG4" s="12">
        <f t="shared" si="2"/>
        <v>30</v>
      </c>
      <c r="AH4" s="12">
        <f t="shared" si="2"/>
        <v>31</v>
      </c>
      <c r="AI4" s="12">
        <f t="shared" si="2"/>
        <v>31</v>
      </c>
      <c r="AJ4" s="12">
        <f t="shared" si="2"/>
        <v>30</v>
      </c>
      <c r="AK4" s="12">
        <f t="shared" si="2"/>
        <v>31</v>
      </c>
      <c r="AL4" s="12">
        <f t="shared" si="2"/>
        <v>30</v>
      </c>
      <c r="AM4" s="12">
        <f t="shared" si="2"/>
        <v>31</v>
      </c>
      <c r="AN4" s="12">
        <f t="shared" si="2"/>
        <v>31</v>
      </c>
      <c r="AO4" s="12">
        <f t="shared" si="2"/>
        <v>28</v>
      </c>
      <c r="AP4" s="12">
        <f t="shared" si="2"/>
        <v>31</v>
      </c>
      <c r="AQ4" s="12">
        <f t="shared" si="2"/>
        <v>30</v>
      </c>
      <c r="AR4" s="12">
        <f t="shared" si="2"/>
        <v>31</v>
      </c>
      <c r="AS4" s="12">
        <f t="shared" si="2"/>
        <v>30</v>
      </c>
      <c r="AT4" s="12">
        <f t="shared" si="2"/>
        <v>31</v>
      </c>
      <c r="AU4" s="12">
        <f t="shared" si="2"/>
        <v>31</v>
      </c>
      <c r="AV4" s="12">
        <f t="shared" si="2"/>
        <v>30</v>
      </c>
      <c r="AW4" s="12">
        <f t="shared" si="2"/>
        <v>31</v>
      </c>
      <c r="AX4" s="12">
        <f t="shared" si="2"/>
        <v>30</v>
      </c>
      <c r="AY4" s="12">
        <f t="shared" si="2"/>
        <v>31</v>
      </c>
      <c r="AZ4" s="12">
        <f t="shared" si="2"/>
        <v>31</v>
      </c>
      <c r="BA4" s="12">
        <f t="shared" si="2"/>
        <v>28</v>
      </c>
      <c r="BB4" s="12">
        <f t="shared" si="2"/>
        <v>31</v>
      </c>
      <c r="BC4" s="12">
        <f t="shared" si="2"/>
        <v>30</v>
      </c>
      <c r="BD4" s="12">
        <f t="shared" si="2"/>
        <v>31</v>
      </c>
      <c r="BE4" s="12">
        <f t="shared" si="2"/>
        <v>30</v>
      </c>
      <c r="BF4" s="12">
        <f t="shared" si="2"/>
        <v>31</v>
      </c>
      <c r="BG4" s="12">
        <f t="shared" si="2"/>
        <v>31</v>
      </c>
      <c r="BH4" s="12">
        <f t="shared" si="2"/>
        <v>30</v>
      </c>
      <c r="BI4" s="12">
        <f t="shared" si="2"/>
        <v>31</v>
      </c>
      <c r="BJ4" s="12">
        <f t="shared" si="2"/>
        <v>30</v>
      </c>
      <c r="BK4" s="12">
        <f t="shared" si="2"/>
        <v>31</v>
      </c>
      <c r="BO4" s="27">
        <f>AVERAGEIFS($D4:$BM4,$D$6:$BM$6,"&gt;="&amp;BO$2,$D$6:$BM$6,"&lt;="&amp;BO$6,$D$5:$BM$5,BO$5)</f>
        <v>30.2</v>
      </c>
      <c r="BP4" s="27">
        <f t="shared" si="1"/>
        <v>30.2</v>
      </c>
      <c r="BQ4" s="27">
        <f t="shared" si="1"/>
        <v>30</v>
      </c>
      <c r="BR4" s="27">
        <f t="shared" si="1"/>
        <v>30.2</v>
      </c>
      <c r="BS4" s="27">
        <f t="shared" si="1"/>
        <v>30.4</v>
      </c>
      <c r="BT4" s="27">
        <f t="shared" si="1"/>
        <v>30.2</v>
      </c>
    </row>
    <row r="5" spans="1:81" ht="15.75" thickBot="1" x14ac:dyDescent="0.3">
      <c r="C5" s="13" t="s">
        <v>85</v>
      </c>
      <c r="D5" s="12" t="s">
        <v>86</v>
      </c>
      <c r="E5" s="12" t="s">
        <v>86</v>
      </c>
      <c r="F5" s="12" t="s">
        <v>86</v>
      </c>
      <c r="G5" s="12" t="s">
        <v>86</v>
      </c>
      <c r="H5" s="12" t="s">
        <v>86</v>
      </c>
      <c r="I5" s="12" t="s">
        <v>86</v>
      </c>
      <c r="J5" s="12" t="s">
        <v>86</v>
      </c>
      <c r="K5" s="12" t="s">
        <v>86</v>
      </c>
      <c r="L5" s="12" t="s">
        <v>86</v>
      </c>
      <c r="M5" s="12" t="s">
        <v>86</v>
      </c>
      <c r="N5" s="12" t="s">
        <v>86</v>
      </c>
      <c r="O5" s="12" t="s">
        <v>86</v>
      </c>
      <c r="P5" s="12" t="s">
        <v>86</v>
      </c>
      <c r="Q5" s="12" t="s">
        <v>86</v>
      </c>
      <c r="R5" s="12" t="s">
        <v>86</v>
      </c>
      <c r="S5" s="12" t="s">
        <v>86</v>
      </c>
      <c r="T5" s="12" t="s">
        <v>86</v>
      </c>
      <c r="U5" s="12" t="s">
        <v>86</v>
      </c>
      <c r="V5" s="12" t="s">
        <v>86</v>
      </c>
      <c r="W5" s="12" t="s">
        <v>86</v>
      </c>
      <c r="X5" s="12" t="s">
        <v>86</v>
      </c>
      <c r="Y5" s="12" t="s">
        <v>86</v>
      </c>
      <c r="Z5" s="12" t="s">
        <v>86</v>
      </c>
      <c r="AA5" s="12" t="s">
        <v>86</v>
      </c>
      <c r="AB5" s="12" t="s">
        <v>86</v>
      </c>
      <c r="AC5" s="12" t="s">
        <v>86</v>
      </c>
      <c r="AD5" s="12" t="s">
        <v>86</v>
      </c>
      <c r="AE5" s="12" t="s">
        <v>86</v>
      </c>
      <c r="AF5" s="12" t="s">
        <v>86</v>
      </c>
      <c r="AG5" s="12" t="s">
        <v>86</v>
      </c>
      <c r="AH5" s="12" t="s">
        <v>86</v>
      </c>
      <c r="AI5" s="12" t="s">
        <v>86</v>
      </c>
      <c r="AJ5" s="12" t="s">
        <v>86</v>
      </c>
      <c r="AK5" s="12" t="s">
        <v>86</v>
      </c>
      <c r="AL5" s="12" t="s">
        <v>86</v>
      </c>
      <c r="AM5" s="12" t="s">
        <v>86</v>
      </c>
      <c r="AN5" s="12" t="s">
        <v>86</v>
      </c>
      <c r="AO5" s="12" t="s">
        <v>86</v>
      </c>
      <c r="AP5" s="12" t="s">
        <v>86</v>
      </c>
      <c r="AQ5" s="12" t="s">
        <v>86</v>
      </c>
      <c r="AR5" s="12" t="s">
        <v>86</v>
      </c>
      <c r="AS5" s="12" t="s">
        <v>86</v>
      </c>
      <c r="AT5" s="12" t="s">
        <v>86</v>
      </c>
      <c r="AU5" s="12" t="s">
        <v>86</v>
      </c>
      <c r="AV5" s="12" t="s">
        <v>86</v>
      </c>
      <c r="AW5" s="12" t="s">
        <v>86</v>
      </c>
      <c r="AX5" s="12" t="s">
        <v>86</v>
      </c>
      <c r="AY5" s="12" t="s">
        <v>86</v>
      </c>
      <c r="AZ5" s="12" t="s">
        <v>87</v>
      </c>
      <c r="BA5" s="12" t="s">
        <v>87</v>
      </c>
      <c r="BB5" s="12" t="s">
        <v>87</v>
      </c>
      <c r="BC5" s="12" t="s">
        <v>87</v>
      </c>
      <c r="BD5" s="12" t="s">
        <v>87</v>
      </c>
      <c r="BE5" s="12" t="s">
        <v>87</v>
      </c>
      <c r="BF5" s="12" t="s">
        <v>87</v>
      </c>
      <c r="BG5" s="12" t="s">
        <v>87</v>
      </c>
      <c r="BH5" s="12" t="s">
        <v>87</v>
      </c>
      <c r="BI5" s="12" t="s">
        <v>87</v>
      </c>
      <c r="BJ5" s="12" t="s">
        <v>87</v>
      </c>
      <c r="BK5" s="12" t="s">
        <v>87</v>
      </c>
      <c r="BO5" s="12" t="s">
        <v>86</v>
      </c>
      <c r="BP5" s="12" t="s">
        <v>87</v>
      </c>
      <c r="BQ5" s="12" t="s">
        <v>86</v>
      </c>
      <c r="BR5" s="12" t="s">
        <v>86</v>
      </c>
      <c r="BS5" s="12" t="s">
        <v>86</v>
      </c>
      <c r="BT5" s="12" t="s">
        <v>86</v>
      </c>
    </row>
    <row r="6" spans="1:81" ht="16.5" thickTop="1" thickBot="1" x14ac:dyDescent="0.3">
      <c r="C6" s="45" t="s">
        <v>91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30">
        <v>46053</v>
      </c>
      <c r="BA6" s="30">
        <v>46081</v>
      </c>
      <c r="BB6" s="30">
        <v>46112</v>
      </c>
      <c r="BC6" s="30">
        <v>46142</v>
      </c>
      <c r="BD6" s="30">
        <v>46173</v>
      </c>
      <c r="BE6" s="30">
        <v>46203</v>
      </c>
      <c r="BF6" s="30">
        <v>46234</v>
      </c>
      <c r="BG6" s="30">
        <v>46265</v>
      </c>
      <c r="BH6" s="30">
        <v>46295</v>
      </c>
      <c r="BI6" s="30">
        <v>46326</v>
      </c>
      <c r="BJ6" s="30">
        <v>46356</v>
      </c>
      <c r="BK6" s="30">
        <v>46387</v>
      </c>
      <c r="BO6" s="1">
        <f>Desempeño_Financiero!$B$1</f>
        <v>46173</v>
      </c>
      <c r="BP6" s="22">
        <f>BO6</f>
        <v>46173</v>
      </c>
      <c r="BQ6" s="1">
        <f>EOMONTH(BO6,-1)</f>
        <v>46142</v>
      </c>
      <c r="BR6" s="1">
        <f>EOMONTH(BO6,-12)</f>
        <v>45808</v>
      </c>
      <c r="BS6" s="1">
        <f>EOMONTH(BO6,-24)</f>
        <v>45443</v>
      </c>
      <c r="BT6" s="1">
        <f>EOMONTH(BO6,-36)</f>
        <v>45077</v>
      </c>
      <c r="BW6" s="1">
        <f>BO6</f>
        <v>46173</v>
      </c>
      <c r="BX6" s="22">
        <f t="shared" ref="BX6:CB6" si="3">BP6</f>
        <v>46173</v>
      </c>
      <c r="BY6" s="1">
        <f t="shared" si="3"/>
        <v>46142</v>
      </c>
      <c r="BZ6" s="1">
        <f t="shared" si="3"/>
        <v>45808</v>
      </c>
      <c r="CA6" s="1">
        <f t="shared" si="3"/>
        <v>45443</v>
      </c>
      <c r="CB6" s="1">
        <f t="shared" si="3"/>
        <v>45077</v>
      </c>
      <c r="CC6" s="26"/>
    </row>
    <row r="7" spans="1:81" ht="15.75" thickTop="1" x14ac:dyDescent="0.25"/>
    <row r="8" spans="1:81" outlineLevel="1" x14ac:dyDescent="0.25">
      <c r="A8" s="11" t="s">
        <v>51</v>
      </c>
      <c r="C8" s="2" t="s">
        <v>0</v>
      </c>
      <c r="D8" s="8">
        <f>Renta_Alta!D8+Masivo!D8+Consumo_Inicial!D8</f>
        <v>4679803.1926679993</v>
      </c>
      <c r="E8" s="8">
        <f>Renta_Alta!E8+Masivo!E8+Consumo_Inicial!E8</f>
        <v>4747839.51029626</v>
      </c>
      <c r="F8" s="8">
        <f>Renta_Alta!F8+Masivo!F8+Consumo_Inicial!F8</f>
        <v>4827253.4448342184</v>
      </c>
      <c r="G8" s="8">
        <f>Renta_Alta!G8+Masivo!G8+Consumo_Inicial!G8</f>
        <v>4875774.2369400002</v>
      </c>
      <c r="H8" s="8">
        <f>Renta_Alta!H8+Masivo!H8+Consumo_Inicial!H8</f>
        <v>4938856.9915799992</v>
      </c>
      <c r="I8" s="8">
        <f>Renta_Alta!I8+Masivo!I8+Consumo_Inicial!I8</f>
        <v>5002096.1883584</v>
      </c>
      <c r="J8" s="8">
        <f>Renta_Alta!J8+Masivo!J8+Consumo_Inicial!J8</f>
        <v>5048290.554400879</v>
      </c>
      <c r="K8" s="8">
        <f>Renta_Alta!K8+Masivo!K8+Consumo_Inicial!K8</f>
        <v>5124035.3717042496</v>
      </c>
      <c r="L8" s="8">
        <f>Renta_Alta!L8+Masivo!L8+Consumo_Inicial!L8</f>
        <v>5165836.7618669793</v>
      </c>
      <c r="M8" s="8">
        <f>Renta_Alta!M8+Masivo!M8+Consumo_Inicial!M8</f>
        <v>5228650.6869991813</v>
      </c>
      <c r="N8" s="8">
        <f>Renta_Alta!N8+Masivo!N8+Consumo_Inicial!N8</f>
        <v>5282256.7311444813</v>
      </c>
      <c r="O8" s="8">
        <f>Renta_Alta!O8+Masivo!O8+Consumo_Inicial!O8</f>
        <v>5299604.7755217198</v>
      </c>
      <c r="P8" s="8">
        <f>Renta_Alta!P8+Masivo!P8+Consumo_Inicial!P8</f>
        <v>5352731.4373059589</v>
      </c>
      <c r="Q8" s="8">
        <f>Renta_Alta!Q8+Masivo!Q8+Consumo_Inicial!Q8</f>
        <v>5419475.269933599</v>
      </c>
      <c r="R8" s="8">
        <f>Renta_Alta!R8+Masivo!R8+Consumo_Inicial!R8</f>
        <v>5490522.4316938194</v>
      </c>
      <c r="S8" s="8">
        <f>Renta_Alta!S8+Masivo!S8+Consumo_Inicial!S8</f>
        <v>5589309.4165944206</v>
      </c>
      <c r="T8" s="8">
        <f>Renta_Alta!T8+Masivo!T8+Consumo_Inicial!T8</f>
        <v>5684127.7979403995</v>
      </c>
      <c r="U8" s="8">
        <f>Renta_Alta!U8+Masivo!U8+Consumo_Inicial!U8</f>
        <v>5753537.6580814999</v>
      </c>
      <c r="V8" s="8">
        <f>Renta_Alta!V8+Masivo!V8+Consumo_Inicial!V8</f>
        <v>5829303.5352179995</v>
      </c>
      <c r="W8" s="8">
        <f>Renta_Alta!W8+Masivo!W8+Consumo_Inicial!W8</f>
        <v>5857154.1023949999</v>
      </c>
      <c r="X8" s="8">
        <f>Renta_Alta!X8+Masivo!X8+Consumo_Inicial!X8</f>
        <v>5860445.8688974008</v>
      </c>
      <c r="Y8" s="8">
        <f>Renta_Alta!Y8+Masivo!Y8+Consumo_Inicial!Y8</f>
        <v>5834791.4928762997</v>
      </c>
      <c r="Z8" s="8">
        <f>Renta_Alta!Z8+Masivo!Z8+Consumo_Inicial!Z8</f>
        <v>5762456.6062109713</v>
      </c>
      <c r="AA8" s="8">
        <f>Renta_Alta!AA8+Masivo!AA8+Consumo_Inicial!AA8</f>
        <v>5687884.0783591</v>
      </c>
      <c r="AB8" s="8">
        <f>Renta_Alta!AB8+Masivo!AB8+Consumo_Inicial!AB8</f>
        <v>5651870.8248346001</v>
      </c>
      <c r="AC8" s="8">
        <f>Renta_Alta!AC8+Masivo!AC8+Consumo_Inicial!AC8</f>
        <v>5637575.6434649006</v>
      </c>
      <c r="AD8" s="8">
        <f>Renta_Alta!AD8+Masivo!AD8+Consumo_Inicial!AD8</f>
        <v>5624212.892781999</v>
      </c>
      <c r="AE8" s="8">
        <f>Renta_Alta!AE8+Masivo!AE8+Consumo_Inicial!AE8</f>
        <v>5633559.3817173</v>
      </c>
      <c r="AF8" s="8">
        <f>Renta_Alta!AF8+Masivo!AF8+Consumo_Inicial!AF8</f>
        <v>5643386.6728008008</v>
      </c>
      <c r="AG8" s="8">
        <f>Renta_Alta!AG8+Masivo!AG8+Consumo_Inicial!AG8</f>
        <v>5656883.2053207001</v>
      </c>
      <c r="AH8" s="8">
        <f>Renta_Alta!AH8+Masivo!AH8+Consumo_Inicial!AH8</f>
        <v>5684037.16321389</v>
      </c>
      <c r="AI8" s="8">
        <f>Renta_Alta!AI8+Masivo!AI8+Consumo_Inicial!AI8</f>
        <v>5718222.9276032997</v>
      </c>
      <c r="AJ8" s="8">
        <f>Renta_Alta!AJ8+Masivo!AJ8+Consumo_Inicial!AJ8</f>
        <v>5727025.4689049004</v>
      </c>
      <c r="AK8" s="8">
        <f>Renta_Alta!AK8+Masivo!AK8+Consumo_Inicial!AK8</f>
        <v>5684365.6912551001</v>
      </c>
      <c r="AL8" s="8">
        <f>Renta_Alta!AL8+Masivo!AL8+Consumo_Inicial!AL8</f>
        <v>5634040.0453280993</v>
      </c>
      <c r="AM8" s="8">
        <f>Renta_Alta!AM8+Masivo!AM8+Consumo_Inicial!AM8</f>
        <v>5576888.3187645003</v>
      </c>
      <c r="AN8" s="8">
        <f>Renta_Alta!AN8+Masivo!AN8+Consumo_Inicial!AN8</f>
        <v>5553181.7700000005</v>
      </c>
      <c r="AO8" s="8">
        <f>Renta_Alta!AO8+Masivo!AO8+Consumo_Inicial!AO8</f>
        <v>5507831.3999999994</v>
      </c>
      <c r="AP8" s="8">
        <f>Renta_Alta!AP8+Masivo!AP8+Consumo_Inicial!AP8</f>
        <v>5525140.6600000001</v>
      </c>
      <c r="AQ8" s="8">
        <f>Renta_Alta!AQ8+Masivo!AQ8+Consumo_Inicial!AQ8</f>
        <v>5548588.6593402009</v>
      </c>
      <c r="AR8" s="8">
        <f>Renta_Alta!AR8+Masivo!AR8+Consumo_Inicial!AR8</f>
        <v>5562013.8986927401</v>
      </c>
      <c r="AS8" s="8">
        <f>Renta_Alta!AS8+Masivo!AS8+Consumo_Inicial!AS8</f>
        <v>5587942.2483483972</v>
      </c>
      <c r="AT8" s="8">
        <f>Renta_Alta!AT8+Masivo!AT8+Consumo_Inicial!AT8</f>
        <v>0</v>
      </c>
      <c r="AU8" s="8">
        <f>Renta_Alta!AU8+Masivo!AU8+Consumo_Inicial!AU8</f>
        <v>0</v>
      </c>
      <c r="AV8" s="8">
        <f>Renta_Alta!AV8+Masivo!AV8+Consumo_Inicial!AV8</f>
        <v>0</v>
      </c>
      <c r="AW8" s="8">
        <f>Renta_Alta!AW8+Masivo!AW8+Consumo_Inicial!AW8</f>
        <v>0</v>
      </c>
      <c r="AX8" s="8">
        <f>Renta_Alta!AX8+Masivo!AX8+Consumo_Inicial!AX8</f>
        <v>0</v>
      </c>
      <c r="AY8" s="8">
        <f>Renta_Alta!AY8+Masivo!AY8+Consumo_Inicial!AY8</f>
        <v>0</v>
      </c>
      <c r="AZ8" s="8">
        <f>Renta_Alta!AZ8+Masivo!AZ8+Consumo_Inicial!AZ8</f>
        <v>5798509.7906403476</v>
      </c>
      <c r="BA8" s="8">
        <f>Renta_Alta!BA8+Masivo!BA8+Consumo_Inicial!BA8</f>
        <v>5818932.7459382853</v>
      </c>
      <c r="BB8" s="8">
        <f>Renta_Alta!BB8+Masivo!BB8+Consumo_Inicial!BB8</f>
        <v>5855971.1270385375</v>
      </c>
      <c r="BC8" s="8">
        <f>Renta_Alta!BC8+Masivo!BC8+Consumo_Inicial!BC8</f>
        <v>5880030.8816588698</v>
      </c>
      <c r="BD8" s="8">
        <f>Renta_Alta!BD8+Masivo!BD8+Consumo_Inicial!BD8</f>
        <v>5902822.3118670015</v>
      </c>
      <c r="BE8" s="8">
        <f>Renta_Alta!BE8+Masivo!BE8+Consumo_Inicial!BE8</f>
        <v>5932942.4163366733</v>
      </c>
      <c r="BF8" s="8">
        <f>Renta_Alta!BF8+Masivo!BF8+Consumo_Inicial!BF8</f>
        <v>5963848.2104483405</v>
      </c>
      <c r="BG8" s="8">
        <f>Renta_Alta!BG8+Masivo!BG8+Consumo_Inicial!BG8</f>
        <v>5992236.5429284852</v>
      </c>
      <c r="BH8" s="8">
        <f>Renta_Alta!BH8+Masivo!BH8+Consumo_Inicial!BH8</f>
        <v>6032672.4666692521</v>
      </c>
      <c r="BI8" s="8">
        <f>Renta_Alta!BI8+Masivo!BI8+Consumo_Inicial!BI8</f>
        <v>6061741.509885422</v>
      </c>
      <c r="BJ8" s="8">
        <f>Renta_Alta!BJ8+Masivo!BJ8+Consumo_Inicial!BJ8</f>
        <v>6090173.9308673572</v>
      </c>
      <c r="BK8" s="8">
        <f>Renta_Alta!BK8+Masivo!BK8+Consumo_Inicial!BK8</f>
        <v>6111590.2049975134</v>
      </c>
      <c r="BO8" s="24">
        <f t="shared" ref="BO8:BO10" si="4">_xlfn.XLOOKUP(BO$6,$D$6:$BM$6,$D8:$BM8,,0,1)</f>
        <v>5562013.8986927401</v>
      </c>
      <c r="BP8" s="24">
        <f>_xlfn.XLOOKUP(BP$6,$D$6:$BM$6,$D8:$BM8,,0,-1)</f>
        <v>5902822.3118670015</v>
      </c>
      <c r="BQ8" s="24">
        <f t="shared" ref="BQ8:BT10" si="5">_xlfn.XLOOKUP(BQ$6,$D$6:$BM$6,$D8:$BM8,,0,1)</f>
        <v>5548588.6593402009</v>
      </c>
      <c r="BR8" s="24">
        <f t="shared" si="5"/>
        <v>5643386.6728008008</v>
      </c>
      <c r="BS8" s="24">
        <f t="shared" si="5"/>
        <v>5684127.7979403995</v>
      </c>
      <c r="BT8" s="24">
        <f t="shared" si="5"/>
        <v>4938856.9915799992</v>
      </c>
    </row>
    <row r="9" spans="1:81" outlineLevel="1" x14ac:dyDescent="0.25">
      <c r="A9" s="11" t="s">
        <v>51</v>
      </c>
      <c r="C9" s="2" t="s">
        <v>1</v>
      </c>
      <c r="D9" s="8">
        <f>Renta_Alta!D9+Masivo!D9+Consumo_Inicial!D9</f>
        <v>28879.687440000002</v>
      </c>
      <c r="E9" s="8">
        <f>Renta_Alta!E9+Masivo!E9+Consumo_Inicial!E9</f>
        <v>29227.26816</v>
      </c>
      <c r="F9" s="8">
        <f>Renta_Alta!F9+Masivo!F9+Consumo_Inicial!F9</f>
        <v>29811.0602</v>
      </c>
      <c r="G9" s="8">
        <f>Renta_Alta!G9+Masivo!G9+Consumo_Inicial!G9</f>
        <v>29204.002840000001</v>
      </c>
      <c r="H9" s="8">
        <f>Renta_Alta!H9+Masivo!H9+Consumo_Inicial!H9</f>
        <v>29479.237349999996</v>
      </c>
      <c r="I9" s="8">
        <f>Renta_Alta!I9+Masivo!I9+Consumo_Inicial!I9</f>
        <v>29701.681920000003</v>
      </c>
      <c r="J9" s="8">
        <f>Renta_Alta!J9+Masivo!J9+Consumo_Inicial!J9</f>
        <v>29449.713330000002</v>
      </c>
      <c r="K9" s="8">
        <f>Renta_Alta!K9+Masivo!K9+Consumo_Inicial!K9</f>
        <v>28793.92425</v>
      </c>
      <c r="L9" s="8">
        <f>Renta_Alta!L9+Masivo!L9+Consumo_Inicial!L9</f>
        <v>27932.407619999998</v>
      </c>
      <c r="M9" s="8">
        <f>Renta_Alta!M9+Masivo!M9+Consumo_Inicial!M9</f>
        <v>27350.856110000001</v>
      </c>
      <c r="N9" s="8">
        <f>Renta_Alta!N9+Masivo!N9+Consumo_Inicial!N9</f>
        <v>27299.738509999999</v>
      </c>
      <c r="O9" s="8">
        <f>Renta_Alta!O9+Masivo!O9+Consumo_Inicial!O9</f>
        <v>27337.9578</v>
      </c>
      <c r="P9" s="8">
        <f>Renta_Alta!P9+Masivo!P9+Consumo_Inicial!P9</f>
        <v>26554.066879999998</v>
      </c>
      <c r="Q9" s="8">
        <f>Renta_Alta!Q9+Masivo!Q9+Consumo_Inicial!Q9</f>
        <v>25835.368600000002</v>
      </c>
      <c r="R9" s="8">
        <f>Renta_Alta!R9+Masivo!R9+Consumo_Inicial!R9</f>
        <v>24356.218970000002</v>
      </c>
      <c r="S9" s="8">
        <f>Renta_Alta!S9+Masivo!S9+Consumo_Inicial!S9</f>
        <v>23926.742380000003</v>
      </c>
      <c r="T9" s="8">
        <f>Renta_Alta!T9+Masivo!T9+Consumo_Inicial!T9</f>
        <v>22700.678050000002</v>
      </c>
      <c r="U9" s="8">
        <f>Renta_Alta!U9+Masivo!U9+Consumo_Inicial!U9</f>
        <v>22236.875669999998</v>
      </c>
      <c r="V9" s="8">
        <f>Renta_Alta!V9+Masivo!V9+Consumo_Inicial!V9</f>
        <v>21019.896119999998</v>
      </c>
      <c r="W9" s="8">
        <f>Renta_Alta!W9+Masivo!W9+Consumo_Inicial!W9</f>
        <v>20473.69659</v>
      </c>
      <c r="X9" s="8">
        <f>Renta_Alta!X9+Masivo!X9+Consumo_Inicial!X9</f>
        <v>19589.406349999997</v>
      </c>
      <c r="Y9" s="8">
        <f>Renta_Alta!Y9+Masivo!Y9+Consumo_Inicial!Y9</f>
        <v>20096.479800000001</v>
      </c>
      <c r="Z9" s="8">
        <f>Renta_Alta!Z9+Masivo!Z9+Consumo_Inicial!Z9</f>
        <v>21617.462269999996</v>
      </c>
      <c r="AA9" s="8">
        <f>Renta_Alta!AA9+Masivo!AA9+Consumo_Inicial!AA9</f>
        <v>22122.304749999999</v>
      </c>
      <c r="AB9" s="8">
        <f>Renta_Alta!AB9+Masivo!AB9+Consumo_Inicial!AB9</f>
        <v>22424.962189999998</v>
      </c>
      <c r="AC9" s="8">
        <f>Renta_Alta!AC9+Masivo!AC9+Consumo_Inicial!AC9</f>
        <v>23858.211869999999</v>
      </c>
      <c r="AD9" s="8">
        <f>Renta_Alta!AD9+Masivo!AD9+Consumo_Inicial!AD9</f>
        <v>24779.827959999999</v>
      </c>
      <c r="AE9" s="8">
        <f>Renta_Alta!AE9+Masivo!AE9+Consumo_Inicial!AE9</f>
        <v>27181.877169999996</v>
      </c>
      <c r="AF9" s="8">
        <f>Renta_Alta!AF9+Masivo!AF9+Consumo_Inicial!AF9</f>
        <v>28019.411960000001</v>
      </c>
      <c r="AG9" s="8">
        <f>Renta_Alta!AG9+Masivo!AG9+Consumo_Inicial!AG9</f>
        <v>30021.09549</v>
      </c>
      <c r="AH9" s="8">
        <f>Renta_Alta!AH9+Masivo!AH9+Consumo_Inicial!AH9</f>
        <v>29973.718869999997</v>
      </c>
      <c r="AI9" s="8">
        <f>Renta_Alta!AI9+Masivo!AI9+Consumo_Inicial!AI9</f>
        <v>29839.663429999997</v>
      </c>
      <c r="AJ9" s="8">
        <f>Renta_Alta!AJ9+Masivo!AJ9+Consumo_Inicial!AJ9</f>
        <v>29411.042560000002</v>
      </c>
      <c r="AK9" s="8">
        <f>Renta_Alta!AK9+Masivo!AK9+Consumo_Inicial!AK9</f>
        <v>29847.253959999998</v>
      </c>
      <c r="AL9" s="8">
        <f>Renta_Alta!AL9+Masivo!AL9+Consumo_Inicial!AL9</f>
        <v>29922.716689999997</v>
      </c>
      <c r="AM9" s="8">
        <f>Renta_Alta!AM9+Masivo!AM9+Consumo_Inicial!AM9</f>
        <v>30923.320229999998</v>
      </c>
      <c r="AN9" s="8">
        <f>Renta_Alta!AN9+Masivo!AN9+Consumo_Inicial!AN9</f>
        <v>30587.52</v>
      </c>
      <c r="AO9" s="8">
        <f>Renta_Alta!AO9+Masivo!AO9+Consumo_Inicial!AO9</f>
        <v>30020.87</v>
      </c>
      <c r="AP9" s="8">
        <f>Renta_Alta!AP9+Masivo!AP9+Consumo_Inicial!AP9</f>
        <v>29720.39</v>
      </c>
      <c r="AQ9" s="8">
        <f>Renta_Alta!AQ9+Masivo!AQ9+Consumo_Inicial!AQ9</f>
        <v>28987.812520000014</v>
      </c>
      <c r="AR9" s="8">
        <f>Renta_Alta!AR9+Masivo!AR9+Consumo_Inicial!AR9</f>
        <v>28277.738950000006</v>
      </c>
      <c r="AS9" s="8">
        <f>Renta_Alta!AS9+Masivo!AS9+Consumo_Inicial!AS9</f>
        <v>27681.196929999998</v>
      </c>
      <c r="AT9" s="8">
        <f>Renta_Alta!AT9+Masivo!AT9+Consumo_Inicial!AT9</f>
        <v>0</v>
      </c>
      <c r="AU9" s="8">
        <f>Renta_Alta!AU9+Masivo!AU9+Consumo_Inicial!AU9</f>
        <v>0</v>
      </c>
      <c r="AV9" s="8">
        <f>Renta_Alta!AV9+Masivo!AV9+Consumo_Inicial!AV9</f>
        <v>0</v>
      </c>
      <c r="AW9" s="8">
        <f>Renta_Alta!AW9+Masivo!AW9+Consumo_Inicial!AW9</f>
        <v>0</v>
      </c>
      <c r="AX9" s="8">
        <f>Renta_Alta!AX9+Masivo!AX9+Consumo_Inicial!AX9</f>
        <v>0</v>
      </c>
      <c r="AY9" s="8">
        <f>Renta_Alta!AY9+Masivo!AY9+Consumo_Inicial!AY9</f>
        <v>0</v>
      </c>
      <c r="AZ9" s="8">
        <f>Renta_Alta!AZ9+Masivo!AZ9+Consumo_Inicial!AZ9</f>
        <v>29415.157008869784</v>
      </c>
      <c r="BA9" s="8">
        <f>Renta_Alta!BA9+Masivo!BA9+Consumo_Inicial!BA9</f>
        <v>29533.443097819105</v>
      </c>
      <c r="BB9" s="8">
        <f>Renta_Alta!BB9+Masivo!BB9+Consumo_Inicial!BB9</f>
        <v>29689.501187187532</v>
      </c>
      <c r="BC9" s="8">
        <f>Renta_Alta!BC9+Masivo!BC9+Consumo_Inicial!BC9</f>
        <v>30366.338470831153</v>
      </c>
      <c r="BD9" s="8">
        <f>Renta_Alta!BD9+Masivo!BD9+Consumo_Inicial!BD9</f>
        <v>30703.860817813482</v>
      </c>
      <c r="BE9" s="8">
        <f>Renta_Alta!BE9+Masivo!BE9+Consumo_Inicial!BE9</f>
        <v>31169.815940972159</v>
      </c>
      <c r="BF9" s="8">
        <f>Renta_Alta!BF9+Masivo!BF9+Consumo_Inicial!BF9</f>
        <v>31357.857283165053</v>
      </c>
      <c r="BG9" s="8">
        <f>Renta_Alta!BG9+Masivo!BG9+Consumo_Inicial!BG9</f>
        <v>31596.943144860124</v>
      </c>
      <c r="BH9" s="8">
        <f>Renta_Alta!BH9+Masivo!BH9+Consumo_Inicial!BH9</f>
        <v>31752.814550884206</v>
      </c>
      <c r="BI9" s="8">
        <f>Renta_Alta!BI9+Masivo!BI9+Consumo_Inicial!BI9</f>
        <v>31973.013710997933</v>
      </c>
      <c r="BJ9" s="8">
        <f>Renta_Alta!BJ9+Masivo!BJ9+Consumo_Inicial!BJ9</f>
        <v>32121.80048998577</v>
      </c>
      <c r="BK9" s="8">
        <f>Renta_Alta!BK9+Masivo!BK9+Consumo_Inicial!BK9</f>
        <v>32247.399296874708</v>
      </c>
      <c r="BO9" s="24">
        <f t="shared" si="4"/>
        <v>28277.738950000006</v>
      </c>
      <c r="BP9" s="24">
        <f t="shared" ref="BP9:BP10" si="6">_xlfn.XLOOKUP(BP$6,$D$6:$BM$6,$D9:$BM9,,0,-1)</f>
        <v>30703.860817813482</v>
      </c>
      <c r="BQ9" s="24">
        <f t="shared" si="5"/>
        <v>28987.812520000014</v>
      </c>
      <c r="BR9" s="24">
        <f t="shared" si="5"/>
        <v>28019.411960000001</v>
      </c>
      <c r="BS9" s="24">
        <f t="shared" si="5"/>
        <v>22700.678050000002</v>
      </c>
      <c r="BT9" s="24">
        <f t="shared" si="5"/>
        <v>29479.237349999996</v>
      </c>
    </row>
    <row r="10" spans="1:81" ht="14.45" customHeight="1" outlineLevel="1" x14ac:dyDescent="0.25">
      <c r="A10" s="11" t="s">
        <v>51</v>
      </c>
      <c r="C10" s="2" t="s">
        <v>45</v>
      </c>
      <c r="D10" s="8">
        <f>Renta_Alta!D10+Masivo!D10+Consumo_Inicial!D10</f>
        <v>72271.196019999988</v>
      </c>
      <c r="E10" s="8">
        <f>Renta_Alta!E10+Masivo!E10+Consumo_Inicial!E10</f>
        <v>73895.677779999998</v>
      </c>
      <c r="F10" s="8">
        <f>Renta_Alta!F10+Masivo!F10+Consumo_Inicial!F10</f>
        <v>73945.90006</v>
      </c>
      <c r="G10" s="8">
        <f>Renta_Alta!G10+Masivo!G10+Consumo_Inicial!G10</f>
        <v>71847.883740000005</v>
      </c>
      <c r="H10" s="8">
        <f>Renta_Alta!H10+Masivo!H10+Consumo_Inicial!H10</f>
        <v>67763.653459999987</v>
      </c>
      <c r="I10" s="8">
        <f>Renta_Alta!I10+Masivo!I10+Consumo_Inicial!I10</f>
        <v>63617.763620000005</v>
      </c>
      <c r="J10" s="8">
        <f>Renta_Alta!J10+Masivo!J10+Consumo_Inicial!J10</f>
        <v>63955.170579999998</v>
      </c>
      <c r="K10" s="8">
        <f>Renta_Alta!K10+Masivo!K10+Consumo_Inicial!K10</f>
        <v>61241.075770000003</v>
      </c>
      <c r="L10" s="8">
        <f>Renta_Alta!L10+Masivo!L10+Consumo_Inicial!L10</f>
        <v>67281.56194</v>
      </c>
      <c r="M10" s="8">
        <f>Renta_Alta!M10+Masivo!M10+Consumo_Inicial!M10</f>
        <v>64679.455170000001</v>
      </c>
      <c r="N10" s="8">
        <f>Renta_Alta!N10+Masivo!N10+Consumo_Inicial!N10</f>
        <v>66643.574800000002</v>
      </c>
      <c r="O10" s="8">
        <f>Renta_Alta!O10+Masivo!O10+Consumo_Inicial!O10</f>
        <v>68717.125410000008</v>
      </c>
      <c r="P10" s="8">
        <f>Renta_Alta!P10+Masivo!P10+Consumo_Inicial!P10</f>
        <v>69804.218139999997</v>
      </c>
      <c r="Q10" s="8">
        <f>Renta_Alta!Q10+Masivo!Q10+Consumo_Inicial!Q10</f>
        <v>69245.744420000003</v>
      </c>
      <c r="R10" s="8">
        <f>Renta_Alta!R10+Masivo!R10+Consumo_Inicial!R10</f>
        <v>70201.600950000007</v>
      </c>
      <c r="S10" s="8">
        <f>Renta_Alta!S10+Masivo!S10+Consumo_Inicial!S10</f>
        <v>68195.992530000003</v>
      </c>
      <c r="T10" s="8">
        <f>Renta_Alta!T10+Masivo!T10+Consumo_Inicial!T10</f>
        <v>66766.564360000004</v>
      </c>
      <c r="U10" s="8">
        <f>Renta_Alta!U10+Masivo!U10+Consumo_Inicial!U10</f>
        <v>67221.778600000005</v>
      </c>
      <c r="V10" s="8">
        <f>Renta_Alta!V10+Masivo!V10+Consumo_Inicial!V10</f>
        <v>71116.511090000015</v>
      </c>
      <c r="W10" s="8">
        <f>Renta_Alta!W10+Masivo!W10+Consumo_Inicial!W10</f>
        <v>77916.505720000016</v>
      </c>
      <c r="X10" s="8">
        <f>Renta_Alta!X10+Masivo!X10+Consumo_Inicial!X10</f>
        <v>81413.519390000016</v>
      </c>
      <c r="Y10" s="8">
        <f>Renta_Alta!Y10+Masivo!Y10+Consumo_Inicial!Y10</f>
        <v>82707.448099999994</v>
      </c>
      <c r="Z10" s="8">
        <f>Renta_Alta!Z10+Masivo!Z10+Consumo_Inicial!Z10</f>
        <v>81173.438620000001</v>
      </c>
      <c r="AA10" s="8">
        <f>Renta_Alta!AA10+Masivo!AA10+Consumo_Inicial!AA10</f>
        <v>91003.55713999999</v>
      </c>
      <c r="AB10" s="8">
        <f>Renta_Alta!AB10+Masivo!AB10+Consumo_Inicial!AB10</f>
        <v>89814.192540000004</v>
      </c>
      <c r="AC10" s="8">
        <f>Renta_Alta!AC10+Masivo!AC10+Consumo_Inicial!AC10</f>
        <v>89151.668239999999</v>
      </c>
      <c r="AD10" s="8">
        <f>Renta_Alta!AD10+Masivo!AD10+Consumo_Inicial!AD10</f>
        <v>91973.851760000005</v>
      </c>
      <c r="AE10" s="8">
        <f>Renta_Alta!AE10+Masivo!AE10+Consumo_Inicial!AE10</f>
        <v>90731.792600000001</v>
      </c>
      <c r="AF10" s="8">
        <f>Renta_Alta!AF10+Masivo!AF10+Consumo_Inicial!AF10</f>
        <v>92392.453339999993</v>
      </c>
      <c r="AG10" s="8">
        <f>Renta_Alta!AG10+Masivo!AG10+Consumo_Inicial!AG10</f>
        <v>94874.544039999979</v>
      </c>
      <c r="AH10" s="8">
        <f>Renta_Alta!AH10+Masivo!AH10+Consumo_Inicial!AH10</f>
        <v>94603.502690000008</v>
      </c>
      <c r="AI10" s="8">
        <f>Renta_Alta!AI10+Masivo!AI10+Consumo_Inicial!AI10</f>
        <v>98682.503129999997</v>
      </c>
      <c r="AJ10" s="8">
        <f>Renta_Alta!AJ10+Masivo!AJ10+Consumo_Inicial!AJ10</f>
        <v>104428.19696999998</v>
      </c>
      <c r="AK10" s="8">
        <f>Renta_Alta!AK10+Masivo!AK10+Consumo_Inicial!AK10</f>
        <v>113299.23358</v>
      </c>
      <c r="AL10" s="8">
        <f>Renta_Alta!AL10+Masivo!AL10+Consumo_Inicial!AL10</f>
        <v>115314.55829000002</v>
      </c>
      <c r="AM10" s="8">
        <f>Renta_Alta!AM10+Masivo!AM10+Consumo_Inicial!AM10</f>
        <v>117509.96374000002</v>
      </c>
      <c r="AN10" s="8">
        <f>Renta_Alta!AN10+Masivo!AN10+Consumo_Inicial!AN10</f>
        <v>121321.53000000001</v>
      </c>
      <c r="AO10" s="8">
        <f>Renta_Alta!AO10+Masivo!AO10+Consumo_Inicial!AO10</f>
        <v>121589.26999999999</v>
      </c>
      <c r="AP10" s="8">
        <f>Renta_Alta!AP10+Masivo!AP10+Consumo_Inicial!AP10</f>
        <v>118710.40999999999</v>
      </c>
      <c r="AQ10" s="8">
        <f>Renta_Alta!AQ10+Masivo!AQ10+Consumo_Inicial!AQ10</f>
        <v>118196.06991999997</v>
      </c>
      <c r="AR10" s="8">
        <f>Renta_Alta!AR10+Masivo!AR10+Consumo_Inicial!AR10</f>
        <v>118475.51559</v>
      </c>
      <c r="AS10" s="8">
        <f>Renta_Alta!AS10+Masivo!AS10+Consumo_Inicial!AS10</f>
        <v>114331.61092999998</v>
      </c>
      <c r="AT10" s="8">
        <f>Renta_Alta!AT10+Masivo!AT10+Consumo_Inicial!AT10</f>
        <v>0</v>
      </c>
      <c r="AU10" s="8">
        <f>Renta_Alta!AU10+Masivo!AU10+Consumo_Inicial!AU10</f>
        <v>0</v>
      </c>
      <c r="AV10" s="8">
        <f>Renta_Alta!AV10+Masivo!AV10+Consumo_Inicial!AV10</f>
        <v>0</v>
      </c>
      <c r="AW10" s="8">
        <f>Renta_Alta!AW10+Masivo!AW10+Consumo_Inicial!AW10</f>
        <v>0</v>
      </c>
      <c r="AX10" s="8">
        <f>Renta_Alta!AX10+Masivo!AX10+Consumo_Inicial!AX10</f>
        <v>0</v>
      </c>
      <c r="AY10" s="8">
        <f>Renta_Alta!AY10+Masivo!AY10+Consumo_Inicial!AY10</f>
        <v>0</v>
      </c>
      <c r="AZ10" s="8">
        <f>Renta_Alta!AZ10+Masivo!AZ10+Consumo_Inicial!AZ10</f>
        <v>118256.64508670228</v>
      </c>
      <c r="BA10" s="8">
        <f>Renta_Alta!BA10+Masivo!BA10+Consumo_Inicial!BA10</f>
        <v>115818.62028996334</v>
      </c>
      <c r="BB10" s="8">
        <f>Renta_Alta!BB10+Masivo!BB10+Consumo_Inicial!BB10</f>
        <v>113938.40893380516</v>
      </c>
      <c r="BC10" s="8">
        <f>Renta_Alta!BC10+Masivo!BC10+Consumo_Inicial!BC10</f>
        <v>111183.5894620188</v>
      </c>
      <c r="BD10" s="8">
        <f>Renta_Alta!BD10+Masivo!BD10+Consumo_Inicial!BD10</f>
        <v>110380.99000103529</v>
      </c>
      <c r="BE10" s="8">
        <f>Renta_Alta!BE10+Masivo!BE10+Consumo_Inicial!BE10</f>
        <v>109612.26918172599</v>
      </c>
      <c r="BF10" s="8">
        <f>Renta_Alta!BF10+Masivo!BF10+Consumo_Inicial!BF10</f>
        <v>108398.50850060025</v>
      </c>
      <c r="BG10" s="8">
        <f>Renta_Alta!BG10+Masivo!BG10+Consumo_Inicial!BG10</f>
        <v>108987.76569126234</v>
      </c>
      <c r="BH10" s="8">
        <f>Renta_Alta!BH10+Masivo!BH10+Consumo_Inicial!BH10</f>
        <v>108051.32541008767</v>
      </c>
      <c r="BI10" s="8">
        <f>Renta_Alta!BI10+Masivo!BI10+Consumo_Inicial!BI10</f>
        <v>107771.56773515043</v>
      </c>
      <c r="BJ10" s="8">
        <f>Renta_Alta!BJ10+Masivo!BJ10+Consumo_Inicial!BJ10</f>
        <v>107778.95621972223</v>
      </c>
      <c r="BK10" s="8">
        <f>Renta_Alta!BK10+Masivo!BK10+Consumo_Inicial!BK10</f>
        <v>107955.09082894631</v>
      </c>
      <c r="BO10" s="24">
        <f t="shared" si="4"/>
        <v>118475.51559</v>
      </c>
      <c r="BP10" s="24">
        <f t="shared" si="6"/>
        <v>110380.99000103529</v>
      </c>
      <c r="BQ10" s="24">
        <f t="shared" si="5"/>
        <v>118196.06991999997</v>
      </c>
      <c r="BR10" s="24">
        <f t="shared" si="5"/>
        <v>92392.453339999993</v>
      </c>
      <c r="BS10" s="24">
        <f t="shared" si="5"/>
        <v>66766.564360000004</v>
      </c>
      <c r="BT10" s="24">
        <f t="shared" si="5"/>
        <v>67763.653459999987</v>
      </c>
    </row>
    <row r="11" spans="1:81" x14ac:dyDescent="0.25">
      <c r="C11" s="3" t="s">
        <v>2</v>
      </c>
      <c r="D11" s="10">
        <f>SUM(D8:D10)</f>
        <v>4780954.0761279985</v>
      </c>
      <c r="E11" s="10">
        <f t="shared" ref="E11:AY11" si="7">SUM(E8:E10)</f>
        <v>4850962.45623626</v>
      </c>
      <c r="F11" s="10">
        <f t="shared" si="7"/>
        <v>4931010.4050942184</v>
      </c>
      <c r="G11" s="10">
        <f t="shared" si="7"/>
        <v>4976826.1235200008</v>
      </c>
      <c r="H11" s="10">
        <f t="shared" si="7"/>
        <v>5036099.882389999</v>
      </c>
      <c r="I11" s="10">
        <f t="shared" si="7"/>
        <v>5095415.6338984007</v>
      </c>
      <c r="J11" s="10">
        <f t="shared" si="7"/>
        <v>5141695.4383108784</v>
      </c>
      <c r="K11" s="10">
        <f t="shared" si="7"/>
        <v>5214070.3717242498</v>
      </c>
      <c r="L11" s="10">
        <f t="shared" si="7"/>
        <v>5261050.7314269794</v>
      </c>
      <c r="M11" s="10">
        <f t="shared" si="7"/>
        <v>5320680.9982791813</v>
      </c>
      <c r="N11" s="10">
        <f t="shared" si="7"/>
        <v>5376200.0444544805</v>
      </c>
      <c r="O11" s="10">
        <f t="shared" si="7"/>
        <v>5395659.8587317197</v>
      </c>
      <c r="P11" s="10">
        <f t="shared" si="7"/>
        <v>5449089.7223259583</v>
      </c>
      <c r="Q11" s="10">
        <f t="shared" si="7"/>
        <v>5514556.3829535991</v>
      </c>
      <c r="R11" s="10">
        <f t="shared" si="7"/>
        <v>5585080.251613819</v>
      </c>
      <c r="S11" s="10">
        <f t="shared" si="7"/>
        <v>5681432.1515044207</v>
      </c>
      <c r="T11" s="10">
        <f t="shared" si="7"/>
        <v>5773595.0403503999</v>
      </c>
      <c r="U11" s="10">
        <f t="shared" si="7"/>
        <v>5842996.3123514997</v>
      </c>
      <c r="V11" s="10">
        <f t="shared" si="7"/>
        <v>5921439.9424279993</v>
      </c>
      <c r="W11" s="10">
        <f t="shared" si="7"/>
        <v>5955544.3047049996</v>
      </c>
      <c r="X11" s="10">
        <f t="shared" si="7"/>
        <v>5961448.7946374007</v>
      </c>
      <c r="Y11" s="10">
        <f t="shared" si="7"/>
        <v>5937595.4207762992</v>
      </c>
      <c r="Z11" s="10">
        <f t="shared" si="7"/>
        <v>5865247.5071009714</v>
      </c>
      <c r="AA11" s="10">
        <f t="shared" si="7"/>
        <v>5801009.9402491003</v>
      </c>
      <c r="AB11" s="10">
        <f t="shared" si="7"/>
        <v>5764109.9795646006</v>
      </c>
      <c r="AC11" s="10">
        <f t="shared" si="7"/>
        <v>5750585.5235748999</v>
      </c>
      <c r="AD11" s="10">
        <f t="shared" si="7"/>
        <v>5740966.5725019993</v>
      </c>
      <c r="AE11" s="10">
        <f t="shared" si="7"/>
        <v>5751473.0514873005</v>
      </c>
      <c r="AF11" s="10">
        <f t="shared" si="7"/>
        <v>5763798.5381008005</v>
      </c>
      <c r="AG11" s="10">
        <f t="shared" si="7"/>
        <v>5781778.8448507003</v>
      </c>
      <c r="AH11" s="10">
        <f t="shared" si="7"/>
        <v>5808614.3847738905</v>
      </c>
      <c r="AI11" s="10">
        <f t="shared" si="7"/>
        <v>5846745.0941632995</v>
      </c>
      <c r="AJ11" s="10">
        <f t="shared" si="7"/>
        <v>5860864.7084349003</v>
      </c>
      <c r="AK11" s="10">
        <f t="shared" si="7"/>
        <v>5827512.1787951002</v>
      </c>
      <c r="AL11" s="10">
        <f t="shared" si="7"/>
        <v>5779277.3203080995</v>
      </c>
      <c r="AM11" s="10">
        <f t="shared" si="7"/>
        <v>5725321.6027344996</v>
      </c>
      <c r="AN11" s="10">
        <f t="shared" si="7"/>
        <v>5705090.8200000003</v>
      </c>
      <c r="AO11" s="10">
        <f t="shared" si="7"/>
        <v>5659441.5399999991</v>
      </c>
      <c r="AP11" s="10">
        <f t="shared" si="7"/>
        <v>5673571.46</v>
      </c>
      <c r="AQ11" s="10">
        <f t="shared" si="7"/>
        <v>5695772.5417802008</v>
      </c>
      <c r="AR11" s="10">
        <f t="shared" si="7"/>
        <v>5708767.1532327402</v>
      </c>
      <c r="AS11" s="10">
        <f t="shared" si="7"/>
        <v>5729955.0562083973</v>
      </c>
      <c r="AT11" s="10">
        <f t="shared" si="7"/>
        <v>0</v>
      </c>
      <c r="AU11" s="10">
        <f t="shared" si="7"/>
        <v>0</v>
      </c>
      <c r="AV11" s="10">
        <f t="shared" si="7"/>
        <v>0</v>
      </c>
      <c r="AW11" s="10">
        <f t="shared" si="7"/>
        <v>0</v>
      </c>
      <c r="AX11" s="10">
        <f t="shared" si="7"/>
        <v>0</v>
      </c>
      <c r="AY11" s="10">
        <f t="shared" si="7"/>
        <v>0</v>
      </c>
      <c r="AZ11" s="10">
        <f t="shared" ref="AZ11" si="8">SUM(AZ8:AZ10)</f>
        <v>5946181.5927359192</v>
      </c>
      <c r="BA11" s="10">
        <f t="shared" ref="BA11" si="9">SUM(BA8:BA10)</f>
        <v>5964284.8093260676</v>
      </c>
      <c r="BB11" s="10">
        <f t="shared" ref="BB11" si="10">SUM(BB8:BB10)</f>
        <v>5999599.0371595304</v>
      </c>
      <c r="BC11" s="10">
        <f t="shared" ref="BC11" si="11">SUM(BC8:BC10)</f>
        <v>6021580.8095917199</v>
      </c>
      <c r="BD11" s="10">
        <f t="shared" ref="BD11" si="12">SUM(BD8:BD10)</f>
        <v>6043907.1626858497</v>
      </c>
      <c r="BE11" s="10">
        <f t="shared" ref="BE11" si="13">SUM(BE8:BE10)</f>
        <v>6073724.5014593713</v>
      </c>
      <c r="BF11" s="10">
        <f t="shared" ref="BF11" si="14">SUM(BF8:BF10)</f>
        <v>6103604.5762321055</v>
      </c>
      <c r="BG11" s="10">
        <f t="shared" ref="BG11" si="15">SUM(BG8:BG10)</f>
        <v>6132821.2517646076</v>
      </c>
      <c r="BH11" s="10">
        <f t="shared" ref="BH11" si="16">SUM(BH8:BH10)</f>
        <v>6172476.6066302238</v>
      </c>
      <c r="BI11" s="10">
        <f t="shared" ref="BI11" si="17">SUM(BI8:BI10)</f>
        <v>6201486.0913315704</v>
      </c>
      <c r="BJ11" s="10">
        <f t="shared" ref="BJ11" si="18">SUM(BJ8:BJ10)</f>
        <v>6230074.6875770651</v>
      </c>
      <c r="BK11" s="10">
        <f t="shared" ref="BK11" si="19">SUM(BK8:BK10)</f>
        <v>6251792.6951233344</v>
      </c>
      <c r="BO11" s="23">
        <f>SUM(BO8:BO10)</f>
        <v>5708767.1532327402</v>
      </c>
      <c r="BP11" s="23">
        <f>SUM(BP8:BP10)</f>
        <v>6043907.1626858497</v>
      </c>
      <c r="BQ11" s="23">
        <f t="shared" ref="BQ11:BT11" si="20">SUM(BQ8:BQ10)</f>
        <v>5695772.5417802008</v>
      </c>
      <c r="BR11" s="23">
        <f t="shared" si="20"/>
        <v>5763798.5381008005</v>
      </c>
      <c r="BS11" s="23">
        <f t="shared" si="20"/>
        <v>5773595.0403503999</v>
      </c>
      <c r="BT11" s="23">
        <f t="shared" si="20"/>
        <v>5036099.882389999</v>
      </c>
    </row>
    <row r="12" spans="1:81" x14ac:dyDescent="0.25">
      <c r="D12" s="9"/>
    </row>
    <row r="14" spans="1:81" outlineLevel="1" x14ac:dyDescent="0.25">
      <c r="A14" s="11" t="s">
        <v>52</v>
      </c>
      <c r="C14" s="2" t="s">
        <v>0</v>
      </c>
      <c r="D14" s="8">
        <f>Renta_Alta!D14+Masivo!D14+Consumo_Inicial!D14</f>
        <v>4629670.7680456899</v>
      </c>
      <c r="E14" s="8">
        <f>Renta_Alta!E14+Masivo!E14+Consumo_Inicial!E14</f>
        <v>4705225.2920974204</v>
      </c>
      <c r="F14" s="8">
        <f>Renta_Alta!F14+Masivo!F14+Consumo_Inicial!F14</f>
        <v>4769089.5304900007</v>
      </c>
      <c r="G14" s="8">
        <f>Renta_Alta!G14+Masivo!G14+Consumo_Inicial!G14</f>
        <v>4833539.3344806805</v>
      </c>
      <c r="H14" s="8">
        <f>Renta_Alta!H14+Masivo!H14+Consumo_Inicial!H14</f>
        <v>4884943.9586126395</v>
      </c>
      <c r="I14" s="8">
        <f>Renta_Alta!I14+Masivo!I14+Consumo_Inicial!I14</f>
        <v>4948509.1141815009</v>
      </c>
      <c r="J14" s="8">
        <f>Renta_Alta!J14+Masivo!J14+Consumo_Inicial!J14</f>
        <v>5003780.5132038398</v>
      </c>
      <c r="K14" s="8">
        <f>Renta_Alta!K14+Masivo!K14+Consumo_Inicial!K14</f>
        <v>5059584.0614163196</v>
      </c>
      <c r="L14" s="8">
        <f>Renta_Alta!L14+Masivo!L14+Consumo_Inicial!L14</f>
        <v>5118171.3558077002</v>
      </c>
      <c r="M14" s="8">
        <f>Renta_Alta!M14+Masivo!M14+Consumo_Inicial!M14</f>
        <v>5173409.8545437502</v>
      </c>
      <c r="N14" s="8">
        <f>Renta_Alta!N14+Masivo!N14+Consumo_Inicial!N14</f>
        <v>5233828.2707724003</v>
      </c>
      <c r="O14" s="8">
        <f>Renta_Alta!O14+Masivo!O14+Consumo_Inicial!O14</f>
        <v>5272596.8195764301</v>
      </c>
      <c r="P14" s="8">
        <f>Renta_Alta!P14+Masivo!P14+Consumo_Inicial!P14</f>
        <v>5302018.7746449597</v>
      </c>
      <c r="Q14" s="8">
        <f>Renta_Alta!Q14+Masivo!Q14+Consumo_Inicial!Q14</f>
        <v>5365088.5493870396</v>
      </c>
      <c r="R14" s="8">
        <f>Renta_Alta!R14+Masivo!R14+Consumo_Inicial!R14</f>
        <v>5442341.8632078497</v>
      </c>
      <c r="S14" s="8">
        <f>Renta_Alta!S14+Masivo!S14+Consumo_Inicial!S14</f>
        <v>5529592.7332181204</v>
      </c>
      <c r="T14" s="8">
        <f>Renta_Alta!T14+Masivo!T14+Consumo_Inicial!T14</f>
        <v>5605866.7655894002</v>
      </c>
      <c r="U14" s="8">
        <f>Renta_Alta!U14+Masivo!U14+Consumo_Inicial!U14</f>
        <v>5691107.5427086083</v>
      </c>
      <c r="V14" s="8">
        <f>Renta_Alta!V14+Masivo!V14+Consumo_Inicial!V14</f>
        <v>5767874.3459542999</v>
      </c>
      <c r="W14" s="8">
        <f>Renta_Alta!W14+Masivo!W14+Consumo_Inicial!W14</f>
        <v>5810766.2510816008</v>
      </c>
      <c r="X14" s="8">
        <f>Renta_Alta!X14+Masivo!X14+Consumo_Inicial!X14</f>
        <v>5826131.2015853003</v>
      </c>
      <c r="Y14" s="8">
        <f>Renta_Alta!Y14+Masivo!Y14+Consumo_Inicial!Y14</f>
        <v>5624113.8223941997</v>
      </c>
      <c r="Z14" s="8">
        <f>Renta_Alta!Z14+Masivo!Z14+Consumo_Inicial!Z14</f>
        <v>5769295.0498603005</v>
      </c>
      <c r="AA14" s="8">
        <f>Renta_Alta!AA14+Masivo!AA14+Consumo_Inicial!AA14</f>
        <v>5702468.6487793</v>
      </c>
      <c r="AB14" s="8">
        <f>Renta_Alta!AB14+Masivo!AB14+Consumo_Inicial!AB14</f>
        <v>5634742.8795401007</v>
      </c>
      <c r="AC14" s="8">
        <f>Renta_Alta!AC14+Masivo!AC14+Consumo_Inicial!AC14</f>
        <v>5606362.3260770002</v>
      </c>
      <c r="AD14" s="8">
        <f>Renta_Alta!AD14+Masivo!AD14+Consumo_Inicial!AD14</f>
        <v>5597839.9065538999</v>
      </c>
      <c r="AE14" s="8">
        <f>Renta_Alta!AE14+Masivo!AE14+Consumo_Inicial!AE14</f>
        <v>5578481.1501013003</v>
      </c>
      <c r="AF14" s="8">
        <f>Renta_Alta!AF14+Masivo!AF14+Consumo_Inicial!AF14</f>
        <v>5598131.9612609986</v>
      </c>
      <c r="AG14" s="8">
        <f>Renta_Alta!AG14+Masivo!AG14+Consumo_Inicial!AG14</f>
        <v>5608738.8051285995</v>
      </c>
      <c r="AH14" s="8">
        <f>Renta_Alta!AH14+Masivo!AH14+Consumo_Inicial!AH14</f>
        <v>5635063.0068868594</v>
      </c>
      <c r="AI14" s="8">
        <f>Renta_Alta!AI14+Masivo!AI14+Consumo_Inicial!AI14</f>
        <v>5662374.6721899994</v>
      </c>
      <c r="AJ14" s="8">
        <f>Renta_Alta!AJ14+Masivo!AJ14+Consumo_Inicial!AJ14</f>
        <v>5681576.4281465989</v>
      </c>
      <c r="AK14" s="8">
        <f>Renta_Alta!AK14+Masivo!AK14+Consumo_Inicial!AK14</f>
        <v>5662251.6174851004</v>
      </c>
      <c r="AL14" s="8">
        <f>Renta_Alta!AL14+Masivo!AL14+Consumo_Inicial!AL14</f>
        <v>5617656.2679006997</v>
      </c>
      <c r="AM14" s="8">
        <f>Renta_Alta!AM14+Masivo!AM14+Consumo_Inicial!AM14</f>
        <v>5566748.2920844005</v>
      </c>
      <c r="AN14" s="8">
        <f>Renta_Alta!AN14+Masivo!AN14+Consumo_Inicial!AN14</f>
        <v>5515232.6699999999</v>
      </c>
      <c r="AO14" s="8">
        <f>Renta_Alta!AO14+Masivo!AO14+Consumo_Inicial!AO14</f>
        <v>5486130.4800000004</v>
      </c>
      <c r="AP14" s="8">
        <f>Renta_Alta!AP14+Masivo!AP14+Consumo_Inicial!AP14</f>
        <v>5483597.2800000003</v>
      </c>
      <c r="AQ14" s="8">
        <f>Renta_Alta!AQ14+Masivo!AQ14+Consumo_Inicial!AQ14</f>
        <v>5500202.1718746684</v>
      </c>
      <c r="AR14" s="8">
        <f>Renta_Alta!AR14+Masivo!AR14+Consumo_Inicial!AR14</f>
        <v>5520303.6173795313</v>
      </c>
      <c r="AS14" s="8">
        <f>Renta_Alta!AS14+Masivo!AS14+Consumo_Inicial!AS14</f>
        <v>5543462.2162067983</v>
      </c>
      <c r="AT14" s="8">
        <f>Renta_Alta!AT14+Masivo!AT14+Consumo_Inicial!AT14</f>
        <v>0</v>
      </c>
      <c r="AU14" s="8">
        <f>Renta_Alta!AU14+Masivo!AU14+Consumo_Inicial!AU14</f>
        <v>0</v>
      </c>
      <c r="AV14" s="8">
        <f>Renta_Alta!AV14+Masivo!AV14+Consumo_Inicial!AV14</f>
        <v>0</v>
      </c>
      <c r="AW14" s="8">
        <f>Renta_Alta!AW14+Masivo!AW14+Consumo_Inicial!AW14</f>
        <v>0</v>
      </c>
      <c r="AX14" s="8">
        <f>Renta_Alta!AX14+Masivo!AX14+Consumo_Inicial!AX14</f>
        <v>0</v>
      </c>
      <c r="AY14" s="8">
        <f>Renta_Alta!AY14+Masivo!AY14+Consumo_Inicial!AY14</f>
        <v>0</v>
      </c>
      <c r="AZ14" s="8">
        <f>Renta_Alta!AZ14+Masivo!AZ14+Consumo_Inicial!AZ14</f>
        <v>5755020.9672105452</v>
      </c>
      <c r="BA14" s="8">
        <f>Renta_Alta!BA14+Masivo!BA14+Consumo_Inicial!BA14</f>
        <v>5775290.7503437484</v>
      </c>
      <c r="BB14" s="8">
        <f>Renta_Alta!BB14+Masivo!BB14+Consumo_Inicial!BB14</f>
        <v>5810880.149360341</v>
      </c>
      <c r="BC14" s="8">
        <f>Renta_Alta!BC14+Masivo!BC14+Consumo_Inicial!BC14</f>
        <v>5835930.6500464287</v>
      </c>
      <c r="BD14" s="8">
        <f>Renta_Alta!BD14+Masivo!BD14+Consumo_Inicial!BD14</f>
        <v>5858551.1445279988</v>
      </c>
      <c r="BE14" s="8">
        <f>Renta_Alta!BE14+Masivo!BE14+Consumo_Inicial!BE14</f>
        <v>5887258.7597308801</v>
      </c>
      <c r="BF14" s="8">
        <f>Renta_Alta!BF14+Masivo!BF14+Consumo_Inicial!BF14</f>
        <v>5917926.579227889</v>
      </c>
      <c r="BG14" s="8">
        <f>Renta_Alta!BG14+Masivo!BG14+Consumo_Inicial!BG14</f>
        <v>5947294.7688565217</v>
      </c>
      <c r="BH14" s="8">
        <f>Renta_Alta!BH14+Masivo!BH14+Consumo_Inicial!BH14</f>
        <v>5986220.8886758983</v>
      </c>
      <c r="BI14" s="8">
        <f>Renta_Alta!BI14+Masivo!BI14+Consumo_Inicial!BI14</f>
        <v>6016278.448561281</v>
      </c>
      <c r="BJ14" s="8">
        <f>Renta_Alta!BJ14+Masivo!BJ14+Consumo_Inicial!BJ14</f>
        <v>6044497.6263858527</v>
      </c>
      <c r="BK14" s="8">
        <f>Renta_Alta!BK14+Masivo!BK14+Consumo_Inicial!BK14</f>
        <v>6065753.2784600323</v>
      </c>
      <c r="BO14" s="24">
        <f t="shared" ref="BO14:BT16" si="21">IFERROR(AVERAGEIFS($D14:$BM14,$D$6:$BM$6,"&gt;="&amp;BO$2,$D$6:$BM$6,"&lt;="&amp;BO$6,$D$5:$BM$5,BO$5,$D14:$BM14,"&lt;&gt;0"),0)</f>
        <v>5501093.2438508403</v>
      </c>
      <c r="BP14" s="24">
        <f t="shared" si="21"/>
        <v>5807134.7322978117</v>
      </c>
      <c r="BQ14" s="24">
        <f t="shared" si="21"/>
        <v>5496290.650468667</v>
      </c>
      <c r="BR14" s="24">
        <f t="shared" si="21"/>
        <v>5603111.6447066609</v>
      </c>
      <c r="BS14" s="24">
        <f t="shared" si="21"/>
        <v>5448981.7372094737</v>
      </c>
      <c r="BT14" s="24">
        <f t="shared" si="21"/>
        <v>4764493.7767452858</v>
      </c>
      <c r="BW14" s="24">
        <f t="shared" ref="BW14:CB16" si="22">SUMIFS($D14:$BM14,$D$6:$BM$6,"&gt;="&amp;BO$2,$D$6:$BM$6,"&lt;="&amp;BO$6,$D$5:$BM$5,BO$5)</f>
        <v>27505466.219254199</v>
      </c>
      <c r="BX14" s="24">
        <f t="shared" si="22"/>
        <v>29035673.661489058</v>
      </c>
      <c r="BY14" s="24">
        <f t="shared" si="22"/>
        <v>21985162.601874668</v>
      </c>
      <c r="BZ14" s="24">
        <f t="shared" si="22"/>
        <v>28015558.223533303</v>
      </c>
      <c r="CA14" s="24">
        <f t="shared" si="22"/>
        <v>27244908.686047368</v>
      </c>
      <c r="CB14" s="24">
        <f t="shared" si="22"/>
        <v>23822468.883726429</v>
      </c>
    </row>
    <row r="15" spans="1:81" outlineLevel="1" x14ac:dyDescent="0.25">
      <c r="A15" s="11" t="s">
        <v>52</v>
      </c>
      <c r="C15" s="2" t="s">
        <v>1</v>
      </c>
      <c r="D15" s="8">
        <f>Renta_Alta!D15+Masivo!D15+Consumo_Inicial!D15</f>
        <v>28843.465090000002</v>
      </c>
      <c r="E15" s="8">
        <f>Renta_Alta!E15+Masivo!E15+Consumo_Inicial!E15</f>
        <v>28777.059279999998</v>
      </c>
      <c r="F15" s="8">
        <f>Renta_Alta!F15+Masivo!F15+Consumo_Inicial!F15</f>
        <v>29102.630529999999</v>
      </c>
      <c r="G15" s="8">
        <f>Renta_Alta!G15+Masivo!G15+Consumo_Inicial!G15</f>
        <v>29302.208150000002</v>
      </c>
      <c r="H15" s="8">
        <f>Renta_Alta!H15+Masivo!H15+Consumo_Inicial!H15</f>
        <v>28758.026289999998</v>
      </c>
      <c r="I15" s="8">
        <f>Renta_Alta!I15+Masivo!I15+Consumo_Inicial!I15</f>
        <v>29379.684709999998</v>
      </c>
      <c r="J15" s="8">
        <f>Renta_Alta!J15+Masivo!J15+Consumo_Inicial!J15</f>
        <v>29306.466740000003</v>
      </c>
      <c r="K15" s="8">
        <f>Renta_Alta!K15+Masivo!K15+Consumo_Inicial!K15</f>
        <v>28998.534990000004</v>
      </c>
      <c r="L15" s="8">
        <f>Renta_Alta!L15+Masivo!L15+Consumo_Inicial!L15</f>
        <v>28141.876770000003</v>
      </c>
      <c r="M15" s="8">
        <f>Renta_Alta!M15+Masivo!M15+Consumo_Inicial!M15</f>
        <v>27389.625819999997</v>
      </c>
      <c r="N15" s="8">
        <f>Renta_Alta!N15+Masivo!N15+Consumo_Inicial!N15</f>
        <v>26789.759259999999</v>
      </c>
      <c r="O15" s="8">
        <f>Renta_Alta!O15+Masivo!O15+Consumo_Inicial!O15</f>
        <v>27137.573829999998</v>
      </c>
      <c r="P15" s="8">
        <f>Renta_Alta!P15+Masivo!P15+Consumo_Inicial!P15</f>
        <v>26757.110380000006</v>
      </c>
      <c r="Q15" s="8">
        <f>Renta_Alta!Q15+Masivo!Q15+Consumo_Inicial!Q15</f>
        <v>25972.241119999999</v>
      </c>
      <c r="R15" s="8">
        <f>Renta_Alta!R15+Masivo!R15+Consumo_Inicial!R15</f>
        <v>24644.170310000001</v>
      </c>
      <c r="S15" s="8">
        <f>Renta_Alta!S15+Masivo!S15+Consumo_Inicial!S15</f>
        <v>23941.679560000004</v>
      </c>
      <c r="T15" s="8">
        <f>Renta_Alta!T15+Masivo!T15+Consumo_Inicial!T15</f>
        <v>23089.442430000003</v>
      </c>
      <c r="U15" s="8">
        <f>Renta_Alta!U15+Masivo!U15+Consumo_Inicial!U15</f>
        <v>22334.694769999998</v>
      </c>
      <c r="V15" s="8">
        <f>Renta_Alta!V15+Masivo!V15+Consumo_Inicial!V15</f>
        <v>21097.413710000001</v>
      </c>
      <c r="W15" s="8">
        <f>Renta_Alta!W15+Masivo!W15+Consumo_Inicial!W15</f>
        <v>20418.316750000002</v>
      </c>
      <c r="X15" s="8">
        <f>Renta_Alta!X15+Masivo!X15+Consumo_Inicial!X15</f>
        <v>19804.348939999996</v>
      </c>
      <c r="Y15" s="8">
        <f>Renta_Alta!Y15+Masivo!Y15+Consumo_Inicial!Y15</f>
        <v>19235.298290000002</v>
      </c>
      <c r="Z15" s="8">
        <f>Renta_Alta!Z15+Masivo!Z15+Consumo_Inicial!Z15</f>
        <v>20223.039189999996</v>
      </c>
      <c r="AA15" s="8">
        <f>Renta_Alta!AA15+Masivo!AA15+Consumo_Inicial!AA15</f>
        <v>21104.42945</v>
      </c>
      <c r="AB15" s="8">
        <f>Renta_Alta!AB15+Masivo!AB15+Consumo_Inicial!AB15</f>
        <v>21603.313030000001</v>
      </c>
      <c r="AC15" s="8">
        <f>Renta_Alta!AC15+Masivo!AC15+Consumo_Inicial!AC15</f>
        <v>22721.029570000002</v>
      </c>
      <c r="AD15" s="8">
        <f>Renta_Alta!AD15+Masivo!AD15+Consumo_Inicial!AD15</f>
        <v>23871.130239999999</v>
      </c>
      <c r="AE15" s="8">
        <f>Renta_Alta!AE15+Masivo!AE15+Consumo_Inicial!AE15</f>
        <v>25229.133689999999</v>
      </c>
      <c r="AF15" s="8">
        <f>Renta_Alta!AF15+Masivo!AF15+Consumo_Inicial!AF15</f>
        <v>27162.267830000001</v>
      </c>
      <c r="AG15" s="8">
        <f>Renta_Alta!AG15+Masivo!AG15+Consumo_Inicial!AG15</f>
        <v>28180.224190000001</v>
      </c>
      <c r="AH15" s="8">
        <f>Renta_Alta!AH15+Masivo!AH15+Consumo_Inicial!AH15</f>
        <v>29599.72395</v>
      </c>
      <c r="AI15" s="8">
        <f>Renta_Alta!AI15+Masivo!AI15+Consumo_Inicial!AI15</f>
        <v>29447.096600000001</v>
      </c>
      <c r="AJ15" s="8">
        <f>Renta_Alta!AJ15+Masivo!AJ15+Consumo_Inicial!AJ15</f>
        <v>29082.908209999998</v>
      </c>
      <c r="AK15" s="8">
        <f>Renta_Alta!AK15+Masivo!AK15+Consumo_Inicial!AK15</f>
        <v>29037.332900000001</v>
      </c>
      <c r="AL15" s="8">
        <f>Renta_Alta!AL15+Masivo!AL15+Consumo_Inicial!AL15</f>
        <v>29424.055130000001</v>
      </c>
      <c r="AM15" s="8">
        <f>Renta_Alta!AM15+Masivo!AM15+Consumo_Inicial!AM15</f>
        <v>30095.091429999997</v>
      </c>
      <c r="AN15" s="8">
        <f>Renta_Alta!AN15+Masivo!AN15+Consumo_Inicial!AN15</f>
        <v>30361.8</v>
      </c>
      <c r="AO15" s="8">
        <f>Renta_Alta!AO15+Masivo!AO15+Consumo_Inicial!AO15</f>
        <v>30010.489999999998</v>
      </c>
      <c r="AP15" s="8">
        <f>Renta_Alta!AP15+Masivo!AP15+Consumo_Inicial!AP15</f>
        <v>29480.79</v>
      </c>
      <c r="AQ15" s="8">
        <f>Renta_Alta!AQ15+Masivo!AQ15+Consumo_Inicial!AQ15</f>
        <v>29285.745649999993</v>
      </c>
      <c r="AR15" s="8">
        <f>Renta_Alta!AR15+Masivo!AR15+Consumo_Inicial!AR15</f>
        <v>28394.212859999996</v>
      </c>
      <c r="AS15" s="8">
        <f>Renta_Alta!AS15+Masivo!AS15+Consumo_Inicial!AS15</f>
        <v>27661.518309999989</v>
      </c>
      <c r="AT15" s="8">
        <f>Renta_Alta!AT15+Masivo!AT15+Consumo_Inicial!AT15</f>
        <v>0</v>
      </c>
      <c r="AU15" s="8">
        <f>Renta_Alta!AU15+Masivo!AU15+Consumo_Inicial!AU15</f>
        <v>0</v>
      </c>
      <c r="AV15" s="8">
        <f>Renta_Alta!AV15+Masivo!AV15+Consumo_Inicial!AV15</f>
        <v>0</v>
      </c>
      <c r="AW15" s="8">
        <f>Renta_Alta!AW15+Masivo!AW15+Consumo_Inicial!AW15</f>
        <v>0</v>
      </c>
      <c r="AX15" s="8">
        <f>Renta_Alta!AX15+Masivo!AX15+Consumo_Inicial!AX15</f>
        <v>0</v>
      </c>
      <c r="AY15" s="8">
        <f>Renta_Alta!AY15+Masivo!AY15+Consumo_Inicial!AY15</f>
        <v>0</v>
      </c>
      <c r="AZ15" s="8">
        <f>Renta_Alta!AZ15+Masivo!AZ15+Consumo_Inicial!AZ15</f>
        <v>29194.543331303259</v>
      </c>
      <c r="BA15" s="8">
        <f>Renta_Alta!BA15+Masivo!BA15+Consumo_Inicial!BA15</f>
        <v>29311.942274585461</v>
      </c>
      <c r="BB15" s="8">
        <f>Renta_Alta!BB15+Masivo!BB15+Consumo_Inicial!BB15</f>
        <v>29460.892028046186</v>
      </c>
      <c r="BC15" s="8">
        <f>Renta_Alta!BC15+Masivo!BC15+Consumo_Inicial!BC15</f>
        <v>30138.590932299918</v>
      </c>
      <c r="BD15" s="8">
        <f>Renta_Alta!BD15+Masivo!BD15+Consumo_Inicial!BD15</f>
        <v>30473.581861679882</v>
      </c>
      <c r="BE15" s="8">
        <f>Renta_Alta!BE15+Masivo!BE15+Consumo_Inicial!BE15</f>
        <v>30929.80835822667</v>
      </c>
      <c r="BF15" s="8">
        <f>Renta_Alta!BF15+Masivo!BF15+Consumo_Inicial!BF15</f>
        <v>31116.401782084686</v>
      </c>
      <c r="BG15" s="8">
        <f>Renta_Alta!BG15+Masivo!BG15+Consumo_Inicial!BG15</f>
        <v>31359.96607127368</v>
      </c>
      <c r="BH15" s="8">
        <f>Renta_Alta!BH15+Masivo!BH15+Consumo_Inicial!BH15</f>
        <v>31508.317878842397</v>
      </c>
      <c r="BI15" s="8">
        <f>Renta_Alta!BI15+Masivo!BI15+Consumo_Inicial!BI15</f>
        <v>31733.216108165449</v>
      </c>
      <c r="BJ15" s="8">
        <f>Renta_Alta!BJ15+Masivo!BJ15+Consumo_Inicial!BJ15</f>
        <v>31880.886986310878</v>
      </c>
      <c r="BK15" s="8">
        <f>Renta_Alta!BK15+Masivo!BK15+Consumo_Inicial!BK15</f>
        <v>32005.543802148146</v>
      </c>
      <c r="BO15" s="24">
        <f t="shared" si="21"/>
        <v>29506.607701999998</v>
      </c>
      <c r="BP15" s="24">
        <f t="shared" si="21"/>
        <v>29715.910085582942</v>
      </c>
      <c r="BQ15" s="24">
        <f t="shared" si="21"/>
        <v>29784.706412499996</v>
      </c>
      <c r="BR15" s="24">
        <f t="shared" si="21"/>
        <v>24117.374872</v>
      </c>
      <c r="BS15" s="24">
        <f t="shared" si="21"/>
        <v>24880.928760000003</v>
      </c>
      <c r="BT15" s="24">
        <f t="shared" si="21"/>
        <v>28956.677867999999</v>
      </c>
      <c r="BW15" s="24">
        <f t="shared" si="22"/>
        <v>147533.03850999998</v>
      </c>
      <c r="BX15" s="24">
        <f t="shared" si="22"/>
        <v>148579.55042791471</v>
      </c>
      <c r="BY15" s="24">
        <f t="shared" si="22"/>
        <v>119138.82564999998</v>
      </c>
      <c r="BZ15" s="24">
        <f t="shared" si="22"/>
        <v>120586.87436</v>
      </c>
      <c r="CA15" s="24">
        <f t="shared" si="22"/>
        <v>124404.64380000002</v>
      </c>
      <c r="CB15" s="24">
        <f t="shared" si="22"/>
        <v>144783.38933999999</v>
      </c>
    </row>
    <row r="16" spans="1:81" outlineLevel="1" x14ac:dyDescent="0.25">
      <c r="A16" s="11" t="s">
        <v>52</v>
      </c>
      <c r="C16" s="2" t="s">
        <v>45</v>
      </c>
      <c r="D16" s="8">
        <f>Renta_Alta!D16+Masivo!D16+Consumo_Inicial!D16</f>
        <v>81065.628570000015</v>
      </c>
      <c r="E16" s="8">
        <f>Renta_Alta!E16+Masivo!E16+Consumo_Inicial!E16</f>
        <v>79227.389989999996</v>
      </c>
      <c r="F16" s="8">
        <f>Renta_Alta!F16+Masivo!F16+Consumo_Inicial!F16</f>
        <v>80124.131680000006</v>
      </c>
      <c r="G16" s="8">
        <f>Renta_Alta!G16+Masivo!G16+Consumo_Inicial!G16</f>
        <v>78310.974749999994</v>
      </c>
      <c r="H16" s="8">
        <f>Renta_Alta!H16+Masivo!H16+Consumo_Inicial!H16</f>
        <v>75534.136790000004</v>
      </c>
      <c r="I16" s="8">
        <f>Renta_Alta!I16+Masivo!I16+Consumo_Inicial!I16</f>
        <v>72466.009159999987</v>
      </c>
      <c r="J16" s="8">
        <f>Renta_Alta!J16+Masivo!J16+Consumo_Inicial!J16</f>
        <v>67677.076079999999</v>
      </c>
      <c r="K16" s="8">
        <f>Renta_Alta!K16+Masivo!K16+Consumo_Inicial!K16</f>
        <v>69255.945359999998</v>
      </c>
      <c r="L16" s="8">
        <f>Renta_Alta!L16+Masivo!L16+Consumo_Inicial!L16</f>
        <v>71158.077829999995</v>
      </c>
      <c r="M16" s="8">
        <f>Renta_Alta!M16+Masivo!M16+Consumo_Inicial!M16</f>
        <v>72114.095149999994</v>
      </c>
      <c r="N16" s="8">
        <f>Renta_Alta!N16+Masivo!N16+Consumo_Inicial!N16</f>
        <v>70324.225839999985</v>
      </c>
      <c r="O16" s="8">
        <f>Renta_Alta!O16+Masivo!O16+Consumo_Inicial!O16</f>
        <v>70568.57882000001</v>
      </c>
      <c r="P16" s="8">
        <f>Renta_Alta!P16+Masivo!P16+Consumo_Inicial!P16</f>
        <v>76789.28349999999</v>
      </c>
      <c r="Q16" s="8">
        <f>Renta_Alta!Q16+Masivo!Q16+Consumo_Inicial!Q16</f>
        <v>76578.055670000002</v>
      </c>
      <c r="R16" s="8">
        <f>Renta_Alta!R16+Masivo!R16+Consumo_Inicial!R16</f>
        <v>73591.259689999992</v>
      </c>
      <c r="S16" s="8">
        <f>Renta_Alta!S16+Masivo!S16+Consumo_Inicial!S16</f>
        <v>76653.875209999998</v>
      </c>
      <c r="T16" s="8">
        <f>Renta_Alta!T16+Masivo!T16+Consumo_Inicial!T16</f>
        <v>74499.61828000001</v>
      </c>
      <c r="U16" s="8">
        <f>Renta_Alta!U16+Masivo!U16+Consumo_Inicial!U16</f>
        <v>71814.33749999998</v>
      </c>
      <c r="V16" s="8">
        <f>Renta_Alta!V16+Masivo!V16+Consumo_Inicial!V16</f>
        <v>73768.456770000004</v>
      </c>
      <c r="W16" s="8">
        <f>Renta_Alta!W16+Masivo!W16+Consumo_Inicial!W16</f>
        <v>80225.649239999999</v>
      </c>
      <c r="X16" s="8">
        <f>Renta_Alta!X16+Masivo!X16+Consumo_Inicial!X16</f>
        <v>87163.223350000015</v>
      </c>
      <c r="Y16" s="8">
        <f>Renta_Alta!Y16+Masivo!Y16+Consumo_Inicial!Y16</f>
        <v>87142.984549999994</v>
      </c>
      <c r="Z16" s="8">
        <f>Renta_Alta!Z16+Masivo!Z16+Consumo_Inicial!Z16</f>
        <v>85541.502260000008</v>
      </c>
      <c r="AA16" s="8">
        <f>Renta_Alta!AA16+Masivo!AA16+Consumo_Inicial!AA16</f>
        <v>91118.237959999999</v>
      </c>
      <c r="AB16" s="8">
        <f>Renta_Alta!AB16+Masivo!AB16+Consumo_Inicial!AB16</f>
        <v>102021.99403</v>
      </c>
      <c r="AC16" s="8">
        <f>Renta_Alta!AC16+Masivo!AC16+Consumo_Inicial!AC16</f>
        <v>94986.464970000001</v>
      </c>
      <c r="AD16" s="8">
        <f>Renta_Alta!AD16+Masivo!AD16+Consumo_Inicial!AD16</f>
        <v>98724.55399</v>
      </c>
      <c r="AE16" s="8">
        <f>Renta_Alta!AE16+Masivo!AE16+Consumo_Inicial!AE16</f>
        <v>99182.555550000005</v>
      </c>
      <c r="AF16" s="8">
        <f>Renta_Alta!AF16+Masivo!AF16+Consumo_Inicial!AF16</f>
        <v>96660.590920000017</v>
      </c>
      <c r="AG16" s="8">
        <f>Renta_Alta!AG16+Masivo!AG16+Consumo_Inicial!AG16</f>
        <v>101028.97473999999</v>
      </c>
      <c r="AH16" s="8">
        <f>Renta_Alta!AH16+Masivo!AH16+Consumo_Inicial!AH16</f>
        <v>100519.50011000001</v>
      </c>
      <c r="AI16" s="8">
        <f>Renta_Alta!AI16+Masivo!AI16+Consumo_Inicial!AI16</f>
        <v>104992.42253999999</v>
      </c>
      <c r="AJ16" s="8">
        <f>Renta_Alta!AJ16+Masivo!AJ16+Consumo_Inicial!AJ16</f>
        <v>109615.66532</v>
      </c>
      <c r="AK16" s="8">
        <f>Renta_Alta!AK16+Masivo!AK16+Consumo_Inicial!AK16</f>
        <v>119209.69656</v>
      </c>
      <c r="AL16" s="8">
        <f>Renta_Alta!AL16+Masivo!AL16+Consumo_Inicial!AL16</f>
        <v>120069.34238000002</v>
      </c>
      <c r="AM16" s="8">
        <f>Renta_Alta!AM16+Masivo!AM16+Consumo_Inicial!AM16</f>
        <v>119640.88290000001</v>
      </c>
      <c r="AN16" s="8">
        <f>Renta_Alta!AN16+Masivo!AN16+Consumo_Inicial!AN16</f>
        <v>130813.76000000001</v>
      </c>
      <c r="AO16" s="8">
        <f>Renta_Alta!AO16+Masivo!AO16+Consumo_Inicial!AO16</f>
        <v>132225.1</v>
      </c>
      <c r="AP16" s="8">
        <f>Renta_Alta!AP16+Masivo!AP16+Consumo_Inicial!AP16</f>
        <v>126235.12</v>
      </c>
      <c r="AQ16" s="8">
        <f>Renta_Alta!AQ16+Masivo!AQ16+Consumo_Inicial!AQ16</f>
        <v>120999.42267999997</v>
      </c>
      <c r="AR16" s="8">
        <f>Renta_Alta!AR16+Masivo!AR16+Consumo_Inicial!AR16</f>
        <v>122191.47714000003</v>
      </c>
      <c r="AS16" s="8">
        <f>Renta_Alta!AS16+Masivo!AS16+Consumo_Inicial!AS16</f>
        <v>123470.29226999996</v>
      </c>
      <c r="AT16" s="8">
        <f>Renta_Alta!AT16+Masivo!AT16+Consumo_Inicial!AT16</f>
        <v>0</v>
      </c>
      <c r="AU16" s="8">
        <f>Renta_Alta!AU16+Masivo!AU16+Consumo_Inicial!AU16</f>
        <v>0</v>
      </c>
      <c r="AV16" s="8">
        <f>Renta_Alta!AV16+Masivo!AV16+Consumo_Inicial!AV16</f>
        <v>0</v>
      </c>
      <c r="AW16" s="8">
        <f>Renta_Alta!AW16+Masivo!AW16+Consumo_Inicial!AW16</f>
        <v>0</v>
      </c>
      <c r="AX16" s="8">
        <f>Renta_Alta!AX16+Masivo!AX16+Consumo_Inicial!AX16</f>
        <v>0</v>
      </c>
      <c r="AY16" s="8">
        <f>Renta_Alta!AY16+Masivo!AY16+Consumo_Inicial!AY16</f>
        <v>0</v>
      </c>
      <c r="AZ16" s="8">
        <f>Renta_Alta!AZ16+Masivo!AZ16+Consumo_Inicial!AZ16</f>
        <v>117369.72024855202</v>
      </c>
      <c r="BA16" s="8">
        <f>Renta_Alta!BA16+Masivo!BA16+Consumo_Inicial!BA16</f>
        <v>114949.98063778861</v>
      </c>
      <c r="BB16" s="8">
        <f>Renta_Alta!BB16+Masivo!BB16+Consumo_Inicial!BB16</f>
        <v>113061.08318501485</v>
      </c>
      <c r="BC16" s="8">
        <f>Renta_Alta!BC16+Masivo!BC16+Consumo_Inicial!BC16</f>
        <v>110349.71254105367</v>
      </c>
      <c r="BD16" s="8">
        <f>Renta_Alta!BD16+Masivo!BD16+Consumo_Inicial!BD16</f>
        <v>109553.13257602755</v>
      </c>
      <c r="BE16" s="8">
        <f>Renta_Alta!BE16+Masivo!BE16+Consumo_Inicial!BE16</f>
        <v>108768.2547090267</v>
      </c>
      <c r="BF16" s="8">
        <f>Renta_Alta!BF16+Masivo!BF16+Consumo_Inicial!BF16</f>
        <v>107563.83998514563</v>
      </c>
      <c r="BG16" s="8">
        <f>Renta_Alta!BG16+Masivo!BG16+Consumo_Inicial!BG16</f>
        <v>108170.3574485779</v>
      </c>
      <c r="BH16" s="8">
        <f>Renta_Alta!BH16+Masivo!BH16+Consumo_Inicial!BH16</f>
        <v>107219.33020443001</v>
      </c>
      <c r="BI16" s="8">
        <f>Renta_Alta!BI16+Masivo!BI16+Consumo_Inicial!BI16</f>
        <v>106963.28097713682</v>
      </c>
      <c r="BJ16" s="8">
        <f>Renta_Alta!BJ16+Masivo!BJ16+Consumo_Inicial!BJ16</f>
        <v>106970.61404807431</v>
      </c>
      <c r="BK16" s="8">
        <f>Renta_Alta!BK16+Masivo!BK16+Consumo_Inicial!BK16</f>
        <v>107145.42764772922</v>
      </c>
      <c r="BO16" s="24">
        <f t="shared" si="21"/>
        <v>126492.97596399998</v>
      </c>
      <c r="BP16" s="24">
        <f t="shared" si="21"/>
        <v>113056.72583768734</v>
      </c>
      <c r="BQ16" s="24">
        <f t="shared" si="21"/>
        <v>127568.35066999999</v>
      </c>
      <c r="BR16" s="24">
        <f t="shared" si="21"/>
        <v>98315.231891999996</v>
      </c>
      <c r="BS16" s="24">
        <f t="shared" si="21"/>
        <v>75622.418470000004</v>
      </c>
      <c r="BT16" s="24">
        <f t="shared" si="21"/>
        <v>78852.452355999994</v>
      </c>
      <c r="BW16" s="24">
        <f t="shared" si="22"/>
        <v>632464.87981999991</v>
      </c>
      <c r="BX16" s="24">
        <f t="shared" si="22"/>
        <v>565283.62918843667</v>
      </c>
      <c r="BY16" s="24">
        <f t="shared" si="22"/>
        <v>510273.40267999994</v>
      </c>
      <c r="BZ16" s="24">
        <f t="shared" si="22"/>
        <v>491576.15946</v>
      </c>
      <c r="CA16" s="24">
        <f t="shared" si="22"/>
        <v>378112.09234999999</v>
      </c>
      <c r="CB16" s="24">
        <f t="shared" si="22"/>
        <v>394262.26178</v>
      </c>
    </row>
    <row r="17" spans="1:80" x14ac:dyDescent="0.25">
      <c r="C17" s="3" t="s">
        <v>56</v>
      </c>
      <c r="D17" s="10">
        <f>SUM(D14:D16)</f>
        <v>4739579.8617056897</v>
      </c>
      <c r="E17" s="10">
        <f t="shared" ref="E17" si="23">SUM(E14:E16)</f>
        <v>4813229.7413674202</v>
      </c>
      <c r="F17" s="10">
        <f t="shared" ref="F17" si="24">SUM(F14:F16)</f>
        <v>4878316.2927000001</v>
      </c>
      <c r="G17" s="10">
        <f t="shared" ref="G17" si="25">SUM(G14:G16)</f>
        <v>4941152.5173806809</v>
      </c>
      <c r="H17" s="10">
        <f t="shared" ref="H17" si="26">SUM(H14:H16)</f>
        <v>4989236.1216926398</v>
      </c>
      <c r="I17" s="10">
        <f t="shared" ref="I17" si="27">SUM(I14:I16)</f>
        <v>5050354.8080515005</v>
      </c>
      <c r="J17" s="10">
        <f t="shared" ref="J17" si="28">SUM(J14:J16)</f>
        <v>5100764.0560238399</v>
      </c>
      <c r="K17" s="10">
        <f t="shared" ref="K17" si="29">SUM(K14:K16)</f>
        <v>5157838.5417663194</v>
      </c>
      <c r="L17" s="10">
        <f t="shared" ref="L17" si="30">SUM(L14:L16)</f>
        <v>5217471.3104077</v>
      </c>
      <c r="M17" s="10">
        <f t="shared" ref="M17" si="31">SUM(M14:M16)</f>
        <v>5272913.5755137503</v>
      </c>
      <c r="N17" s="10">
        <f t="shared" ref="N17" si="32">SUM(N14:N16)</f>
        <v>5330942.2558724005</v>
      </c>
      <c r="O17" s="10">
        <f t="shared" ref="O17" si="33">SUM(O14:O16)</f>
        <v>5370302.9722264307</v>
      </c>
      <c r="P17" s="10">
        <f t="shared" ref="P17" si="34">SUM(P14:P16)</f>
        <v>5405565.1685249601</v>
      </c>
      <c r="Q17" s="10">
        <f t="shared" ref="Q17" si="35">SUM(Q14:Q16)</f>
        <v>5467638.8461770397</v>
      </c>
      <c r="R17" s="10">
        <f t="shared" ref="R17" si="36">SUM(R14:R16)</f>
        <v>5540577.2932078494</v>
      </c>
      <c r="S17" s="10">
        <f t="shared" ref="S17" si="37">SUM(S14:S16)</f>
        <v>5630188.2879881207</v>
      </c>
      <c r="T17" s="10">
        <f t="shared" ref="T17" si="38">SUM(T14:T16)</f>
        <v>5703455.8262994001</v>
      </c>
      <c r="U17" s="10">
        <f t="shared" ref="U17" si="39">SUM(U14:U16)</f>
        <v>5785256.5749786086</v>
      </c>
      <c r="V17" s="10">
        <f t="shared" ref="V17" si="40">SUM(V14:V16)</f>
        <v>5862740.2164342999</v>
      </c>
      <c r="W17" s="10">
        <f t="shared" ref="W17" si="41">SUM(W14:W16)</f>
        <v>5911410.2170716012</v>
      </c>
      <c r="X17" s="10">
        <f t="shared" ref="X17" si="42">SUM(X14:X16)</f>
        <v>5933098.7738752998</v>
      </c>
      <c r="Y17" s="10">
        <f t="shared" ref="Y17" si="43">SUM(Y14:Y16)</f>
        <v>5730492.1052342001</v>
      </c>
      <c r="Z17" s="10">
        <f t="shared" ref="Z17" si="44">SUM(Z14:Z16)</f>
        <v>5875059.5913103009</v>
      </c>
      <c r="AA17" s="10">
        <f t="shared" ref="AA17" si="45">SUM(AA14:AA16)</f>
        <v>5814691.3161892993</v>
      </c>
      <c r="AB17" s="10">
        <f t="shared" ref="AB17" si="46">SUM(AB14:AB16)</f>
        <v>5758368.1866001002</v>
      </c>
      <c r="AC17" s="10">
        <f t="shared" ref="AC17" si="47">SUM(AC14:AC16)</f>
        <v>5724069.8206170006</v>
      </c>
      <c r="AD17" s="10">
        <f t="shared" ref="AD17" si="48">SUM(AD14:AD16)</f>
        <v>5720435.5907838996</v>
      </c>
      <c r="AE17" s="10">
        <f t="shared" ref="AE17" si="49">SUM(AE14:AE16)</f>
        <v>5702892.8393412996</v>
      </c>
      <c r="AF17" s="10">
        <f t="shared" ref="AF17" si="50">SUM(AF14:AF16)</f>
        <v>5721954.8200109992</v>
      </c>
      <c r="AG17" s="10">
        <f t="shared" ref="AG17" si="51">SUM(AG14:AG16)</f>
        <v>5737948.0040586004</v>
      </c>
      <c r="AH17" s="10">
        <f t="shared" ref="AH17" si="52">SUM(AH14:AH16)</f>
        <v>5765182.2309468593</v>
      </c>
      <c r="AI17" s="10">
        <f t="shared" ref="AI17" si="53">SUM(AI14:AI16)</f>
        <v>5796814.1913299989</v>
      </c>
      <c r="AJ17" s="10">
        <f t="shared" ref="AJ17" si="54">SUM(AJ14:AJ16)</f>
        <v>5820275.0016765986</v>
      </c>
      <c r="AK17" s="10">
        <f t="shared" ref="AK17" si="55">SUM(AK14:AK16)</f>
        <v>5810498.6469451003</v>
      </c>
      <c r="AL17" s="10">
        <f t="shared" ref="AL17" si="56">SUM(AL14:AL16)</f>
        <v>5767149.6654107003</v>
      </c>
      <c r="AM17" s="10">
        <f t="shared" ref="AM17" si="57">SUM(AM14:AM16)</f>
        <v>5716484.2664144002</v>
      </c>
      <c r="AN17" s="10">
        <f t="shared" ref="AN17" si="58">SUM(AN14:AN16)</f>
        <v>5676408.2299999995</v>
      </c>
      <c r="AO17" s="10">
        <f t="shared" ref="AO17" si="59">SUM(AO14:AO16)</f>
        <v>5648366.0700000003</v>
      </c>
      <c r="AP17" s="10">
        <f t="shared" ref="AP17" si="60">SUM(AP14:AP16)</f>
        <v>5639313.1900000004</v>
      </c>
      <c r="AQ17" s="10">
        <f t="shared" ref="AQ17" si="61">SUM(AQ14:AQ16)</f>
        <v>5650487.3402046682</v>
      </c>
      <c r="AR17" s="10">
        <f t="shared" ref="AR17" si="62">SUM(AR14:AR16)</f>
        <v>5670889.3073795317</v>
      </c>
      <c r="AS17" s="10">
        <f t="shared" ref="AS17" si="63">SUM(AS14:AS16)</f>
        <v>5694594.0267867986</v>
      </c>
      <c r="AT17" s="10">
        <f t="shared" ref="AT17" si="64">SUM(AT14:AT16)</f>
        <v>0</v>
      </c>
      <c r="AU17" s="10">
        <f t="shared" ref="AU17" si="65">SUM(AU14:AU16)</f>
        <v>0</v>
      </c>
      <c r="AV17" s="10">
        <f t="shared" ref="AV17" si="66">SUM(AV14:AV16)</f>
        <v>0</v>
      </c>
      <c r="AW17" s="10">
        <f t="shared" ref="AW17" si="67">SUM(AW14:AW16)</f>
        <v>0</v>
      </c>
      <c r="AX17" s="10">
        <f t="shared" ref="AX17" si="68">SUM(AX14:AX16)</f>
        <v>0</v>
      </c>
      <c r="AY17" s="10">
        <f t="shared" ref="AY17" si="69">SUM(AY14:AY16)</f>
        <v>0</v>
      </c>
      <c r="AZ17" s="10">
        <f t="shared" ref="AZ17" si="70">SUM(AZ14:AZ16)</f>
        <v>5901585.2307904009</v>
      </c>
      <c r="BA17" s="10">
        <f t="shared" ref="BA17" si="71">SUM(BA14:BA16)</f>
        <v>5919552.6732561225</v>
      </c>
      <c r="BB17" s="10">
        <f t="shared" ref="BB17" si="72">SUM(BB14:BB16)</f>
        <v>5953402.1245734021</v>
      </c>
      <c r="BC17" s="10">
        <f t="shared" ref="BC17" si="73">SUM(BC14:BC16)</f>
        <v>5976418.953519783</v>
      </c>
      <c r="BD17" s="10">
        <f t="shared" ref="BD17" si="74">SUM(BD14:BD16)</f>
        <v>5998577.8589657061</v>
      </c>
      <c r="BE17" s="10">
        <f t="shared" ref="BE17" si="75">SUM(BE14:BE16)</f>
        <v>6026956.8227981338</v>
      </c>
      <c r="BF17" s="10">
        <f t="shared" ref="BF17" si="76">SUM(BF14:BF16)</f>
        <v>6056606.8209951185</v>
      </c>
      <c r="BG17" s="10">
        <f t="shared" ref="BG17" si="77">SUM(BG14:BG16)</f>
        <v>6086825.0923763737</v>
      </c>
      <c r="BH17" s="10">
        <f t="shared" ref="BH17" si="78">SUM(BH14:BH16)</f>
        <v>6124948.5367591707</v>
      </c>
      <c r="BI17" s="10">
        <f t="shared" ref="BI17" si="79">SUM(BI14:BI16)</f>
        <v>6154974.9456465831</v>
      </c>
      <c r="BJ17" s="10">
        <f t="shared" ref="BJ17" si="80">SUM(BJ14:BJ16)</f>
        <v>6183349.1274202373</v>
      </c>
      <c r="BK17" s="10">
        <f t="shared" ref="BK17" si="81">SUM(BK14:BK16)</f>
        <v>6204904.2499099094</v>
      </c>
      <c r="BO17" s="23">
        <f>SUM(BO14:BO16)</f>
        <v>5657092.8275168408</v>
      </c>
      <c r="BP17" s="23">
        <f t="shared" ref="BP17:BT17" si="82">SUM(BP14:BP16)</f>
        <v>5949907.3682210818</v>
      </c>
      <c r="BQ17" s="23">
        <f t="shared" si="82"/>
        <v>5653643.7075511664</v>
      </c>
      <c r="BR17" s="23">
        <f t="shared" si="82"/>
        <v>5725544.2514706608</v>
      </c>
      <c r="BS17" s="23">
        <f t="shared" si="82"/>
        <v>5549485.0844394732</v>
      </c>
      <c r="BT17" s="23">
        <f t="shared" si="82"/>
        <v>4872302.9069692865</v>
      </c>
      <c r="BW17" s="23">
        <f>SUM(BW14:BW16)</f>
        <v>28285464.137584198</v>
      </c>
      <c r="BX17" s="23">
        <f t="shared" ref="BX17:CB17" si="83">SUM(BX14:BX16)</f>
        <v>29749536.841105409</v>
      </c>
      <c r="BY17" s="23">
        <f t="shared" si="83"/>
        <v>22614574.830204666</v>
      </c>
      <c r="BZ17" s="23">
        <f t="shared" si="83"/>
        <v>28627721.257353302</v>
      </c>
      <c r="CA17" s="23">
        <f t="shared" si="83"/>
        <v>27747425.422197368</v>
      </c>
      <c r="CB17" s="23">
        <f t="shared" si="83"/>
        <v>24361514.534846429</v>
      </c>
    </row>
    <row r="18" spans="1:80" x14ac:dyDescent="0.25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80" x14ac:dyDescent="0.25"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80" outlineLevel="1" x14ac:dyDescent="0.25">
      <c r="A20" s="11"/>
      <c r="C20" s="2" t="s">
        <v>0</v>
      </c>
      <c r="D20" s="14">
        <f>IFERROR(((1+D38/D14)^(360/D$3))-1,0)</f>
        <v>0.12197166450184027</v>
      </c>
      <c r="E20" s="14">
        <f t="shared" ref="E20:AY23" si="84">IFERROR(((1+E38/E14)^(360/E$3))-1,0)</f>
        <v>0.11955985377614065</v>
      </c>
      <c r="F20" s="14">
        <f t="shared" si="84"/>
        <v>0.11942598067513055</v>
      </c>
      <c r="G20" s="14">
        <f t="shared" si="84"/>
        <v>0.1186527939168156</v>
      </c>
      <c r="H20" s="14">
        <f t="shared" si="84"/>
        <v>0.11933461071174056</v>
      </c>
      <c r="I20" s="14">
        <f t="shared" si="84"/>
        <v>0.12096762956253126</v>
      </c>
      <c r="J20" s="14">
        <f t="shared" si="84"/>
        <v>0.12028551505529661</v>
      </c>
      <c r="K20" s="14">
        <f t="shared" si="84"/>
        <v>0.12117119908341034</v>
      </c>
      <c r="L20" s="14">
        <f t="shared" si="84"/>
        <v>0.12084282887838049</v>
      </c>
      <c r="M20" s="14">
        <f t="shared" si="84"/>
        <v>0.12003951355090225</v>
      </c>
      <c r="N20" s="14">
        <f t="shared" si="84"/>
        <v>0.1199694298947005</v>
      </c>
      <c r="O20" s="14">
        <f t="shared" si="84"/>
        <v>0.12015253766893541</v>
      </c>
      <c r="P20" s="14">
        <f t="shared" si="84"/>
        <v>0.11956772926850467</v>
      </c>
      <c r="Q20" s="14">
        <f t="shared" si="84"/>
        <v>0.12223699173246083</v>
      </c>
      <c r="R20" s="14">
        <f t="shared" si="84"/>
        <v>0.11820568509177098</v>
      </c>
      <c r="S20" s="14">
        <f t="shared" si="84"/>
        <v>0.11583131808286717</v>
      </c>
      <c r="T20" s="14">
        <f t="shared" si="84"/>
        <v>0.11834040373761634</v>
      </c>
      <c r="U20" s="14">
        <f t="shared" si="84"/>
        <v>0.11855584445207024</v>
      </c>
      <c r="V20" s="14">
        <f t="shared" si="84"/>
        <v>0.11903471932343179</v>
      </c>
      <c r="W20" s="14">
        <f t="shared" si="84"/>
        <v>0.11910853921683096</v>
      </c>
      <c r="X20" s="14">
        <f t="shared" si="84"/>
        <v>0.11958655509555727</v>
      </c>
      <c r="Y20" s="14">
        <f t="shared" si="84"/>
        <v>0.12287421176639923</v>
      </c>
      <c r="Z20" s="14">
        <f t="shared" si="84"/>
        <v>0.11912720496824236</v>
      </c>
      <c r="AA20" s="14">
        <f t="shared" si="84"/>
        <v>0.11795390059070243</v>
      </c>
      <c r="AB20" s="14">
        <f t="shared" si="84"/>
        <v>0.11838665960152306</v>
      </c>
      <c r="AC20" s="14">
        <f t="shared" si="84"/>
        <v>0.11767393106166435</v>
      </c>
      <c r="AD20" s="14">
        <f t="shared" si="84"/>
        <v>0.11858115161228544</v>
      </c>
      <c r="AE20" s="14">
        <f t="shared" si="84"/>
        <v>0.11785491941209014</v>
      </c>
      <c r="AF20" s="14">
        <f t="shared" si="84"/>
        <v>0.11892968463275921</v>
      </c>
      <c r="AG20" s="14">
        <f t="shared" si="84"/>
        <v>0.1174834395417037</v>
      </c>
      <c r="AH20" s="14">
        <f t="shared" si="84"/>
        <v>0.11715896252816438</v>
      </c>
      <c r="AI20" s="14">
        <f t="shared" si="84"/>
        <v>0.11561323662275891</v>
      </c>
      <c r="AJ20" s="14">
        <f t="shared" si="84"/>
        <v>0.11624460687116644</v>
      </c>
      <c r="AK20" s="14">
        <f t="shared" si="84"/>
        <v>0.11746785549505034</v>
      </c>
      <c r="AL20" s="14">
        <f t="shared" si="84"/>
        <v>0.11631338014391446</v>
      </c>
      <c r="AM20" s="14">
        <f t="shared" si="84"/>
        <v>0.1160645432782017</v>
      </c>
      <c r="AN20" s="14">
        <f t="shared" si="84"/>
        <v>0.11499837225613652</v>
      </c>
      <c r="AO20" s="14">
        <f t="shared" si="84"/>
        <v>0.11386643801045082</v>
      </c>
      <c r="AP20" s="14">
        <f t="shared" si="84"/>
        <v>0.11418706412933877</v>
      </c>
      <c r="AQ20" s="14">
        <f t="shared" si="84"/>
        <v>0.11363050440025391</v>
      </c>
      <c r="AR20" s="14">
        <f t="shared" si="84"/>
        <v>0.11338470217976071</v>
      </c>
      <c r="AS20" s="14">
        <f t="shared" si="84"/>
        <v>0.11210797707665865</v>
      </c>
      <c r="AT20" s="14">
        <f t="shared" si="84"/>
        <v>0</v>
      </c>
      <c r="AU20" s="14">
        <f t="shared" si="84"/>
        <v>0</v>
      </c>
      <c r="AV20" s="14">
        <f t="shared" si="84"/>
        <v>0</v>
      </c>
      <c r="AW20" s="14">
        <f t="shared" si="84"/>
        <v>0</v>
      </c>
      <c r="AX20" s="14">
        <f t="shared" si="84"/>
        <v>0</v>
      </c>
      <c r="AY20" s="14">
        <f t="shared" si="84"/>
        <v>0</v>
      </c>
      <c r="AZ20" s="14">
        <f t="shared" ref="AZ20:BK20" si="85">IFERROR(((1+AZ38/AZ14)^(360/AZ$3))-1,0)</f>
        <v>0.11461126579049008</v>
      </c>
      <c r="BA20" s="14">
        <f t="shared" si="85"/>
        <v>0.11523367464253487</v>
      </c>
      <c r="BB20" s="14">
        <f t="shared" si="85"/>
        <v>0.11354065776573274</v>
      </c>
      <c r="BC20" s="14">
        <f t="shared" si="85"/>
        <v>0.11392632367420585</v>
      </c>
      <c r="BD20" s="14">
        <f t="shared" si="85"/>
        <v>0.11336707332270701</v>
      </c>
      <c r="BE20" s="14">
        <f t="shared" si="85"/>
        <v>0.1133109538936361</v>
      </c>
      <c r="BF20" s="14">
        <f t="shared" si="85"/>
        <v>0.11353315411623766</v>
      </c>
      <c r="BG20" s="14">
        <f t="shared" si="85"/>
        <v>0.11346847901001</v>
      </c>
      <c r="BH20" s="14">
        <f t="shared" si="85"/>
        <v>0.11315898300546245</v>
      </c>
      <c r="BI20" s="14">
        <f t="shared" si="85"/>
        <v>0.11373665499323704</v>
      </c>
      <c r="BJ20" s="14">
        <f t="shared" si="85"/>
        <v>0.11286645864930422</v>
      </c>
      <c r="BK20" s="14">
        <f t="shared" si="85"/>
        <v>0.11343737716434421</v>
      </c>
      <c r="BO20" s="28">
        <f>IFERROR(((1+BO38/BW14)^(360/BO$3))-1,0)</f>
        <v>0.11401333636761657</v>
      </c>
      <c r="BP20" s="28">
        <f t="shared" ref="BP20:BT23" si="86">IFERROR(((1+BP38/BX14)^(360/BP$3))-1,0)</f>
        <v>0.11413189696859938</v>
      </c>
      <c r="BQ20" s="28">
        <f t="shared" si="86"/>
        <v>0.11417123262650986</v>
      </c>
      <c r="BR20" s="28">
        <f t="shared" si="86"/>
        <v>0.11828543314256157</v>
      </c>
      <c r="BS20" s="28">
        <f t="shared" si="86"/>
        <v>0.11880863703627287</v>
      </c>
      <c r="BT20" s="28">
        <f t="shared" si="86"/>
        <v>0.11977101943585744</v>
      </c>
    </row>
    <row r="21" spans="1:80" outlineLevel="1" x14ac:dyDescent="0.25">
      <c r="A21" s="11"/>
      <c r="C21" s="2" t="s">
        <v>1</v>
      </c>
      <c r="D21" s="14">
        <f t="shared" ref="D21:S23" si="87">IFERROR(((1+D39/D15)^(360/D$3))-1,0)</f>
        <v>0.11559666617575282</v>
      </c>
      <c r="E21" s="14">
        <f t="shared" si="87"/>
        <v>0.11204083788131913</v>
      </c>
      <c r="F21" s="14">
        <f t="shared" si="87"/>
        <v>0.10748942951569029</v>
      </c>
      <c r="G21" s="14">
        <f t="shared" si="87"/>
        <v>0.10999219215874456</v>
      </c>
      <c r="H21" s="14">
        <f t="shared" si="87"/>
        <v>0.10262374320854173</v>
      </c>
      <c r="I21" s="14">
        <f t="shared" si="87"/>
        <v>0.10562022753878608</v>
      </c>
      <c r="J21" s="14">
        <f t="shared" si="87"/>
        <v>0.12399520523030949</v>
      </c>
      <c r="K21" s="14">
        <f t="shared" si="87"/>
        <v>0.11668801698212583</v>
      </c>
      <c r="L21" s="14">
        <f t="shared" si="87"/>
        <v>0.11679284129609502</v>
      </c>
      <c r="M21" s="14">
        <f t="shared" si="87"/>
        <v>0.11635187346941311</v>
      </c>
      <c r="N21" s="14">
        <f t="shared" si="87"/>
        <v>0.1163403446262079</v>
      </c>
      <c r="O21" s="14">
        <f t="shared" si="87"/>
        <v>0.11615096850900852</v>
      </c>
      <c r="P21" s="14">
        <f t="shared" si="87"/>
        <v>0.11401428617968734</v>
      </c>
      <c r="Q21" s="14">
        <f t="shared" si="87"/>
        <v>0.10970792220687109</v>
      </c>
      <c r="R21" s="14">
        <f t="shared" si="87"/>
        <v>0.11393583616888581</v>
      </c>
      <c r="S21" s="14">
        <f t="shared" si="87"/>
        <v>0.10909396035025454</v>
      </c>
      <c r="T21" s="14">
        <f t="shared" si="84"/>
        <v>0.1167099557060971</v>
      </c>
      <c r="U21" s="14">
        <f t="shared" si="84"/>
        <v>0.10480192737218474</v>
      </c>
      <c r="V21" s="14">
        <f t="shared" si="84"/>
        <v>0.11891147016099368</v>
      </c>
      <c r="W21" s="14">
        <f t="shared" si="84"/>
        <v>0.11802998097050987</v>
      </c>
      <c r="X21" s="14">
        <f t="shared" si="84"/>
        <v>0.12094991848043235</v>
      </c>
      <c r="Y21" s="14">
        <f t="shared" si="84"/>
        <v>0.12171806375997019</v>
      </c>
      <c r="Z21" s="14">
        <f t="shared" si="84"/>
        <v>0.11442707563093601</v>
      </c>
      <c r="AA21" s="14">
        <f t="shared" si="84"/>
        <v>0.12159589795353387</v>
      </c>
      <c r="AB21" s="14">
        <f t="shared" si="84"/>
        <v>0.12099930186861774</v>
      </c>
      <c r="AC21" s="14">
        <f t="shared" si="84"/>
        <v>0.11156822162279245</v>
      </c>
      <c r="AD21" s="14">
        <f t="shared" si="84"/>
        <v>0.11424519084754325</v>
      </c>
      <c r="AE21" s="14">
        <f t="shared" si="84"/>
        <v>0.11708087302988668</v>
      </c>
      <c r="AF21" s="14">
        <f t="shared" si="84"/>
        <v>0.11572726898826913</v>
      </c>
      <c r="AG21" s="14">
        <f t="shared" si="84"/>
        <v>0.11183717611245547</v>
      </c>
      <c r="AH21" s="14">
        <f t="shared" si="84"/>
        <v>0.11382317956197929</v>
      </c>
      <c r="AI21" s="14">
        <f t="shared" si="84"/>
        <v>0.12027643485734285</v>
      </c>
      <c r="AJ21" s="14">
        <f t="shared" si="84"/>
        <v>0.11933932550101756</v>
      </c>
      <c r="AK21" s="14">
        <f t="shared" si="84"/>
        <v>0.11900443480844802</v>
      </c>
      <c r="AL21" s="14">
        <f t="shared" si="84"/>
        <v>0.11470888072544461</v>
      </c>
      <c r="AM21" s="14">
        <f t="shared" si="84"/>
        <v>0.1117232887043782</v>
      </c>
      <c r="AN21" s="14">
        <f t="shared" si="84"/>
        <v>0.11555180944688703</v>
      </c>
      <c r="AO21" s="14">
        <f t="shared" si="84"/>
        <v>0.11364984575876114</v>
      </c>
      <c r="AP21" s="14">
        <f t="shared" si="84"/>
        <v>0.10650161023325677</v>
      </c>
      <c r="AQ21" s="14">
        <f t="shared" si="84"/>
        <v>0.11098927284682203</v>
      </c>
      <c r="AR21" s="14">
        <f t="shared" si="84"/>
        <v>0.10778940432719097</v>
      </c>
      <c r="AS21" s="14">
        <f t="shared" si="84"/>
        <v>0.11108880349701944</v>
      </c>
      <c r="AT21" s="14">
        <f t="shared" si="84"/>
        <v>0</v>
      </c>
      <c r="AU21" s="14">
        <f t="shared" si="84"/>
        <v>0</v>
      </c>
      <c r="AV21" s="14">
        <f t="shared" si="84"/>
        <v>0</v>
      </c>
      <c r="AW21" s="14">
        <f t="shared" si="84"/>
        <v>0</v>
      </c>
      <c r="AX21" s="14">
        <f t="shared" si="84"/>
        <v>0</v>
      </c>
      <c r="AY21" s="14">
        <f t="shared" si="84"/>
        <v>0</v>
      </c>
      <c r="AZ21" s="14">
        <f t="shared" ref="AZ21:BK21" si="88">IFERROR(((1+AZ39/AZ15)^(360/AZ$3))-1,0)</f>
        <v>0.11852790758712928</v>
      </c>
      <c r="BA21" s="14">
        <f t="shared" si="88"/>
        <v>0.11907629345768456</v>
      </c>
      <c r="BB21" s="14">
        <f t="shared" si="88"/>
        <v>0.11742939102327821</v>
      </c>
      <c r="BC21" s="14">
        <f t="shared" si="88"/>
        <v>0.11554247467842083</v>
      </c>
      <c r="BD21" s="14">
        <f t="shared" si="88"/>
        <v>0.11403590886317194</v>
      </c>
      <c r="BE21" s="14">
        <f t="shared" si="88"/>
        <v>0.11275298462829375</v>
      </c>
      <c r="BF21" s="14">
        <f t="shared" si="88"/>
        <v>0.11283149990334951</v>
      </c>
      <c r="BG21" s="14">
        <f t="shared" si="88"/>
        <v>0.112377940183648</v>
      </c>
      <c r="BH21" s="14">
        <f t="shared" si="88"/>
        <v>0.11211672661335714</v>
      </c>
      <c r="BI21" s="14">
        <f t="shared" si="88"/>
        <v>0.11236250753424359</v>
      </c>
      <c r="BJ21" s="14">
        <f t="shared" si="88"/>
        <v>0.11140629913186473</v>
      </c>
      <c r="BK21" s="14">
        <f t="shared" si="88"/>
        <v>0.11182968946069582</v>
      </c>
      <c r="BO21" s="28">
        <f t="shared" ref="BO21:BO23" si="89">IFERROR(((1+BO39/BW15)^(360/BO$3))-1,0)</f>
        <v>0.11095200066859157</v>
      </c>
      <c r="BP21" s="28">
        <f t="shared" si="86"/>
        <v>0.11688992569509793</v>
      </c>
      <c r="BQ21" s="28">
        <f t="shared" si="86"/>
        <v>0.11170695872495129</v>
      </c>
      <c r="BR21" s="28">
        <f t="shared" si="86"/>
        <v>0.11587421448268431</v>
      </c>
      <c r="BS21" s="28">
        <f t="shared" si="86"/>
        <v>0.11264978703342932</v>
      </c>
      <c r="BT21" s="28">
        <f t="shared" si="86"/>
        <v>0.10954140857155492</v>
      </c>
    </row>
    <row r="22" spans="1:80" outlineLevel="1" x14ac:dyDescent="0.25">
      <c r="A22" s="11"/>
      <c r="C22" s="2" t="s">
        <v>45</v>
      </c>
      <c r="D22" s="14">
        <f t="shared" si="87"/>
        <v>4.2797695923298296E-2</v>
      </c>
      <c r="E22" s="14">
        <f t="shared" si="84"/>
        <v>5.5663399566258764E-2</v>
      </c>
      <c r="F22" s="14">
        <f t="shared" si="84"/>
        <v>3.8293087887091293E-2</v>
      </c>
      <c r="G22" s="14">
        <f t="shared" si="84"/>
        <v>4.6477680742026628E-2</v>
      </c>
      <c r="H22" s="14">
        <f t="shared" si="84"/>
        <v>4.4821992284606704E-2</v>
      </c>
      <c r="I22" s="14">
        <f t="shared" si="84"/>
        <v>4.7730938264759715E-2</v>
      </c>
      <c r="J22" s="14">
        <f t="shared" si="84"/>
        <v>3.4929190977109892E-2</v>
      </c>
      <c r="K22" s="14">
        <f t="shared" si="84"/>
        <v>2.8079141280485498E-2</v>
      </c>
      <c r="L22" s="14">
        <f t="shared" si="84"/>
        <v>2.8136205178598939E-2</v>
      </c>
      <c r="M22" s="14">
        <f t="shared" si="84"/>
        <v>3.7197648598012778E-2</v>
      </c>
      <c r="N22" s="14">
        <f t="shared" si="84"/>
        <v>2.8552567939543527E-2</v>
      </c>
      <c r="O22" s="14">
        <f t="shared" si="84"/>
        <v>3.1251651591729379E-2</v>
      </c>
      <c r="P22" s="14">
        <f t="shared" si="84"/>
        <v>3.5177625634546628E-2</v>
      </c>
      <c r="Q22" s="14">
        <f t="shared" si="84"/>
        <v>3.8808722293707687E-2</v>
      </c>
      <c r="R22" s="14">
        <f t="shared" si="84"/>
        <v>3.0365489398185952E-2</v>
      </c>
      <c r="S22" s="14">
        <f t="shared" si="84"/>
        <v>3.0009227005744821E-2</v>
      </c>
      <c r="T22" s="14">
        <f t="shared" si="84"/>
        <v>3.8737247934287122E-2</v>
      </c>
      <c r="U22" s="14">
        <f t="shared" si="84"/>
        <v>4.8820897313953893E-2</v>
      </c>
      <c r="V22" s="14">
        <f t="shared" si="84"/>
        <v>3.6087106970080107E-2</v>
      </c>
      <c r="W22" s="14">
        <f t="shared" si="84"/>
        <v>2.7055142760331163E-2</v>
      </c>
      <c r="X22" s="14">
        <f t="shared" si="84"/>
        <v>2.1276664383836463E-2</v>
      </c>
      <c r="Y22" s="14">
        <f t="shared" si="84"/>
        <v>1.8714991697093675E-2</v>
      </c>
      <c r="Z22" s="14">
        <f t="shared" si="84"/>
        <v>2.1123552441122406E-2</v>
      </c>
      <c r="AA22" s="14">
        <f t="shared" si="84"/>
        <v>2.3379917584113397E-2</v>
      </c>
      <c r="AB22" s="14">
        <f t="shared" si="84"/>
        <v>2.2706575445494925E-2</v>
      </c>
      <c r="AC22" s="14">
        <f t="shared" si="84"/>
        <v>2.7729732043769495E-2</v>
      </c>
      <c r="AD22" s="14">
        <f t="shared" si="84"/>
        <v>2.782310120121001E-2</v>
      </c>
      <c r="AE22" s="14">
        <f t="shared" si="84"/>
        <v>2.1412067387066802E-2</v>
      </c>
      <c r="AF22" s="14">
        <f t="shared" si="84"/>
        <v>2.8044434041843314E-2</v>
      </c>
      <c r="AG22" s="14">
        <f t="shared" si="84"/>
        <v>2.6084469840217395E-2</v>
      </c>
      <c r="AH22" s="14">
        <f t="shared" si="84"/>
        <v>2.239361664677797E-2</v>
      </c>
      <c r="AI22" s="14">
        <f t="shared" si="84"/>
        <v>2.6122403300103292E-2</v>
      </c>
      <c r="AJ22" s="14">
        <f t="shared" si="84"/>
        <v>3.4747927355788022E-2</v>
      </c>
      <c r="AK22" s="14">
        <f t="shared" si="84"/>
        <v>2.1254471111511242E-2</v>
      </c>
      <c r="AL22" s="14">
        <f t="shared" si="84"/>
        <v>1.9731711809472197E-2</v>
      </c>
      <c r="AM22" s="14">
        <f t="shared" si="84"/>
        <v>2.0499511729447306E-2</v>
      </c>
      <c r="AN22" s="14">
        <f t="shared" si="84"/>
        <v>2.4649728590612208E-2</v>
      </c>
      <c r="AO22" s="14">
        <f t="shared" si="84"/>
        <v>2.4486399183365481E-2</v>
      </c>
      <c r="AP22" s="14">
        <f t="shared" si="84"/>
        <v>3.188244172146093E-2</v>
      </c>
      <c r="AQ22" s="14">
        <f t="shared" si="84"/>
        <v>2.2940677035199197E-2</v>
      </c>
      <c r="AR22" s="14">
        <f t="shared" si="84"/>
        <v>2.4883357358519875E-2</v>
      </c>
      <c r="AS22" s="14">
        <f t="shared" si="84"/>
        <v>3.3897560831857465E-2</v>
      </c>
      <c r="AT22" s="14">
        <f t="shared" si="84"/>
        <v>0</v>
      </c>
      <c r="AU22" s="14">
        <f t="shared" si="84"/>
        <v>0</v>
      </c>
      <c r="AV22" s="14">
        <f t="shared" si="84"/>
        <v>0</v>
      </c>
      <c r="AW22" s="14">
        <f t="shared" si="84"/>
        <v>0</v>
      </c>
      <c r="AX22" s="14">
        <f t="shared" si="84"/>
        <v>0</v>
      </c>
      <c r="AY22" s="14">
        <f t="shared" si="84"/>
        <v>0</v>
      </c>
      <c r="AZ22" s="14">
        <f t="shared" ref="AZ22:BK22" si="90">IFERROR(((1+AZ40/AZ16)^(360/AZ$3))-1,0)</f>
        <v>3.234290711140031E-2</v>
      </c>
      <c r="BA22" s="14">
        <f t="shared" si="90"/>
        <v>3.3321002942065192E-2</v>
      </c>
      <c r="BB22" s="14">
        <f t="shared" si="90"/>
        <v>3.3613379496753915E-2</v>
      </c>
      <c r="BC22" s="14">
        <f t="shared" si="90"/>
        <v>3.4712444864847702E-2</v>
      </c>
      <c r="BD22" s="14">
        <f t="shared" si="90"/>
        <v>3.4926112043342394E-2</v>
      </c>
      <c r="BE22" s="14">
        <f t="shared" si="90"/>
        <v>3.5335466447651731E-2</v>
      </c>
      <c r="BF22" s="14">
        <f t="shared" si="90"/>
        <v>3.5987095570250816E-2</v>
      </c>
      <c r="BG22" s="14">
        <f t="shared" si="90"/>
        <v>3.5933627821463476E-2</v>
      </c>
      <c r="BH22" s="14">
        <f t="shared" si="90"/>
        <v>3.6367627822194715E-2</v>
      </c>
      <c r="BI22" s="14">
        <f t="shared" si="90"/>
        <v>3.6805787005033563E-2</v>
      </c>
      <c r="BJ22" s="14">
        <f t="shared" si="90"/>
        <v>3.668229552110569E-2</v>
      </c>
      <c r="BK22" s="14">
        <f t="shared" si="90"/>
        <v>3.6910737520131187E-2</v>
      </c>
      <c r="BO22" s="28">
        <f t="shared" si="89"/>
        <v>2.5773004630724516E-2</v>
      </c>
      <c r="BP22" s="28">
        <f t="shared" si="86"/>
        <v>3.3758697682397587E-2</v>
      </c>
      <c r="BQ22" s="28">
        <f t="shared" si="86"/>
        <v>2.5986147049099628E-2</v>
      </c>
      <c r="BR22" s="28">
        <f t="shared" si="86"/>
        <v>2.5489459969385342E-2</v>
      </c>
      <c r="BS22" s="28">
        <f t="shared" si="86"/>
        <v>3.4623467114097251E-2</v>
      </c>
      <c r="BT22" s="28">
        <f t="shared" si="86"/>
        <v>4.5571915062322166E-2</v>
      </c>
    </row>
    <row r="23" spans="1:80" x14ac:dyDescent="0.25">
      <c r="C23" s="3" t="s">
        <v>59</v>
      </c>
      <c r="D23" s="15">
        <f t="shared" si="87"/>
        <v>0.12053354256028515</v>
      </c>
      <c r="E23" s="15">
        <f t="shared" si="84"/>
        <v>0.11843496249372087</v>
      </c>
      <c r="F23" s="15">
        <f t="shared" si="84"/>
        <v>0.11797627955606438</v>
      </c>
      <c r="G23" s="15">
        <f t="shared" si="84"/>
        <v>0.11742269828199658</v>
      </c>
      <c r="H23" s="15">
        <f t="shared" si="84"/>
        <v>0.11807423959690211</v>
      </c>
      <c r="I23" s="15">
        <f t="shared" si="84"/>
        <v>0.1197946483779051</v>
      </c>
      <c r="J23" s="15">
        <f t="shared" si="84"/>
        <v>0.11913324290561955</v>
      </c>
      <c r="K23" s="15">
        <f t="shared" si="84"/>
        <v>0.11984643263027128</v>
      </c>
      <c r="L23" s="15">
        <f t="shared" si="84"/>
        <v>0.11950667848328633</v>
      </c>
      <c r="M23" s="15">
        <f t="shared" si="84"/>
        <v>0.11884761226548024</v>
      </c>
      <c r="N23" s="15">
        <f t="shared" si="84"/>
        <v>0.11869826453532695</v>
      </c>
      <c r="O23" s="15">
        <f t="shared" si="84"/>
        <v>0.1189199198330142</v>
      </c>
      <c r="P23" s="15">
        <f t="shared" si="84"/>
        <v>0.11829849802791559</v>
      </c>
      <c r="Q23" s="15">
        <f t="shared" si="84"/>
        <v>0.12096754477622951</v>
      </c>
      <c r="R23" s="15">
        <f t="shared" si="84"/>
        <v>0.11697632183718376</v>
      </c>
      <c r="S23" s="15">
        <f t="shared" si="84"/>
        <v>0.11459143530269977</v>
      </c>
      <c r="T23" s="15">
        <f t="shared" si="84"/>
        <v>0.11725893724675163</v>
      </c>
      <c r="U23" s="15">
        <f t="shared" si="84"/>
        <v>0.1176113990700709</v>
      </c>
      <c r="V23" s="15">
        <f t="shared" si="84"/>
        <v>0.11795382511288732</v>
      </c>
      <c r="W23" s="15">
        <f t="shared" si="84"/>
        <v>0.11780648796566173</v>
      </c>
      <c r="X23" s="15">
        <f t="shared" si="84"/>
        <v>0.11808614295958075</v>
      </c>
      <c r="Y23" s="15">
        <f t="shared" si="84"/>
        <v>0.12121589032669289</v>
      </c>
      <c r="Z23" s="15">
        <f t="shared" si="84"/>
        <v>0.11762427989625523</v>
      </c>
      <c r="AA23" s="15">
        <f t="shared" si="84"/>
        <v>0.11642527839191041</v>
      </c>
      <c r="AB23" s="15">
        <f t="shared" si="84"/>
        <v>0.11663218683978149</v>
      </c>
      <c r="AC23" s="15">
        <f t="shared" si="84"/>
        <v>0.11610003804469127</v>
      </c>
      <c r="AD23" s="15">
        <f t="shared" si="84"/>
        <v>0.11693635434458804</v>
      </c>
      <c r="AE23" s="15">
        <f t="shared" si="84"/>
        <v>0.11610522549688862</v>
      </c>
      <c r="AF23" s="15">
        <f t="shared" si="84"/>
        <v>0.11731989596549397</v>
      </c>
      <c r="AG23" s="15">
        <f t="shared" si="84"/>
        <v>0.11578387429824355</v>
      </c>
      <c r="AH23" s="15">
        <f t="shared" si="84"/>
        <v>0.11542280634714475</v>
      </c>
      <c r="AI23" s="15">
        <f t="shared" si="84"/>
        <v>0.11395430796675843</v>
      </c>
      <c r="AJ23" s="15">
        <f t="shared" si="84"/>
        <v>0.11467231432701119</v>
      </c>
      <c r="AK23" s="15">
        <f t="shared" si="84"/>
        <v>0.11542084196249536</v>
      </c>
      <c r="AL23" s="15">
        <f t="shared" si="84"/>
        <v>0.11421177725496912</v>
      </c>
      <c r="AM23" s="15">
        <f t="shared" si="84"/>
        <v>0.11396030129658219</v>
      </c>
      <c r="AN23" s="15">
        <f t="shared" si="84"/>
        <v>0.11283956794426353</v>
      </c>
      <c r="AO23" s="15">
        <f t="shared" si="84"/>
        <v>0.11169375158267547</v>
      </c>
      <c r="AP23" s="15">
        <f t="shared" si="84"/>
        <v>0.11224045446747333</v>
      </c>
      <c r="AQ23" s="15">
        <f t="shared" si="84"/>
        <v>0.11159997234887631</v>
      </c>
      <c r="AR23" s="15">
        <f t="shared" si="84"/>
        <v>0.11137810889782074</v>
      </c>
      <c r="AS23" s="15">
        <f t="shared" si="84"/>
        <v>0.11035128938334693</v>
      </c>
      <c r="AT23" s="15">
        <f t="shared" si="84"/>
        <v>0</v>
      </c>
      <c r="AU23" s="15">
        <f t="shared" si="84"/>
        <v>0</v>
      </c>
      <c r="AV23" s="15">
        <f t="shared" si="84"/>
        <v>0</v>
      </c>
      <c r="AW23" s="15">
        <f t="shared" si="84"/>
        <v>0</v>
      </c>
      <c r="AX23" s="15">
        <f t="shared" si="84"/>
        <v>0</v>
      </c>
      <c r="AY23" s="15">
        <f t="shared" si="84"/>
        <v>0</v>
      </c>
      <c r="AZ23" s="15">
        <f t="shared" ref="AZ23:BK23" si="91">IFERROR(((1+AZ41/AZ17)^(360/AZ$3))-1,0)</f>
        <v>0.11293751556355547</v>
      </c>
      <c r="BA23" s="15">
        <f t="shared" si="91"/>
        <v>0.11360692083685109</v>
      </c>
      <c r="BB23" s="15">
        <f t="shared" si="91"/>
        <v>0.11199060837685559</v>
      </c>
      <c r="BC23" s="15">
        <f t="shared" si="91"/>
        <v>0.11242282329990072</v>
      </c>
      <c r="BD23" s="15">
        <f t="shared" si="91"/>
        <v>0.11189033146697924</v>
      </c>
      <c r="BE23" s="15">
        <f t="shared" si="91"/>
        <v>0.1118544390017282</v>
      </c>
      <c r="BF23" s="15">
        <f t="shared" si="91"/>
        <v>0.11210716858808989</v>
      </c>
      <c r="BG23" s="15">
        <f t="shared" si="91"/>
        <v>0.11203977188447412</v>
      </c>
      <c r="BH23" s="15">
        <f t="shared" si="91"/>
        <v>0.11176568404325304</v>
      </c>
      <c r="BI23" s="15">
        <f t="shared" si="91"/>
        <v>0.11234913449140405</v>
      </c>
      <c r="BJ23" s="15">
        <f t="shared" si="91"/>
        <v>0.11149847008751013</v>
      </c>
      <c r="BK23" s="15">
        <f t="shared" si="91"/>
        <v>0.11206485154690804</v>
      </c>
      <c r="BO23" s="29">
        <f t="shared" si="89"/>
        <v>0.11195056290401917</v>
      </c>
      <c r="BP23" s="29">
        <f t="shared" si="86"/>
        <v>0.11256650679778146</v>
      </c>
      <c r="BQ23" s="29">
        <f t="shared" si="86"/>
        <v>0.11209415533323352</v>
      </c>
      <c r="BR23" s="29">
        <f t="shared" si="86"/>
        <v>0.11661895173165804</v>
      </c>
      <c r="BS23" s="29">
        <f t="shared" si="86"/>
        <v>0.11759279875473028</v>
      </c>
      <c r="BT23" s="29">
        <f t="shared" si="86"/>
        <v>0.11847174226152402</v>
      </c>
    </row>
    <row r="26" spans="1:80" outlineLevel="1" x14ac:dyDescent="0.25">
      <c r="A26" s="11"/>
      <c r="C26" s="2" t="s">
        <v>0</v>
      </c>
      <c r="D26" s="14">
        <f>-IFERROR(((1-D44/D14)^(360/D$4))-1,0)</f>
        <v>-6.0763070308716083E-2</v>
      </c>
      <c r="E26" s="14">
        <f t="shared" ref="E26:AY29" si="92">-IFERROR(((1-E44/E14)^(360/E$4))-1,0)</f>
        <v>-6.2861896722773647E-2</v>
      </c>
      <c r="F26" s="14">
        <f t="shared" si="92"/>
        <v>-6.5107468257103784E-2</v>
      </c>
      <c r="G26" s="14">
        <f t="shared" si="92"/>
        <v>-6.7267469036901506E-2</v>
      </c>
      <c r="H26" s="14">
        <f t="shared" si="92"/>
        <v>-6.8542710826318576E-2</v>
      </c>
      <c r="I26" s="14">
        <f t="shared" si="92"/>
        <v>-6.9743012661840575E-2</v>
      </c>
      <c r="J26" s="14">
        <f t="shared" si="92"/>
        <v>-7.049619874394053E-2</v>
      </c>
      <c r="K26" s="14">
        <f t="shared" si="92"/>
        <v>-7.1403096264519128E-2</v>
      </c>
      <c r="L26" s="14">
        <f t="shared" si="92"/>
        <v>-7.2099669280774048E-2</v>
      </c>
      <c r="M26" s="14">
        <f t="shared" si="92"/>
        <v>-7.2895632470144189E-2</v>
      </c>
      <c r="N26" s="14">
        <f t="shared" si="92"/>
        <v>-7.3494997275666218E-2</v>
      </c>
      <c r="O26" s="14">
        <f t="shared" si="92"/>
        <v>-7.3745170038022945E-2</v>
      </c>
      <c r="P26" s="14">
        <f t="shared" si="92"/>
        <v>-7.3720630946904953E-2</v>
      </c>
      <c r="Q26" s="14">
        <f t="shared" si="92"/>
        <v>-7.339818989651925E-2</v>
      </c>
      <c r="R26" s="14">
        <f t="shared" si="92"/>
        <v>-7.294921268048471E-2</v>
      </c>
      <c r="S26" s="14">
        <f t="shared" si="92"/>
        <v>-7.2595244573046447E-2</v>
      </c>
      <c r="T26" s="14">
        <f t="shared" si="92"/>
        <v>-7.2331259185598018E-2</v>
      </c>
      <c r="U26" s="14">
        <f t="shared" si="92"/>
        <v>-7.1800281378577635E-2</v>
      </c>
      <c r="V26" s="14">
        <f t="shared" si="92"/>
        <v>-7.1341754180713313E-2</v>
      </c>
      <c r="W26" s="14">
        <f t="shared" si="92"/>
        <v>-7.0786880773212379E-2</v>
      </c>
      <c r="X26" s="14">
        <f t="shared" si="92"/>
        <v>-7.0120012976008672E-2</v>
      </c>
      <c r="Y26" s="14">
        <f t="shared" si="92"/>
        <v>-6.9478836305840508E-2</v>
      </c>
      <c r="Z26" s="14">
        <f t="shared" si="92"/>
        <v>-6.8998079284971814E-2</v>
      </c>
      <c r="AA26" s="14">
        <f t="shared" si="92"/>
        <v>-6.8589577267871737E-2</v>
      </c>
      <c r="AB26" s="14">
        <f t="shared" si="92"/>
        <v>-6.8265524703494229E-2</v>
      </c>
      <c r="AC26" s="14">
        <f t="shared" si="92"/>
        <v>-6.7688219881976375E-2</v>
      </c>
      <c r="AD26" s="14">
        <f t="shared" si="92"/>
        <v>-6.679476429940534E-2</v>
      </c>
      <c r="AE26" s="14">
        <f t="shared" si="92"/>
        <v>-6.5885761098200435E-2</v>
      </c>
      <c r="AF26" s="14">
        <f t="shared" si="92"/>
        <v>-6.5226119453547504E-2</v>
      </c>
      <c r="AG26" s="14">
        <f t="shared" si="92"/>
        <v>-6.4471231733521206E-2</v>
      </c>
      <c r="AH26" s="14">
        <f t="shared" si="92"/>
        <v>-6.3423111341744498E-2</v>
      </c>
      <c r="AI26" s="14">
        <f t="shared" si="92"/>
        <v>-6.2425899778876026E-2</v>
      </c>
      <c r="AJ26" s="14">
        <f t="shared" si="92"/>
        <v>-6.1575831421514016E-2</v>
      </c>
      <c r="AK26" s="14">
        <f t="shared" si="92"/>
        <v>-6.0360852672957988E-2</v>
      </c>
      <c r="AL26" s="14">
        <f t="shared" si="92"/>
        <v>-6.0631996944404243E-2</v>
      </c>
      <c r="AM26" s="14">
        <f t="shared" si="92"/>
        <v>-5.9940108887772459E-2</v>
      </c>
      <c r="AN26" s="14">
        <f t="shared" si="92"/>
        <v>-5.9488137635675509E-2</v>
      </c>
      <c r="AO26" s="14">
        <f t="shared" si="92"/>
        <v>-5.8790039559284857E-2</v>
      </c>
      <c r="AP26" s="14">
        <f t="shared" si="92"/>
        <v>-5.8107072568148954E-2</v>
      </c>
      <c r="AQ26" s="14">
        <f t="shared" si="92"/>
        <v>-5.7639054652626864E-2</v>
      </c>
      <c r="AR26" s="14">
        <f t="shared" si="92"/>
        <v>-5.7323725635762157E-2</v>
      </c>
      <c r="AS26" s="14">
        <f t="shared" si="92"/>
        <v>-5.6877598545477692E-2</v>
      </c>
      <c r="AT26" s="14">
        <f t="shared" si="92"/>
        <v>0</v>
      </c>
      <c r="AU26" s="14">
        <f t="shared" si="92"/>
        <v>0</v>
      </c>
      <c r="AV26" s="14">
        <f t="shared" si="92"/>
        <v>0</v>
      </c>
      <c r="AW26" s="14">
        <f t="shared" si="92"/>
        <v>0</v>
      </c>
      <c r="AX26" s="14">
        <f t="shared" si="92"/>
        <v>0</v>
      </c>
      <c r="AY26" s="14">
        <f t="shared" si="92"/>
        <v>0</v>
      </c>
      <c r="AZ26" s="14">
        <f t="shared" ref="AZ26:BK26" si="93">-IFERROR(((1-AZ44/AZ14)^(360/AZ$4))-1,0)</f>
        <v>-5.9025919171882046E-2</v>
      </c>
      <c r="BA26" s="14">
        <f t="shared" si="93"/>
        <v>-5.843518393979874E-2</v>
      </c>
      <c r="BB26" s="14">
        <f t="shared" si="93"/>
        <v>-5.7815470671268132E-2</v>
      </c>
      <c r="BC26" s="14">
        <f t="shared" si="93"/>
        <v>-5.7277803318241283E-2</v>
      </c>
      <c r="BD26" s="14">
        <f t="shared" si="93"/>
        <v>-5.6793005471472702E-2</v>
      </c>
      <c r="BE26" s="14">
        <f t="shared" si="93"/>
        <v>-5.6308678722552186E-2</v>
      </c>
      <c r="BF26" s="14">
        <f t="shared" si="93"/>
        <v>-5.5849551217698634E-2</v>
      </c>
      <c r="BG26" s="14">
        <f t="shared" si="93"/>
        <v>-5.5438588310031234E-2</v>
      </c>
      <c r="BH26" s="14">
        <f t="shared" si="93"/>
        <v>-5.5020217692874018E-2</v>
      </c>
      <c r="BI26" s="14">
        <f t="shared" si="93"/>
        <v>-5.4654904738770771E-2</v>
      </c>
      <c r="BJ26" s="14">
        <f t="shared" si="93"/>
        <v>-5.4320536200542335E-2</v>
      </c>
      <c r="BK26" s="14">
        <f t="shared" si="93"/>
        <v>-5.402483578337125E-2</v>
      </c>
      <c r="BO26" s="28">
        <f>-IFERROR(((1-BO44/BW14)^(360/BO$4))-1,0)</f>
        <v>-5.8266489590054871E-2</v>
      </c>
      <c r="BP26" s="28">
        <f t="shared" ref="BP26:BT29" si="94">-IFERROR(((1-BP44/BX14)^(360/BP$4))-1,0)</f>
        <v>-5.7861331500637991E-2</v>
      </c>
      <c r="BQ26" s="28">
        <f t="shared" si="94"/>
        <v>-5.8509487501390289E-2</v>
      </c>
      <c r="BR26" s="28">
        <f t="shared" si="94"/>
        <v>-6.6763515940362339E-2</v>
      </c>
      <c r="BS26" s="28">
        <f t="shared" si="94"/>
        <v>-7.2994065697968846E-2</v>
      </c>
      <c r="BT26" s="28">
        <f t="shared" si="94"/>
        <v>-6.4995088481226926E-2</v>
      </c>
    </row>
    <row r="27" spans="1:80" outlineLevel="1" x14ac:dyDescent="0.25">
      <c r="A27" s="11"/>
      <c r="C27" s="2" t="s">
        <v>1</v>
      </c>
      <c r="D27" s="14">
        <f t="shared" ref="D27:S29" si="95">-IFERROR(((1-D45/D15)^(360/D$4))-1,0)</f>
        <v>-5.3718359661165893E-2</v>
      </c>
      <c r="E27" s="14">
        <f t="shared" si="95"/>
        <v>-5.5204536286289851E-2</v>
      </c>
      <c r="F27" s="14">
        <f t="shared" si="95"/>
        <v>-5.6860687739715088E-2</v>
      </c>
      <c r="G27" s="14">
        <f t="shared" si="95"/>
        <v>-5.8696449778703919E-2</v>
      </c>
      <c r="H27" s="14">
        <f t="shared" si="95"/>
        <v>-5.967208074151098E-2</v>
      </c>
      <c r="I27" s="14">
        <f t="shared" si="95"/>
        <v>-6.1583078431328264E-2</v>
      </c>
      <c r="J27" s="14">
        <f t="shared" si="95"/>
        <v>-6.163321253611298E-2</v>
      </c>
      <c r="K27" s="14">
        <f t="shared" si="95"/>
        <v>-6.3296428758120804E-2</v>
      </c>
      <c r="L27" s="14">
        <f t="shared" si="95"/>
        <v>-6.3781052668028027E-2</v>
      </c>
      <c r="M27" s="14">
        <f t="shared" si="95"/>
        <v>-6.4641692430536857E-2</v>
      </c>
      <c r="N27" s="14">
        <f t="shared" si="95"/>
        <v>-6.555859395493302E-2</v>
      </c>
      <c r="O27" s="14">
        <f t="shared" si="95"/>
        <v>-6.6515934942816823E-2</v>
      </c>
      <c r="P27" s="14">
        <f t="shared" si="95"/>
        <v>-6.6979505649492399E-2</v>
      </c>
      <c r="Q27" s="14">
        <f t="shared" si="95"/>
        <v>-6.7313075478921736E-2</v>
      </c>
      <c r="R27" s="14">
        <f t="shared" si="95"/>
        <v>-6.8753475177713019E-2</v>
      </c>
      <c r="S27" s="14">
        <f t="shared" si="95"/>
        <v>-6.8996502637625357E-2</v>
      </c>
      <c r="T27" s="14">
        <f t="shared" si="92"/>
        <v>-6.9448694418875689E-2</v>
      </c>
      <c r="U27" s="14">
        <f t="shared" si="92"/>
        <v>-6.9404163461101565E-2</v>
      </c>
      <c r="V27" s="14">
        <f t="shared" si="92"/>
        <v>-6.9434101343424315E-2</v>
      </c>
      <c r="W27" s="14">
        <f t="shared" si="92"/>
        <v>-6.9617538074974838E-2</v>
      </c>
      <c r="X27" s="14">
        <f t="shared" si="92"/>
        <v>-6.9397996338248946E-2</v>
      </c>
      <c r="Y27" s="14">
        <f t="shared" si="92"/>
        <v>-6.9495374472206439E-2</v>
      </c>
      <c r="Z27" s="14">
        <f t="shared" si="92"/>
        <v>-6.9130649998098814E-2</v>
      </c>
      <c r="AA27" s="14">
        <f t="shared" si="92"/>
        <v>-6.8123017192618596E-2</v>
      </c>
      <c r="AB27" s="14">
        <f t="shared" si="92"/>
        <v>-6.7822248462454438E-2</v>
      </c>
      <c r="AC27" s="14">
        <f t="shared" si="92"/>
        <v>-6.7362965387316232E-2</v>
      </c>
      <c r="AD27" s="14">
        <f t="shared" si="92"/>
        <v>-6.6761601158358497E-2</v>
      </c>
      <c r="AE27" s="14">
        <f t="shared" si="92"/>
        <v>-6.5822943605075013E-2</v>
      </c>
      <c r="AF27" s="14">
        <f t="shared" si="92"/>
        <v>-6.508277618623648E-2</v>
      </c>
      <c r="AG27" s="14">
        <f t="shared" si="92"/>
        <v>-6.4487792166007196E-2</v>
      </c>
      <c r="AH27" s="14">
        <f t="shared" si="92"/>
        <v>-6.3804158719763082E-2</v>
      </c>
      <c r="AI27" s="14">
        <f t="shared" si="92"/>
        <v>-6.3452335264227555E-2</v>
      </c>
      <c r="AJ27" s="14">
        <f t="shared" si="92"/>
        <v>-6.3286957815029687E-2</v>
      </c>
      <c r="AK27" s="14">
        <f t="shared" si="92"/>
        <v>-6.3597925457023141E-2</v>
      </c>
      <c r="AL27" s="14">
        <f t="shared" si="92"/>
        <v>-6.2816792874076377E-2</v>
      </c>
      <c r="AM27" s="14">
        <f t="shared" si="92"/>
        <v>-6.2233127988042369E-2</v>
      </c>
      <c r="AN27" s="14">
        <f t="shared" si="92"/>
        <v>-6.190946860831259E-2</v>
      </c>
      <c r="AO27" s="14">
        <f t="shared" si="92"/>
        <v>-6.1584351927736591E-2</v>
      </c>
      <c r="AP27" s="14">
        <f t="shared" si="92"/>
        <v>-6.1425994714542576E-2</v>
      </c>
      <c r="AQ27" s="14">
        <f t="shared" si="92"/>
        <v>-6.1211607879303243E-2</v>
      </c>
      <c r="AR27" s="14">
        <f t="shared" si="92"/>
        <v>-6.1201162142980881E-2</v>
      </c>
      <c r="AS27" s="14">
        <f t="shared" si="92"/>
        <v>-6.1210816105198074E-2</v>
      </c>
      <c r="AT27" s="14">
        <f t="shared" si="92"/>
        <v>0</v>
      </c>
      <c r="AU27" s="14">
        <f t="shared" si="92"/>
        <v>0</v>
      </c>
      <c r="AV27" s="14">
        <f t="shared" si="92"/>
        <v>0</v>
      </c>
      <c r="AW27" s="14">
        <f t="shared" si="92"/>
        <v>0</v>
      </c>
      <c r="AX27" s="14">
        <f t="shared" si="92"/>
        <v>0</v>
      </c>
      <c r="AY27" s="14">
        <f t="shared" si="92"/>
        <v>0</v>
      </c>
      <c r="AZ27" s="14">
        <f t="shared" ref="AZ27:BK27" si="96">-IFERROR(((1-AZ45/AZ15)^(360/AZ$4))-1,0)</f>
        <v>-6.1212185769539351E-2</v>
      </c>
      <c r="BA27" s="14">
        <f t="shared" si="96"/>
        <v>-6.0531870875814464E-2</v>
      </c>
      <c r="BB27" s="14">
        <f t="shared" si="96"/>
        <v>-5.9913342983424656E-2</v>
      </c>
      <c r="BC27" s="14">
        <f t="shared" si="96"/>
        <v>-5.8210804053367093E-2</v>
      </c>
      <c r="BD27" s="14">
        <f t="shared" si="96"/>
        <v>-5.7238902916850298E-2</v>
      </c>
      <c r="BE27" s="14">
        <f t="shared" si="96"/>
        <v>-5.6119293144711868E-2</v>
      </c>
      <c r="BF27" s="14">
        <f t="shared" si="96"/>
        <v>-5.5561529121674447E-2</v>
      </c>
      <c r="BG27" s="14">
        <f t="shared" si="96"/>
        <v>-5.4939256392645408E-2</v>
      </c>
      <c r="BH27" s="14">
        <f t="shared" si="96"/>
        <v>-5.4513175129963454E-2</v>
      </c>
      <c r="BI27" s="14">
        <f t="shared" si="96"/>
        <v>-5.3931051272681385E-2</v>
      </c>
      <c r="BJ27" s="14">
        <f t="shared" si="96"/>
        <v>-5.3500208112869707E-2</v>
      </c>
      <c r="BK27" s="14">
        <f t="shared" si="96"/>
        <v>-5.3097528680754236E-2</v>
      </c>
      <c r="BO27" s="28">
        <f t="shared" ref="BO27:BO29" si="97">-IFERROR(((1-BO45/BW15)^(360/BO$4))-1,0)</f>
        <v>-6.1453175602631527E-2</v>
      </c>
      <c r="BP27" s="28">
        <f t="shared" si="94"/>
        <v>-5.939236733727471E-2</v>
      </c>
      <c r="BQ27" s="28">
        <f t="shared" si="94"/>
        <v>-6.1534928841556757E-2</v>
      </c>
      <c r="BR27" s="28">
        <f t="shared" si="94"/>
        <v>-6.6536457058662624E-2</v>
      </c>
      <c r="BS27" s="28">
        <f t="shared" si="94"/>
        <v>-6.8231683778715135E-2</v>
      </c>
      <c r="BT27" s="28">
        <f t="shared" si="94"/>
        <v>-5.6855971124091242E-2</v>
      </c>
    </row>
    <row r="28" spans="1:80" outlineLevel="1" x14ac:dyDescent="0.25">
      <c r="A28" s="11"/>
      <c r="C28" s="2" t="s">
        <v>45</v>
      </c>
      <c r="D28" s="14">
        <f t="shared" si="95"/>
        <v>-3.5805183251103934E-2</v>
      </c>
      <c r="E28" s="14">
        <f t="shared" si="92"/>
        <v>-3.7732098210431886E-2</v>
      </c>
      <c r="F28" s="14">
        <f t="shared" si="92"/>
        <v>-4.0647536545308727E-2</v>
      </c>
      <c r="G28" s="14">
        <f t="shared" si="92"/>
        <v>-4.1280073067049727E-2</v>
      </c>
      <c r="H28" s="14">
        <f t="shared" si="92"/>
        <v>-3.9940912492100189E-2</v>
      </c>
      <c r="I28" s="14">
        <f t="shared" si="92"/>
        <v>-4.106426459241086E-2</v>
      </c>
      <c r="J28" s="14">
        <f t="shared" si="92"/>
        <v>-4.4588396615683035E-2</v>
      </c>
      <c r="K28" s="14">
        <f t="shared" si="92"/>
        <v>-5.4704210827273725E-2</v>
      </c>
      <c r="L28" s="14">
        <f t="shared" si="92"/>
        <v>-5.1692691960512294E-2</v>
      </c>
      <c r="M28" s="14">
        <f t="shared" si="92"/>
        <v>-5.8372955569745422E-2</v>
      </c>
      <c r="N28" s="14">
        <f t="shared" si="92"/>
        <v>-6.4541109130936247E-2</v>
      </c>
      <c r="O28" s="14">
        <f t="shared" si="92"/>
        <v>-6.5624956625305098E-2</v>
      </c>
      <c r="P28" s="14">
        <f t="shared" si="92"/>
        <v>-6.64775435907905E-2</v>
      </c>
      <c r="Q28" s="14">
        <f t="shared" si="92"/>
        <v>-6.6933620994521492E-2</v>
      </c>
      <c r="R28" s="14">
        <f t="shared" si="92"/>
        <v>-6.7140713646537398E-2</v>
      </c>
      <c r="S28" s="14">
        <f t="shared" si="92"/>
        <v>-6.7929840627316995E-2</v>
      </c>
      <c r="T28" s="14">
        <f t="shared" si="92"/>
        <v>-6.8826652847109093E-2</v>
      </c>
      <c r="U28" s="14">
        <f t="shared" si="92"/>
        <v>-6.8339354490029702E-2</v>
      </c>
      <c r="V28" s="14">
        <f t="shared" si="92"/>
        <v>-6.7973479809771531E-2</v>
      </c>
      <c r="W28" s="14">
        <f t="shared" si="92"/>
        <v>-6.8685837555177098E-2</v>
      </c>
      <c r="X28" s="14">
        <f t="shared" si="92"/>
        <v>-6.9128501077884374E-2</v>
      </c>
      <c r="Y28" s="14">
        <f t="shared" si="92"/>
        <v>-6.8662953045855124E-2</v>
      </c>
      <c r="Z28" s="14">
        <f t="shared" si="92"/>
        <v>-6.7700413277062443E-2</v>
      </c>
      <c r="AA28" s="14">
        <f t="shared" si="92"/>
        <v>-6.7568571743647388E-2</v>
      </c>
      <c r="AB28" s="14">
        <f t="shared" si="92"/>
        <v>-6.7743308919148815E-2</v>
      </c>
      <c r="AC28" s="14">
        <f t="shared" si="92"/>
        <v>-6.6968328177837266E-2</v>
      </c>
      <c r="AD28" s="14">
        <f t="shared" si="92"/>
        <v>-6.6685820051865408E-2</v>
      </c>
      <c r="AE28" s="14">
        <f t="shared" si="92"/>
        <v>-6.6645589523295579E-2</v>
      </c>
      <c r="AF28" s="14">
        <f t="shared" si="92"/>
        <v>-6.5814474859728689E-2</v>
      </c>
      <c r="AG28" s="14">
        <f t="shared" si="92"/>
        <v>-6.5067485653444335E-2</v>
      </c>
      <c r="AH28" s="14">
        <f t="shared" si="92"/>
        <v>-6.5053348247767095E-2</v>
      </c>
      <c r="AI28" s="14">
        <f t="shared" si="92"/>
        <v>-6.4455278937762595E-2</v>
      </c>
      <c r="AJ28" s="14">
        <f t="shared" si="92"/>
        <v>-6.4305103394417085E-2</v>
      </c>
      <c r="AK28" s="14">
        <f t="shared" si="92"/>
        <v>-0.10506247829468651</v>
      </c>
      <c r="AL28" s="14">
        <f t="shared" si="92"/>
        <v>-6.2413997877389882E-2</v>
      </c>
      <c r="AM28" s="14">
        <f t="shared" si="92"/>
        <v>-6.1276080367923758E-2</v>
      </c>
      <c r="AN28" s="14">
        <f t="shared" si="92"/>
        <v>-5.7623792022173381E-2</v>
      </c>
      <c r="AO28" s="14">
        <f t="shared" si="92"/>
        <v>-5.491636856322013E-2</v>
      </c>
      <c r="AP28" s="14">
        <f t="shared" si="92"/>
        <v>-5.5197918262792856E-2</v>
      </c>
      <c r="AQ28" s="14">
        <f t="shared" si="92"/>
        <v>-5.5789993103533719E-2</v>
      </c>
      <c r="AR28" s="14">
        <f t="shared" si="92"/>
        <v>-5.6536271216045542E-2</v>
      </c>
      <c r="AS28" s="14">
        <f t="shared" si="92"/>
        <v>-5.6744430242754662E-2</v>
      </c>
      <c r="AT28" s="14">
        <f t="shared" si="92"/>
        <v>0</v>
      </c>
      <c r="AU28" s="14">
        <f t="shared" si="92"/>
        <v>0</v>
      </c>
      <c r="AV28" s="14">
        <f t="shared" si="92"/>
        <v>0</v>
      </c>
      <c r="AW28" s="14">
        <f t="shared" si="92"/>
        <v>0</v>
      </c>
      <c r="AX28" s="14">
        <f t="shared" si="92"/>
        <v>0</v>
      </c>
      <c r="AY28" s="14">
        <f t="shared" si="92"/>
        <v>0</v>
      </c>
      <c r="AZ28" s="14">
        <f t="shared" ref="AZ28:BK28" si="98">-IFERROR(((1-AZ46/AZ16)^(360/AZ$4))-1,0)</f>
        <v>-5.8198663068525169E-2</v>
      </c>
      <c r="BA28" s="14">
        <f t="shared" si="98"/>
        <v>-5.9057102871358014E-2</v>
      </c>
      <c r="BB28" s="14">
        <f t="shared" si="98"/>
        <v>-5.978899683631389E-2</v>
      </c>
      <c r="BC28" s="14">
        <f t="shared" si="98"/>
        <v>-6.0980555934934566E-2</v>
      </c>
      <c r="BD28" s="14">
        <f t="shared" si="98"/>
        <v>-6.1129681313655926E-2</v>
      </c>
      <c r="BE28" s="14">
        <f t="shared" si="98"/>
        <v>-6.1336570134120416E-2</v>
      </c>
      <c r="BF28" s="14">
        <f t="shared" si="98"/>
        <v>-6.1836121597509175E-2</v>
      </c>
      <c r="BG28" s="14">
        <f t="shared" si="98"/>
        <v>-6.1309616877780027E-2</v>
      </c>
      <c r="BH28" s="14">
        <f t="shared" si="98"/>
        <v>-6.1754164791669064E-2</v>
      </c>
      <c r="BI28" s="14">
        <f t="shared" si="98"/>
        <v>-6.1754893916364129E-2</v>
      </c>
      <c r="BJ28" s="14">
        <f t="shared" si="98"/>
        <v>-6.161248126313601E-2</v>
      </c>
      <c r="BK28" s="14">
        <f t="shared" si="98"/>
        <v>-6.134481488976995E-2</v>
      </c>
      <c r="BO28" s="28">
        <f t="shared" si="97"/>
        <v>-5.6001441551509989E-2</v>
      </c>
      <c r="BP28" s="28">
        <f t="shared" si="94"/>
        <v>-5.9798828835754492E-2</v>
      </c>
      <c r="BQ28" s="28">
        <f t="shared" si="94"/>
        <v>-5.5885258223468792E-2</v>
      </c>
      <c r="BR28" s="28">
        <f t="shared" si="94"/>
        <v>-6.6820171133608941E-2</v>
      </c>
      <c r="BS28" s="28">
        <f t="shared" si="94"/>
        <v>-6.7442073631436061E-2</v>
      </c>
      <c r="BT28" s="28">
        <f t="shared" si="94"/>
        <v>-3.906441266421723E-2</v>
      </c>
    </row>
    <row r="29" spans="1:80" x14ac:dyDescent="0.25">
      <c r="C29" s="3" t="s">
        <v>60</v>
      </c>
      <c r="D29" s="15">
        <f t="shared" si="95"/>
        <v>-6.0288626500094145E-2</v>
      </c>
      <c r="E29" s="15">
        <f t="shared" si="92"/>
        <v>-6.2397831816652705E-2</v>
      </c>
      <c r="F29" s="15">
        <f t="shared" si="92"/>
        <v>-6.4652162537317981E-2</v>
      </c>
      <c r="G29" s="15">
        <f t="shared" si="92"/>
        <v>-6.680001023167792E-2</v>
      </c>
      <c r="H29" s="15">
        <f t="shared" si="92"/>
        <v>-6.8053084856959822E-2</v>
      </c>
      <c r="I29" s="15">
        <f t="shared" si="92"/>
        <v>-6.9278821723016915E-2</v>
      </c>
      <c r="J29" s="15">
        <f t="shared" si="92"/>
        <v>-7.009754400173196E-2</v>
      </c>
      <c r="K29" s="15">
        <f t="shared" si="92"/>
        <v>-7.1131557634020348E-2</v>
      </c>
      <c r="L29" s="15">
        <f t="shared" si="92"/>
        <v>-7.1773908503522055E-2</v>
      </c>
      <c r="M29" s="15">
        <f t="shared" si="92"/>
        <v>-7.2652775772086509E-2</v>
      </c>
      <c r="N29" s="15">
        <f t="shared" si="92"/>
        <v>-7.3336418124565039E-2</v>
      </c>
      <c r="O29" s="15">
        <f t="shared" si="92"/>
        <v>-7.360146034645787E-2</v>
      </c>
      <c r="P29" s="15">
        <f t="shared" si="92"/>
        <v>-7.3583963842640765E-2</v>
      </c>
      <c r="Q29" s="15">
        <f t="shared" si="92"/>
        <v>-7.327842267694229E-2</v>
      </c>
      <c r="R29" s="15">
        <f t="shared" si="92"/>
        <v>-7.285317941011682E-2</v>
      </c>
      <c r="S29" s="15">
        <f t="shared" si="92"/>
        <v>-7.2516274935131797E-2</v>
      </c>
      <c r="T29" s="15">
        <f t="shared" si="92"/>
        <v>-7.2273730340795428E-2</v>
      </c>
      <c r="U29" s="15">
        <f t="shared" si="92"/>
        <v>-7.1747997182401546E-2</v>
      </c>
      <c r="V29" s="15">
        <f t="shared" si="92"/>
        <v>-7.129244220124642E-2</v>
      </c>
      <c r="W29" s="15">
        <f t="shared" si="92"/>
        <v>-7.0754300708467222E-2</v>
      </c>
      <c r="X29" s="15">
        <f t="shared" si="92"/>
        <v>-7.0103029800798078E-2</v>
      </c>
      <c r="Y29" s="15">
        <f t="shared" si="92"/>
        <v>-6.9466480506468864E-2</v>
      </c>
      <c r="Z29" s="15">
        <f t="shared" si="92"/>
        <v>-6.8979631060174462E-2</v>
      </c>
      <c r="AA29" s="15">
        <f t="shared" si="92"/>
        <v>-6.8571877181784702E-2</v>
      </c>
      <c r="AB29" s="15">
        <f t="shared" si="92"/>
        <v>-6.8254607173356741E-2</v>
      </c>
      <c r="AC29" s="15">
        <f t="shared" si="92"/>
        <v>-6.7674978960522214E-2</v>
      </c>
      <c r="AD29" s="15">
        <f t="shared" si="92"/>
        <v>-6.6792745638952988E-2</v>
      </c>
      <c r="AE29" s="15">
        <f t="shared" si="92"/>
        <v>-6.5898693596124991E-2</v>
      </c>
      <c r="AF29" s="15">
        <f t="shared" si="92"/>
        <v>-6.5235375534262285E-2</v>
      </c>
      <c r="AG29" s="15">
        <f t="shared" si="92"/>
        <v>-6.448180875726961E-2</v>
      </c>
      <c r="AH29" s="15">
        <f t="shared" si="92"/>
        <v>-6.3453472091325125E-2</v>
      </c>
      <c r="AI29" s="15">
        <f t="shared" si="92"/>
        <v>-6.2467836655581976E-2</v>
      </c>
      <c r="AJ29" s="15">
        <f t="shared" si="92"/>
        <v>-6.1635717909222842E-2</v>
      </c>
      <c r="AK29" s="15">
        <f t="shared" si="92"/>
        <v>-6.1277273266562071E-2</v>
      </c>
      <c r="AL29" s="15">
        <f t="shared" si="92"/>
        <v>-6.068020617119374E-2</v>
      </c>
      <c r="AM29" s="15">
        <f t="shared" si="92"/>
        <v>-5.9980114117253347E-2</v>
      </c>
      <c r="AN29" s="15">
        <f t="shared" si="92"/>
        <v>-5.9458076926050651E-2</v>
      </c>
      <c r="AO29" s="15">
        <f t="shared" si="92"/>
        <v>-5.8714036759818011E-2</v>
      </c>
      <c r="AP29" s="15">
        <f t="shared" si="92"/>
        <v>-5.8059196250245693E-2</v>
      </c>
      <c r="AQ29" s="15">
        <f t="shared" si="92"/>
        <v>-5.7617914792827518E-2</v>
      </c>
      <c r="AR29" s="15">
        <f t="shared" si="92"/>
        <v>-5.7326134381774807E-2</v>
      </c>
      <c r="AS29" s="15">
        <f t="shared" si="92"/>
        <v>-5.6895720338260958E-2</v>
      </c>
      <c r="AT29" s="15">
        <f t="shared" si="92"/>
        <v>0</v>
      </c>
      <c r="AU29" s="15">
        <f t="shared" si="92"/>
        <v>0</v>
      </c>
      <c r="AV29" s="15">
        <f t="shared" si="92"/>
        <v>0</v>
      </c>
      <c r="AW29" s="15">
        <f t="shared" si="92"/>
        <v>0</v>
      </c>
      <c r="AX29" s="15">
        <f t="shared" si="92"/>
        <v>0</v>
      </c>
      <c r="AY29" s="15">
        <f t="shared" si="92"/>
        <v>0</v>
      </c>
      <c r="AZ29" s="15">
        <f t="shared" ref="AZ29:BK29" si="99">-IFERROR(((1-AZ47/AZ17)^(360/AZ$4))-1,0)</f>
        <v>-5.9020266032167923E-2</v>
      </c>
      <c r="BA29" s="15">
        <f t="shared" si="99"/>
        <v>-5.8457630468060184E-2</v>
      </c>
      <c r="BB29" s="15">
        <f t="shared" si="99"/>
        <v>-5.7863291083855461E-2</v>
      </c>
      <c r="BC29" s="15">
        <f t="shared" si="99"/>
        <v>-5.7350767587369678E-2</v>
      </c>
      <c r="BD29" s="15">
        <f t="shared" si="99"/>
        <v>-5.687432649780777E-2</v>
      </c>
      <c r="BE29" s="15">
        <f t="shared" si="99"/>
        <v>-5.6398251018870971E-2</v>
      </c>
      <c r="BF29" s="15">
        <f t="shared" si="99"/>
        <v>-5.5954121568960513E-2</v>
      </c>
      <c r="BG29" s="15">
        <f t="shared" si="99"/>
        <v>-5.5540090726972968E-2</v>
      </c>
      <c r="BH29" s="15">
        <f t="shared" si="99"/>
        <v>-5.5135151107286839E-2</v>
      </c>
      <c r="BI29" s="15">
        <f t="shared" si="99"/>
        <v>-5.4774185889276072E-2</v>
      </c>
      <c r="BJ29" s="15">
        <f t="shared" si="99"/>
        <v>-5.44420625188482E-2</v>
      </c>
      <c r="BK29" s="15">
        <f t="shared" si="99"/>
        <v>-5.4146058120059459E-2</v>
      </c>
      <c r="BO29" s="29">
        <f t="shared" si="97"/>
        <v>-5.823239217336118E-2</v>
      </c>
      <c r="BP29" s="29">
        <f t="shared" si="94"/>
        <v>-5.7905758180050393E-2</v>
      </c>
      <c r="BQ29" s="29">
        <f t="shared" si="94"/>
        <v>-5.8466125917575162E-2</v>
      </c>
      <c r="BR29" s="29">
        <f t="shared" si="94"/>
        <v>-6.6763532241838952E-2</v>
      </c>
      <c r="BS29" s="29">
        <f t="shared" si="94"/>
        <v>-7.2896837865202624E-2</v>
      </c>
      <c r="BT29" s="29">
        <f t="shared" si="94"/>
        <v>-6.4522231026847621E-2</v>
      </c>
    </row>
    <row r="32" spans="1:80" outlineLevel="1" x14ac:dyDescent="0.25">
      <c r="A32" s="11"/>
      <c r="C32" s="2" t="s">
        <v>0</v>
      </c>
      <c r="D32" s="14">
        <f>D20+D26</f>
        <v>6.1208594193124188E-2</v>
      </c>
      <c r="E32" s="14">
        <f t="shared" ref="E32:AY32" si="100">E20+E26</f>
        <v>5.6697957053366999E-2</v>
      </c>
      <c r="F32" s="14">
        <f t="shared" si="100"/>
        <v>5.4318512418026765E-2</v>
      </c>
      <c r="G32" s="14">
        <f t="shared" si="100"/>
        <v>5.1385324879914096E-2</v>
      </c>
      <c r="H32" s="14">
        <f t="shared" si="100"/>
        <v>5.0791899885421987E-2</v>
      </c>
      <c r="I32" s="14">
        <f t="shared" si="100"/>
        <v>5.1224616900690689E-2</v>
      </c>
      <c r="J32" s="14">
        <f t="shared" si="100"/>
        <v>4.978931631135608E-2</v>
      </c>
      <c r="K32" s="14">
        <f t="shared" si="100"/>
        <v>4.9768102818891213E-2</v>
      </c>
      <c r="L32" s="14">
        <f t="shared" si="100"/>
        <v>4.8743159597606445E-2</v>
      </c>
      <c r="M32" s="14">
        <f t="shared" si="100"/>
        <v>4.7143881080758065E-2</v>
      </c>
      <c r="N32" s="14">
        <f t="shared" si="100"/>
        <v>4.6474432619034278E-2</v>
      </c>
      <c r="O32" s="14">
        <f t="shared" si="100"/>
        <v>4.6407367630912466E-2</v>
      </c>
      <c r="P32" s="14">
        <f t="shared" si="100"/>
        <v>4.5847098321599722E-2</v>
      </c>
      <c r="Q32" s="14">
        <f t="shared" si="100"/>
        <v>4.8838801835941581E-2</v>
      </c>
      <c r="R32" s="14">
        <f t="shared" si="100"/>
        <v>4.5256472411286275E-2</v>
      </c>
      <c r="S32" s="14">
        <f t="shared" si="100"/>
        <v>4.3236073509820727E-2</v>
      </c>
      <c r="T32" s="14">
        <f t="shared" si="100"/>
        <v>4.6009144552018322E-2</v>
      </c>
      <c r="U32" s="14">
        <f t="shared" si="100"/>
        <v>4.6755563073492601E-2</v>
      </c>
      <c r="V32" s="14">
        <f t="shared" si="100"/>
        <v>4.769296514271848E-2</v>
      </c>
      <c r="W32" s="14">
        <f t="shared" si="100"/>
        <v>4.8321658443618576E-2</v>
      </c>
      <c r="X32" s="14">
        <f t="shared" si="100"/>
        <v>4.9466542119548595E-2</v>
      </c>
      <c r="Y32" s="14">
        <f t="shared" si="100"/>
        <v>5.3395375460558725E-2</v>
      </c>
      <c r="Z32" s="14">
        <f t="shared" si="100"/>
        <v>5.0129125683270548E-2</v>
      </c>
      <c r="AA32" s="14">
        <f t="shared" si="100"/>
        <v>4.9364323322830694E-2</v>
      </c>
      <c r="AB32" s="14">
        <f t="shared" si="100"/>
        <v>5.012113489802883E-2</v>
      </c>
      <c r="AC32" s="14">
        <f t="shared" si="100"/>
        <v>4.9985711179687975E-2</v>
      </c>
      <c r="AD32" s="14">
        <f t="shared" si="100"/>
        <v>5.17863873128801E-2</v>
      </c>
      <c r="AE32" s="14">
        <f t="shared" si="100"/>
        <v>5.1969158313889707E-2</v>
      </c>
      <c r="AF32" s="14">
        <f t="shared" si="100"/>
        <v>5.370356517921171E-2</v>
      </c>
      <c r="AG32" s="14">
        <f t="shared" si="100"/>
        <v>5.3012207808182499E-2</v>
      </c>
      <c r="AH32" s="14">
        <f t="shared" si="100"/>
        <v>5.3735851186419881E-2</v>
      </c>
      <c r="AI32" s="14">
        <f t="shared" si="100"/>
        <v>5.3187336843882882E-2</v>
      </c>
      <c r="AJ32" s="14">
        <f t="shared" si="100"/>
        <v>5.4668775449652429E-2</v>
      </c>
      <c r="AK32" s="14">
        <f t="shared" si="100"/>
        <v>5.7107002822092356E-2</v>
      </c>
      <c r="AL32" s="14">
        <f t="shared" si="100"/>
        <v>5.5681383199510215E-2</v>
      </c>
      <c r="AM32" s="14">
        <f t="shared" si="100"/>
        <v>5.6124434390429245E-2</v>
      </c>
      <c r="AN32" s="14">
        <f t="shared" si="100"/>
        <v>5.5510234620461008E-2</v>
      </c>
      <c r="AO32" s="14">
        <f t="shared" si="100"/>
        <v>5.5076398451165964E-2</v>
      </c>
      <c r="AP32" s="14">
        <f t="shared" si="100"/>
        <v>5.6079991561189813E-2</v>
      </c>
      <c r="AQ32" s="14">
        <f t="shared" si="100"/>
        <v>5.5991449747627042E-2</v>
      </c>
      <c r="AR32" s="14">
        <f t="shared" si="100"/>
        <v>5.6060976543998553E-2</v>
      </c>
      <c r="AS32" s="14">
        <f t="shared" si="100"/>
        <v>5.5230378531180957E-2</v>
      </c>
      <c r="AT32" s="14">
        <f t="shared" si="100"/>
        <v>0</v>
      </c>
      <c r="AU32" s="14">
        <f t="shared" si="100"/>
        <v>0</v>
      </c>
      <c r="AV32" s="14">
        <f t="shared" si="100"/>
        <v>0</v>
      </c>
      <c r="AW32" s="14">
        <f t="shared" si="100"/>
        <v>0</v>
      </c>
      <c r="AX32" s="14">
        <f t="shared" si="100"/>
        <v>0</v>
      </c>
      <c r="AY32" s="14">
        <f t="shared" si="100"/>
        <v>0</v>
      </c>
      <c r="AZ32" s="14">
        <f t="shared" ref="AZ32:BK32" si="101">AZ20+AZ26</f>
        <v>5.5585346618608034E-2</v>
      </c>
      <c r="BA32" s="14">
        <f t="shared" si="101"/>
        <v>5.6798490702736126E-2</v>
      </c>
      <c r="BB32" s="14">
        <f t="shared" si="101"/>
        <v>5.5725187094464612E-2</v>
      </c>
      <c r="BC32" s="14">
        <f t="shared" si="101"/>
        <v>5.6648520355964571E-2</v>
      </c>
      <c r="BD32" s="14">
        <f t="shared" si="101"/>
        <v>5.6574067851234311E-2</v>
      </c>
      <c r="BE32" s="14">
        <f t="shared" si="101"/>
        <v>5.7002275171083916E-2</v>
      </c>
      <c r="BF32" s="14">
        <f t="shared" si="101"/>
        <v>5.7683602898539021E-2</v>
      </c>
      <c r="BG32" s="14">
        <f t="shared" si="101"/>
        <v>5.802989069997877E-2</v>
      </c>
      <c r="BH32" s="14">
        <f t="shared" si="101"/>
        <v>5.8138765312588436E-2</v>
      </c>
      <c r="BI32" s="14">
        <f t="shared" si="101"/>
        <v>5.908175025446627E-2</v>
      </c>
      <c r="BJ32" s="14">
        <f t="shared" si="101"/>
        <v>5.8545922448761889E-2</v>
      </c>
      <c r="BK32" s="14">
        <f t="shared" si="101"/>
        <v>5.9412541380972961E-2</v>
      </c>
      <c r="BO32" s="28">
        <f>BO20+BO26</f>
        <v>5.5746846777561698E-2</v>
      </c>
      <c r="BP32" s="28">
        <f t="shared" ref="BP32:BT32" si="102">BP20+BP26</f>
        <v>5.6270565467961386E-2</v>
      </c>
      <c r="BQ32" s="28">
        <f t="shared" si="102"/>
        <v>5.5661745125119566E-2</v>
      </c>
      <c r="BR32" s="28">
        <f t="shared" si="102"/>
        <v>5.152191720219923E-2</v>
      </c>
      <c r="BS32" s="28">
        <f t="shared" si="102"/>
        <v>4.5814571338304022E-2</v>
      </c>
      <c r="BT32" s="28">
        <f t="shared" si="102"/>
        <v>5.4775930954630514E-2</v>
      </c>
    </row>
    <row r="33" spans="1:72" outlineLevel="1" x14ac:dyDescent="0.25">
      <c r="A33" s="11"/>
      <c r="C33" s="2" t="s">
        <v>1</v>
      </c>
      <c r="D33" s="14">
        <f t="shared" ref="D33:AY35" si="103">D21+D27</f>
        <v>6.1878306514586923E-2</v>
      </c>
      <c r="E33" s="14">
        <f t="shared" si="103"/>
        <v>5.6836301595029282E-2</v>
      </c>
      <c r="F33" s="14">
        <f t="shared" si="103"/>
        <v>5.0628741775975206E-2</v>
      </c>
      <c r="G33" s="14">
        <f t="shared" si="103"/>
        <v>5.1295742380040643E-2</v>
      </c>
      <c r="H33" s="14">
        <f t="shared" si="103"/>
        <v>4.2951662467030749E-2</v>
      </c>
      <c r="I33" s="14">
        <f t="shared" si="103"/>
        <v>4.4037149107457818E-2</v>
      </c>
      <c r="J33" s="14">
        <f t="shared" si="103"/>
        <v>6.2361992694196511E-2</v>
      </c>
      <c r="K33" s="14">
        <f t="shared" si="103"/>
        <v>5.3391588224005027E-2</v>
      </c>
      <c r="L33" s="14">
        <f t="shared" si="103"/>
        <v>5.3011788628066991E-2</v>
      </c>
      <c r="M33" s="14">
        <f t="shared" si="103"/>
        <v>5.1710181038876257E-2</v>
      </c>
      <c r="N33" s="14">
        <f t="shared" si="103"/>
        <v>5.0781750671274883E-2</v>
      </c>
      <c r="O33" s="14">
        <f t="shared" si="103"/>
        <v>4.96350335661917E-2</v>
      </c>
      <c r="P33" s="14">
        <f t="shared" si="103"/>
        <v>4.7034780530194942E-2</v>
      </c>
      <c r="Q33" s="14">
        <f t="shared" si="103"/>
        <v>4.2394846727949353E-2</v>
      </c>
      <c r="R33" s="14">
        <f t="shared" si="103"/>
        <v>4.5182360991172787E-2</v>
      </c>
      <c r="S33" s="14">
        <f t="shared" si="103"/>
        <v>4.0097457712629181E-2</v>
      </c>
      <c r="T33" s="14">
        <f t="shared" si="103"/>
        <v>4.7261261287221412E-2</v>
      </c>
      <c r="U33" s="14">
        <f t="shared" si="103"/>
        <v>3.539776391108318E-2</v>
      </c>
      <c r="V33" s="14">
        <f t="shared" si="103"/>
        <v>4.9477368817569367E-2</v>
      </c>
      <c r="W33" s="14">
        <f t="shared" si="103"/>
        <v>4.8412442895535035E-2</v>
      </c>
      <c r="X33" s="14">
        <f t="shared" si="103"/>
        <v>5.1551922142183404E-2</v>
      </c>
      <c r="Y33" s="14">
        <f t="shared" si="103"/>
        <v>5.2222689287763746E-2</v>
      </c>
      <c r="Z33" s="14">
        <f t="shared" si="103"/>
        <v>4.5296425632837201E-2</v>
      </c>
      <c r="AA33" s="14">
        <f t="shared" si="103"/>
        <v>5.3472880760915276E-2</v>
      </c>
      <c r="AB33" s="14">
        <f t="shared" si="103"/>
        <v>5.3177053406163299E-2</v>
      </c>
      <c r="AC33" s="14">
        <f t="shared" si="103"/>
        <v>4.420525623547622E-2</v>
      </c>
      <c r="AD33" s="14">
        <f t="shared" si="103"/>
        <v>4.7483589689184758E-2</v>
      </c>
      <c r="AE33" s="14">
        <f t="shared" si="103"/>
        <v>5.1257929424811666E-2</v>
      </c>
      <c r="AF33" s="14">
        <f t="shared" si="103"/>
        <v>5.0644492802032648E-2</v>
      </c>
      <c r="AG33" s="14">
        <f t="shared" si="103"/>
        <v>4.7349383946448276E-2</v>
      </c>
      <c r="AH33" s="14">
        <f t="shared" si="103"/>
        <v>5.0019020842216211E-2</v>
      </c>
      <c r="AI33" s="14">
        <f t="shared" si="103"/>
        <v>5.6824099593115296E-2</v>
      </c>
      <c r="AJ33" s="14">
        <f t="shared" si="103"/>
        <v>5.6052367685987869E-2</v>
      </c>
      <c r="AK33" s="14">
        <f t="shared" si="103"/>
        <v>5.5406509351424882E-2</v>
      </c>
      <c r="AL33" s="14">
        <f t="shared" si="103"/>
        <v>5.1892087851368229E-2</v>
      </c>
      <c r="AM33" s="14">
        <f t="shared" si="103"/>
        <v>4.9490160716335829E-2</v>
      </c>
      <c r="AN33" s="14">
        <f t="shared" si="103"/>
        <v>5.3642340838574443E-2</v>
      </c>
      <c r="AO33" s="14">
        <f t="shared" si="103"/>
        <v>5.2065493831024545E-2</v>
      </c>
      <c r="AP33" s="14">
        <f t="shared" si="103"/>
        <v>4.5075615518714196E-2</v>
      </c>
      <c r="AQ33" s="14">
        <f t="shared" si="103"/>
        <v>4.9777664967518787E-2</v>
      </c>
      <c r="AR33" s="14">
        <f t="shared" si="103"/>
        <v>4.6588242184210094E-2</v>
      </c>
      <c r="AS33" s="14">
        <f t="shared" si="103"/>
        <v>4.9877987391821366E-2</v>
      </c>
      <c r="AT33" s="14">
        <f t="shared" si="103"/>
        <v>0</v>
      </c>
      <c r="AU33" s="14">
        <f t="shared" si="103"/>
        <v>0</v>
      </c>
      <c r="AV33" s="14">
        <f t="shared" si="103"/>
        <v>0</v>
      </c>
      <c r="AW33" s="14">
        <f t="shared" si="103"/>
        <v>0</v>
      </c>
      <c r="AX33" s="14">
        <f t="shared" si="103"/>
        <v>0</v>
      </c>
      <c r="AY33" s="14">
        <f t="shared" si="103"/>
        <v>0</v>
      </c>
      <c r="AZ33" s="14">
        <f t="shared" ref="AZ33:BK33" si="104">AZ21+AZ27</f>
        <v>5.7315721817589926E-2</v>
      </c>
      <c r="BA33" s="14">
        <f t="shared" si="104"/>
        <v>5.8544422581870093E-2</v>
      </c>
      <c r="BB33" s="14">
        <f t="shared" si="104"/>
        <v>5.7516048039853551E-2</v>
      </c>
      <c r="BC33" s="14">
        <f t="shared" si="104"/>
        <v>5.7331670625053732E-2</v>
      </c>
      <c r="BD33" s="14">
        <f t="shared" si="104"/>
        <v>5.6797005946321644E-2</v>
      </c>
      <c r="BE33" s="14">
        <f t="shared" si="104"/>
        <v>5.6633691483581883E-2</v>
      </c>
      <c r="BF33" s="14">
        <f t="shared" si="104"/>
        <v>5.7269970781675061E-2</v>
      </c>
      <c r="BG33" s="14">
        <f t="shared" si="104"/>
        <v>5.7438683791002587E-2</v>
      </c>
      <c r="BH33" s="14">
        <f t="shared" si="104"/>
        <v>5.7603551483393689E-2</v>
      </c>
      <c r="BI33" s="14">
        <f t="shared" si="104"/>
        <v>5.8431456261562209E-2</v>
      </c>
      <c r="BJ33" s="14">
        <f t="shared" si="104"/>
        <v>5.7906091018995021E-2</v>
      </c>
      <c r="BK33" s="14">
        <f t="shared" si="104"/>
        <v>5.8732160779941589E-2</v>
      </c>
      <c r="BO33" s="28">
        <f t="shared" ref="BO33:BT35" si="105">BO21+BO27</f>
        <v>4.9498825065960039E-2</v>
      </c>
      <c r="BP33" s="28">
        <f t="shared" si="105"/>
        <v>5.749755835782322E-2</v>
      </c>
      <c r="BQ33" s="28">
        <f t="shared" si="105"/>
        <v>5.0172029883394531E-2</v>
      </c>
      <c r="BR33" s="28">
        <f t="shared" si="105"/>
        <v>4.9337757424021689E-2</v>
      </c>
      <c r="BS33" s="28">
        <f t="shared" si="105"/>
        <v>4.4418103254714181E-2</v>
      </c>
      <c r="BT33" s="28">
        <f t="shared" si="105"/>
        <v>5.2685437447463679E-2</v>
      </c>
    </row>
    <row r="34" spans="1:72" outlineLevel="1" x14ac:dyDescent="0.25">
      <c r="A34" s="11"/>
      <c r="C34" s="2" t="s">
        <v>45</v>
      </c>
      <c r="D34" s="14">
        <f t="shared" si="103"/>
        <v>6.992512672194362E-3</v>
      </c>
      <c r="E34" s="14">
        <f t="shared" si="103"/>
        <v>1.7931301355826879E-2</v>
      </c>
      <c r="F34" s="14">
        <f t="shared" si="103"/>
        <v>-2.354448658217434E-3</v>
      </c>
      <c r="G34" s="14">
        <f t="shared" si="103"/>
        <v>5.1976076749769007E-3</v>
      </c>
      <c r="H34" s="14">
        <f t="shared" si="103"/>
        <v>4.8810797925065152E-3</v>
      </c>
      <c r="I34" s="14">
        <f t="shared" si="103"/>
        <v>6.6666736723488551E-3</v>
      </c>
      <c r="J34" s="14">
        <f t="shared" si="103"/>
        <v>-9.6592056385731428E-3</v>
      </c>
      <c r="K34" s="14">
        <f t="shared" si="103"/>
        <v>-2.6625069546788227E-2</v>
      </c>
      <c r="L34" s="14">
        <f t="shared" si="103"/>
        <v>-2.3556486781913355E-2</v>
      </c>
      <c r="M34" s="14">
        <f t="shared" si="103"/>
        <v>-2.1175306971732644E-2</v>
      </c>
      <c r="N34" s="14">
        <f t="shared" si="103"/>
        <v>-3.598854119139272E-2</v>
      </c>
      <c r="O34" s="14">
        <f t="shared" si="103"/>
        <v>-3.4373305033575718E-2</v>
      </c>
      <c r="P34" s="14">
        <f t="shared" si="103"/>
        <v>-3.1299917956243872E-2</v>
      </c>
      <c r="Q34" s="14">
        <f t="shared" si="103"/>
        <v>-2.8124898700813805E-2</v>
      </c>
      <c r="R34" s="14">
        <f t="shared" si="103"/>
        <v>-3.6775224248351446E-2</v>
      </c>
      <c r="S34" s="14">
        <f t="shared" si="103"/>
        <v>-3.7920613621572175E-2</v>
      </c>
      <c r="T34" s="14">
        <f t="shared" si="103"/>
        <v>-3.0089404912821971E-2</v>
      </c>
      <c r="U34" s="14">
        <f t="shared" si="103"/>
        <v>-1.951845717607581E-2</v>
      </c>
      <c r="V34" s="14">
        <f t="shared" si="103"/>
        <v>-3.1886372839691424E-2</v>
      </c>
      <c r="W34" s="14">
        <f t="shared" si="103"/>
        <v>-4.1630694794845935E-2</v>
      </c>
      <c r="X34" s="14">
        <f t="shared" si="103"/>
        <v>-4.7851836694047911E-2</v>
      </c>
      <c r="Y34" s="14">
        <f t="shared" si="103"/>
        <v>-4.9947961348761449E-2</v>
      </c>
      <c r="Z34" s="14">
        <f t="shared" si="103"/>
        <v>-4.6576860835940037E-2</v>
      </c>
      <c r="AA34" s="14">
        <f t="shared" si="103"/>
        <v>-4.4188654159533991E-2</v>
      </c>
      <c r="AB34" s="14">
        <f t="shared" si="103"/>
        <v>-4.5036733473653889E-2</v>
      </c>
      <c r="AC34" s="14">
        <f t="shared" si="103"/>
        <v>-3.9238596134067771E-2</v>
      </c>
      <c r="AD34" s="14">
        <f t="shared" si="103"/>
        <v>-3.8862718850655398E-2</v>
      </c>
      <c r="AE34" s="14">
        <f t="shared" si="103"/>
        <v>-4.5233522136228776E-2</v>
      </c>
      <c r="AF34" s="14">
        <f t="shared" si="103"/>
        <v>-3.7770040817885375E-2</v>
      </c>
      <c r="AG34" s="14">
        <f t="shared" si="103"/>
        <v>-3.898301581322694E-2</v>
      </c>
      <c r="AH34" s="14">
        <f t="shared" si="103"/>
        <v>-4.2659731600989126E-2</v>
      </c>
      <c r="AI34" s="14">
        <f t="shared" si="103"/>
        <v>-3.8332875637659303E-2</v>
      </c>
      <c r="AJ34" s="14">
        <f t="shared" si="103"/>
        <v>-2.9557176038629063E-2</v>
      </c>
      <c r="AK34" s="14">
        <f t="shared" si="103"/>
        <v>-8.380800718317527E-2</v>
      </c>
      <c r="AL34" s="14">
        <f t="shared" si="103"/>
        <v>-4.2682286067917685E-2</v>
      </c>
      <c r="AM34" s="14">
        <f t="shared" si="103"/>
        <v>-4.0776568638476451E-2</v>
      </c>
      <c r="AN34" s="14">
        <f t="shared" si="103"/>
        <v>-3.2974063431561174E-2</v>
      </c>
      <c r="AO34" s="14">
        <f t="shared" si="103"/>
        <v>-3.0429969379854649E-2</v>
      </c>
      <c r="AP34" s="14">
        <f t="shared" si="103"/>
        <v>-2.3315476541331925E-2</v>
      </c>
      <c r="AQ34" s="14">
        <f t="shared" si="103"/>
        <v>-3.2849316068334522E-2</v>
      </c>
      <c r="AR34" s="14">
        <f t="shared" si="103"/>
        <v>-3.1652913857525666E-2</v>
      </c>
      <c r="AS34" s="14">
        <f t="shared" si="103"/>
        <v>-2.2846869410897197E-2</v>
      </c>
      <c r="AT34" s="14">
        <f t="shared" si="103"/>
        <v>0</v>
      </c>
      <c r="AU34" s="14">
        <f t="shared" si="103"/>
        <v>0</v>
      </c>
      <c r="AV34" s="14">
        <f t="shared" si="103"/>
        <v>0</v>
      </c>
      <c r="AW34" s="14">
        <f t="shared" si="103"/>
        <v>0</v>
      </c>
      <c r="AX34" s="14">
        <f t="shared" si="103"/>
        <v>0</v>
      </c>
      <c r="AY34" s="14">
        <f t="shared" si="103"/>
        <v>0</v>
      </c>
      <c r="AZ34" s="14">
        <f t="shared" ref="AZ34:BK34" si="106">AZ22+AZ28</f>
        <v>-2.585575595712486E-2</v>
      </c>
      <c r="BA34" s="14">
        <f t="shared" si="106"/>
        <v>-2.5736099929292822E-2</v>
      </c>
      <c r="BB34" s="14">
        <f t="shared" si="106"/>
        <v>-2.6175617339559976E-2</v>
      </c>
      <c r="BC34" s="14">
        <f t="shared" si="106"/>
        <v>-2.6268111070086864E-2</v>
      </c>
      <c r="BD34" s="14">
        <f t="shared" si="106"/>
        <v>-2.6203569270313531E-2</v>
      </c>
      <c r="BE34" s="14">
        <f t="shared" si="106"/>
        <v>-2.6001103686468685E-2</v>
      </c>
      <c r="BF34" s="14">
        <f t="shared" si="106"/>
        <v>-2.5849026027258359E-2</v>
      </c>
      <c r="BG34" s="14">
        <f t="shared" si="106"/>
        <v>-2.537598905631655E-2</v>
      </c>
      <c r="BH34" s="14">
        <f t="shared" si="106"/>
        <v>-2.5386536969474349E-2</v>
      </c>
      <c r="BI34" s="14">
        <f t="shared" si="106"/>
        <v>-2.4949106911330565E-2</v>
      </c>
      <c r="BJ34" s="14">
        <f t="shared" si="106"/>
        <v>-2.493018574203032E-2</v>
      </c>
      <c r="BK34" s="14">
        <f t="shared" si="106"/>
        <v>-2.4434077369638763E-2</v>
      </c>
      <c r="BO34" s="28">
        <f t="shared" si="105"/>
        <v>-3.0228436920785473E-2</v>
      </c>
      <c r="BP34" s="28">
        <f t="shared" si="105"/>
        <v>-2.6040131153356905E-2</v>
      </c>
      <c r="BQ34" s="28">
        <f t="shared" si="105"/>
        <v>-2.9899111174369164E-2</v>
      </c>
      <c r="BR34" s="28">
        <f t="shared" si="105"/>
        <v>-4.1330711164223599E-2</v>
      </c>
      <c r="BS34" s="28">
        <f t="shared" si="105"/>
        <v>-3.2818606517338811E-2</v>
      </c>
      <c r="BT34" s="28">
        <f t="shared" si="105"/>
        <v>6.5075023981049362E-3</v>
      </c>
    </row>
    <row r="35" spans="1:72" x14ac:dyDescent="0.25">
      <c r="C35" s="3" t="s">
        <v>63</v>
      </c>
      <c r="D35" s="15">
        <f t="shared" si="103"/>
        <v>6.0244916060191001E-2</v>
      </c>
      <c r="E35" s="15">
        <f t="shared" si="103"/>
        <v>5.603713067706817E-2</v>
      </c>
      <c r="F35" s="15">
        <f t="shared" si="103"/>
        <v>5.3324117018746398E-2</v>
      </c>
      <c r="G35" s="15">
        <f t="shared" si="103"/>
        <v>5.0622688050318665E-2</v>
      </c>
      <c r="H35" s="15">
        <f t="shared" si="103"/>
        <v>5.0021154739942286E-2</v>
      </c>
      <c r="I35" s="15">
        <f t="shared" si="103"/>
        <v>5.0515826654888185E-2</v>
      </c>
      <c r="J35" s="15">
        <f t="shared" si="103"/>
        <v>4.9035698903887592E-2</v>
      </c>
      <c r="K35" s="15">
        <f t="shared" si="103"/>
        <v>4.8714874996250934E-2</v>
      </c>
      <c r="L35" s="15">
        <f t="shared" si="103"/>
        <v>4.7732769979764278E-2</v>
      </c>
      <c r="M35" s="15">
        <f t="shared" si="103"/>
        <v>4.6194836493393732E-2</v>
      </c>
      <c r="N35" s="15">
        <f t="shared" si="103"/>
        <v>4.5361846410761908E-2</v>
      </c>
      <c r="O35" s="15">
        <f t="shared" si="103"/>
        <v>4.5318459486556328E-2</v>
      </c>
      <c r="P35" s="15">
        <f t="shared" si="103"/>
        <v>4.4714534185274823E-2</v>
      </c>
      <c r="Q35" s="15">
        <f t="shared" si="103"/>
        <v>4.7689122099287218E-2</v>
      </c>
      <c r="R35" s="15">
        <f t="shared" si="103"/>
        <v>4.4123142427066941E-2</v>
      </c>
      <c r="S35" s="15">
        <f t="shared" si="103"/>
        <v>4.2075160367567976E-2</v>
      </c>
      <c r="T35" s="15">
        <f t="shared" si="103"/>
        <v>4.4985206905956199E-2</v>
      </c>
      <c r="U35" s="15">
        <f t="shared" si="103"/>
        <v>4.5863401887669353E-2</v>
      </c>
      <c r="V35" s="15">
        <f t="shared" si="103"/>
        <v>4.6661382911640903E-2</v>
      </c>
      <c r="W35" s="15">
        <f t="shared" si="103"/>
        <v>4.7052187257194511E-2</v>
      </c>
      <c r="X35" s="15">
        <f t="shared" si="103"/>
        <v>4.7983113158782675E-2</v>
      </c>
      <c r="Y35" s="15">
        <f t="shared" si="103"/>
        <v>5.1749409820224024E-2</v>
      </c>
      <c r="Z35" s="15">
        <f t="shared" si="103"/>
        <v>4.8644648836080773E-2</v>
      </c>
      <c r="AA35" s="15">
        <f t="shared" si="103"/>
        <v>4.7853401210125712E-2</v>
      </c>
      <c r="AB35" s="15">
        <f t="shared" si="103"/>
        <v>4.8377579666424753E-2</v>
      </c>
      <c r="AC35" s="15">
        <f t="shared" si="103"/>
        <v>4.8425059084169053E-2</v>
      </c>
      <c r="AD35" s="15">
        <f t="shared" si="103"/>
        <v>5.0143608705635057E-2</v>
      </c>
      <c r="AE35" s="15">
        <f t="shared" si="103"/>
        <v>5.0206531900763629E-2</v>
      </c>
      <c r="AF35" s="15">
        <f t="shared" si="103"/>
        <v>5.2084520431231685E-2</v>
      </c>
      <c r="AG35" s="15">
        <f t="shared" si="103"/>
        <v>5.130206554097394E-2</v>
      </c>
      <c r="AH35" s="15">
        <f t="shared" si="103"/>
        <v>5.1969334255819621E-2</v>
      </c>
      <c r="AI35" s="15">
        <f t="shared" si="103"/>
        <v>5.1486471311176452E-2</v>
      </c>
      <c r="AJ35" s="15">
        <f t="shared" si="103"/>
        <v>5.3036596417788351E-2</v>
      </c>
      <c r="AK35" s="15">
        <f t="shared" si="103"/>
        <v>5.4143568695933286E-2</v>
      </c>
      <c r="AL35" s="15">
        <f t="shared" si="103"/>
        <v>5.3531571083775376E-2</v>
      </c>
      <c r="AM35" s="15">
        <f t="shared" si="103"/>
        <v>5.3980187179328842E-2</v>
      </c>
      <c r="AN35" s="15">
        <f t="shared" si="103"/>
        <v>5.3381491018212879E-2</v>
      </c>
      <c r="AO35" s="15">
        <f t="shared" si="103"/>
        <v>5.297971482285746E-2</v>
      </c>
      <c r="AP35" s="15">
        <f t="shared" si="103"/>
        <v>5.4181258217227635E-2</v>
      </c>
      <c r="AQ35" s="15">
        <f t="shared" si="103"/>
        <v>5.398205755604879E-2</v>
      </c>
      <c r="AR35" s="15">
        <f t="shared" si="103"/>
        <v>5.4051974516045931E-2</v>
      </c>
      <c r="AS35" s="15">
        <f t="shared" si="103"/>
        <v>5.3455569045085971E-2</v>
      </c>
      <c r="AT35" s="15">
        <f t="shared" si="103"/>
        <v>0</v>
      </c>
      <c r="AU35" s="15">
        <f t="shared" si="103"/>
        <v>0</v>
      </c>
      <c r="AV35" s="15">
        <f t="shared" si="103"/>
        <v>0</v>
      </c>
      <c r="AW35" s="15">
        <f t="shared" si="103"/>
        <v>0</v>
      </c>
      <c r="AX35" s="15">
        <f t="shared" si="103"/>
        <v>0</v>
      </c>
      <c r="AY35" s="15">
        <f t="shared" si="103"/>
        <v>0</v>
      </c>
      <c r="AZ35" s="15">
        <f t="shared" ref="AZ35:BK35" si="107">AZ23+AZ29</f>
        <v>5.3917249531387546E-2</v>
      </c>
      <c r="BA35" s="15">
        <f t="shared" si="107"/>
        <v>5.5149290368790904E-2</v>
      </c>
      <c r="BB35" s="15">
        <f t="shared" si="107"/>
        <v>5.4127317293000132E-2</v>
      </c>
      <c r="BC35" s="15">
        <f t="shared" si="107"/>
        <v>5.5072055712531043E-2</v>
      </c>
      <c r="BD35" s="15">
        <f t="shared" si="107"/>
        <v>5.5016004969171473E-2</v>
      </c>
      <c r="BE35" s="15">
        <f t="shared" si="107"/>
        <v>5.545618798285723E-2</v>
      </c>
      <c r="BF35" s="15">
        <f t="shared" si="107"/>
        <v>5.6153047019129376E-2</v>
      </c>
      <c r="BG35" s="15">
        <f t="shared" si="107"/>
        <v>5.6499681157501147E-2</v>
      </c>
      <c r="BH35" s="15">
        <f t="shared" si="107"/>
        <v>5.6630532935966205E-2</v>
      </c>
      <c r="BI35" s="15">
        <f t="shared" si="107"/>
        <v>5.7574948602127973E-2</v>
      </c>
      <c r="BJ35" s="15">
        <f t="shared" si="107"/>
        <v>5.7056407568661927E-2</v>
      </c>
      <c r="BK35" s="15">
        <f t="shared" si="107"/>
        <v>5.791879342684858E-2</v>
      </c>
      <c r="BO35" s="29">
        <f t="shared" si="105"/>
        <v>5.3718170730657988E-2</v>
      </c>
      <c r="BP35" s="29">
        <f t="shared" si="105"/>
        <v>5.466074861773107E-2</v>
      </c>
      <c r="BQ35" s="29">
        <f t="shared" si="105"/>
        <v>5.3628029415658363E-2</v>
      </c>
      <c r="BR35" s="29">
        <f t="shared" si="105"/>
        <v>4.9855419489819086E-2</v>
      </c>
      <c r="BS35" s="29">
        <f t="shared" si="105"/>
        <v>4.4695960889527653E-2</v>
      </c>
      <c r="BT35" s="29">
        <f t="shared" si="105"/>
        <v>5.3949511234676395E-2</v>
      </c>
    </row>
    <row r="38" spans="1:72" outlineLevel="1" x14ac:dyDescent="0.25">
      <c r="A38" s="11" t="s">
        <v>55</v>
      </c>
      <c r="C38" s="2" t="s">
        <v>0</v>
      </c>
      <c r="D38" s="8">
        <f>Renta_Alta!D38+Masivo!D38+Consumo_Inicial!D38</f>
        <v>44615.057664270003</v>
      </c>
      <c r="E38" s="8">
        <f>Renta_Alta!E38+Masivo!E38+Consumo_Inicial!E38</f>
        <v>44491.327036149996</v>
      </c>
      <c r="F38" s="8">
        <f>Renta_Alta!F38+Masivo!F38+Consumo_Inicial!F38</f>
        <v>45047.235260909991</v>
      </c>
      <c r="G38" s="8">
        <f>Renta_Alta!G38+Masivo!G38+Consumo_Inicial!G38</f>
        <v>45375.079679389994</v>
      </c>
      <c r="H38" s="8">
        <f>Renta_Alta!H38+Masivo!H38+Consumo_Inicial!H38</f>
        <v>46108.015957150012</v>
      </c>
      <c r="I38" s="8">
        <f>Renta_Alta!I38+Masivo!I38+Consumo_Inicial!I38</f>
        <v>47314.890678629992</v>
      </c>
      <c r="J38" s="8">
        <f>Renta_Alta!J38+Masivo!J38+Consumo_Inicial!J38</f>
        <v>47587.132001130005</v>
      </c>
      <c r="K38" s="8">
        <f>Renta_Alta!K38+Masivo!K38+Consumo_Inicial!K38</f>
        <v>48454.222245500001</v>
      </c>
      <c r="L38" s="8">
        <f>Renta_Alta!L38+Masivo!L38+Consumo_Inicial!L38</f>
        <v>48889.165043820001</v>
      </c>
      <c r="M38" s="8">
        <f>Renta_Alta!M38+Masivo!M38+Consumo_Inicial!M38</f>
        <v>49104.768756000005</v>
      </c>
      <c r="N38" s="8">
        <f>Renta_Alta!N38+Masivo!N38+Consumo_Inicial!N38</f>
        <v>49650.694941499998</v>
      </c>
      <c r="O38" s="8">
        <f>Renta_Alta!O38+Masivo!O38+Consumo_Inicial!O38</f>
        <v>50090.984991629994</v>
      </c>
      <c r="P38" s="8">
        <f>Renta_Alta!P38+Masivo!P38+Consumo_Inicial!P38</f>
        <v>50137.580880990019</v>
      </c>
      <c r="Q38" s="8">
        <f>Renta_Alta!Q38+Masivo!Q38+Consumo_Inicial!Q38</f>
        <v>51808.84401719</v>
      </c>
      <c r="R38" s="8">
        <f>Renta_Alta!R38+Masivo!R38+Consumo_Inicial!R38</f>
        <v>50907.238521890009</v>
      </c>
      <c r="S38" s="8">
        <f>Renta_Alta!S38+Masivo!S38+Consumo_Inicial!S38</f>
        <v>50734.812843569991</v>
      </c>
      <c r="T38" s="8">
        <f>Renta_Alta!T38+Masivo!T38+Consumo_Inicial!T38</f>
        <v>52493.64268211001</v>
      </c>
      <c r="U38" s="8">
        <f>Renta_Alta!U38+Masivo!U38+Consumo_Inicial!U38</f>
        <v>53384.052142230001</v>
      </c>
      <c r="V38" s="8">
        <f>Renta_Alta!V38+Masivo!V38+Consumo_Inicial!V38</f>
        <v>54311.811991449991</v>
      </c>
      <c r="W38" s="8">
        <f>Renta_Alta!W38+Masivo!W38+Consumo_Inicial!W38</f>
        <v>54747.936655099998</v>
      </c>
      <c r="X38" s="8">
        <f>Renta_Alta!X38+Masivo!X38+Consumo_Inicial!X38</f>
        <v>55101.996314790005</v>
      </c>
      <c r="Y38" s="8">
        <f>Renta_Alta!Y38+Masivo!Y38+Consumo_Inicial!Y38</f>
        <v>54578.783440389998</v>
      </c>
      <c r="Z38" s="8">
        <f>Renta_Alta!Z38+Masivo!Z38+Consumo_Inicial!Z38</f>
        <v>54365.297259190011</v>
      </c>
      <c r="AA38" s="8">
        <f>Renta_Alta!AA38+Masivo!AA38+Consumo_Inicial!AA38</f>
        <v>53232.430746790014</v>
      </c>
      <c r="AB38" s="8">
        <f>Renta_Alta!AB38+Masivo!AB38+Consumo_Inicial!AB38</f>
        <v>52783.643312740009</v>
      </c>
      <c r="AC38" s="8">
        <f>Renta_Alta!AC38+Masivo!AC38+Consumo_Inicial!AC38</f>
        <v>52217.174146060002</v>
      </c>
      <c r="AD38" s="8">
        <f>Renta_Alta!AD38+Masivo!AD38+Consumo_Inicial!AD38</f>
        <v>52519.83081467</v>
      </c>
      <c r="AE38" s="8">
        <f>Renta_Alta!AE38+Masivo!AE38+Consumo_Inicial!AE38</f>
        <v>52033.46515352001</v>
      </c>
      <c r="AF38" s="8">
        <f>Renta_Alta!AF38+Masivo!AF38+Consumo_Inicial!AF38</f>
        <v>52669.271532090002</v>
      </c>
      <c r="AG38" s="8">
        <f>Renta_Alta!AG38+Masivo!AG38+Consumo_Inicial!AG38</f>
        <v>52158.899462430003</v>
      </c>
      <c r="AH38" s="8">
        <f>Renta_Alta!AH38+Masivo!AH38+Consumo_Inicial!AH38</f>
        <v>52266.065436279991</v>
      </c>
      <c r="AI38" s="8">
        <f>Renta_Alta!AI38+Masivo!AI38+Consumo_Inicial!AI38</f>
        <v>51860.029197109994</v>
      </c>
      <c r="AJ38" s="8">
        <f>Renta_Alta!AJ38+Masivo!AJ38+Consumo_Inicial!AJ38</f>
        <v>52306.229086989995</v>
      </c>
      <c r="AK38" s="8">
        <f>Renta_Alta!AK38+Masivo!AK38+Consumo_Inicial!AK38</f>
        <v>52649.90443426001</v>
      </c>
      <c r="AL38" s="8">
        <f>Renta_Alta!AL38+Masivo!AL38+Consumo_Inicial!AL38</f>
        <v>51746.868980330008</v>
      </c>
      <c r="AM38" s="8">
        <f>Renta_Alta!AM38+Masivo!AM38+Consumo_Inicial!AM38</f>
        <v>51173.561765580002</v>
      </c>
      <c r="AN38" s="8">
        <f>Renta_Alta!AN38+Masivo!AN38+Consumo_Inicial!AN38</f>
        <v>50256.70655743</v>
      </c>
      <c r="AO38" s="8">
        <f>Renta_Alta!AO38+Masivo!AO38+Consumo_Inicial!AO38</f>
        <v>49522.948365800003</v>
      </c>
      <c r="AP38" s="8">
        <f>Renta_Alta!AP38+Masivo!AP38+Consumo_Inicial!AP38</f>
        <v>49632.788858510001</v>
      </c>
      <c r="AQ38" s="8">
        <f>Renta_Alta!AQ38+Masivo!AQ38+Consumo_Inicial!AQ38</f>
        <v>49552.001291450004</v>
      </c>
      <c r="AR38" s="8">
        <f>Renta_Alta!AR38+Masivo!AR38+Consumo_Inicial!AR38</f>
        <v>49630.63508426</v>
      </c>
      <c r="AS38" s="8">
        <f>Renta_Alta!AS38+Masivo!AS38+Consumo_Inicial!AS38</f>
        <v>49304.073395400002</v>
      </c>
      <c r="AT38" s="8">
        <f>Renta_Alta!AT38+Masivo!AT38+Consumo_Inicial!AT38</f>
        <v>0</v>
      </c>
      <c r="AU38" s="8">
        <f>Renta_Alta!AU38+Masivo!AU38+Consumo_Inicial!AU38</f>
        <v>0</v>
      </c>
      <c r="AV38" s="8">
        <f>Renta_Alta!AV38+Masivo!AV38+Consumo_Inicial!AV38</f>
        <v>0</v>
      </c>
      <c r="AW38" s="8">
        <f>Renta_Alta!AW38+Masivo!AW38+Consumo_Inicial!AW38</f>
        <v>0</v>
      </c>
      <c r="AX38" s="8">
        <f>Renta_Alta!AX38+Masivo!AX38+Consumo_Inicial!AX38</f>
        <v>0</v>
      </c>
      <c r="AY38" s="8">
        <f>Renta_Alta!AY38+Masivo!AY38+Consumo_Inicial!AY38</f>
        <v>0</v>
      </c>
      <c r="AZ38" s="8">
        <f>Renta_Alta!AZ38+Masivo!AZ38+Consumo_Inicial!AZ38</f>
        <v>52273.69351507743</v>
      </c>
      <c r="BA38" s="8">
        <f>Renta_Alta!BA38+Masivo!BA38+Consumo_Inicial!BA38</f>
        <v>52728.926413376888</v>
      </c>
      <c r="BB38" s="8">
        <f>Renta_Alta!BB38+Masivo!BB38+Consumo_Inicial!BB38</f>
        <v>52311.516152781776</v>
      </c>
      <c r="BC38" s="8">
        <f>Renta_Alta!BC38+Masivo!BC38+Consumo_Inicial!BC38</f>
        <v>52706.954270624199</v>
      </c>
      <c r="BD38" s="8">
        <f>Renta_Alta!BD38+Masivo!BD38+Consumo_Inicial!BD38</f>
        <v>52663.870937288666</v>
      </c>
      <c r="BE38" s="8">
        <f>Renta_Alta!BE38+Masivo!BE38+Consumo_Inicial!BE38</f>
        <v>52896.978446200315</v>
      </c>
      <c r="BF38" s="8">
        <f>Renta_Alta!BF38+Masivo!BF38+Consumo_Inicial!BF38</f>
        <v>53271.831347530519</v>
      </c>
      <c r="BG38" s="8">
        <f>Renta_Alta!BG38+Masivo!BG38+Consumo_Inicial!BG38</f>
        <v>53507.151832895688</v>
      </c>
      <c r="BH38" s="8">
        <f>Renta_Alta!BH38+Masivo!BH38+Consumo_Inicial!BH38</f>
        <v>53717.441315317446</v>
      </c>
      <c r="BI38" s="8">
        <f>Renta_Alta!BI38+Masivo!BI38+Consumo_Inicial!BI38</f>
        <v>54249.613700093272</v>
      </c>
      <c r="BJ38" s="8">
        <f>Renta_Alta!BJ38+Masivo!BJ38+Consumo_Inicial!BJ38</f>
        <v>54106.816340021964</v>
      </c>
      <c r="BK38" s="8">
        <f>Renta_Alta!BK38+Masivo!BK38+Consumo_Inicial!BK38</f>
        <v>54558.663448697291</v>
      </c>
      <c r="BO38" s="24">
        <f t="shared" ref="BO38:BT40" si="108">SUMIFS($D38:$BM38,$D$6:$BM$6,"&gt;="&amp;BO$2,$D$6:$BM$6,"&lt;="&amp;BO$6,$D$5:$BM$5,BO$5)</f>
        <v>248595.08015744999</v>
      </c>
      <c r="BP38" s="24">
        <f t="shared" si="108"/>
        <v>262684.96128914895</v>
      </c>
      <c r="BQ38" s="24">
        <f t="shared" si="108"/>
        <v>198964.44507319</v>
      </c>
      <c r="BR38" s="24">
        <f t="shared" si="108"/>
        <v>262223.38495908002</v>
      </c>
      <c r="BS38" s="24">
        <f t="shared" si="108"/>
        <v>256082.11894575003</v>
      </c>
      <c r="BT38" s="24">
        <f t="shared" si="108"/>
        <v>225636.71559787</v>
      </c>
    </row>
    <row r="39" spans="1:72" outlineLevel="1" x14ac:dyDescent="0.25">
      <c r="A39" s="11" t="s">
        <v>55</v>
      </c>
      <c r="C39" s="2" t="s">
        <v>1</v>
      </c>
      <c r="D39" s="8">
        <f>Renta_Alta!D39+Masivo!D39+Consumo_Inicial!D39</f>
        <v>264.13281000000001</v>
      </c>
      <c r="E39" s="8">
        <f>Renta_Alta!E39+Masivo!E39+Consumo_Inicial!E39</f>
        <v>255.79980000999998</v>
      </c>
      <c r="F39" s="8">
        <f>Renta_Alta!F39+Masivo!F39+Consumo_Inicial!F39</f>
        <v>248.66070002000001</v>
      </c>
      <c r="G39" s="8">
        <f>Renta_Alta!G39+Masivo!G39+Consumo_Inicial!G39</f>
        <v>255.92556003999999</v>
      </c>
      <c r="H39" s="8">
        <f>Renta_Alta!H39+Masivo!H39+Consumo_Inicial!H39</f>
        <v>235.07602003</v>
      </c>
      <c r="I39" s="8">
        <f>Renta_Alta!I39+Masivo!I39+Consumo_Inicial!I39</f>
        <v>246.85718001000001</v>
      </c>
      <c r="J39" s="8">
        <f>Renta_Alta!J39+Masivo!J39+Consumo_Inicial!J39</f>
        <v>286.86302004999999</v>
      </c>
      <c r="K39" s="8">
        <f>Renta_Alta!K39+Masivo!K39+Consumo_Inicial!K39</f>
        <v>267.93746002</v>
      </c>
      <c r="L39" s="8">
        <f>Renta_Alta!L39+Masivo!L39+Consumo_Inicial!L39</f>
        <v>260.24437005000004</v>
      </c>
      <c r="M39" s="8">
        <f>Renta_Alta!M39+Masivo!M39+Consumo_Inicial!M39</f>
        <v>252.37813000999998</v>
      </c>
      <c r="N39" s="8">
        <f>Renta_Alta!N39+Masivo!N39+Consumo_Inicial!N39</f>
        <v>246.82747000999998</v>
      </c>
      <c r="O39" s="8">
        <f>Renta_Alta!O39+Masivo!O39+Consumo_Inicial!O39</f>
        <v>249.64486000000002</v>
      </c>
      <c r="P39" s="8">
        <f>Renta_Alta!P39+Masivo!P39+Consumo_Inicial!P39</f>
        <v>241.83333995999999</v>
      </c>
      <c r="Q39" s="8">
        <f>Renta_Alta!Q39+Masivo!Q39+Consumo_Inicial!Q39</f>
        <v>226.28241997999999</v>
      </c>
      <c r="R39" s="8">
        <f>Renta_Alta!R39+Masivo!R39+Consumo_Inicial!R39</f>
        <v>222.59045005999997</v>
      </c>
      <c r="S39" s="8">
        <f>Renta_Alta!S39+Masivo!S39+Consumo_Inicial!S39</f>
        <v>207.47747003999996</v>
      </c>
      <c r="T39" s="8">
        <f>Renta_Alta!T39+Masivo!T39+Consumo_Inicial!T39</f>
        <v>213.37743005000002</v>
      </c>
      <c r="U39" s="8">
        <f>Renta_Alta!U39+Masivo!U39+Consumo_Inicial!U39</f>
        <v>186.27340998000003</v>
      </c>
      <c r="V39" s="8">
        <f>Renta_Alta!V39+Masivo!V39+Consumo_Inicial!V39</f>
        <v>198.46329004</v>
      </c>
      <c r="W39" s="8">
        <f>Renta_Alta!W39+Masivo!W39+Consumo_Inicial!W39</f>
        <v>190.72145001999999</v>
      </c>
      <c r="X39" s="8">
        <f>Renta_Alta!X39+Masivo!X39+Consumo_Inicial!X39</f>
        <v>189.33184001000001</v>
      </c>
      <c r="Y39" s="8">
        <f>Renta_Alta!Y39+Masivo!Y39+Consumo_Inicial!Y39</f>
        <v>185.00023997</v>
      </c>
      <c r="Z39" s="8">
        <f>Renta_Alta!Z39+Masivo!Z39+Consumo_Inicial!Z39</f>
        <v>183.40776999999997</v>
      </c>
      <c r="AA39" s="8">
        <f>Renta_Alta!AA39+Masivo!AA39+Consumo_Inicial!AA39</f>
        <v>202.78367999</v>
      </c>
      <c r="AB39" s="8">
        <f>Renta_Alta!AB39+Masivo!AB39+Consumo_Inicial!AB39</f>
        <v>206.61021005000001</v>
      </c>
      <c r="AC39" s="8">
        <f>Renta_Alta!AC39+Masivo!AC39+Consumo_Inicial!AC39</f>
        <v>201.15563001999999</v>
      </c>
      <c r="AD39" s="8">
        <f>Renta_Alta!AD39+Masivo!AD39+Consumo_Inicial!AD39</f>
        <v>216.16557996</v>
      </c>
      <c r="AE39" s="8">
        <f>Renta_Alta!AE39+Masivo!AE39+Consumo_Inicial!AE39</f>
        <v>233.85571995000001</v>
      </c>
      <c r="AF39" s="8">
        <f>Renta_Alta!AF39+Masivo!AF39+Consumo_Inicial!AF39</f>
        <v>249.00471995999999</v>
      </c>
      <c r="AG39" s="8">
        <f>Renta_Alta!AG39+Masivo!AG39+Consumo_Inicial!AG39</f>
        <v>250.06057997000002</v>
      </c>
      <c r="AH39" s="8">
        <f>Renta_Alta!AH39+Masivo!AH39+Consumo_Inicial!AH39</f>
        <v>267.09814998000002</v>
      </c>
      <c r="AI39" s="8">
        <f>Renta_Alta!AI39+Masivo!AI39+Consumo_Inicial!AI39</f>
        <v>280.02875001999996</v>
      </c>
      <c r="AJ39" s="8">
        <f>Renta_Alta!AJ39+Masivo!AJ39+Consumo_Inicial!AJ39</f>
        <v>274.51809997999999</v>
      </c>
      <c r="AK39" s="8">
        <f>Renta_Alta!AK39+Masivo!AK39+Consumo_Inicial!AK39</f>
        <v>273.35700998999999</v>
      </c>
      <c r="AL39" s="8">
        <f>Renta_Alta!AL39+Masivo!AL39+Consumo_Inicial!AL39</f>
        <v>267.47965999999997</v>
      </c>
      <c r="AM39" s="8">
        <f>Renta_Alta!AM39+Masivo!AM39+Consumo_Inicial!AM39</f>
        <v>266.79320002999998</v>
      </c>
      <c r="AN39" s="8">
        <f>Renta_Alta!AN39+Masivo!AN39+Consumo_Inicial!AN39</f>
        <v>277.93422999000001</v>
      </c>
      <c r="AO39" s="8">
        <f>Renta_Alta!AO39+Masivo!AO39+Consumo_Inicial!AO39</f>
        <v>270.41204000000005</v>
      </c>
      <c r="AP39" s="8">
        <f>Renta_Alta!AP39+Masivo!AP39+Consumo_Inicial!AP39</f>
        <v>249.68090000000001</v>
      </c>
      <c r="AQ39" s="8">
        <f>Renta_Alta!AQ39+Masivo!AQ39+Consumo_Inicial!AQ39</f>
        <v>257.99223999999998</v>
      </c>
      <c r="AR39" s="8">
        <f>Renta_Alta!AR39+Masivo!AR39+Consumo_Inicial!AR39</f>
        <v>243.25409000000002</v>
      </c>
      <c r="AS39" s="8">
        <f>Renta_Alta!AS39+Masivo!AS39+Consumo_Inicial!AS39</f>
        <v>243.89195999999998</v>
      </c>
      <c r="AT39" s="8">
        <f>Renta_Alta!AT39+Masivo!AT39+Consumo_Inicial!AT39</f>
        <v>0</v>
      </c>
      <c r="AU39" s="8">
        <f>Renta_Alta!AU39+Masivo!AU39+Consumo_Inicial!AU39</f>
        <v>0</v>
      </c>
      <c r="AV39" s="8">
        <f>Renta_Alta!AV39+Masivo!AV39+Consumo_Inicial!AV39</f>
        <v>0</v>
      </c>
      <c r="AW39" s="8">
        <f>Renta_Alta!AW39+Masivo!AW39+Consumo_Inicial!AW39</f>
        <v>0</v>
      </c>
      <c r="AX39" s="8">
        <f>Renta_Alta!AX39+Masivo!AX39+Consumo_Inicial!AX39</f>
        <v>0</v>
      </c>
      <c r="AY39" s="8">
        <f>Renta_Alta!AY39+Masivo!AY39+Consumo_Inicial!AY39</f>
        <v>0</v>
      </c>
      <c r="AZ39" s="8">
        <f>Renta_Alta!AZ39+Masivo!AZ39+Consumo_Inicial!AZ39</f>
        <v>273.7909895827874</v>
      </c>
      <c r="BA39" s="8">
        <f>Renta_Alta!BA39+Masivo!BA39+Consumo_Inicial!BA39</f>
        <v>276.10050989050211</v>
      </c>
      <c r="BB39" s="8">
        <f>Renta_Alta!BB39+Masivo!BB39+Consumo_Inicial!BB39</f>
        <v>273.85398979958075</v>
      </c>
      <c r="BC39" s="8">
        <f>Renta_Alta!BC39+Masivo!BC39+Consumo_Inicial!BC39</f>
        <v>275.86974845222699</v>
      </c>
      <c r="BD39" s="8">
        <f>Renta_Alta!BD39+Masivo!BD39+Consumo_Inicial!BD39</f>
        <v>275.47290236241389</v>
      </c>
      <c r="BE39" s="8">
        <f>Renta_Alta!BE39+Masivo!BE39+Consumo_Inicial!BE39</f>
        <v>276.60042022224332</v>
      </c>
      <c r="BF39" s="8">
        <f>Renta_Alta!BF39+Masivo!BF39+Consumo_Inicial!BF39</f>
        <v>278.453689258932</v>
      </c>
      <c r="BG39" s="8">
        <f>Renta_Alta!BG39+Masivo!BG39+Consumo_Inicial!BG39</f>
        <v>279.55843690075073</v>
      </c>
      <c r="BH39" s="8">
        <f>Renta_Alta!BH39+Masivo!BH39+Consumo_Inicial!BH39</f>
        <v>280.25877871450791</v>
      </c>
      <c r="BI39" s="8">
        <f>Renta_Alta!BI39+Masivo!BI39+Consumo_Inicial!BI39</f>
        <v>282.84875955625961</v>
      </c>
      <c r="BJ39" s="8">
        <f>Renta_Alta!BJ39+Masivo!BJ39+Consumo_Inicial!BJ39</f>
        <v>281.85994921047222</v>
      </c>
      <c r="BK39" s="8">
        <f>Renta_Alta!BK39+Masivo!BK39+Consumo_Inicial!BK39</f>
        <v>283.98689097352258</v>
      </c>
      <c r="BO39" s="24">
        <f t="shared" si="108"/>
        <v>1299.2734999900003</v>
      </c>
      <c r="BP39" s="24">
        <f t="shared" si="108"/>
        <v>1375.0881400875112</v>
      </c>
      <c r="BQ39" s="24">
        <f t="shared" si="108"/>
        <v>1056.0194099900002</v>
      </c>
      <c r="BR39" s="24">
        <f t="shared" si="108"/>
        <v>1106.79185994</v>
      </c>
      <c r="BS39" s="24">
        <f t="shared" si="108"/>
        <v>1111.5611100899998</v>
      </c>
      <c r="BT39" s="24">
        <f t="shared" si="108"/>
        <v>1259.5948901000002</v>
      </c>
    </row>
    <row r="40" spans="1:72" outlineLevel="1" x14ac:dyDescent="0.25">
      <c r="A40" s="11" t="s">
        <v>55</v>
      </c>
      <c r="C40" s="2" t="s">
        <v>45</v>
      </c>
      <c r="D40" s="8">
        <f>Renta_Alta!D40+Masivo!D40+Consumo_Inicial!D40</f>
        <v>283.59766001999998</v>
      </c>
      <c r="E40" s="8">
        <f>Renta_Alta!E40+Masivo!E40+Consumo_Inicial!E40</f>
        <v>358.45001003999994</v>
      </c>
      <c r="F40" s="8">
        <f>Renta_Alta!F40+Masivo!F40+Consumo_Inicial!F40</f>
        <v>251.30268004999994</v>
      </c>
      <c r="G40" s="8">
        <f>Renta_Alta!G40+Masivo!G40+Consumo_Inicial!G40</f>
        <v>297.03377998000002</v>
      </c>
      <c r="H40" s="8">
        <f>Renta_Alta!H40+Masivo!H40+Consumo_Inicial!H40</f>
        <v>276.49731006999997</v>
      </c>
      <c r="I40" s="8">
        <f>Renta_Alta!I40+Masivo!I40+Consumo_Inicial!I40</f>
        <v>282.11934004000005</v>
      </c>
      <c r="J40" s="8">
        <f>Renta_Alta!J40+Masivo!J40+Consumo_Inicial!J40</f>
        <v>193.90706999000002</v>
      </c>
      <c r="K40" s="8">
        <f>Renta_Alta!K40+Masivo!K40+Consumo_Inicial!K40</f>
        <v>160.00504999</v>
      </c>
      <c r="L40" s="8">
        <f>Renta_Alta!L40+Masivo!L40+Consumo_Inicial!L40</f>
        <v>164.72952000999996</v>
      </c>
      <c r="M40" s="8">
        <f>Renta_Alta!M40+Masivo!M40+Consumo_Inicial!M40</f>
        <v>219.81664002999997</v>
      </c>
      <c r="N40" s="8">
        <f>Renta_Alta!N40+Masivo!N40+Consumo_Inicial!N40</f>
        <v>165.17747997999999</v>
      </c>
      <c r="O40" s="8">
        <f>Renta_Alta!O40+Masivo!O40+Consumo_Inicial!O40</f>
        <v>181.20100998999999</v>
      </c>
      <c r="P40" s="8">
        <f>Renta_Alta!P40+Masivo!P40+Consumo_Inicial!P40</f>
        <v>221.55553001000004</v>
      </c>
      <c r="Q40" s="8">
        <f>Renta_Alta!Q40+Masivo!Q40+Consumo_Inicial!Q40</f>
        <v>243.35908999</v>
      </c>
      <c r="R40" s="8">
        <f>Renta_Alta!R40+Masivo!R40+Consumo_Inicial!R40</f>
        <v>183.67703001000001</v>
      </c>
      <c r="S40" s="8">
        <f>Renta_Alta!S40+Masivo!S40+Consumo_Inicial!S40</f>
        <v>189.10650002000003</v>
      </c>
      <c r="T40" s="8">
        <f>Renta_Alta!T40+Masivo!T40+Consumo_Inicial!T40</f>
        <v>236.32545008</v>
      </c>
      <c r="U40" s="8">
        <f>Renta_Alta!U40+Masivo!U40+Consumo_Inicial!U40</f>
        <v>285.82928996999999</v>
      </c>
      <c r="V40" s="8">
        <f>Renta_Alta!V40+Masivo!V40+Consumo_Inicial!V40</f>
        <v>218.25405001000001</v>
      </c>
      <c r="W40" s="8">
        <f>Renta_Alta!W40+Masivo!W40+Consumo_Inicial!W40</f>
        <v>178.67147</v>
      </c>
      <c r="X40" s="8">
        <f>Renta_Alta!X40+Masivo!X40+Consumo_Inicial!X40</f>
        <v>153.05829999000002</v>
      </c>
      <c r="Y40" s="8">
        <f>Renta_Alta!Y40+Masivo!Y40+Consumo_Inicial!Y40</f>
        <v>134.75467000999998</v>
      </c>
      <c r="Z40" s="8">
        <f>Renta_Alta!Z40+Masivo!Z40+Consumo_Inicial!Z40</f>
        <v>149.13990000999999</v>
      </c>
      <c r="AA40" s="8">
        <f>Renta_Alta!AA40+Masivo!AA40+Consumo_Inicial!AA40</f>
        <v>175.65366000999998</v>
      </c>
      <c r="AB40" s="8">
        <f>Renta_Alta!AB40+Masivo!AB40+Consumo_Inicial!AB40</f>
        <v>191.06710000999999</v>
      </c>
      <c r="AC40" s="8">
        <f>Renta_Alta!AC40+Masivo!AC40+Consumo_Inicial!AC40</f>
        <v>216.75454001999998</v>
      </c>
      <c r="AD40" s="8">
        <f>Renta_Alta!AD40+Masivo!AD40+Consumo_Inicial!AD40</f>
        <v>226.03378003</v>
      </c>
      <c r="AE40" s="8">
        <f>Renta_Alta!AE40+Masivo!AE40+Consumo_Inicial!AE40</f>
        <v>175.26188001000003</v>
      </c>
      <c r="AF40" s="8">
        <f>Renta_Alta!AF40+Masivo!AF40+Consumo_Inicial!AF40</f>
        <v>223.04663997999998</v>
      </c>
      <c r="AG40" s="8">
        <f>Renta_Alta!AG40+Masivo!AG40+Consumo_Inicial!AG40</f>
        <v>217.02471999999997</v>
      </c>
      <c r="AH40" s="8">
        <f>Renta_Alta!AH40+Masivo!AH40+Consumo_Inicial!AH40</f>
        <v>185.68472998999999</v>
      </c>
      <c r="AI40" s="8">
        <f>Renta_Alta!AI40+Masivo!AI40+Consumo_Inicial!AI40</f>
        <v>225.86291998999999</v>
      </c>
      <c r="AJ40" s="8">
        <f>Renta_Alta!AJ40+Masivo!AJ40+Consumo_Inicial!AJ40</f>
        <v>312.46411000000001</v>
      </c>
      <c r="AK40" s="8">
        <f>Renta_Alta!AK40+Masivo!AK40+Consumo_Inicial!AK40</f>
        <v>209.11553003999998</v>
      </c>
      <c r="AL40" s="8">
        <f>Renta_Alta!AL40+Masivo!AL40+Consumo_Inicial!AL40</f>
        <v>195.66782004000001</v>
      </c>
      <c r="AM40" s="8">
        <f>Renta_Alta!AM40+Masivo!AM40+Consumo_Inicial!AM40</f>
        <v>202.48612998000002</v>
      </c>
      <c r="AN40" s="8">
        <f>Renta_Alta!AN40+Masivo!AN40+Consumo_Inicial!AN40</f>
        <v>265.72144000999998</v>
      </c>
      <c r="AO40" s="8">
        <f>Renta_Alta!AO40+Masivo!AO40+Consumo_Inicial!AO40</f>
        <v>266.82819999999992</v>
      </c>
      <c r="AP40" s="8">
        <f>Renta_Alta!AP40+Masivo!AP40+Consumo_Inicial!AP40</f>
        <v>330.58689999999996</v>
      </c>
      <c r="AQ40" s="8">
        <f>Renta_Alta!AQ40+Masivo!AQ40+Consumo_Inicial!AQ40</f>
        <v>228.92026998999998</v>
      </c>
      <c r="AR40" s="8">
        <f>Renta_Alta!AR40+Masivo!AR40+Consumo_Inicial!AR40</f>
        <v>250.53322997999996</v>
      </c>
      <c r="AS40" s="8">
        <f>Renta_Alta!AS40+Masivo!AS40+Consumo_Inicial!AS40</f>
        <v>343.47425000999999</v>
      </c>
      <c r="AT40" s="8">
        <f>Renta_Alta!AT40+Masivo!AT40+Consumo_Inicial!AT40</f>
        <v>0</v>
      </c>
      <c r="AU40" s="8">
        <f>Renta_Alta!AU40+Masivo!AU40+Consumo_Inicial!AU40</f>
        <v>0</v>
      </c>
      <c r="AV40" s="8">
        <f>Renta_Alta!AV40+Masivo!AV40+Consumo_Inicial!AV40</f>
        <v>0</v>
      </c>
      <c r="AW40" s="8">
        <f>Renta_Alta!AW40+Masivo!AW40+Consumo_Inicial!AW40</f>
        <v>0</v>
      </c>
      <c r="AX40" s="8">
        <f>Renta_Alta!AX40+Masivo!AX40+Consumo_Inicial!AX40</f>
        <v>0</v>
      </c>
      <c r="AY40" s="8">
        <f>Renta_Alta!AY40+Masivo!AY40+Consumo_Inicial!AY40</f>
        <v>0</v>
      </c>
      <c r="AZ40" s="8">
        <f>Renta_Alta!AZ40+Masivo!AZ40+Consumo_Inicial!AZ40</f>
        <v>311.74513142656093</v>
      </c>
      <c r="BA40" s="8">
        <f>Renta_Alta!BA40+Masivo!BA40+Consumo_Inicial!BA40</f>
        <v>314.41403354511903</v>
      </c>
      <c r="BB40" s="8">
        <f>Renta_Alta!BB40+Masivo!BB40+Consumo_Inicial!BB40</f>
        <v>311.92029093380393</v>
      </c>
      <c r="BC40" s="8">
        <f>Renta_Alta!BC40+Masivo!BC40+Consumo_Inicial!BC40</f>
        <v>314.24030588937893</v>
      </c>
      <c r="BD40" s="8">
        <f>Renta_Alta!BD40+Masivo!BD40+Consumo_Inicial!BD40</f>
        <v>313.86231177700324</v>
      </c>
      <c r="BE40" s="8">
        <f>Renta_Alta!BE40+Masivo!BE40+Consumo_Inicial!BE40</f>
        <v>315.20849003673828</v>
      </c>
      <c r="BF40" s="8">
        <f>Renta_Alta!BF40+Masivo!BF40+Consumo_Inicial!BF40</f>
        <v>317.37446317673152</v>
      </c>
      <c r="BG40" s="8">
        <f>Renta_Alta!BG40+Masivo!BG40+Consumo_Inicial!BG40</f>
        <v>318.69742405865787</v>
      </c>
      <c r="BH40" s="8">
        <f>Renta_Alta!BH40+Masivo!BH40+Consumo_Inicial!BH40</f>
        <v>319.64902044510882</v>
      </c>
      <c r="BI40" s="8">
        <f>Renta_Alta!BI40+Masivo!BI40+Consumo_Inicial!BI40</f>
        <v>322.66469938826839</v>
      </c>
      <c r="BJ40" s="8">
        <f>Renta_Alta!BJ40+Masivo!BJ40+Consumo_Inicial!BJ40</f>
        <v>321.62180787327605</v>
      </c>
      <c r="BK40" s="8">
        <f>Renta_Alta!BK40+Masivo!BK40+Consumo_Inicial!BK40</f>
        <v>324.12066119946235</v>
      </c>
      <c r="BO40" s="24">
        <f t="shared" si="108"/>
        <v>1342.5900399799998</v>
      </c>
      <c r="BP40" s="24">
        <f t="shared" si="108"/>
        <v>1566.1820735718661</v>
      </c>
      <c r="BQ40" s="24">
        <f t="shared" si="108"/>
        <v>1092.0568099999998</v>
      </c>
      <c r="BR40" s="24">
        <f t="shared" si="108"/>
        <v>1032.1639400499998</v>
      </c>
      <c r="BS40" s="24">
        <f t="shared" si="108"/>
        <v>1074.02360011</v>
      </c>
      <c r="BT40" s="24">
        <f t="shared" si="108"/>
        <v>1466.8814401599998</v>
      </c>
    </row>
    <row r="41" spans="1:72" x14ac:dyDescent="0.25">
      <c r="C41" s="3" t="s">
        <v>57</v>
      </c>
      <c r="D41" s="10">
        <f>SUM(D38:D40)</f>
        <v>45162.788134290007</v>
      </c>
      <c r="E41" s="10">
        <f t="shared" ref="E41" si="109">SUM(E38:E40)</f>
        <v>45105.576846199991</v>
      </c>
      <c r="F41" s="10">
        <f t="shared" ref="F41" si="110">SUM(F38:F40)</f>
        <v>45547.198640979994</v>
      </c>
      <c r="G41" s="10">
        <f t="shared" ref="G41" si="111">SUM(G38:G40)</f>
        <v>45928.039019409996</v>
      </c>
      <c r="H41" s="10">
        <f t="shared" ref="H41" si="112">SUM(H38:H40)</f>
        <v>46619.589287250012</v>
      </c>
      <c r="I41" s="10">
        <f t="shared" ref="I41" si="113">SUM(I38:I40)</f>
        <v>47843.867198679996</v>
      </c>
      <c r="J41" s="10">
        <f t="shared" ref="J41" si="114">SUM(J38:J40)</f>
        <v>48067.902091169999</v>
      </c>
      <c r="K41" s="10">
        <f t="shared" ref="K41" si="115">SUM(K38:K40)</f>
        <v>48882.164755510006</v>
      </c>
      <c r="L41" s="10">
        <f t="shared" ref="L41" si="116">SUM(L38:L40)</f>
        <v>49314.13893388</v>
      </c>
      <c r="M41" s="10">
        <f t="shared" ref="M41" si="117">SUM(M38:M40)</f>
        <v>49576.96352604001</v>
      </c>
      <c r="N41" s="10">
        <f t="shared" ref="N41" si="118">SUM(N38:N40)</f>
        <v>50062.699891489996</v>
      </c>
      <c r="O41" s="10">
        <f t="shared" ref="O41" si="119">SUM(O38:O40)</f>
        <v>50521.830861619994</v>
      </c>
      <c r="P41" s="10">
        <f t="shared" ref="P41" si="120">SUM(P38:P40)</f>
        <v>50600.969750960023</v>
      </c>
      <c r="Q41" s="10">
        <f t="shared" ref="Q41" si="121">SUM(Q38:Q40)</f>
        <v>52278.485527160003</v>
      </c>
      <c r="R41" s="10">
        <f t="shared" ref="R41" si="122">SUM(R38:R40)</f>
        <v>51313.506001960013</v>
      </c>
      <c r="S41" s="10">
        <f t="shared" ref="S41" si="123">SUM(S38:S40)</f>
        <v>51131.396813629995</v>
      </c>
      <c r="T41" s="10">
        <f t="shared" ref="T41" si="124">SUM(T38:T40)</f>
        <v>52943.345562240014</v>
      </c>
      <c r="U41" s="10">
        <f t="shared" ref="U41" si="125">SUM(U38:U40)</f>
        <v>53856.154842180003</v>
      </c>
      <c r="V41" s="10">
        <f t="shared" ref="V41" si="126">SUM(V38:V40)</f>
        <v>54728.529331499994</v>
      </c>
      <c r="W41" s="10">
        <f t="shared" ref="W41" si="127">SUM(W38:W40)</f>
        <v>55117.329575119998</v>
      </c>
      <c r="X41" s="10">
        <f t="shared" ref="X41" si="128">SUM(X38:X40)</f>
        <v>55444.386454790008</v>
      </c>
      <c r="Y41" s="10">
        <f t="shared" ref="Y41" si="129">SUM(Y38:Y40)</f>
        <v>54898.53835037</v>
      </c>
      <c r="Z41" s="10">
        <f t="shared" ref="Z41" si="130">SUM(Z38:Z40)</f>
        <v>54697.844929200008</v>
      </c>
      <c r="AA41" s="10">
        <f t="shared" ref="AA41" si="131">SUM(AA38:AA40)</f>
        <v>53610.868086790018</v>
      </c>
      <c r="AB41" s="10">
        <f t="shared" ref="AB41" si="132">SUM(AB38:AB40)</f>
        <v>53181.320622800005</v>
      </c>
      <c r="AC41" s="10">
        <f t="shared" ref="AC41" si="133">SUM(AC38:AC40)</f>
        <v>52635.084316100008</v>
      </c>
      <c r="AD41" s="10">
        <f t="shared" ref="AD41" si="134">SUM(AD38:AD40)</f>
        <v>52962.030174659994</v>
      </c>
      <c r="AE41" s="10">
        <f t="shared" ref="AE41" si="135">SUM(AE38:AE40)</f>
        <v>52442.582753480012</v>
      </c>
      <c r="AF41" s="10">
        <f t="shared" ref="AF41" si="136">SUM(AF38:AF40)</f>
        <v>53141.322892030003</v>
      </c>
      <c r="AG41" s="10">
        <f t="shared" ref="AG41" si="137">SUM(AG38:AG40)</f>
        <v>52625.984762400003</v>
      </c>
      <c r="AH41" s="10">
        <f t="shared" ref="AH41" si="138">SUM(AH38:AH40)</f>
        <v>52718.848316249991</v>
      </c>
      <c r="AI41" s="10">
        <f t="shared" ref="AI41" si="139">SUM(AI38:AI40)</f>
        <v>52365.920867119996</v>
      </c>
      <c r="AJ41" s="10">
        <f t="shared" ref="AJ41" si="140">SUM(AJ38:AJ40)</f>
        <v>52893.211296969996</v>
      </c>
      <c r="AK41" s="10">
        <f t="shared" ref="AK41" si="141">SUM(AK38:AK40)</f>
        <v>53132.376974290011</v>
      </c>
      <c r="AL41" s="10">
        <f t="shared" ref="AL41" si="142">SUM(AL38:AL40)</f>
        <v>52210.016460370003</v>
      </c>
      <c r="AM41" s="10">
        <f t="shared" ref="AM41" si="143">SUM(AM38:AM40)</f>
        <v>51642.841095590004</v>
      </c>
      <c r="AN41" s="10">
        <f t="shared" ref="AN41" si="144">SUM(AN38:AN40)</f>
        <v>50800.36222743</v>
      </c>
      <c r="AO41" s="10">
        <f t="shared" ref="AO41" si="145">SUM(AO38:AO40)</f>
        <v>50060.188605800009</v>
      </c>
      <c r="AP41" s="10">
        <f t="shared" ref="AP41" si="146">SUM(AP38:AP40)</f>
        <v>50213.056658510002</v>
      </c>
      <c r="AQ41" s="10">
        <f t="shared" ref="AQ41" si="147">SUM(AQ38:AQ40)</f>
        <v>50038.913801440001</v>
      </c>
      <c r="AR41" s="10">
        <f t="shared" ref="AR41" si="148">SUM(AR38:AR40)</f>
        <v>50124.422404240002</v>
      </c>
      <c r="AS41" s="10">
        <f t="shared" ref="AS41" si="149">SUM(AS38:AS40)</f>
        <v>49891.43960541</v>
      </c>
      <c r="AT41" s="10">
        <f t="shared" ref="AT41" si="150">SUM(AT38:AT40)</f>
        <v>0</v>
      </c>
      <c r="AU41" s="10">
        <f t="shared" ref="AU41" si="151">SUM(AU38:AU40)</f>
        <v>0</v>
      </c>
      <c r="AV41" s="10">
        <f t="shared" ref="AV41" si="152">SUM(AV38:AV40)</f>
        <v>0</v>
      </c>
      <c r="AW41" s="10">
        <f t="shared" ref="AW41" si="153">SUM(AW38:AW40)</f>
        <v>0</v>
      </c>
      <c r="AX41" s="10">
        <f t="shared" ref="AX41" si="154">SUM(AX38:AX40)</f>
        <v>0</v>
      </c>
      <c r="AY41" s="10">
        <f t="shared" ref="AY41" si="155">SUM(AY38:AY40)</f>
        <v>0</v>
      </c>
      <c r="AZ41" s="10">
        <f t="shared" ref="AZ41" si="156">SUM(AZ38:AZ40)</f>
        <v>52859.229636086784</v>
      </c>
      <c r="BA41" s="10">
        <f t="shared" ref="BA41" si="157">SUM(BA38:BA40)</f>
        <v>53319.440956812505</v>
      </c>
      <c r="BB41" s="10">
        <f t="shared" ref="BB41" si="158">SUM(BB38:BB40)</f>
        <v>52897.290433515162</v>
      </c>
      <c r="BC41" s="10">
        <f t="shared" ref="BC41" si="159">SUM(BC38:BC40)</f>
        <v>53297.064324965802</v>
      </c>
      <c r="BD41" s="10">
        <f t="shared" ref="BD41" si="160">SUM(BD38:BD40)</f>
        <v>53253.206151428087</v>
      </c>
      <c r="BE41" s="10">
        <f t="shared" ref="BE41" si="161">SUM(BE38:BE40)</f>
        <v>53488.787356459303</v>
      </c>
      <c r="BF41" s="10">
        <f t="shared" ref="BF41" si="162">SUM(BF38:BF40)</f>
        <v>53867.659499966183</v>
      </c>
      <c r="BG41" s="10">
        <f t="shared" ref="BG41" si="163">SUM(BG38:BG40)</f>
        <v>54105.407693855093</v>
      </c>
      <c r="BH41" s="10">
        <f t="shared" ref="BH41" si="164">SUM(BH38:BH40)</f>
        <v>54317.349114477067</v>
      </c>
      <c r="BI41" s="10">
        <f t="shared" ref="BI41" si="165">SUM(BI38:BI40)</f>
        <v>54855.127159037802</v>
      </c>
      <c r="BJ41" s="10">
        <f t="shared" ref="BJ41" si="166">SUM(BJ38:BJ40)</f>
        <v>54710.298097105711</v>
      </c>
      <c r="BK41" s="10">
        <f t="shared" ref="BK41" si="167">SUM(BK38:BK40)</f>
        <v>55166.771000870278</v>
      </c>
      <c r="BO41" s="23">
        <f>SUM(BO38:BO40)</f>
        <v>251236.94369741998</v>
      </c>
      <c r="BP41" s="23">
        <f t="shared" ref="BP41:BT41" si="168">SUM(BP38:BP40)</f>
        <v>265626.23150280834</v>
      </c>
      <c r="BQ41" s="23">
        <f t="shared" si="168"/>
        <v>201112.52129318001</v>
      </c>
      <c r="BR41" s="23">
        <f t="shared" si="168"/>
        <v>264362.34075907001</v>
      </c>
      <c r="BS41" s="23">
        <f t="shared" si="168"/>
        <v>258267.70365595003</v>
      </c>
      <c r="BT41" s="23">
        <f t="shared" si="168"/>
        <v>228363.19192813002</v>
      </c>
    </row>
    <row r="44" spans="1:72" outlineLevel="1" x14ac:dyDescent="0.25">
      <c r="A44" s="11" t="s">
        <v>50</v>
      </c>
      <c r="C44" s="2" t="s">
        <v>0</v>
      </c>
      <c r="D44" s="8">
        <f>Renta_Alta!D44+Masivo!D44+Consumo_Inicial!D44</f>
        <v>-23576.554216370001</v>
      </c>
      <c r="E44" s="8">
        <f>Renta_Alta!E44+Masivo!E44+Consumo_Inicial!E44</f>
        <v>-22363.91443999</v>
      </c>
      <c r="F44" s="8">
        <f>Renta_Alta!F44+Masivo!F44+Consumo_Inicial!F44</f>
        <v>-25973.874810600002</v>
      </c>
      <c r="G44" s="8">
        <f>Renta_Alta!G44+Masivo!G44+Consumo_Inicial!G44</f>
        <v>-26293.860695920001</v>
      </c>
      <c r="H44" s="8">
        <f>Renta_Alta!H44+Masivo!H44+Consumo_Inicial!H44</f>
        <v>-27966.931784720004</v>
      </c>
      <c r="I44" s="8">
        <f>Renta_Alta!I44+Masivo!I44+Consumo_Inicial!I44</f>
        <v>-27879.976634500003</v>
      </c>
      <c r="J44" s="8">
        <f>Renta_Alta!J44+Masivo!J44+Consumo_Inicial!J44</f>
        <v>-29438.863135169999</v>
      </c>
      <c r="K44" s="8">
        <f>Renta_Alta!K44+Masivo!K44+Consumo_Inicial!K44</f>
        <v>-30138.303996800001</v>
      </c>
      <c r="L44" s="8">
        <f>Renta_Alta!L44+Masivo!L44+Consumo_Inicial!L44</f>
        <v>-29779.81342916</v>
      </c>
      <c r="M44" s="8">
        <f>Renta_Alta!M44+Masivo!M44+Consumo_Inicial!M44</f>
        <v>-31440.221721949998</v>
      </c>
      <c r="N44" s="8">
        <f>Renta_Alta!N44+Masivo!N44+Consumo_Inicial!N44</f>
        <v>-31023.368032639999</v>
      </c>
      <c r="O44" s="8">
        <f>Renta_Alta!O44+Masivo!O44+Consumo_Inicial!O44</f>
        <v>-32404.570227100005</v>
      </c>
      <c r="P44" s="8">
        <f>Renta_Alta!P44+Masivo!P44+Consumo_Inicial!P44</f>
        <v>-32574.894642480001</v>
      </c>
      <c r="Q44" s="8">
        <f>Renta_Alta!Q44+Masivo!Q44+Consumo_Inicial!Q44</f>
        <v>-30699.132368119997</v>
      </c>
      <c r="R44" s="8">
        <f>Renta_Alta!R44+Masivo!R44+Consumo_Inicial!R44</f>
        <v>-33098.140633199997</v>
      </c>
      <c r="S44" s="8">
        <f>Renta_Alta!S44+Masivo!S44+Consumo_Inicial!S44</f>
        <v>-32387.844580000001</v>
      </c>
      <c r="T44" s="8">
        <f>Renta_Alta!T44+Masivo!T44+Consumo_Inicial!T44</f>
        <v>-33812.847419899997</v>
      </c>
      <c r="U44" s="8">
        <f>Renta_Alta!U44+Masivo!U44+Consumo_Inicial!U44</f>
        <v>-32980.186533320004</v>
      </c>
      <c r="V44" s="8">
        <f>Renta_Alta!V44+Masivo!V44+Consumo_Inicial!V44</f>
        <v>-34328.752952620009</v>
      </c>
      <c r="W44" s="8">
        <f>Renta_Alta!W44+Masivo!W44+Consumo_Inicial!W44</f>
        <v>-34323.274946149999</v>
      </c>
      <c r="X44" s="8">
        <f>Renta_Alta!X44+Masivo!X44+Consumo_Inicial!X44</f>
        <v>-32996.553657479999</v>
      </c>
      <c r="Y44" s="8">
        <f>Renta_Alta!Y44+Masivo!Y44+Consumo_Inicial!Y44</f>
        <v>-32625.315419760002</v>
      </c>
      <c r="Z44" s="8">
        <f>Renta_Alta!Z44+Masivo!Z44+Consumo_Inicial!Z44</f>
        <v>-32167.508103559994</v>
      </c>
      <c r="AA44" s="8">
        <f>Renta_Alta!AA44+Masivo!AA44+Consumo_Inicial!AA44</f>
        <v>-32669.025888550001</v>
      </c>
      <c r="AB44" s="8">
        <f>Renta_Alta!AB44+Masivo!AB44+Consumo_Inicial!AB44</f>
        <v>-32133.024034310001</v>
      </c>
      <c r="AC44" s="8">
        <f>Renta_Alta!AC44+Masivo!AC44+Consumo_Inicial!AC44</f>
        <v>-28632.322723000005</v>
      </c>
      <c r="AD44" s="8">
        <f>Renta_Alta!AD44+Masivo!AD44+Consumo_Inicial!AD44</f>
        <v>-31254.719038709998</v>
      </c>
      <c r="AE44" s="8">
        <f>Renta_Alta!AE44+Masivo!AE44+Consumo_Inicial!AE44</f>
        <v>-29740.784110160006</v>
      </c>
      <c r="AF44" s="8">
        <f>Renta_Alta!AF44+Masivo!AF44+Consumo_Inicial!AF44</f>
        <v>-30543.076114000003</v>
      </c>
      <c r="AG44" s="8">
        <f>Renta_Alta!AG44+Masivo!AG44+Consumo_Inicial!AG44</f>
        <v>-29278.135031559999</v>
      </c>
      <c r="AH44" s="8">
        <f>Renta_Alta!AH44+Masivo!AH44+Consumo_Inicial!AH44</f>
        <v>-29918.126499820002</v>
      </c>
      <c r="AI44" s="8">
        <f>Renta_Alta!AI44+Masivo!AI44+Consumo_Inicial!AI44</f>
        <v>-29603.272592400001</v>
      </c>
      <c r="AJ44" s="8">
        <f>Renta_Alta!AJ44+Masivo!AJ44+Consumo_Inicial!AJ44</f>
        <v>-28362.173643540002</v>
      </c>
      <c r="AK44" s="8">
        <f>Renta_Alta!AK44+Masivo!AK44+Consumo_Inicial!AK44</f>
        <v>-28649.108148399999</v>
      </c>
      <c r="AL44" s="8">
        <f>Renta_Alta!AL44+Masivo!AL44+Consumo_Inicial!AL44</f>
        <v>-27624.622838419997</v>
      </c>
      <c r="AM44" s="8">
        <f>Renta_Alta!AM44+Masivo!AM44+Consumo_Inicial!AM44</f>
        <v>-27974.689807779996</v>
      </c>
      <c r="AN44" s="8">
        <f>Renta_Alta!AN44+Masivo!AN44+Consumo_Inicial!AN44</f>
        <v>-27512.23715986</v>
      </c>
      <c r="AO44" s="8">
        <f>Renta_Alta!AO44+Masivo!AO44+Consumo_Inicial!AO44</f>
        <v>-24430.177574910002</v>
      </c>
      <c r="AP44" s="8">
        <f>Renta_Alta!AP44+Masivo!AP44+Consumo_Inicial!AP44</f>
        <v>-26735.466782</v>
      </c>
      <c r="AQ44" s="8">
        <f>Renta_Alta!AQ44+Masivo!AQ44+Consumo_Inicial!AQ44</f>
        <v>-25745.607702729998</v>
      </c>
      <c r="AR44" s="8">
        <f>Renta_Alta!AR44+Masivo!AR44+Consumo_Inicial!AR44</f>
        <v>-26560.67207362489</v>
      </c>
      <c r="AS44" s="8">
        <f>Renta_Alta!AS44+Masivo!AS44+Consumo_Inicial!AS44</f>
        <v>-25613.845756250001</v>
      </c>
      <c r="AT44" s="8">
        <f>Renta_Alta!AT44+Masivo!AT44+Consumo_Inicial!AT44</f>
        <v>0</v>
      </c>
      <c r="AU44" s="8">
        <f>Renta_Alta!AU44+Masivo!AU44+Consumo_Inicial!AU44</f>
        <v>0</v>
      </c>
      <c r="AV44" s="8">
        <f>Renta_Alta!AV44+Masivo!AV44+Consumo_Inicial!AV44</f>
        <v>0</v>
      </c>
      <c r="AW44" s="8">
        <f>Renta_Alta!AW44+Masivo!AW44+Consumo_Inicial!AW44</f>
        <v>0</v>
      </c>
      <c r="AX44" s="8">
        <f>Renta_Alta!AX44+Masivo!AX44+Consumo_Inicial!AX44</f>
        <v>0</v>
      </c>
      <c r="AY44" s="8">
        <f>Renta_Alta!AY44+Masivo!AY44+Consumo_Inicial!AY44</f>
        <v>0</v>
      </c>
      <c r="AZ44" s="8">
        <f>Renta_Alta!AZ44+Masivo!AZ44+Consumo_Inicial!AZ44</f>
        <v>-28491.076674123953</v>
      </c>
      <c r="BA44" s="8">
        <f>Renta_Alta!BA44+Masivo!BA44+Consumo_Inicial!BA44</f>
        <v>-25566.590908257607</v>
      </c>
      <c r="BB44" s="8">
        <f>Renta_Alta!BB44+Masivo!BB44+Consumo_Inicial!BB44</f>
        <v>-28192.556631874551</v>
      </c>
      <c r="BC44" s="8">
        <f>Renta_Alta!BC44+Masivo!BC44+Consumo_Inicial!BC44</f>
        <v>-27150.185898097534</v>
      </c>
      <c r="BD44" s="8">
        <f>Renta_Alta!BD44+Masivo!BD44+Consumo_Inicial!BD44</f>
        <v>-27933.631559678026</v>
      </c>
      <c r="BE44" s="8">
        <f>Renta_Alta!BE44+Masivo!BE44+Consumo_Inicial!BE44</f>
        <v>-26936.995394745638</v>
      </c>
      <c r="BF44" s="8">
        <f>Renta_Alta!BF44+Masivo!BF44+Consumo_Inicial!BF44</f>
        <v>-27759.432646513971</v>
      </c>
      <c r="BG44" s="8">
        <f>Renta_Alta!BG44+Masivo!BG44+Consumo_Inicial!BG44</f>
        <v>-27696.887413447865</v>
      </c>
      <c r="BH44" s="8">
        <f>Renta_Alta!BH44+Masivo!BH44+Consumo_Inicial!BH44</f>
        <v>-26778.179969536683</v>
      </c>
      <c r="BI44" s="8">
        <f>Renta_Alta!BI44+Masivo!BI44+Consumo_Inicial!BI44</f>
        <v>-27631.549833370427</v>
      </c>
      <c r="BJ44" s="8">
        <f>Renta_Alta!BJ44+Masivo!BJ44+Consumo_Inicial!BJ44</f>
        <v>-26703.217650862953</v>
      </c>
      <c r="BK44" s="8">
        <f>Renta_Alta!BK44+Masivo!BK44+Consumo_Inicial!BK44</f>
        <v>-27545.210765775515</v>
      </c>
      <c r="BO44" s="24">
        <f t="shared" ref="BO44:BT46" si="169">SUMIFS($D44:$BM44,$D$6:$BM$6,"&gt;="&amp;BO$2,$D$6:$BM$6,"&lt;="&amp;BO$6,$D$5:$BM$5,BO$5)</f>
        <v>-130984.1612931249</v>
      </c>
      <c r="BP44" s="24">
        <f t="shared" si="169"/>
        <v>-137334.04167203169</v>
      </c>
      <c r="BQ44" s="24">
        <f t="shared" si="169"/>
        <v>-104423.48921950001</v>
      </c>
      <c r="BR44" s="24">
        <f t="shared" si="169"/>
        <v>-152303.92602018002</v>
      </c>
      <c r="BS44" s="24">
        <f t="shared" si="169"/>
        <v>-162572.85964370001</v>
      </c>
      <c r="BT44" s="24">
        <f t="shared" si="169"/>
        <v>-126175.13594759999</v>
      </c>
    </row>
    <row r="45" spans="1:72" outlineLevel="1" x14ac:dyDescent="0.25">
      <c r="A45" s="11" t="s">
        <v>50</v>
      </c>
      <c r="C45" s="2" t="s">
        <v>1</v>
      </c>
      <c r="D45" s="8">
        <f>Renta_Alta!D45+Masivo!D45+Consumo_Inicial!D45</f>
        <v>-130.25558000000001</v>
      </c>
      <c r="E45" s="8">
        <f>Renta_Alta!E45+Masivo!E45+Consumo_Inicial!E45</f>
        <v>-120.52135</v>
      </c>
      <c r="F45" s="8">
        <f>Renta_Alta!F45+Masivo!F45+Consumo_Inicial!F45</f>
        <v>-138.92289999999997</v>
      </c>
      <c r="G45" s="8">
        <f>Renta_Alta!G45+Masivo!G45+Consumo_Inicial!G45</f>
        <v>-139.61076</v>
      </c>
      <c r="H45" s="8">
        <f>Renta_Alta!H45+Masivo!H45+Consumo_Inicial!H45</f>
        <v>-143.88884999999999</v>
      </c>
      <c r="I45" s="8">
        <f>Renta_Alta!I45+Masivo!I45+Consumo_Inicial!I45</f>
        <v>-146.67886000000004</v>
      </c>
      <c r="J45" s="8">
        <f>Renta_Alta!J45+Masivo!J45+Consumo_Inicial!J45</f>
        <v>-151.32277999999999</v>
      </c>
      <c r="K45" s="8">
        <f>Renta_Alta!K45+Masivo!K45+Consumo_Inicial!K45</f>
        <v>-153.66227000000001</v>
      </c>
      <c r="L45" s="8">
        <f>Renta_Alta!L45+Masivo!L45+Consumo_Inicial!L45</f>
        <v>-145.37425999999999</v>
      </c>
      <c r="M45" s="8">
        <f>Renta_Alta!M45+Masivo!M45+Consumo_Inicial!M45</f>
        <v>-148.13479000000001</v>
      </c>
      <c r="N45" s="8">
        <f>Renta_Alta!N45+Masivo!N45+Consumo_Inicial!N45</f>
        <v>-142.13634000000002</v>
      </c>
      <c r="O45" s="8">
        <f>Renta_Alta!O45+Masivo!O45+Consumo_Inicial!O45</f>
        <v>-150.90439999999998</v>
      </c>
      <c r="P45" s="8">
        <f>Renta_Alta!P45+Masivo!P45+Consumo_Inicial!P45</f>
        <v>-149.79561000000001</v>
      </c>
      <c r="Q45" s="8">
        <f>Renta_Alta!Q45+Masivo!Q45+Consumo_Inicial!Q45</f>
        <v>-136.65378999999999</v>
      </c>
      <c r="R45" s="8">
        <f>Renta_Alta!R45+Masivo!R45+Consumo_Inicial!R45</f>
        <v>-141.51197999999999</v>
      </c>
      <c r="S45" s="8">
        <f>Renta_Alta!S45+Masivo!S45+Consumo_Inicial!S45</f>
        <v>-133.48721</v>
      </c>
      <c r="T45" s="8">
        <f>Renta_Alta!T45+Masivo!T45+Consumo_Inicial!T45</f>
        <v>-133.88479999999998</v>
      </c>
      <c r="U45" s="8">
        <f>Renta_Alta!U45+Masivo!U45+Consumo_Inicial!U45</f>
        <v>-125.24104999999999</v>
      </c>
      <c r="V45" s="8">
        <f>Renta_Alta!V45+Masivo!V45+Consumo_Inicial!V45</f>
        <v>-122.30903000000001</v>
      </c>
      <c r="W45" s="8">
        <f>Renta_Alta!W45+Masivo!W45+Consumo_Inicial!W45</f>
        <v>-118.67537999999999</v>
      </c>
      <c r="X45" s="8">
        <f>Renta_Alta!X45+Masivo!X45+Consumo_Inicial!X45</f>
        <v>-111.04265000000001</v>
      </c>
      <c r="Y45" s="8">
        <f>Renta_Alta!Y45+Masivo!Y45+Consumo_Inicial!Y45</f>
        <v>-111.60915</v>
      </c>
      <c r="Z45" s="8">
        <f>Renta_Alta!Z45+Masivo!Z45+Consumo_Inicial!Z45</f>
        <v>-112.96651999999999</v>
      </c>
      <c r="AA45" s="8">
        <f>Renta_Alta!AA45+Masivo!AA45+Consumo_Inicial!AA45</f>
        <v>-120.10756000000001</v>
      </c>
      <c r="AB45" s="8">
        <f>Renta_Alta!AB45+Masivo!AB45+Consumo_Inicial!AB45</f>
        <v>-122.41988000000001</v>
      </c>
      <c r="AC45" s="8">
        <f>Renta_Alta!AC45+Masivo!AC45+Consumo_Inicial!AC45</f>
        <v>-115.49768000000002</v>
      </c>
      <c r="AD45" s="8">
        <f>Renta_Alta!AD45+Masivo!AD45+Consumo_Inicial!AD45</f>
        <v>-133.2167</v>
      </c>
      <c r="AE45" s="8">
        <f>Renta_Alta!AE45+Masivo!AE45+Consumo_Inicial!AE45</f>
        <v>-134.38054000000002</v>
      </c>
      <c r="AF45" s="8">
        <f>Renta_Alta!AF45+Masivo!AF45+Consumo_Inicial!AF45</f>
        <v>-147.87924000000001</v>
      </c>
      <c r="AG45" s="8">
        <f>Renta_Alta!AG45+Masivo!AG45+Consumo_Inicial!AG45</f>
        <v>-147.14009999999999</v>
      </c>
      <c r="AH45" s="8">
        <f>Renta_Alta!AH45+Masivo!AH45+Consumo_Inicial!AH45</f>
        <v>-158.07123000000001</v>
      </c>
      <c r="AI45" s="8">
        <f>Renta_Alta!AI45+Masivo!AI45+Consumo_Inicial!AI45</f>
        <v>-156.41293000000002</v>
      </c>
      <c r="AJ45" s="8">
        <f>Renta_Alta!AJ45+Masivo!AJ45+Consumo_Inicial!AJ45</f>
        <v>-149.10366999999999</v>
      </c>
      <c r="AK45" s="8">
        <f>Renta_Alta!AK45+Masivo!AK45+Consumo_Inicial!AK45</f>
        <v>-154.58051999999998</v>
      </c>
      <c r="AL45" s="8">
        <f>Renta_Alta!AL45+Masivo!AL45+Consumo_Inicial!AL45</f>
        <v>-149.76266999999999</v>
      </c>
      <c r="AM45" s="8">
        <f>Renta_Alta!AM45+Masivo!AM45+Consumo_Inicial!AM45</f>
        <v>-156.86642999999998</v>
      </c>
      <c r="AN45" s="8">
        <f>Renta_Alta!AN45+Masivo!AN45+Consumo_Inicial!AN45</f>
        <v>-157.45572000000001</v>
      </c>
      <c r="AO45" s="8">
        <f>Renta_Alta!AO45+Masivo!AO45+Consumo_Inicial!AO45</f>
        <v>-139.81921</v>
      </c>
      <c r="AP45" s="8">
        <f>Renta_Alta!AP45+Masivo!AP45+Consumo_Inicial!AP45</f>
        <v>-151.72477999999998</v>
      </c>
      <c r="AQ45" s="8">
        <f>Renta_Alta!AQ45+Masivo!AQ45+Consumo_Inicial!AQ45</f>
        <v>-145.35149000000001</v>
      </c>
      <c r="AR45" s="8">
        <f>Renta_Alta!AR45+Masivo!AR45+Consumo_Inicial!AR45</f>
        <v>-145.61201</v>
      </c>
      <c r="AS45" s="8">
        <f>Renta_Alta!AS45+Masivo!AS45+Consumo_Inicial!AS45</f>
        <v>-137.28836999999999</v>
      </c>
      <c r="AT45" s="8">
        <f>Renta_Alta!AT45+Masivo!AT45+Consumo_Inicial!AT45</f>
        <v>0</v>
      </c>
      <c r="AU45" s="8">
        <f>Renta_Alta!AU45+Masivo!AU45+Consumo_Inicial!AU45</f>
        <v>0</v>
      </c>
      <c r="AV45" s="8">
        <f>Renta_Alta!AV45+Masivo!AV45+Consumo_Inicial!AV45</f>
        <v>0</v>
      </c>
      <c r="AW45" s="8">
        <f>Renta_Alta!AW45+Masivo!AW45+Consumo_Inicial!AW45</f>
        <v>0</v>
      </c>
      <c r="AX45" s="8">
        <f>Renta_Alta!AX45+Masivo!AX45+Consumo_Inicial!AX45</f>
        <v>0</v>
      </c>
      <c r="AY45" s="8">
        <f>Renta_Alta!AY45+Masivo!AY45+Consumo_Inicial!AY45</f>
        <v>0</v>
      </c>
      <c r="AZ45" s="8">
        <f>Renta_Alta!AZ45+Masivo!AZ45+Consumo_Inicial!AZ45</f>
        <v>-149.74253614211489</v>
      </c>
      <c r="BA45" s="8">
        <f>Renta_Alta!BA45+Masivo!BA45+Consumo_Inicial!BA45</f>
        <v>-134.29283108093944</v>
      </c>
      <c r="BB45" s="8">
        <f>Renta_Alta!BB45+Masivo!BB45+Consumo_Inicial!BB45</f>
        <v>-147.98601538279416</v>
      </c>
      <c r="BC45" s="8">
        <f>Renta_Alta!BC45+Masivo!BC45+Consumo_Inicial!BC45</f>
        <v>-142.43788520395972</v>
      </c>
      <c r="BD45" s="8">
        <f>Renta_Alta!BD45+Masivo!BD45+Consumo_Inicial!BD45</f>
        <v>-146.41061786227522</v>
      </c>
      <c r="BE45" s="8">
        <f>Renta_Alta!BE45+Masivo!BE45+Consumo_Inicial!BE45</f>
        <v>-141.05424334108639</v>
      </c>
      <c r="BF45" s="8">
        <f>Renta_Alta!BF45+Masivo!BF45+Consumo_Inicial!BF45</f>
        <v>-145.22438906299465</v>
      </c>
      <c r="BG45" s="8">
        <f>Renta_Alta!BG45+Masivo!BG45+Consumo_Inicial!BG45</f>
        <v>-144.76131571790444</v>
      </c>
      <c r="BH45" s="8">
        <f>Renta_Alta!BH45+Masivo!BH45+Consumo_Inicial!BH45</f>
        <v>-139.67842152897771</v>
      </c>
      <c r="BI45" s="8">
        <f>Renta_Alta!BI45+Masivo!BI45+Consumo_Inicial!BI45</f>
        <v>-143.85955228148495</v>
      </c>
      <c r="BJ45" s="8">
        <f>Renta_Alta!BJ45+Masivo!BJ45+Consumo_Inicial!BJ45</f>
        <v>-138.76553263824755</v>
      </c>
      <c r="BK45" s="8">
        <f>Renta_Alta!BK45+Masivo!BK45+Consumo_Inicial!BK45</f>
        <v>-142.90378717527682</v>
      </c>
      <c r="BO45" s="24">
        <f t="shared" si="169"/>
        <v>-739.96321000000012</v>
      </c>
      <c r="BP45" s="24">
        <f t="shared" si="169"/>
        <v>-720.86988567208346</v>
      </c>
      <c r="BQ45" s="24">
        <f t="shared" si="169"/>
        <v>-594.35120000000006</v>
      </c>
      <c r="BR45" s="24">
        <f t="shared" si="169"/>
        <v>-653.39404000000002</v>
      </c>
      <c r="BS45" s="24">
        <f t="shared" si="169"/>
        <v>-695.33339000000001</v>
      </c>
      <c r="BT45" s="24">
        <f t="shared" si="169"/>
        <v>-673.19943999999987</v>
      </c>
    </row>
    <row r="46" spans="1:72" outlineLevel="1" x14ac:dyDescent="0.25">
      <c r="A46" s="11" t="s">
        <v>50</v>
      </c>
      <c r="C46" s="2" t="s">
        <v>45</v>
      </c>
      <c r="D46" s="8">
        <f>Renta_Alta!D46+Masivo!D46+Consumo_Inicial!D46</f>
        <v>-245.94521999999998</v>
      </c>
      <c r="E46" s="8">
        <f>Renta_Alta!E46+Masivo!E46+Consumo_Inicial!E46</f>
        <v>-228.55992000000001</v>
      </c>
      <c r="F46" s="8">
        <f>Renta_Alta!F46+Masivo!F46+Consumo_Inicial!F46</f>
        <v>-275.37304999999998</v>
      </c>
      <c r="G46" s="8">
        <f>Renta_Alta!G46+Masivo!G46+Consumo_Inicial!G46</f>
        <v>-264.42385999999999</v>
      </c>
      <c r="H46" s="8">
        <f>Renta_Alta!H46+Masivo!H46+Consumo_Inicial!H46</f>
        <v>-255.16487000000001</v>
      </c>
      <c r="I46" s="8">
        <f>Renta_Alta!I46+Masivo!I46+Consumo_Inicial!I46</f>
        <v>-243.43191000000002</v>
      </c>
      <c r="J46" s="8">
        <f>Renta_Alta!J46+Masivo!J46+Consumo_Inicial!J46</f>
        <v>-254.70152999999996</v>
      </c>
      <c r="K46" s="8">
        <f>Renta_Alta!K46+Masivo!K46+Consumo_Inicial!K46</f>
        <v>-318.35863000000001</v>
      </c>
      <c r="L46" s="8">
        <f>Renta_Alta!L46+Masivo!L46+Consumo_Inicial!L46</f>
        <v>-299.49809999999997</v>
      </c>
      <c r="M46" s="8">
        <f>Renta_Alta!M46+Masivo!M46+Consumo_Inicial!M46</f>
        <v>-353.16258999999997</v>
      </c>
      <c r="N46" s="8">
        <f>Renta_Alta!N46+Masivo!N46+Consumo_Inicial!N46</f>
        <v>-367.48566</v>
      </c>
      <c r="O46" s="8">
        <f>Renta_Alta!O46+Masivo!O46+Consumo_Inicial!O46</f>
        <v>-387.30522999999999</v>
      </c>
      <c r="P46" s="8">
        <f>Renta_Alta!P46+Masivo!P46+Consumo_Inicial!P46</f>
        <v>-426.76421000000005</v>
      </c>
      <c r="Q46" s="8">
        <f>Renta_Alta!Q46+Masivo!Q46+Consumo_Inicial!Q46</f>
        <v>-400.71287999999998</v>
      </c>
      <c r="R46" s="8">
        <f>Renta_Alta!R46+Masivo!R46+Consumo_Inicial!R46</f>
        <v>-412.95220999999998</v>
      </c>
      <c r="S46" s="8">
        <f>Renta_Alta!S46+Masivo!S46+Consumo_Inicial!S46</f>
        <v>-420.97253999999998</v>
      </c>
      <c r="T46" s="8">
        <f>Renta_Alta!T46+Masivo!T46+Consumo_Inicial!T46</f>
        <v>-428.23414999999994</v>
      </c>
      <c r="U46" s="8">
        <f>Renta_Alta!U46+Masivo!U46+Consumo_Inicial!U46</f>
        <v>-396.70151999999996</v>
      </c>
      <c r="V46" s="8">
        <f>Renta_Alta!V46+Masivo!V46+Consumo_Inicial!V46</f>
        <v>-418.92971999999997</v>
      </c>
      <c r="W46" s="8">
        <f>Renta_Alta!W46+Masivo!W46+Consumo_Inicial!W46</f>
        <v>-460.23273000000012</v>
      </c>
      <c r="X46" s="8">
        <f>Renta_Alta!X46+Masivo!X46+Consumo_Inicial!X46</f>
        <v>-486.88177000000002</v>
      </c>
      <c r="Y46" s="8">
        <f>Renta_Alta!Y46+Masivo!Y46+Consumo_Inicial!Y46</f>
        <v>-499.75398999999999</v>
      </c>
      <c r="Z46" s="8">
        <f>Renta_Alta!Z46+Masivo!Z46+Consumo_Inicial!Z46</f>
        <v>-468.24216999999999</v>
      </c>
      <c r="AA46" s="8">
        <f>Renta_Alta!AA46+Masivo!AA46+Consumo_Inicial!AA46</f>
        <v>-514.46658000000002</v>
      </c>
      <c r="AB46" s="8">
        <f>Renta_Alta!AB46+Masivo!AB46+Consumo_Inicial!AB46</f>
        <v>-577.47669999999994</v>
      </c>
      <c r="AC46" s="8">
        <f>Renta_Alta!AC46+Masivo!AC46+Consumo_Inicial!AC46</f>
        <v>-480.09829000000002</v>
      </c>
      <c r="AD46" s="8">
        <f>Renta_Alta!AD46+Masivo!AD46+Consumo_Inicial!AD46</f>
        <v>-550.34101999999996</v>
      </c>
      <c r="AE46" s="8">
        <f>Renta_Alta!AE46+Masivo!AE46+Consumo_Inicial!AE46</f>
        <v>-534.69743000000005</v>
      </c>
      <c r="AF46" s="8">
        <f>Renta_Alta!AF46+Masivo!AF46+Consumo_Inicial!AF46</f>
        <v>-531.99571000000003</v>
      </c>
      <c r="AG46" s="8">
        <f>Renta_Alta!AG46+Masivo!AG46+Consumo_Inicial!AG46</f>
        <v>-532.11986000000013</v>
      </c>
      <c r="AH46" s="8">
        <f>Renta_Alta!AH46+Masivo!AH46+Consumo_Inicial!AH46</f>
        <v>-547.01675999999998</v>
      </c>
      <c r="AI46" s="8">
        <f>Renta_Alta!AI46+Masivo!AI46+Consumo_Inicial!AI46</f>
        <v>-566.25211999999999</v>
      </c>
      <c r="AJ46" s="8">
        <f>Renta_Alta!AJ46+Masivo!AJ46+Consumo_Inicial!AJ46</f>
        <v>-570.77075000000002</v>
      </c>
      <c r="AK46" s="8">
        <f>Renta_Alta!AK46+Masivo!AK46+Consumo_Inicial!AK46</f>
        <v>-1029.94444</v>
      </c>
      <c r="AL46" s="8">
        <f>Renta_Alta!AL46+Masivo!AL46+Consumo_Inicial!AL46</f>
        <v>-607.31736999999987</v>
      </c>
      <c r="AM46" s="8">
        <f>Renta_Alta!AM46+Masivo!AM46+Consumo_Inicial!AM46</f>
        <v>-614.27681000000007</v>
      </c>
      <c r="AN46" s="8">
        <f>Renta_Alta!AN46+Masivo!AN46+Consumo_Inicial!AN46</f>
        <v>-632.61585000000002</v>
      </c>
      <c r="AO46" s="8">
        <f>Renta_Alta!AO46+Masivo!AO46+Consumo_Inicial!AO46</f>
        <v>-550.95198000000005</v>
      </c>
      <c r="AP46" s="8">
        <f>Renta_Alta!AP46+Masivo!AP46+Consumo_Inicial!AP46</f>
        <v>-585.39354999999989</v>
      </c>
      <c r="AQ46" s="8">
        <f>Renta_Alta!AQ46+Masivo!AQ46+Consumo_Inicial!AQ46</f>
        <v>-548.65460000000007</v>
      </c>
      <c r="AR46" s="8">
        <f>Renta_Alta!AR46+Masivo!AR46+Consumo_Inicial!AR46</f>
        <v>-580.04154000000017</v>
      </c>
      <c r="AS46" s="8">
        <f>Renta_Alta!AS46+Masivo!AS46+Consumo_Inicial!AS46</f>
        <v>-569.19817</v>
      </c>
      <c r="AT46" s="8">
        <f>Renta_Alta!AT46+Masivo!AT46+Consumo_Inicial!AT46</f>
        <v>0</v>
      </c>
      <c r="AU46" s="8">
        <f>Renta_Alta!AU46+Masivo!AU46+Consumo_Inicial!AU46</f>
        <v>0</v>
      </c>
      <c r="AV46" s="8">
        <f>Renta_Alta!AV46+Masivo!AV46+Consumo_Inicial!AV46</f>
        <v>0</v>
      </c>
      <c r="AW46" s="8">
        <f>Renta_Alta!AW46+Masivo!AW46+Consumo_Inicial!AW46</f>
        <v>0</v>
      </c>
      <c r="AX46" s="8">
        <f>Renta_Alta!AX46+Masivo!AX46+Consumo_Inicial!AX46</f>
        <v>0</v>
      </c>
      <c r="AY46" s="8">
        <f>Renta_Alta!AY46+Masivo!AY46+Consumo_Inicial!AY46</f>
        <v>0</v>
      </c>
      <c r="AZ46" s="8">
        <f>Renta_Alta!AZ46+Masivo!AZ46+Consumo_Inicial!AZ46</f>
        <v>-573.11918580411225</v>
      </c>
      <c r="BA46" s="8">
        <f>Renta_Alta!BA46+Masivo!BA46+Consumo_Inicial!BA46</f>
        <v>-514.1463470275869</v>
      </c>
      <c r="BB46" s="8">
        <f>Renta_Alta!BB46+Masivo!BB46+Consumo_Inicial!BB46</f>
        <v>-566.77301953425956</v>
      </c>
      <c r="BC46" s="8">
        <f>Renta_Alta!BC46+Masivo!BC46+Consumo_Inicial!BC46</f>
        <v>-545.67719887210819</v>
      </c>
      <c r="BD46" s="8">
        <f>Renta_Alta!BD46+Masivo!BD46+Consumo_Inicial!BD46</f>
        <v>-561.17477020907722</v>
      </c>
      <c r="BE46" s="8">
        <f>Renta_Alta!BE46+Masivo!BE46+Consumo_Inicial!BE46</f>
        <v>-540.91294124984393</v>
      </c>
      <c r="BF46" s="8">
        <f>Renta_Alta!BF46+Masivo!BF46+Consumo_Inicial!BF46</f>
        <v>-557.18093478070773</v>
      </c>
      <c r="BG46" s="8">
        <f>Renta_Alta!BG46+Masivo!BG46+Consumo_Inicial!BG46</f>
        <v>-555.6790999491501</v>
      </c>
      <c r="BH46" s="8">
        <f>Renta_Alta!BH46+Masivo!BH46+Consumo_Inicial!BH46</f>
        <v>-536.74241905286101</v>
      </c>
      <c r="BI46" s="8">
        <f>Renta_Alta!BI46+Masivo!BI46+Consumo_Inicial!BI46</f>
        <v>-553.36176670939028</v>
      </c>
      <c r="BJ46" s="8">
        <f>Renta_Alta!BJ46+Masivo!BJ46+Consumo_Inicial!BJ46</f>
        <v>-534.30177344458502</v>
      </c>
      <c r="BK46" s="8">
        <f>Renta_Alta!BK46+Masivo!BK46+Consumo_Inicial!BK46</f>
        <v>-550.72151840179515</v>
      </c>
      <c r="BO46" s="24">
        <f t="shared" si="169"/>
        <v>-2897.6575199999997</v>
      </c>
      <c r="BP46" s="24">
        <f t="shared" si="169"/>
        <v>-2760.8905214471442</v>
      </c>
      <c r="BQ46" s="24">
        <f t="shared" si="169"/>
        <v>-2317.6159799999996</v>
      </c>
      <c r="BR46" s="24">
        <f t="shared" si="169"/>
        <v>-2674.6091500000002</v>
      </c>
      <c r="BS46" s="24">
        <f t="shared" si="169"/>
        <v>-2089.6359899999998</v>
      </c>
      <c r="BT46" s="24">
        <f t="shared" si="169"/>
        <v>-1269.4669199999998</v>
      </c>
    </row>
    <row r="47" spans="1:72" x14ac:dyDescent="0.25">
      <c r="C47" s="3" t="s">
        <v>58</v>
      </c>
      <c r="D47" s="10">
        <f>SUM(D44:D46)</f>
        <v>-23952.755016370003</v>
      </c>
      <c r="E47" s="10">
        <f t="shared" ref="E47" si="170">SUM(E44:E46)</f>
        <v>-22712.995709989998</v>
      </c>
      <c r="F47" s="10">
        <f t="shared" ref="F47" si="171">SUM(F44:F46)</f>
        <v>-26388.170760600002</v>
      </c>
      <c r="G47" s="10">
        <f t="shared" ref="G47" si="172">SUM(G44:G46)</f>
        <v>-26697.895315919999</v>
      </c>
      <c r="H47" s="10">
        <f t="shared" ref="H47" si="173">SUM(H44:H46)</f>
        <v>-28365.985504720004</v>
      </c>
      <c r="I47" s="10">
        <f t="shared" ref="I47" si="174">SUM(I44:I46)</f>
        <v>-28270.087404500002</v>
      </c>
      <c r="J47" s="10">
        <f t="shared" ref="J47" si="175">SUM(J44:J46)</f>
        <v>-29844.887445169996</v>
      </c>
      <c r="K47" s="10">
        <f t="shared" ref="K47" si="176">SUM(K44:K46)</f>
        <v>-30610.324896800001</v>
      </c>
      <c r="L47" s="10">
        <f t="shared" ref="L47" si="177">SUM(L44:L46)</f>
        <v>-30224.685789160001</v>
      </c>
      <c r="M47" s="10">
        <f t="shared" ref="M47" si="178">SUM(M44:M46)</f>
        <v>-31941.519101949998</v>
      </c>
      <c r="N47" s="10">
        <f t="shared" ref="N47" si="179">SUM(N44:N46)</f>
        <v>-31532.990032639998</v>
      </c>
      <c r="O47" s="10">
        <f t="shared" ref="O47" si="180">SUM(O44:O46)</f>
        <v>-32942.779857100002</v>
      </c>
      <c r="P47" s="10">
        <f t="shared" ref="P47" si="181">SUM(P44:P46)</f>
        <v>-33151.454462480004</v>
      </c>
      <c r="Q47" s="10">
        <f t="shared" ref="Q47" si="182">SUM(Q44:Q46)</f>
        <v>-31236.499038119997</v>
      </c>
      <c r="R47" s="10">
        <f t="shared" ref="R47" si="183">SUM(R44:R46)</f>
        <v>-33652.604823200003</v>
      </c>
      <c r="S47" s="10">
        <f t="shared" ref="S47" si="184">SUM(S44:S46)</f>
        <v>-32942.304329999999</v>
      </c>
      <c r="T47" s="10">
        <f t="shared" ref="T47" si="185">SUM(T44:T46)</f>
        <v>-34374.966369899994</v>
      </c>
      <c r="U47" s="10">
        <f t="shared" ref="U47" si="186">SUM(U44:U46)</f>
        <v>-33502.129103320003</v>
      </c>
      <c r="V47" s="10">
        <f t="shared" ref="V47" si="187">SUM(V44:V46)</f>
        <v>-34869.991702620006</v>
      </c>
      <c r="W47" s="10">
        <f t="shared" ref="W47" si="188">SUM(W44:W46)</f>
        <v>-34902.183056150003</v>
      </c>
      <c r="X47" s="10">
        <f t="shared" ref="X47" si="189">SUM(X44:X46)</f>
        <v>-33594.478077480002</v>
      </c>
      <c r="Y47" s="10">
        <f t="shared" ref="Y47" si="190">SUM(Y44:Y46)</f>
        <v>-33236.678559760003</v>
      </c>
      <c r="Z47" s="10">
        <f t="shared" ref="Z47" si="191">SUM(Z44:Z46)</f>
        <v>-32748.716793559997</v>
      </c>
      <c r="AA47" s="10">
        <f t="shared" ref="AA47" si="192">SUM(AA44:AA46)</f>
        <v>-33303.600028549998</v>
      </c>
      <c r="AB47" s="10">
        <f t="shared" ref="AB47" si="193">SUM(AB44:AB46)</f>
        <v>-32832.920614310002</v>
      </c>
      <c r="AC47" s="10">
        <f t="shared" ref="AC47" si="194">SUM(AC44:AC46)</f>
        <v>-29227.918693000007</v>
      </c>
      <c r="AD47" s="10">
        <f t="shared" ref="AD47" si="195">SUM(AD44:AD46)</f>
        <v>-31938.276758709999</v>
      </c>
      <c r="AE47" s="10">
        <f t="shared" ref="AE47" si="196">SUM(AE44:AE46)</f>
        <v>-30409.862080160005</v>
      </c>
      <c r="AF47" s="10">
        <f t="shared" ref="AF47" si="197">SUM(AF44:AF46)</f>
        <v>-31222.951064000001</v>
      </c>
      <c r="AG47" s="10">
        <f t="shared" ref="AG47" si="198">SUM(AG44:AG46)</f>
        <v>-29957.394991559999</v>
      </c>
      <c r="AH47" s="10">
        <f t="shared" ref="AH47" si="199">SUM(AH44:AH46)</f>
        <v>-30623.214489820002</v>
      </c>
      <c r="AI47" s="10">
        <f t="shared" ref="AI47" si="200">SUM(AI44:AI46)</f>
        <v>-30325.9376424</v>
      </c>
      <c r="AJ47" s="10">
        <f t="shared" ref="AJ47" si="201">SUM(AJ44:AJ46)</f>
        <v>-29082.048063540002</v>
      </c>
      <c r="AK47" s="10">
        <f t="shared" ref="AK47" si="202">SUM(AK44:AK46)</f>
        <v>-29833.633108399998</v>
      </c>
      <c r="AL47" s="10">
        <f t="shared" ref="AL47" si="203">SUM(AL44:AL46)</f>
        <v>-28381.702878419997</v>
      </c>
      <c r="AM47" s="10">
        <f t="shared" ref="AM47" si="204">SUM(AM44:AM46)</f>
        <v>-28745.833047779994</v>
      </c>
      <c r="AN47" s="10">
        <f t="shared" ref="AN47" si="205">SUM(AN44:AN46)</f>
        <v>-28302.30872986</v>
      </c>
      <c r="AO47" s="10">
        <f t="shared" ref="AO47" si="206">SUM(AO44:AO46)</f>
        <v>-25120.948764910005</v>
      </c>
      <c r="AP47" s="10">
        <f t="shared" ref="AP47" si="207">SUM(AP44:AP46)</f>
        <v>-27472.585112000001</v>
      </c>
      <c r="AQ47" s="10">
        <f t="shared" ref="AQ47" si="208">SUM(AQ44:AQ46)</f>
        <v>-26439.613792730001</v>
      </c>
      <c r="AR47" s="10">
        <f t="shared" ref="AR47" si="209">SUM(AR44:AR46)</f>
        <v>-27286.325623624893</v>
      </c>
      <c r="AS47" s="10">
        <f t="shared" ref="AS47" si="210">SUM(AS44:AS46)</f>
        <v>-26320.332296249999</v>
      </c>
      <c r="AT47" s="10">
        <f t="shared" ref="AT47" si="211">SUM(AT44:AT46)</f>
        <v>0</v>
      </c>
      <c r="AU47" s="10">
        <f t="shared" ref="AU47" si="212">SUM(AU44:AU46)</f>
        <v>0</v>
      </c>
      <c r="AV47" s="10">
        <f t="shared" ref="AV47" si="213">SUM(AV44:AV46)</f>
        <v>0</v>
      </c>
      <c r="AW47" s="10">
        <f t="shared" ref="AW47" si="214">SUM(AW44:AW46)</f>
        <v>0</v>
      </c>
      <c r="AX47" s="10">
        <f t="shared" ref="AX47" si="215">SUM(AX44:AX46)</f>
        <v>0</v>
      </c>
      <c r="AY47" s="10">
        <f t="shared" ref="AY47" si="216">SUM(AY44:AY46)</f>
        <v>0</v>
      </c>
      <c r="AZ47" s="10">
        <f t="shared" ref="AZ47" si="217">SUM(AZ44:AZ46)</f>
        <v>-29213.938396070182</v>
      </c>
      <c r="BA47" s="10">
        <f t="shared" ref="BA47" si="218">SUM(BA44:BA46)</f>
        <v>-26215.030086366136</v>
      </c>
      <c r="BB47" s="10">
        <f t="shared" ref="BB47" si="219">SUM(BB44:BB46)</f>
        <v>-28907.315666791605</v>
      </c>
      <c r="BC47" s="10">
        <f t="shared" ref="BC47" si="220">SUM(BC44:BC46)</f>
        <v>-27838.300982173601</v>
      </c>
      <c r="BD47" s="10">
        <f t="shared" ref="BD47" si="221">SUM(BD44:BD46)</f>
        <v>-28641.216947749377</v>
      </c>
      <c r="BE47" s="10">
        <f t="shared" ref="BE47" si="222">SUM(BE44:BE46)</f>
        <v>-27618.962579336567</v>
      </c>
      <c r="BF47" s="10">
        <f t="shared" ref="BF47" si="223">SUM(BF44:BF46)</f>
        <v>-28461.837970357672</v>
      </c>
      <c r="BG47" s="10">
        <f t="shared" ref="BG47" si="224">SUM(BG44:BG46)</f>
        <v>-28397.327829114918</v>
      </c>
      <c r="BH47" s="10">
        <f t="shared" ref="BH47" si="225">SUM(BH44:BH46)</f>
        <v>-27454.600810118522</v>
      </c>
      <c r="BI47" s="10">
        <f t="shared" ref="BI47" si="226">SUM(BI44:BI46)</f>
        <v>-28328.771152361303</v>
      </c>
      <c r="BJ47" s="10">
        <f t="shared" ref="BJ47" si="227">SUM(BJ44:BJ46)</f>
        <v>-27376.284956945787</v>
      </c>
      <c r="BK47" s="10">
        <f t="shared" ref="BK47" si="228">SUM(BK44:BK46)</f>
        <v>-28238.836071352587</v>
      </c>
      <c r="BO47" s="23">
        <f>SUM(BO44:BO46)</f>
        <v>-134621.78202312489</v>
      </c>
      <c r="BP47" s="23">
        <f t="shared" ref="BP47:BT47" si="229">SUM(BP44:BP46)</f>
        <v>-140815.80207915092</v>
      </c>
      <c r="BQ47" s="23">
        <f t="shared" si="229"/>
        <v>-107335.45639950002</v>
      </c>
      <c r="BR47" s="23">
        <f t="shared" si="229"/>
        <v>-155631.92921018004</v>
      </c>
      <c r="BS47" s="23">
        <f t="shared" si="229"/>
        <v>-165357.82902370003</v>
      </c>
      <c r="BT47" s="23">
        <f t="shared" si="229"/>
        <v>-128117.8023076</v>
      </c>
    </row>
    <row r="50" spans="1:72" outlineLevel="1" x14ac:dyDescent="0.25">
      <c r="A50" s="11"/>
      <c r="C50" s="2" t="s">
        <v>0</v>
      </c>
      <c r="D50" s="8">
        <f>D38+D44</f>
        <v>21038.503447900002</v>
      </c>
      <c r="E50" s="8">
        <f t="shared" ref="E50:AY50" si="230">E38+E44</f>
        <v>22127.412596159997</v>
      </c>
      <c r="F50" s="8">
        <f t="shared" si="230"/>
        <v>19073.360450309989</v>
      </c>
      <c r="G50" s="8">
        <f t="shared" si="230"/>
        <v>19081.218983469993</v>
      </c>
      <c r="H50" s="8">
        <f t="shared" si="230"/>
        <v>18141.084172430008</v>
      </c>
      <c r="I50" s="8">
        <f t="shared" si="230"/>
        <v>19434.91404412999</v>
      </c>
      <c r="J50" s="8">
        <f t="shared" si="230"/>
        <v>18148.268865960006</v>
      </c>
      <c r="K50" s="8">
        <f t="shared" si="230"/>
        <v>18315.9182487</v>
      </c>
      <c r="L50" s="8">
        <f t="shared" si="230"/>
        <v>19109.351614660001</v>
      </c>
      <c r="M50" s="8">
        <f t="shared" si="230"/>
        <v>17664.547034050007</v>
      </c>
      <c r="N50" s="8">
        <f t="shared" si="230"/>
        <v>18627.326908859999</v>
      </c>
      <c r="O50" s="8">
        <f t="shared" si="230"/>
        <v>17686.414764529989</v>
      </c>
      <c r="P50" s="8">
        <f t="shared" si="230"/>
        <v>17562.686238510018</v>
      </c>
      <c r="Q50" s="8">
        <f t="shared" si="230"/>
        <v>21109.711649070003</v>
      </c>
      <c r="R50" s="8">
        <f t="shared" si="230"/>
        <v>17809.097888690012</v>
      </c>
      <c r="S50" s="8">
        <f t="shared" si="230"/>
        <v>18346.96826356999</v>
      </c>
      <c r="T50" s="8">
        <f t="shared" si="230"/>
        <v>18680.795262210013</v>
      </c>
      <c r="U50" s="8">
        <f t="shared" si="230"/>
        <v>20403.865608909997</v>
      </c>
      <c r="V50" s="8">
        <f t="shared" si="230"/>
        <v>19983.059038829982</v>
      </c>
      <c r="W50" s="8">
        <f t="shared" si="230"/>
        <v>20424.66170895</v>
      </c>
      <c r="X50" s="8">
        <f t="shared" si="230"/>
        <v>22105.442657310006</v>
      </c>
      <c r="Y50" s="8">
        <f t="shared" si="230"/>
        <v>21953.468020629996</v>
      </c>
      <c r="Z50" s="8">
        <f t="shared" si="230"/>
        <v>22197.789155630016</v>
      </c>
      <c r="AA50" s="8">
        <f t="shared" si="230"/>
        <v>20563.404858240014</v>
      </c>
      <c r="AB50" s="8">
        <f t="shared" si="230"/>
        <v>20650.619278430007</v>
      </c>
      <c r="AC50" s="8">
        <f t="shared" si="230"/>
        <v>23584.851423059998</v>
      </c>
      <c r="AD50" s="8">
        <f t="shared" si="230"/>
        <v>21265.111775960002</v>
      </c>
      <c r="AE50" s="8">
        <f t="shared" si="230"/>
        <v>22292.681043360004</v>
      </c>
      <c r="AF50" s="8">
        <f t="shared" si="230"/>
        <v>22126.195418089999</v>
      </c>
      <c r="AG50" s="8">
        <f t="shared" si="230"/>
        <v>22880.764430870004</v>
      </c>
      <c r="AH50" s="8">
        <f t="shared" si="230"/>
        <v>22347.938936459988</v>
      </c>
      <c r="AI50" s="8">
        <f t="shared" si="230"/>
        <v>22256.756604709994</v>
      </c>
      <c r="AJ50" s="8">
        <f t="shared" si="230"/>
        <v>23944.055443449994</v>
      </c>
      <c r="AK50" s="8">
        <f t="shared" si="230"/>
        <v>24000.796285860011</v>
      </c>
      <c r="AL50" s="8">
        <f t="shared" si="230"/>
        <v>24122.246141910011</v>
      </c>
      <c r="AM50" s="8">
        <f t="shared" si="230"/>
        <v>23198.871957800005</v>
      </c>
      <c r="AN50" s="8">
        <f t="shared" si="230"/>
        <v>22744.469397569999</v>
      </c>
      <c r="AO50" s="8">
        <f t="shared" si="230"/>
        <v>25092.770790890001</v>
      </c>
      <c r="AP50" s="8">
        <f t="shared" si="230"/>
        <v>22897.322076510001</v>
      </c>
      <c r="AQ50" s="8">
        <f t="shared" si="230"/>
        <v>23806.393588720006</v>
      </c>
      <c r="AR50" s="8">
        <f t="shared" si="230"/>
        <v>23069.963010635111</v>
      </c>
      <c r="AS50" s="8">
        <f t="shared" si="230"/>
        <v>23690.227639150002</v>
      </c>
      <c r="AT50" s="8">
        <f t="shared" si="230"/>
        <v>0</v>
      </c>
      <c r="AU50" s="8">
        <f t="shared" si="230"/>
        <v>0</v>
      </c>
      <c r="AV50" s="8">
        <f t="shared" si="230"/>
        <v>0</v>
      </c>
      <c r="AW50" s="8">
        <f t="shared" si="230"/>
        <v>0</v>
      </c>
      <c r="AX50" s="8">
        <f t="shared" si="230"/>
        <v>0</v>
      </c>
      <c r="AY50" s="8">
        <f t="shared" si="230"/>
        <v>0</v>
      </c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O50" s="24">
        <f>BO38+BO44</f>
        <v>117610.9188643251</v>
      </c>
      <c r="BP50" s="24">
        <f t="shared" ref="BP50:BT50" si="231">BP38+BP44</f>
        <v>125350.91961711727</v>
      </c>
      <c r="BQ50" s="24">
        <f t="shared" si="231"/>
        <v>94540.955853689986</v>
      </c>
      <c r="BR50" s="24">
        <f t="shared" si="231"/>
        <v>109919.4589389</v>
      </c>
      <c r="BS50" s="24">
        <f t="shared" si="231"/>
        <v>93509.259302050021</v>
      </c>
      <c r="BT50" s="24">
        <f t="shared" si="231"/>
        <v>99461.57965027001</v>
      </c>
    </row>
    <row r="51" spans="1:72" outlineLevel="1" x14ac:dyDescent="0.25">
      <c r="A51" s="11"/>
      <c r="C51" s="2" t="s">
        <v>1</v>
      </c>
      <c r="D51" s="8">
        <f t="shared" ref="D51:AZ53" si="232">D39+D45</f>
        <v>133.87723</v>
      </c>
      <c r="E51" s="8">
        <f t="shared" si="232"/>
        <v>135.27845000999997</v>
      </c>
      <c r="F51" s="8">
        <f t="shared" si="232"/>
        <v>109.73780002000004</v>
      </c>
      <c r="G51" s="8">
        <f t="shared" si="232"/>
        <v>116.31480003999999</v>
      </c>
      <c r="H51" s="8">
        <f t="shared" si="232"/>
        <v>91.187170030000004</v>
      </c>
      <c r="I51" s="8">
        <f t="shared" si="232"/>
        <v>100.17832000999996</v>
      </c>
      <c r="J51" s="8">
        <f t="shared" si="232"/>
        <v>135.54024004999999</v>
      </c>
      <c r="K51" s="8">
        <f t="shared" si="232"/>
        <v>114.27519002</v>
      </c>
      <c r="L51" s="8">
        <f t="shared" si="232"/>
        <v>114.87011005000005</v>
      </c>
      <c r="M51" s="8">
        <f t="shared" si="232"/>
        <v>104.24334000999997</v>
      </c>
      <c r="N51" s="8">
        <f t="shared" si="232"/>
        <v>104.69113000999997</v>
      </c>
      <c r="O51" s="8">
        <f t="shared" si="232"/>
        <v>98.740460000000041</v>
      </c>
      <c r="P51" s="8">
        <f t="shared" si="232"/>
        <v>92.037729959999979</v>
      </c>
      <c r="Q51" s="8">
        <f t="shared" si="232"/>
        <v>89.628629979999999</v>
      </c>
      <c r="R51" s="8">
        <f t="shared" si="232"/>
        <v>81.078470059999972</v>
      </c>
      <c r="S51" s="8">
        <f t="shared" si="232"/>
        <v>73.990260039999953</v>
      </c>
      <c r="T51" s="8">
        <f t="shared" si="232"/>
        <v>79.492630050000031</v>
      </c>
      <c r="U51" s="8">
        <f t="shared" si="232"/>
        <v>61.032359980000038</v>
      </c>
      <c r="V51" s="8">
        <f t="shared" si="232"/>
        <v>76.154260039999997</v>
      </c>
      <c r="W51" s="8">
        <f t="shared" si="232"/>
        <v>72.046070020000002</v>
      </c>
      <c r="X51" s="8">
        <f t="shared" si="232"/>
        <v>78.289190009999999</v>
      </c>
      <c r="Y51" s="8">
        <f t="shared" si="232"/>
        <v>73.391089969999996</v>
      </c>
      <c r="Z51" s="8">
        <f t="shared" si="232"/>
        <v>70.441249999999982</v>
      </c>
      <c r="AA51" s="8">
        <f t="shared" si="232"/>
        <v>82.676119989999989</v>
      </c>
      <c r="AB51" s="8">
        <f t="shared" si="232"/>
        <v>84.19033005</v>
      </c>
      <c r="AC51" s="8">
        <f t="shared" si="232"/>
        <v>85.657950019999973</v>
      </c>
      <c r="AD51" s="8">
        <f t="shared" si="232"/>
        <v>82.948879959999999</v>
      </c>
      <c r="AE51" s="8">
        <f t="shared" si="232"/>
        <v>99.475179949999983</v>
      </c>
      <c r="AF51" s="8">
        <f t="shared" si="232"/>
        <v>101.12547995999998</v>
      </c>
      <c r="AG51" s="8">
        <f t="shared" si="232"/>
        <v>102.92047997000003</v>
      </c>
      <c r="AH51" s="8">
        <f t="shared" si="232"/>
        <v>109.02691998</v>
      </c>
      <c r="AI51" s="8">
        <f t="shared" si="232"/>
        <v>123.61582001999994</v>
      </c>
      <c r="AJ51" s="8">
        <f t="shared" si="232"/>
        <v>125.41442997999999</v>
      </c>
      <c r="AK51" s="8">
        <f t="shared" si="232"/>
        <v>118.77648999000002</v>
      </c>
      <c r="AL51" s="8">
        <f t="shared" si="232"/>
        <v>117.71698999999998</v>
      </c>
      <c r="AM51" s="8">
        <f t="shared" si="232"/>
        <v>109.92677003</v>
      </c>
      <c r="AN51" s="8">
        <f t="shared" si="232"/>
        <v>120.47850998999999</v>
      </c>
      <c r="AO51" s="8">
        <f t="shared" si="232"/>
        <v>130.59283000000005</v>
      </c>
      <c r="AP51" s="8">
        <f t="shared" si="232"/>
        <v>97.956120000000027</v>
      </c>
      <c r="AQ51" s="8">
        <f t="shared" si="232"/>
        <v>112.64074999999997</v>
      </c>
      <c r="AR51" s="8">
        <f t="shared" si="232"/>
        <v>97.642080000000021</v>
      </c>
      <c r="AS51" s="8">
        <f t="shared" si="232"/>
        <v>106.60359</v>
      </c>
      <c r="AT51" s="8">
        <f t="shared" si="232"/>
        <v>0</v>
      </c>
      <c r="AU51" s="8">
        <f t="shared" si="232"/>
        <v>0</v>
      </c>
      <c r="AV51" s="8">
        <f t="shared" si="232"/>
        <v>0</v>
      </c>
      <c r="AW51" s="8">
        <f t="shared" si="232"/>
        <v>0</v>
      </c>
      <c r="AX51" s="8">
        <f t="shared" si="232"/>
        <v>0</v>
      </c>
      <c r="AY51" s="8">
        <f t="shared" si="232"/>
        <v>0</v>
      </c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O51" s="24">
        <f t="shared" ref="BO51:BT52" si="233">BO39+BO45</f>
        <v>559.31028999000023</v>
      </c>
      <c r="BP51" s="24">
        <f t="shared" si="233"/>
        <v>654.21825441542774</v>
      </c>
      <c r="BQ51" s="24">
        <f t="shared" si="233"/>
        <v>461.66820999000015</v>
      </c>
      <c r="BR51" s="24">
        <f t="shared" si="233"/>
        <v>453.39781993999998</v>
      </c>
      <c r="BS51" s="24">
        <f t="shared" si="233"/>
        <v>416.22772008999982</v>
      </c>
      <c r="BT51" s="24">
        <f t="shared" si="233"/>
        <v>586.39545010000029</v>
      </c>
    </row>
    <row r="52" spans="1:72" outlineLevel="1" x14ac:dyDescent="0.25">
      <c r="A52" s="11"/>
      <c r="C52" s="2" t="s">
        <v>45</v>
      </c>
      <c r="D52" s="8">
        <f t="shared" si="232"/>
        <v>37.65244002</v>
      </c>
      <c r="E52" s="8">
        <f t="shared" si="232"/>
        <v>129.89009003999993</v>
      </c>
      <c r="F52" s="8">
        <f t="shared" si="232"/>
        <v>-24.070369950000043</v>
      </c>
      <c r="G52" s="8">
        <f t="shared" si="232"/>
        <v>32.609919980000029</v>
      </c>
      <c r="H52" s="8">
        <f t="shared" si="232"/>
        <v>21.332440069999961</v>
      </c>
      <c r="I52" s="8">
        <f t="shared" si="232"/>
        <v>38.687430040000038</v>
      </c>
      <c r="J52" s="8">
        <f t="shared" si="232"/>
        <v>-60.794460009999938</v>
      </c>
      <c r="K52" s="8">
        <f t="shared" si="232"/>
        <v>-158.35358001</v>
      </c>
      <c r="L52" s="8">
        <f t="shared" si="232"/>
        <v>-134.76857999000001</v>
      </c>
      <c r="M52" s="8">
        <f t="shared" si="232"/>
        <v>-133.34594996999999</v>
      </c>
      <c r="N52" s="8">
        <f t="shared" si="232"/>
        <v>-202.30818002000001</v>
      </c>
      <c r="O52" s="8">
        <f t="shared" si="232"/>
        <v>-206.10422001000001</v>
      </c>
      <c r="P52" s="8">
        <f t="shared" si="232"/>
        <v>-205.20867999000001</v>
      </c>
      <c r="Q52" s="8">
        <f t="shared" si="232"/>
        <v>-157.35379000999998</v>
      </c>
      <c r="R52" s="8">
        <f t="shared" si="232"/>
        <v>-229.27517998999997</v>
      </c>
      <c r="S52" s="8">
        <f t="shared" si="232"/>
        <v>-231.86603997999995</v>
      </c>
      <c r="T52" s="8">
        <f t="shared" si="232"/>
        <v>-191.90869991999995</v>
      </c>
      <c r="U52" s="8">
        <f t="shared" si="232"/>
        <v>-110.87223002999997</v>
      </c>
      <c r="V52" s="8">
        <f t="shared" si="232"/>
        <v>-200.67566998999996</v>
      </c>
      <c r="W52" s="8">
        <f t="shared" si="232"/>
        <v>-281.56126000000012</v>
      </c>
      <c r="X52" s="8">
        <f t="shared" si="232"/>
        <v>-333.82347000999999</v>
      </c>
      <c r="Y52" s="8">
        <f t="shared" si="232"/>
        <v>-364.99931999</v>
      </c>
      <c r="Z52" s="8">
        <f t="shared" si="232"/>
        <v>-319.10226998999997</v>
      </c>
      <c r="AA52" s="8">
        <f t="shared" si="232"/>
        <v>-338.81291999000007</v>
      </c>
      <c r="AB52" s="8">
        <f t="shared" si="232"/>
        <v>-386.40959998999995</v>
      </c>
      <c r="AC52" s="8">
        <f t="shared" si="232"/>
        <v>-263.34374998000004</v>
      </c>
      <c r="AD52" s="8">
        <f t="shared" si="232"/>
        <v>-324.30723996999996</v>
      </c>
      <c r="AE52" s="8">
        <f t="shared" si="232"/>
        <v>-359.43554999000003</v>
      </c>
      <c r="AF52" s="8">
        <f t="shared" si="232"/>
        <v>-308.94907002000002</v>
      </c>
      <c r="AG52" s="8">
        <f t="shared" si="232"/>
        <v>-315.09514000000013</v>
      </c>
      <c r="AH52" s="8">
        <f t="shared" si="232"/>
        <v>-361.33203000999998</v>
      </c>
      <c r="AI52" s="8">
        <f t="shared" si="232"/>
        <v>-340.38920000999997</v>
      </c>
      <c r="AJ52" s="8">
        <f t="shared" si="232"/>
        <v>-258.30664000000002</v>
      </c>
      <c r="AK52" s="8">
        <f t="shared" si="232"/>
        <v>-820.82890996000003</v>
      </c>
      <c r="AL52" s="8">
        <f t="shared" si="232"/>
        <v>-411.64954995999983</v>
      </c>
      <c r="AM52" s="8">
        <f t="shared" si="232"/>
        <v>-411.79068002000008</v>
      </c>
      <c r="AN52" s="8">
        <f t="shared" si="232"/>
        <v>-366.89440999000004</v>
      </c>
      <c r="AO52" s="8">
        <f t="shared" si="232"/>
        <v>-284.12378000000012</v>
      </c>
      <c r="AP52" s="8">
        <f t="shared" si="232"/>
        <v>-254.80664999999993</v>
      </c>
      <c r="AQ52" s="8">
        <f t="shared" si="232"/>
        <v>-319.73433001000012</v>
      </c>
      <c r="AR52" s="8">
        <f t="shared" si="232"/>
        <v>-329.50831002000018</v>
      </c>
      <c r="AS52" s="8">
        <f t="shared" si="232"/>
        <v>-225.72391999000001</v>
      </c>
      <c r="AT52" s="8">
        <f t="shared" si="232"/>
        <v>0</v>
      </c>
      <c r="AU52" s="8">
        <f t="shared" si="232"/>
        <v>0</v>
      </c>
      <c r="AV52" s="8">
        <f t="shared" si="232"/>
        <v>0</v>
      </c>
      <c r="AW52" s="8">
        <f t="shared" si="232"/>
        <v>0</v>
      </c>
      <c r="AX52" s="8">
        <f t="shared" si="232"/>
        <v>0</v>
      </c>
      <c r="AY52" s="8">
        <f t="shared" si="232"/>
        <v>0</v>
      </c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O52" s="24">
        <f t="shared" si="233"/>
        <v>-1555.0674800199999</v>
      </c>
      <c r="BP52" s="24">
        <f t="shared" si="233"/>
        <v>-1194.7084478752781</v>
      </c>
      <c r="BQ52" s="24">
        <f t="shared" si="233"/>
        <v>-1225.5591699999998</v>
      </c>
      <c r="BR52" s="24">
        <f t="shared" si="233"/>
        <v>-1642.4452099500004</v>
      </c>
      <c r="BS52" s="24">
        <f t="shared" si="233"/>
        <v>-1015.6123898899998</v>
      </c>
      <c r="BT52" s="24">
        <f t="shared" si="233"/>
        <v>197.41452015999994</v>
      </c>
    </row>
    <row r="53" spans="1:72" x14ac:dyDescent="0.25">
      <c r="C53" s="3" t="s">
        <v>66</v>
      </c>
      <c r="D53" s="10">
        <f t="shared" si="232"/>
        <v>21210.033117920004</v>
      </c>
      <c r="E53" s="10">
        <f t="shared" si="232"/>
        <v>22392.581136209992</v>
      </c>
      <c r="F53" s="10">
        <f t="shared" si="232"/>
        <v>19159.027880379992</v>
      </c>
      <c r="G53" s="10">
        <f t="shared" si="232"/>
        <v>19230.143703489997</v>
      </c>
      <c r="H53" s="10">
        <f t="shared" si="232"/>
        <v>18253.603782530008</v>
      </c>
      <c r="I53" s="10">
        <f t="shared" si="232"/>
        <v>19573.779794179994</v>
      </c>
      <c r="J53" s="10">
        <f t="shared" si="232"/>
        <v>18223.014646000003</v>
      </c>
      <c r="K53" s="10">
        <f t="shared" si="232"/>
        <v>18271.839858710006</v>
      </c>
      <c r="L53" s="10">
        <f t="shared" si="232"/>
        <v>19089.453144719999</v>
      </c>
      <c r="M53" s="10">
        <f t="shared" si="232"/>
        <v>17635.444424090012</v>
      </c>
      <c r="N53" s="10">
        <f t="shared" si="232"/>
        <v>18529.709858849998</v>
      </c>
      <c r="O53" s="10">
        <f t="shared" si="232"/>
        <v>17579.051004519992</v>
      </c>
      <c r="P53" s="10">
        <f t="shared" si="232"/>
        <v>17449.515288480019</v>
      </c>
      <c r="Q53" s="10">
        <f t="shared" si="232"/>
        <v>21041.986489040006</v>
      </c>
      <c r="R53" s="10">
        <f t="shared" si="232"/>
        <v>17660.90117876001</v>
      </c>
      <c r="S53" s="10">
        <f t="shared" si="232"/>
        <v>18189.092483629996</v>
      </c>
      <c r="T53" s="10">
        <f t="shared" si="232"/>
        <v>18568.37919234002</v>
      </c>
      <c r="U53" s="10">
        <f t="shared" si="232"/>
        <v>20354.02573886</v>
      </c>
      <c r="V53" s="10">
        <f t="shared" si="232"/>
        <v>19858.537628879989</v>
      </c>
      <c r="W53" s="10">
        <f t="shared" si="232"/>
        <v>20215.146518969996</v>
      </c>
      <c r="X53" s="10">
        <f t="shared" si="232"/>
        <v>21849.908377310006</v>
      </c>
      <c r="Y53" s="10">
        <f t="shared" si="232"/>
        <v>21661.859790609997</v>
      </c>
      <c r="Z53" s="10">
        <f t="shared" si="232"/>
        <v>21949.12813564001</v>
      </c>
      <c r="AA53" s="10">
        <f t="shared" si="232"/>
        <v>20307.268058240021</v>
      </c>
      <c r="AB53" s="10">
        <f t="shared" si="232"/>
        <v>20348.400008490004</v>
      </c>
      <c r="AC53" s="10">
        <f t="shared" si="232"/>
        <v>23407.165623100002</v>
      </c>
      <c r="AD53" s="10">
        <f t="shared" si="232"/>
        <v>21023.753415949996</v>
      </c>
      <c r="AE53" s="10">
        <f t="shared" si="232"/>
        <v>22032.720673320007</v>
      </c>
      <c r="AF53" s="10">
        <f t="shared" si="232"/>
        <v>21918.371828030002</v>
      </c>
      <c r="AG53" s="10">
        <f t="shared" si="232"/>
        <v>22668.589770840004</v>
      </c>
      <c r="AH53" s="10">
        <f t="shared" si="232"/>
        <v>22095.633826429988</v>
      </c>
      <c r="AI53" s="10">
        <f t="shared" si="232"/>
        <v>22039.983224719996</v>
      </c>
      <c r="AJ53" s="10">
        <f t="shared" si="232"/>
        <v>23811.163233429994</v>
      </c>
      <c r="AK53" s="10">
        <f t="shared" si="232"/>
        <v>23298.743865890014</v>
      </c>
      <c r="AL53" s="10">
        <f t="shared" si="232"/>
        <v>23828.313581950006</v>
      </c>
      <c r="AM53" s="10">
        <f t="shared" si="232"/>
        <v>22897.00804781001</v>
      </c>
      <c r="AN53" s="10">
        <f t="shared" si="232"/>
        <v>22498.053497569999</v>
      </c>
      <c r="AO53" s="10">
        <f t="shared" si="232"/>
        <v>24939.239840890004</v>
      </c>
      <c r="AP53" s="10">
        <f t="shared" si="232"/>
        <v>22740.471546510002</v>
      </c>
      <c r="AQ53" s="10">
        <f t="shared" si="232"/>
        <v>23599.300008710001</v>
      </c>
      <c r="AR53" s="10">
        <f t="shared" si="232"/>
        <v>22838.096780615109</v>
      </c>
      <c r="AS53" s="10">
        <f t="shared" si="232"/>
        <v>23571.107309160001</v>
      </c>
      <c r="AT53" s="10">
        <f t="shared" si="232"/>
        <v>0</v>
      </c>
      <c r="AU53" s="10">
        <f t="shared" si="232"/>
        <v>0</v>
      </c>
      <c r="AV53" s="10">
        <f t="shared" si="232"/>
        <v>0</v>
      </c>
      <c r="AW53" s="10">
        <f t="shared" si="232"/>
        <v>0</v>
      </c>
      <c r="AX53" s="10">
        <f t="shared" si="232"/>
        <v>0</v>
      </c>
      <c r="AY53" s="10">
        <f t="shared" si="232"/>
        <v>0</v>
      </c>
      <c r="AZ53" s="10">
        <f t="shared" si="232"/>
        <v>23645.291240016602</v>
      </c>
      <c r="BA53" s="10">
        <f t="shared" ref="BA53:BK53" si="234">BA41+BA47</f>
        <v>27104.410870446369</v>
      </c>
      <c r="BB53" s="10">
        <f t="shared" si="234"/>
        <v>23989.974766723557</v>
      </c>
      <c r="BC53" s="10">
        <f t="shared" si="234"/>
        <v>25458.763342792201</v>
      </c>
      <c r="BD53" s="10">
        <f t="shared" si="234"/>
        <v>24611.98920367871</v>
      </c>
      <c r="BE53" s="10">
        <f t="shared" si="234"/>
        <v>25869.824777122736</v>
      </c>
      <c r="BF53" s="10">
        <f t="shared" si="234"/>
        <v>25405.821529608511</v>
      </c>
      <c r="BG53" s="10">
        <f t="shared" si="234"/>
        <v>25708.079864740175</v>
      </c>
      <c r="BH53" s="10">
        <f t="shared" si="234"/>
        <v>26862.748304358545</v>
      </c>
      <c r="BI53" s="10">
        <f t="shared" si="234"/>
        <v>26526.356006676499</v>
      </c>
      <c r="BJ53" s="10">
        <f t="shared" si="234"/>
        <v>27334.013140159925</v>
      </c>
      <c r="BK53" s="10">
        <f t="shared" si="234"/>
        <v>26927.934929517691</v>
      </c>
      <c r="BO53" s="23">
        <f t="shared" ref="BO53:BT53" si="235">SUM(BO50:BO52)</f>
        <v>116615.16167429509</v>
      </c>
      <c r="BP53" s="23">
        <f t="shared" si="235"/>
        <v>124810.42942365742</v>
      </c>
      <c r="BQ53" s="23">
        <f t="shared" si="235"/>
        <v>93777.064893679999</v>
      </c>
      <c r="BR53" s="23">
        <f t="shared" si="235"/>
        <v>108730.41154889</v>
      </c>
      <c r="BS53" s="23">
        <f t="shared" si="235"/>
        <v>92909.874632250023</v>
      </c>
      <c r="BT53" s="23">
        <f t="shared" si="235"/>
        <v>100245.38962053001</v>
      </c>
    </row>
    <row r="54" spans="1:72" x14ac:dyDescent="0.25"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O54" s="18"/>
      <c r="BP54" s="18"/>
      <c r="BQ54" s="18"/>
      <c r="BR54" s="18"/>
      <c r="BS54" s="18"/>
      <c r="BT54" s="18"/>
    </row>
    <row r="55" spans="1:72" x14ac:dyDescent="0.25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O55" s="18"/>
      <c r="BP55" s="18"/>
      <c r="BQ55" s="18"/>
      <c r="BR55" s="18"/>
      <c r="BS55" s="18"/>
      <c r="BT55" s="18"/>
    </row>
    <row r="56" spans="1:72" outlineLevel="1" x14ac:dyDescent="0.25">
      <c r="A56" s="11" t="s">
        <v>64</v>
      </c>
      <c r="C56" s="2" t="s">
        <v>67</v>
      </c>
      <c r="D56" s="8">
        <f>Renta_Alta!D56+Masivo!D56+Consumo_Inicial!D56</f>
        <v>-11269.00834949927</v>
      </c>
      <c r="E56" s="8">
        <f>Renta_Alta!E56+Masivo!E56+Consumo_Inicial!E56</f>
        <v>-3540.0484209041974</v>
      </c>
      <c r="F56" s="8">
        <f>Renta_Alta!F56+Masivo!F56+Consumo_Inicial!F56</f>
        <v>-8011.0594259009367</v>
      </c>
      <c r="G56" s="8">
        <f>Renta_Alta!G56+Masivo!G56+Consumo_Inicial!G56</f>
        <v>-7677.8116555177257</v>
      </c>
      <c r="H56" s="8">
        <f>Renta_Alta!H56+Masivo!H56+Consumo_Inicial!H56</f>
        <v>-8448.1942709969153</v>
      </c>
      <c r="I56" s="8">
        <f>Renta_Alta!I56+Masivo!I56+Consumo_Inicial!I56</f>
        <v>-7993.2419448989876</v>
      </c>
      <c r="J56" s="8">
        <f>Renta_Alta!J56+Masivo!J56+Consumo_Inicial!J56</f>
        <v>-7775.7260068237965</v>
      </c>
      <c r="K56" s="8">
        <f>Renta_Alta!K56+Masivo!K56+Consumo_Inicial!K56</f>
        <v>-12181.989134454929</v>
      </c>
      <c r="L56" s="8">
        <f>Renta_Alta!L56+Masivo!L56+Consumo_Inicial!L56</f>
        <v>-7595.0388442496514</v>
      </c>
      <c r="M56" s="8">
        <f>Renta_Alta!M56+Masivo!M56+Consumo_Inicial!M56</f>
        <v>-15274.745948873448</v>
      </c>
      <c r="N56" s="8">
        <f>Renta_Alta!N56+Masivo!N56+Consumo_Inicial!N56</f>
        <v>-9692.4190033273244</v>
      </c>
      <c r="O56" s="8">
        <f>Renta_Alta!O56+Masivo!O56+Consumo_Inicial!O56</f>
        <v>-9809.5412713556307</v>
      </c>
      <c r="P56" s="8">
        <f>Renta_Alta!P56+Masivo!P56+Consumo_Inicial!P56</f>
        <v>-14526.371567798613</v>
      </c>
      <c r="Q56" s="8">
        <f>Renta_Alta!Q56+Masivo!Q56+Consumo_Inicial!Q56</f>
        <v>-9179.0903623131617</v>
      </c>
      <c r="R56" s="8">
        <f>Renta_Alta!R56+Masivo!R56+Consumo_Inicial!R56</f>
        <v>-10909.97373703429</v>
      </c>
      <c r="S56" s="8">
        <f>Renta_Alta!S56+Masivo!S56+Consumo_Inicial!S56</f>
        <v>-12233.667873575012</v>
      </c>
      <c r="T56" s="8">
        <f>Renta_Alta!T56+Masivo!T56+Consumo_Inicial!T56</f>
        <v>-9856.1384315685918</v>
      </c>
      <c r="U56" s="8">
        <f>Renta_Alta!U56+Masivo!U56+Consumo_Inicial!U56</f>
        <v>-11246.033706347249</v>
      </c>
      <c r="V56" s="8">
        <f>Renta_Alta!V56+Masivo!V56+Consumo_Inicial!V56</f>
        <v>-12026.911436225912</v>
      </c>
      <c r="W56" s="8">
        <f>Renta_Alta!W56+Masivo!W56+Consumo_Inicial!W56</f>
        <v>-11453.337725989579</v>
      </c>
      <c r="X56" s="8">
        <f>Renta_Alta!X56+Masivo!X56+Consumo_Inicial!X56</f>
        <v>-10826.789045927719</v>
      </c>
      <c r="Y56" s="8">
        <f>Renta_Alta!Y56+Masivo!Y56+Consumo_Inicial!Y56</f>
        <v>-14736.440136954001</v>
      </c>
      <c r="Z56" s="8">
        <f>Renta_Alta!Z56+Masivo!Z56+Consumo_Inicial!Z56</f>
        <v>-9703.0354059488272</v>
      </c>
      <c r="AA56" s="8">
        <f>Renta_Alta!AA56+Masivo!AA56+Consumo_Inicial!AA56</f>
        <v>-9724.5559647142272</v>
      </c>
      <c r="AB56" s="8">
        <f>Renta_Alta!AB56+Masivo!AB56+Consumo_Inicial!AB56</f>
        <v>-14610.572190993747</v>
      </c>
      <c r="AC56" s="8">
        <f>Renta_Alta!AC56+Masivo!AC56+Consumo_Inicial!AC56</f>
        <v>-7963.2528331384101</v>
      </c>
      <c r="AD56" s="8">
        <f>Renta_Alta!AD56+Masivo!AD56+Consumo_Inicial!AD56</f>
        <v>-9518.2858305671271</v>
      </c>
      <c r="AE56" s="8">
        <f>Renta_Alta!AE56+Masivo!AE56+Consumo_Inicial!AE56</f>
        <v>-11994.408754581544</v>
      </c>
      <c r="AF56" s="8">
        <f>Renta_Alta!AF56+Masivo!AF56+Consumo_Inicial!AF56</f>
        <v>-11611.597095198445</v>
      </c>
      <c r="AG56" s="8">
        <f>Renta_Alta!AG56+Masivo!AG56+Consumo_Inicial!AG56</f>
        <v>-13213.729598864747</v>
      </c>
      <c r="AH56" s="8">
        <f>Renta_Alta!AH56+Masivo!AH56+Consumo_Inicial!AH56</f>
        <v>-12599.756436168462</v>
      </c>
      <c r="AI56" s="8">
        <f>Renta_Alta!AI56+Masivo!AI56+Consumo_Inicial!AI56</f>
        <v>-14152.485333917835</v>
      </c>
      <c r="AJ56" s="8">
        <f>Renta_Alta!AJ56+Masivo!AJ56+Consumo_Inicial!AJ56</f>
        <v>-13822.84438888264</v>
      </c>
      <c r="AK56" s="8">
        <f>Renta_Alta!AK56+Masivo!AK56+Consumo_Inicial!AK56</f>
        <v>-17983.673164048985</v>
      </c>
      <c r="AL56" s="8">
        <f>Renta_Alta!AL56+Masivo!AL56+Consumo_Inicial!AL56</f>
        <v>-11873.314146038534</v>
      </c>
      <c r="AM56" s="8">
        <f>Renta_Alta!AM56+Masivo!AM56+Consumo_Inicial!AM56</f>
        <v>-13367.269361887202</v>
      </c>
      <c r="AN56" s="8">
        <f>Renta_Alta!AN56+Masivo!AN56+Consumo_Inicial!AN56</f>
        <v>-11740.586442441754</v>
      </c>
      <c r="AO56" s="8">
        <f>Renta_Alta!AO56+Masivo!AO56+Consumo_Inicial!AO56</f>
        <v>-11958.874190515162</v>
      </c>
      <c r="AP56" s="8">
        <f>Renta_Alta!AP56+Masivo!AP56+Consumo_Inicial!AP56</f>
        <v>-11593.220036033272</v>
      </c>
      <c r="AQ56" s="8">
        <f>Renta_Alta!AQ56+Masivo!AQ56+Consumo_Inicial!AQ56</f>
        <v>-13060.035843702297</v>
      </c>
      <c r="AR56" s="8">
        <f>Renta_Alta!AR56+Masivo!AR56+Consumo_Inicial!AR56</f>
        <v>-12270.8948099998</v>
      </c>
      <c r="AS56" s="8">
        <f>Renta_Alta!AS56+Masivo!AS56+Consumo_Inicial!AS56</f>
        <v>-13469.9854499997</v>
      </c>
      <c r="AT56" s="8">
        <f>Renta_Alta!AT56+Masivo!AT56+Consumo_Inicial!AT56</f>
        <v>0</v>
      </c>
      <c r="AU56" s="8">
        <f>Renta_Alta!AU56+Masivo!AU56+Consumo_Inicial!AU56</f>
        <v>0</v>
      </c>
      <c r="AV56" s="8">
        <f>Renta_Alta!AV56+Masivo!AV56+Consumo_Inicial!AV56</f>
        <v>0</v>
      </c>
      <c r="AW56" s="8">
        <f>Renta_Alta!AW56+Masivo!AW56+Consumo_Inicial!AW56</f>
        <v>0</v>
      </c>
      <c r="AX56" s="8">
        <f>Renta_Alta!AX56+Masivo!AX56+Consumo_Inicial!AX56</f>
        <v>0</v>
      </c>
      <c r="AY56" s="8">
        <f>Renta_Alta!AY56+Masivo!AY56+Consumo_Inicial!AY56</f>
        <v>0</v>
      </c>
      <c r="AZ56" s="8">
        <f>Renta_Alta!AZ56+Masivo!AZ56+Consumo_Inicial!AZ56</f>
        <v>-13220.144247296437</v>
      </c>
      <c r="BA56" s="8">
        <f>Renta_Alta!BA56+Masivo!BA56+Consumo_Inicial!BA56</f>
        <v>-12793.761228243075</v>
      </c>
      <c r="BB56" s="8">
        <f>Renta_Alta!BB56+Masivo!BB56+Consumo_Inicial!BB56</f>
        <v>-13326.262263740797</v>
      </c>
      <c r="BC56" s="8">
        <f>Renta_Alta!BC56+Masivo!BC56+Consumo_Inicial!BC56</f>
        <v>-12288.36399858613</v>
      </c>
      <c r="BD56" s="8">
        <f>Renta_Alta!BD56+Masivo!BD56+Consumo_Inicial!BD56</f>
        <v>-11961.36947779949</v>
      </c>
      <c r="BE56" s="8">
        <f>Renta_Alta!BE56+Masivo!BE56+Consumo_Inicial!BE56</f>
        <v>-12304.890297727674</v>
      </c>
      <c r="BF56" s="8">
        <f>Renta_Alta!BF56+Masivo!BF56+Consumo_Inicial!BF56</f>
        <v>-12221.9928599302</v>
      </c>
      <c r="BG56" s="8">
        <f>Renta_Alta!BG56+Masivo!BG56+Consumo_Inicial!BG56</f>
        <v>-15307.655524935013</v>
      </c>
      <c r="BH56" s="8">
        <f>Renta_Alta!BH56+Masivo!BH56+Consumo_Inicial!BH56</f>
        <v>-10875.117018417115</v>
      </c>
      <c r="BI56" s="8">
        <f>Renta_Alta!BI56+Masivo!BI56+Consumo_Inicial!BI56</f>
        <v>-11719.551159379245</v>
      </c>
      <c r="BJ56" s="8">
        <f>Renta_Alta!BJ56+Masivo!BJ56+Consumo_Inicial!BJ56</f>
        <v>-11896.012744827893</v>
      </c>
      <c r="BK56" s="8">
        <f>Renta_Alta!BK56+Masivo!BK56+Consumo_Inicial!BK56</f>
        <v>-11288.017567587882</v>
      </c>
      <c r="BO56" s="24">
        <f t="shared" ref="BO56:BT57" si="236">SUMIFS($D56:$BM56,$D$6:$BM$6,"&gt;="&amp;BO$2,$D$6:$BM$6,"&lt;="&amp;BO$6,$D$5:$BM$5,BO$5)</f>
        <v>-60623.611322692283</v>
      </c>
      <c r="BP56" s="24">
        <f t="shared" si="236"/>
        <v>-63589.90121566593</v>
      </c>
      <c r="BQ56" s="24">
        <f t="shared" si="236"/>
        <v>-48352.716512692481</v>
      </c>
      <c r="BR56" s="24">
        <f t="shared" si="236"/>
        <v>-55698.116704479267</v>
      </c>
      <c r="BS56" s="24">
        <f t="shared" si="236"/>
        <v>-56705.241972289667</v>
      </c>
      <c r="BT56" s="24">
        <f t="shared" si="236"/>
        <v>-38946.122122819041</v>
      </c>
    </row>
    <row r="57" spans="1:72" outlineLevel="1" x14ac:dyDescent="0.25">
      <c r="A57" s="11" t="s">
        <v>65</v>
      </c>
      <c r="C57" s="2" t="s">
        <v>69</v>
      </c>
      <c r="D57" s="8">
        <f>Renta_Alta!D57+Masivo!D57+Consumo_Inicial!D57</f>
        <v>2288.3840500000015</v>
      </c>
      <c r="E57" s="8">
        <f>Renta_Alta!E57+Masivo!E57+Consumo_Inicial!E57</f>
        <v>2448.8151500000035</v>
      </c>
      <c r="F57" s="8">
        <f>Renta_Alta!F57+Masivo!F57+Consumo_Inicial!F57</f>
        <v>2390.3711100000023</v>
      </c>
      <c r="G57" s="8">
        <f>Renta_Alta!G57+Masivo!G57+Consumo_Inicial!G57</f>
        <v>2915.2478200000005</v>
      </c>
      <c r="H57" s="8">
        <f>Renta_Alta!H57+Masivo!H57+Consumo_Inicial!H57</f>
        <v>3445.8707300000069</v>
      </c>
      <c r="I57" s="8">
        <f>Renta_Alta!I57+Masivo!I57+Consumo_Inicial!I57</f>
        <v>3111.4928200000018</v>
      </c>
      <c r="J57" s="8">
        <f>Renta_Alta!J57+Masivo!J57+Consumo_Inicial!J57</f>
        <v>2778.7596100000046</v>
      </c>
      <c r="K57" s="8">
        <f>Renta_Alta!K57+Masivo!K57+Consumo_Inicial!K57</f>
        <v>4065.234190000001</v>
      </c>
      <c r="L57" s="8">
        <f>Renta_Alta!L57+Masivo!L57+Consumo_Inicial!L57</f>
        <v>2997.5338500000021</v>
      </c>
      <c r="M57" s="8">
        <f>Renta_Alta!M57+Masivo!M57+Consumo_Inicial!M57</f>
        <v>3829.8657600000024</v>
      </c>
      <c r="N57" s="8">
        <f>Renta_Alta!N57+Masivo!N57+Consumo_Inicial!N57</f>
        <v>2977.4853900000035</v>
      </c>
      <c r="O57" s="8">
        <f>Renta_Alta!O57+Masivo!O57+Consumo_Inicial!O57</f>
        <v>2888.3651500000014</v>
      </c>
      <c r="P57" s="8">
        <f>Renta_Alta!P57+Masivo!P57+Consumo_Inicial!P57</f>
        <v>3185.8451700000001</v>
      </c>
      <c r="Q57" s="8">
        <f>Renta_Alta!Q57+Masivo!Q57+Consumo_Inicial!Q57</f>
        <v>3068.2321900000002</v>
      </c>
      <c r="R57" s="8">
        <f>Renta_Alta!R57+Masivo!R57+Consumo_Inicial!R57</f>
        <v>2414.40283</v>
      </c>
      <c r="S57" s="8">
        <f>Renta_Alta!S57+Masivo!S57+Consumo_Inicial!S57</f>
        <v>2212.7977700000001</v>
      </c>
      <c r="T57" s="8">
        <f>Renta_Alta!T57+Masivo!T57+Consumo_Inicial!T57</f>
        <v>2500.0294899999994</v>
      </c>
      <c r="U57" s="8">
        <f>Renta_Alta!U57+Masivo!U57+Consumo_Inicial!U57</f>
        <v>2172.7789499999999</v>
      </c>
      <c r="V57" s="8">
        <f>Renta_Alta!V57+Masivo!V57+Consumo_Inicial!V57</f>
        <v>2728.3759900000041</v>
      </c>
      <c r="W57" s="8">
        <f>Renta_Alta!W57+Masivo!W57+Consumo_Inicial!W57</f>
        <v>2686.0415800000005</v>
      </c>
      <c r="X57" s="8">
        <f>Renta_Alta!X57+Masivo!X57+Consumo_Inicial!X57</f>
        <v>2097.5857799999999</v>
      </c>
      <c r="Y57" s="8">
        <f>Renta_Alta!Y57+Masivo!Y57+Consumo_Inicial!Y57</f>
        <v>2122.5270217611692</v>
      </c>
      <c r="Z57" s="8">
        <f>Renta_Alta!Z57+Masivo!Z57+Consumo_Inicial!Z57</f>
        <v>2734.3625500000003</v>
      </c>
      <c r="AA57" s="8">
        <f>Renta_Alta!AA57+Masivo!AA57+Consumo_Inicial!AA57</f>
        <v>2163.3456200000001</v>
      </c>
      <c r="AB57" s="8">
        <f>Renta_Alta!AB57+Masivo!AB57+Consumo_Inicial!AB57</f>
        <v>2735.8434600000001</v>
      </c>
      <c r="AC57" s="8">
        <f>Renta_Alta!AC57+Masivo!AC57+Consumo_Inicial!AC57</f>
        <v>2213.5000399999999</v>
      </c>
      <c r="AD57" s="8">
        <f>Renta_Alta!AD57+Masivo!AD57+Consumo_Inicial!AD57</f>
        <v>3204.8303699999997</v>
      </c>
      <c r="AE57" s="8">
        <f>Renta_Alta!AE57+Masivo!AE57+Consumo_Inicial!AE57</f>
        <v>2130.6102000000001</v>
      </c>
      <c r="AF57" s="8">
        <f>Renta_Alta!AF57+Masivo!AF57+Consumo_Inicial!AF57</f>
        <v>2498.6106699999996</v>
      </c>
      <c r="AG57" s="8">
        <f>Renta_Alta!AG57+Masivo!AG57+Consumo_Inicial!AG57</f>
        <v>2277.1298599999996</v>
      </c>
      <c r="AH57" s="8">
        <f>Renta_Alta!AH57+Masivo!AH57+Consumo_Inicial!AH57</f>
        <v>2153.8684800000001</v>
      </c>
      <c r="AI57" s="8">
        <f>Renta_Alta!AI57+Masivo!AI57+Consumo_Inicial!AI57</f>
        <v>2372.8105299999997</v>
      </c>
      <c r="AJ57" s="8">
        <f>Renta_Alta!AJ57+Masivo!AJ57+Consumo_Inicial!AJ57</f>
        <v>3216.8244500000001</v>
      </c>
      <c r="AK57" s="8">
        <f>Renta_Alta!AK57+Masivo!AK57+Consumo_Inicial!AK57</f>
        <v>2626.1945700000001</v>
      </c>
      <c r="AL57" s="8">
        <f>Renta_Alta!AL57+Masivo!AL57+Consumo_Inicial!AL57</f>
        <v>2130.0567999999903</v>
      </c>
      <c r="AM57" s="8">
        <f>Renta_Alta!AM57+Masivo!AM57+Consumo_Inicial!AM57</f>
        <v>1918.6543799999872</v>
      </c>
      <c r="AN57" s="8">
        <f>Renta_Alta!AN57+Masivo!AN57+Consumo_Inicial!AN57</f>
        <v>2452.94083</v>
      </c>
      <c r="AO57" s="8">
        <f>Renta_Alta!AO57+Masivo!AO57+Consumo_Inicial!AO57</f>
        <v>2451.4579600000002</v>
      </c>
      <c r="AP57" s="8">
        <f>Renta_Alta!AP57+Masivo!AP57+Consumo_Inicial!AP57</f>
        <v>2189.85167</v>
      </c>
      <c r="AQ57" s="8">
        <f>Renta_Alta!AQ57+Masivo!AQ57+Consumo_Inicial!AQ57</f>
        <v>2202.9048600000001</v>
      </c>
      <c r="AR57" s="8">
        <f>Renta_Alta!AR57+Masivo!AR57+Consumo_Inicial!AR57</f>
        <v>2058.72939</v>
      </c>
      <c r="AS57" s="8">
        <f>Renta_Alta!AS57+Masivo!AS57+Consumo_Inicial!AS57</f>
        <v>2179.8391699999902</v>
      </c>
      <c r="AT57" s="8">
        <f>Renta_Alta!AT57+Masivo!AT57+Consumo_Inicial!AT57</f>
        <v>0</v>
      </c>
      <c r="AU57" s="8">
        <f>Renta_Alta!AU57+Masivo!AU57+Consumo_Inicial!AU57</f>
        <v>0</v>
      </c>
      <c r="AV57" s="8">
        <f>Renta_Alta!AV57+Masivo!AV57+Consumo_Inicial!AV57</f>
        <v>0</v>
      </c>
      <c r="AW57" s="8">
        <f>Renta_Alta!AW57+Masivo!AW57+Consumo_Inicial!AW57</f>
        <v>0</v>
      </c>
      <c r="AX57" s="8">
        <f>Renta_Alta!AX57+Masivo!AX57+Consumo_Inicial!AX57</f>
        <v>0</v>
      </c>
      <c r="AY57" s="8">
        <f>Renta_Alta!AY57+Masivo!AY57+Consumo_Inicial!AY57</f>
        <v>0</v>
      </c>
      <c r="AZ57" s="8">
        <f>Renta_Alta!AZ57+Masivo!AZ57+Consumo_Inicial!AZ57</f>
        <v>2131.3823400212736</v>
      </c>
      <c r="BA57" s="8">
        <f>Renta_Alta!BA57+Masivo!BA57+Consumo_Inicial!BA57</f>
        <v>2154.8343103366374</v>
      </c>
      <c r="BB57" s="8">
        <f>Renta_Alta!BB57+Masivo!BB57+Consumo_Inicial!BB57</f>
        <v>2270.2944412147813</v>
      </c>
      <c r="BC57" s="8">
        <f>Renta_Alta!BC57+Masivo!BC57+Consumo_Inicial!BC57</f>
        <v>2284.375184953672</v>
      </c>
      <c r="BD57" s="8">
        <f>Renta_Alta!BD57+Masivo!BD57+Consumo_Inicial!BD57</f>
        <v>2342.9858171901906</v>
      </c>
      <c r="BE57" s="8">
        <f>Renta_Alta!BE57+Masivo!BE57+Consumo_Inicial!BE57</f>
        <v>2279.8029684277167</v>
      </c>
      <c r="BF57" s="8">
        <f>Renta_Alta!BF57+Masivo!BF57+Consumo_Inicial!BF57</f>
        <v>2355.5632718744514</v>
      </c>
      <c r="BG57" s="8">
        <f>Renta_Alta!BG57+Masivo!BG57+Consumo_Inicial!BG57</f>
        <v>2538.25018697014</v>
      </c>
      <c r="BH57" s="8">
        <f>Renta_Alta!BH57+Masivo!BH57+Consumo_Inicial!BH57</f>
        <v>2492.2957730606258</v>
      </c>
      <c r="BI57" s="8">
        <f>Renta_Alta!BI57+Masivo!BI57+Consumo_Inicial!BI57</f>
        <v>2554.3601070454588</v>
      </c>
      <c r="BJ57" s="8">
        <f>Renta_Alta!BJ57+Masivo!BJ57+Consumo_Inicial!BJ57</f>
        <v>2395.7082297393395</v>
      </c>
      <c r="BK57" s="8">
        <f>Renta_Alta!BK57+Masivo!BK57+Consumo_Inicial!BK57</f>
        <v>2525.9305228078247</v>
      </c>
      <c r="BO57" s="24">
        <f t="shared" si="236"/>
        <v>11355.88471</v>
      </c>
      <c r="BP57" s="24">
        <f t="shared" si="236"/>
        <v>11183.872093716556</v>
      </c>
      <c r="BQ57" s="24">
        <f t="shared" si="236"/>
        <v>9297.1553199999998</v>
      </c>
      <c r="BR57" s="24">
        <f t="shared" si="236"/>
        <v>12783.39474</v>
      </c>
      <c r="BS57" s="24">
        <f t="shared" si="236"/>
        <v>13381.307449999998</v>
      </c>
      <c r="BT57" s="24">
        <f t="shared" si="236"/>
        <v>13488.688860000013</v>
      </c>
    </row>
    <row r="58" spans="1:72" x14ac:dyDescent="0.25">
      <c r="C58" s="3" t="s">
        <v>68</v>
      </c>
      <c r="D58" s="10">
        <f t="shared" ref="D58:AY58" si="237">SUM(D56:D57)</f>
        <v>-8980.6242994992681</v>
      </c>
      <c r="E58" s="10">
        <f t="shared" si="237"/>
        <v>-1091.2332709041939</v>
      </c>
      <c r="F58" s="10">
        <f t="shared" si="237"/>
        <v>-5620.688315900934</v>
      </c>
      <c r="G58" s="10">
        <f t="shared" si="237"/>
        <v>-4762.5638355177252</v>
      </c>
      <c r="H58" s="10">
        <f t="shared" si="237"/>
        <v>-5002.3235409969084</v>
      </c>
      <c r="I58" s="10">
        <f t="shared" si="237"/>
        <v>-4881.7491248989863</v>
      </c>
      <c r="J58" s="10">
        <f t="shared" si="237"/>
        <v>-4996.9663968237919</v>
      </c>
      <c r="K58" s="10">
        <f t="shared" si="237"/>
        <v>-8116.7549444549277</v>
      </c>
      <c r="L58" s="10">
        <f t="shared" si="237"/>
        <v>-4597.5049942496498</v>
      </c>
      <c r="M58" s="10">
        <f t="shared" si="237"/>
        <v>-11444.880188873445</v>
      </c>
      <c r="N58" s="10">
        <f t="shared" si="237"/>
        <v>-6714.9336133273209</v>
      </c>
      <c r="O58" s="10">
        <f t="shared" si="237"/>
        <v>-6921.1761213556292</v>
      </c>
      <c r="P58" s="10">
        <f t="shared" si="237"/>
        <v>-11340.526397798612</v>
      </c>
      <c r="Q58" s="10">
        <f t="shared" si="237"/>
        <v>-6110.858172313161</v>
      </c>
      <c r="R58" s="10">
        <f t="shared" si="237"/>
        <v>-8495.5709070342891</v>
      </c>
      <c r="S58" s="10">
        <f t="shared" si="237"/>
        <v>-10020.870103575013</v>
      </c>
      <c r="T58" s="10">
        <f t="shared" si="237"/>
        <v>-7356.1089415685929</v>
      </c>
      <c r="U58" s="10">
        <f t="shared" si="237"/>
        <v>-9073.254756347249</v>
      </c>
      <c r="V58" s="10">
        <f t="shared" si="237"/>
        <v>-9298.5354462259074</v>
      </c>
      <c r="W58" s="10">
        <f t="shared" si="237"/>
        <v>-8767.2961459895778</v>
      </c>
      <c r="X58" s="10">
        <f t="shared" si="237"/>
        <v>-8729.2032659277193</v>
      </c>
      <c r="Y58" s="10">
        <f t="shared" si="237"/>
        <v>-12613.913115192832</v>
      </c>
      <c r="Z58" s="10">
        <f t="shared" si="237"/>
        <v>-6968.6728559488274</v>
      </c>
      <c r="AA58" s="10">
        <f t="shared" si="237"/>
        <v>-7561.2103447142272</v>
      </c>
      <c r="AB58" s="10">
        <f t="shared" si="237"/>
        <v>-11874.728730993747</v>
      </c>
      <c r="AC58" s="10">
        <f t="shared" si="237"/>
        <v>-5749.7527931384102</v>
      </c>
      <c r="AD58" s="10">
        <f t="shared" si="237"/>
        <v>-6313.4554605671274</v>
      </c>
      <c r="AE58" s="10">
        <f t="shared" si="237"/>
        <v>-9863.7985545815427</v>
      </c>
      <c r="AF58" s="10">
        <f t="shared" si="237"/>
        <v>-9112.9864251984454</v>
      </c>
      <c r="AG58" s="10">
        <f t="shared" si="237"/>
        <v>-10936.599738864748</v>
      </c>
      <c r="AH58" s="10">
        <f t="shared" si="237"/>
        <v>-10445.887956168463</v>
      </c>
      <c r="AI58" s="10">
        <f t="shared" si="237"/>
        <v>-11779.674803917835</v>
      </c>
      <c r="AJ58" s="10">
        <f t="shared" si="237"/>
        <v>-10606.01993888264</v>
      </c>
      <c r="AK58" s="10">
        <f t="shared" si="237"/>
        <v>-15357.478594048986</v>
      </c>
      <c r="AL58" s="10">
        <f t="shared" si="237"/>
        <v>-9743.2573460385429</v>
      </c>
      <c r="AM58" s="10">
        <f t="shared" si="237"/>
        <v>-11448.614981887215</v>
      </c>
      <c r="AN58" s="10">
        <f t="shared" si="237"/>
        <v>-9287.6456124417546</v>
      </c>
      <c r="AO58" s="10">
        <f t="shared" si="237"/>
        <v>-9507.4162305151622</v>
      </c>
      <c r="AP58" s="10">
        <f t="shared" si="237"/>
        <v>-9403.3683660332717</v>
      </c>
      <c r="AQ58" s="10">
        <f t="shared" si="237"/>
        <v>-10857.130983702296</v>
      </c>
      <c r="AR58" s="10">
        <f t="shared" si="237"/>
        <v>-10212.165419999799</v>
      </c>
      <c r="AS58" s="10">
        <f t="shared" si="237"/>
        <v>-11290.14627999971</v>
      </c>
      <c r="AT58" s="10">
        <f t="shared" si="237"/>
        <v>0</v>
      </c>
      <c r="AU58" s="10">
        <f t="shared" si="237"/>
        <v>0</v>
      </c>
      <c r="AV58" s="10">
        <f t="shared" si="237"/>
        <v>0</v>
      </c>
      <c r="AW58" s="10">
        <f t="shared" si="237"/>
        <v>0</v>
      </c>
      <c r="AX58" s="10">
        <f t="shared" si="237"/>
        <v>0</v>
      </c>
      <c r="AY58" s="10">
        <f t="shared" si="237"/>
        <v>0</v>
      </c>
      <c r="AZ58" s="10">
        <f t="shared" ref="AZ58:BK58" si="238">SUM(AZ56:AZ57)</f>
        <v>-11088.761907275164</v>
      </c>
      <c r="BA58" s="10">
        <f t="shared" si="238"/>
        <v>-10638.926917906438</v>
      </c>
      <c r="BB58" s="10">
        <f t="shared" si="238"/>
        <v>-11055.967822526016</v>
      </c>
      <c r="BC58" s="10">
        <f t="shared" si="238"/>
        <v>-10003.988813632459</v>
      </c>
      <c r="BD58" s="10">
        <f t="shared" si="238"/>
        <v>-9618.3836606092991</v>
      </c>
      <c r="BE58" s="10">
        <f t="shared" si="238"/>
        <v>-10025.087329299957</v>
      </c>
      <c r="BF58" s="10">
        <f t="shared" si="238"/>
        <v>-9866.4295880557493</v>
      </c>
      <c r="BG58" s="10">
        <f t="shared" si="238"/>
        <v>-12769.405337964872</v>
      </c>
      <c r="BH58" s="10">
        <f t="shared" si="238"/>
        <v>-8382.8212453564884</v>
      </c>
      <c r="BI58" s="10">
        <f t="shared" si="238"/>
        <v>-9165.1910523337865</v>
      </c>
      <c r="BJ58" s="10">
        <f t="shared" si="238"/>
        <v>-9500.3045150885537</v>
      </c>
      <c r="BK58" s="10">
        <f t="shared" si="238"/>
        <v>-8762.0870447800571</v>
      </c>
      <c r="BO58" s="23">
        <f>SUM(BO56:BO57)</f>
        <v>-49267.726612692284</v>
      </c>
      <c r="BP58" s="23">
        <f t="shared" ref="BP58:BT58" si="239">SUM(BP56:BP57)</f>
        <v>-52406.029121949374</v>
      </c>
      <c r="BQ58" s="23">
        <f t="shared" si="239"/>
        <v>-39055.561192692483</v>
      </c>
      <c r="BR58" s="23">
        <f t="shared" si="239"/>
        <v>-42914.721964479264</v>
      </c>
      <c r="BS58" s="23">
        <f t="shared" si="239"/>
        <v>-43323.934522289666</v>
      </c>
      <c r="BT58" s="23">
        <f t="shared" si="239"/>
        <v>-25457.433262819028</v>
      </c>
    </row>
    <row r="60" spans="1:72" x14ac:dyDescent="0.25">
      <c r="C60" s="3" t="s">
        <v>70</v>
      </c>
      <c r="D60" s="10">
        <f>D53+D58</f>
        <v>12229.408818420736</v>
      </c>
      <c r="E60" s="10">
        <f t="shared" ref="E60:AY60" si="240">E53+E58</f>
        <v>21301.347865305797</v>
      </c>
      <c r="F60" s="10">
        <f t="shared" si="240"/>
        <v>13538.339564479058</v>
      </c>
      <c r="G60" s="10">
        <f t="shared" si="240"/>
        <v>14467.579867972272</v>
      </c>
      <c r="H60" s="10">
        <f t="shared" si="240"/>
        <v>13251.280241533099</v>
      </c>
      <c r="I60" s="10">
        <f t="shared" si="240"/>
        <v>14692.030669281008</v>
      </c>
      <c r="J60" s="10">
        <f t="shared" si="240"/>
        <v>13226.048249176212</v>
      </c>
      <c r="K60" s="10">
        <f t="shared" si="240"/>
        <v>10155.084914255078</v>
      </c>
      <c r="L60" s="10">
        <f t="shared" si="240"/>
        <v>14491.948150470349</v>
      </c>
      <c r="M60" s="10">
        <f t="shared" si="240"/>
        <v>6190.5642352165669</v>
      </c>
      <c r="N60" s="10">
        <f t="shared" si="240"/>
        <v>11814.776245522677</v>
      </c>
      <c r="O60" s="10">
        <f t="shared" si="240"/>
        <v>10657.874883164362</v>
      </c>
      <c r="P60" s="10">
        <f t="shared" si="240"/>
        <v>6108.9888906814067</v>
      </c>
      <c r="Q60" s="10">
        <f t="shared" si="240"/>
        <v>14931.128316726845</v>
      </c>
      <c r="R60" s="10">
        <f t="shared" si="240"/>
        <v>9165.3302717257211</v>
      </c>
      <c r="S60" s="10">
        <f t="shared" si="240"/>
        <v>8168.2223800549837</v>
      </c>
      <c r="T60" s="10">
        <f t="shared" si="240"/>
        <v>11212.270250771428</v>
      </c>
      <c r="U60" s="10">
        <f t="shared" si="240"/>
        <v>11280.770982512751</v>
      </c>
      <c r="V60" s="10">
        <f t="shared" si="240"/>
        <v>10560.002182654081</v>
      </c>
      <c r="W60" s="10">
        <f t="shared" si="240"/>
        <v>11447.850372980418</v>
      </c>
      <c r="X60" s="10">
        <f t="shared" si="240"/>
        <v>13120.705111382287</v>
      </c>
      <c r="Y60" s="10">
        <f t="shared" si="240"/>
        <v>9047.9466754171644</v>
      </c>
      <c r="Z60" s="10">
        <f t="shared" si="240"/>
        <v>14980.455279691183</v>
      </c>
      <c r="AA60" s="10">
        <f t="shared" si="240"/>
        <v>12746.057713525794</v>
      </c>
      <c r="AB60" s="10">
        <f t="shared" si="240"/>
        <v>8473.6712774962562</v>
      </c>
      <c r="AC60" s="10">
        <f t="shared" si="240"/>
        <v>17657.412829961591</v>
      </c>
      <c r="AD60" s="10">
        <f t="shared" si="240"/>
        <v>14710.297955382868</v>
      </c>
      <c r="AE60" s="10">
        <f t="shared" si="240"/>
        <v>12168.922118738465</v>
      </c>
      <c r="AF60" s="10">
        <f t="shared" si="240"/>
        <v>12805.385402831556</v>
      </c>
      <c r="AG60" s="10">
        <f t="shared" si="240"/>
        <v>11731.990031975256</v>
      </c>
      <c r="AH60" s="10">
        <f t="shared" si="240"/>
        <v>11649.745870261526</v>
      </c>
      <c r="AI60" s="10">
        <f t="shared" si="240"/>
        <v>10260.308420802161</v>
      </c>
      <c r="AJ60" s="10">
        <f t="shared" si="240"/>
        <v>13205.143294547353</v>
      </c>
      <c r="AK60" s="10">
        <f t="shared" si="240"/>
        <v>7941.2652718410282</v>
      </c>
      <c r="AL60" s="10">
        <f t="shared" si="240"/>
        <v>14085.056235911463</v>
      </c>
      <c r="AM60" s="10">
        <f t="shared" si="240"/>
        <v>11448.393065922795</v>
      </c>
      <c r="AN60" s="10">
        <f t="shared" si="240"/>
        <v>13210.407885128245</v>
      </c>
      <c r="AO60" s="10">
        <f t="shared" si="240"/>
        <v>15431.823610374842</v>
      </c>
      <c r="AP60" s="10">
        <f t="shared" si="240"/>
        <v>13337.10318047673</v>
      </c>
      <c r="AQ60" s="10">
        <f t="shared" si="240"/>
        <v>12742.169025007704</v>
      </c>
      <c r="AR60" s="10">
        <f t="shared" si="240"/>
        <v>12625.93136061531</v>
      </c>
      <c r="AS60" s="10">
        <f t="shared" si="240"/>
        <v>12280.961029160291</v>
      </c>
      <c r="AT60" s="10">
        <f t="shared" si="240"/>
        <v>0</v>
      </c>
      <c r="AU60" s="10">
        <f t="shared" si="240"/>
        <v>0</v>
      </c>
      <c r="AV60" s="10">
        <f t="shared" si="240"/>
        <v>0</v>
      </c>
      <c r="AW60" s="10">
        <f t="shared" si="240"/>
        <v>0</v>
      </c>
      <c r="AX60" s="10">
        <f t="shared" si="240"/>
        <v>0</v>
      </c>
      <c r="AY60" s="10">
        <f t="shared" si="240"/>
        <v>0</v>
      </c>
      <c r="AZ60" s="10">
        <f t="shared" ref="AZ60:BK60" si="241">AZ53+AZ58</f>
        <v>12556.529332741438</v>
      </c>
      <c r="BA60" s="10">
        <f t="shared" si="241"/>
        <v>16465.483952539929</v>
      </c>
      <c r="BB60" s="10">
        <f t="shared" si="241"/>
        <v>12934.006944197541</v>
      </c>
      <c r="BC60" s="10">
        <f t="shared" si="241"/>
        <v>15454.774529159742</v>
      </c>
      <c r="BD60" s="10">
        <f t="shared" si="241"/>
        <v>14993.60554306941</v>
      </c>
      <c r="BE60" s="10">
        <f t="shared" si="241"/>
        <v>15844.737447822779</v>
      </c>
      <c r="BF60" s="10">
        <f t="shared" si="241"/>
        <v>15539.391941552762</v>
      </c>
      <c r="BG60" s="10">
        <f t="shared" si="241"/>
        <v>12938.674526775303</v>
      </c>
      <c r="BH60" s="10">
        <f t="shared" si="241"/>
        <v>18479.927059002057</v>
      </c>
      <c r="BI60" s="10">
        <f t="shared" si="241"/>
        <v>17361.164954342712</v>
      </c>
      <c r="BJ60" s="10">
        <f t="shared" si="241"/>
        <v>17833.708625071369</v>
      </c>
      <c r="BK60" s="10">
        <f t="shared" si="241"/>
        <v>18165.847884737632</v>
      </c>
      <c r="BO60" s="23">
        <f>BO53+BO58</f>
        <v>67347.435061602795</v>
      </c>
      <c r="BP60" s="23">
        <f t="shared" ref="BP60:BT60" si="242">BP53+BP58</f>
        <v>72404.400301708054</v>
      </c>
      <c r="BQ60" s="23">
        <f t="shared" si="242"/>
        <v>54721.503700987516</v>
      </c>
      <c r="BR60" s="23">
        <f t="shared" si="242"/>
        <v>65815.689584410735</v>
      </c>
      <c r="BS60" s="23">
        <f t="shared" si="242"/>
        <v>49585.940109960356</v>
      </c>
      <c r="BT60" s="23">
        <f t="shared" si="242"/>
        <v>74787.95635771098</v>
      </c>
    </row>
    <row r="63" spans="1:72" outlineLevel="1" x14ac:dyDescent="0.25">
      <c r="A63" s="11" t="s">
        <v>71</v>
      </c>
      <c r="C63" s="2" t="s">
        <v>74</v>
      </c>
      <c r="D63" s="8">
        <f>Renta_Alta!D63+Masivo!D63+Consumo_Inicial!D63</f>
        <v>567.64241995299994</v>
      </c>
      <c r="E63" s="8">
        <f>Renta_Alta!E63+Masivo!E63+Consumo_Inicial!E63</f>
        <v>456.542270008</v>
      </c>
      <c r="F63" s="8">
        <f>Renta_Alta!F63+Masivo!F63+Consumo_Inicial!F63</f>
        <v>489.37918000899998</v>
      </c>
      <c r="G63" s="8">
        <f>Renta_Alta!G63+Masivo!G63+Consumo_Inicial!G63</f>
        <v>489.97763999</v>
      </c>
      <c r="H63" s="8">
        <f>Renta_Alta!H63+Masivo!H63+Consumo_Inicial!H63</f>
        <v>493.20948001699998</v>
      </c>
      <c r="I63" s="8">
        <f>Renta_Alta!I63+Masivo!I63+Consumo_Inicial!I63</f>
        <v>528.85194998100008</v>
      </c>
      <c r="J63" s="8">
        <f>Renta_Alta!J63+Masivo!J63+Consumo_Inicial!J63</f>
        <v>529.84518999199997</v>
      </c>
      <c r="K63" s="8">
        <f>Renta_Alta!K63+Masivo!K63+Consumo_Inicial!K63</f>
        <v>538.82968998199999</v>
      </c>
      <c r="L63" s="8">
        <f>Renta_Alta!L63+Masivo!L63+Consumo_Inicial!L63</f>
        <v>549.35473997700001</v>
      </c>
      <c r="M63" s="8">
        <f>Renta_Alta!M63+Masivo!M63+Consumo_Inicial!M63</f>
        <v>549.65601002100004</v>
      </c>
      <c r="N63" s="8">
        <f>Renta_Alta!N63+Masivo!N63+Consumo_Inicial!N63</f>
        <v>557.52959003199999</v>
      </c>
      <c r="O63" s="8">
        <f>Renta_Alta!O63+Masivo!O63+Consumo_Inicial!O63</f>
        <v>550.90037004099986</v>
      </c>
      <c r="P63" s="8">
        <f>Renta_Alta!P63+Masivo!P63+Consumo_Inicial!P63</f>
        <v>558.49486997100007</v>
      </c>
      <c r="Q63" s="8">
        <f>Renta_Alta!Q63+Masivo!Q63+Consumo_Inicial!Q63</f>
        <v>562.43158998200011</v>
      </c>
      <c r="R63" s="8">
        <f>Renta_Alta!R63+Masivo!R63+Consumo_Inicial!R63</f>
        <v>559.44302002799998</v>
      </c>
      <c r="S63" s="8">
        <f>Renta_Alta!S63+Masivo!S63+Consumo_Inicial!S63</f>
        <v>606.32852002899995</v>
      </c>
      <c r="T63" s="8">
        <f>Renta_Alta!T63+Masivo!T63+Consumo_Inicial!T63</f>
        <v>553.83819001699999</v>
      </c>
      <c r="U63" s="8">
        <f>Renta_Alta!U63+Masivo!U63+Consumo_Inicial!U63</f>
        <v>617.17900999300002</v>
      </c>
      <c r="V63" s="8">
        <f>Renta_Alta!V63+Masivo!V63+Consumo_Inicial!V63</f>
        <v>617.07213000600018</v>
      </c>
      <c r="W63" s="8">
        <f>Renta_Alta!W63+Masivo!W63+Consumo_Inicial!W63</f>
        <v>614.06833001500002</v>
      </c>
      <c r="X63" s="8">
        <f>Renta_Alta!X63+Masivo!X63+Consumo_Inicial!X63</f>
        <v>1274.54606014</v>
      </c>
      <c r="Y63" s="8">
        <f>Renta_Alta!Y63+Masivo!Y63+Consumo_Inicial!Y63</f>
        <v>-19.196579999400001</v>
      </c>
      <c r="Z63" s="8">
        <f>Renta_Alta!Z63+Masivo!Z63+Consumo_Inicial!Z63</f>
        <v>611.18058998000004</v>
      </c>
      <c r="AA63" s="8">
        <f>Renta_Alta!AA63+Masivo!AA63+Consumo_Inicial!AA63</f>
        <v>594.94692000999999</v>
      </c>
      <c r="AB63" s="8">
        <f>Renta_Alta!AB63+Masivo!AB63+Consumo_Inicial!AB63</f>
        <v>622.58089002500003</v>
      </c>
      <c r="AC63" s="8">
        <f>Renta_Alta!AC63+Masivo!AC63+Consumo_Inicial!AC63</f>
        <v>528.74048998700005</v>
      </c>
      <c r="AD63" s="8">
        <f>Renta_Alta!AD63+Masivo!AD63+Consumo_Inicial!AD63</f>
        <v>526.62686997899993</v>
      </c>
      <c r="AE63" s="8">
        <f>Renta_Alta!AE63+Masivo!AE63+Consumo_Inicial!AE63</f>
        <v>530.89120003899995</v>
      </c>
      <c r="AF63" s="8">
        <f>Renta_Alta!AF63+Masivo!AF63+Consumo_Inicial!AF63</f>
        <v>522.19528000599996</v>
      </c>
      <c r="AG63" s="8">
        <f>Renta_Alta!AG63+Masivo!AG63+Consumo_Inicial!AG63</f>
        <v>550.67650995200006</v>
      </c>
      <c r="AH63" s="8">
        <f>Renta_Alta!AH63+Masivo!AH63+Consumo_Inicial!AH63</f>
        <v>532.80510003999996</v>
      </c>
      <c r="AI63" s="8">
        <f>Renta_Alta!AI63+Masivo!AI63+Consumo_Inicial!AI63</f>
        <v>586.643850004</v>
      </c>
      <c r="AJ63" s="8">
        <f>Renta_Alta!AJ63+Masivo!AJ63+Consumo_Inicial!AJ63</f>
        <v>561.93188001199985</v>
      </c>
      <c r="AK63" s="8">
        <f>Renta_Alta!AK63+Masivo!AK63+Consumo_Inicial!AK63</f>
        <v>555.83919001700008</v>
      </c>
      <c r="AL63" s="8">
        <f>Renta_Alta!AL63+Masivo!AL63+Consumo_Inicial!AL63</f>
        <v>615.28931001599994</v>
      </c>
      <c r="AM63" s="8">
        <f>Renta_Alta!AM63+Masivo!AM63+Consumo_Inicial!AM63</f>
        <v>555.27555996099989</v>
      </c>
      <c r="AN63" s="8">
        <f>Renta_Alta!AN63+Masivo!AN63+Consumo_Inicial!AN63</f>
        <v>538.84370000000001</v>
      </c>
      <c r="AO63" s="8">
        <f>Renta_Alta!AO63+Masivo!AO63+Consumo_Inicial!AO63</f>
        <v>528.89913000000001</v>
      </c>
      <c r="AP63" s="8">
        <f>Renta_Alta!AP63+Masivo!AP63+Consumo_Inicial!AP63</f>
        <v>519.73068999999987</v>
      </c>
      <c r="AQ63" s="8">
        <f>Renta_Alta!AQ63+Masivo!AQ63+Consumo_Inicial!AQ63</f>
        <v>531.33536000000004</v>
      </c>
      <c r="AR63" s="8">
        <f>Renta_Alta!AR63+Masivo!AR63+Consumo_Inicial!AR63</f>
        <v>538.26567000000023</v>
      </c>
      <c r="AS63" s="8">
        <f>Renta_Alta!AS63+Masivo!AS63+Consumo_Inicial!AS63</f>
        <v>535.37491999999997</v>
      </c>
      <c r="AT63" s="8">
        <f>Renta_Alta!AT63+Masivo!AT63+Consumo_Inicial!AT63</f>
        <v>0</v>
      </c>
      <c r="AU63" s="8">
        <f>Renta_Alta!AU63+Masivo!AU63+Consumo_Inicial!AU63</f>
        <v>0</v>
      </c>
      <c r="AV63" s="8">
        <f>Renta_Alta!AV63+Masivo!AV63+Consumo_Inicial!AV63</f>
        <v>0</v>
      </c>
      <c r="AW63" s="8">
        <f>Renta_Alta!AW63+Masivo!AW63+Consumo_Inicial!AW63</f>
        <v>0</v>
      </c>
      <c r="AX63" s="8">
        <f>Renta_Alta!AX63+Masivo!AX63+Consumo_Inicial!AX63</f>
        <v>0</v>
      </c>
      <c r="AY63" s="8">
        <f>Renta_Alta!AY63+Masivo!AY63+Consumo_Inicial!AY63</f>
        <v>0</v>
      </c>
      <c r="AZ63" s="8">
        <f>Renta_Alta!AZ63+Masivo!AZ63+Consumo_Inicial!AZ63</f>
        <v>559.96</v>
      </c>
      <c r="BA63" s="8">
        <f>Renta_Alta!BA63+Masivo!BA63+Consumo_Inicial!BA63</f>
        <v>562.63999999999987</v>
      </c>
      <c r="BB63" s="8">
        <f>Renta_Alta!BB63+Masivo!BB63+Consumo_Inicial!BB63</f>
        <v>566.13</v>
      </c>
      <c r="BC63" s="8">
        <f>Renta_Alta!BC63+Masivo!BC63+Consumo_Inicial!BC63</f>
        <v>568.25999999999988</v>
      </c>
      <c r="BD63" s="8">
        <f>Renta_Alta!BD63+Masivo!BD63+Consumo_Inicial!BD63</f>
        <v>570.49</v>
      </c>
      <c r="BE63" s="8">
        <f>Renta_Alta!BE63+Masivo!BE63+Consumo_Inicial!BE63</f>
        <v>573.25999999999988</v>
      </c>
      <c r="BF63" s="8">
        <f>Renta_Alta!BF63+Masivo!BF63+Consumo_Inicial!BF63</f>
        <v>576.02999999999986</v>
      </c>
      <c r="BG63" s="8">
        <f>Renta_Alta!BG63+Masivo!BG63+Consumo_Inicial!BG63</f>
        <v>578.75999999999988</v>
      </c>
      <c r="BH63" s="8">
        <f>Renta_Alta!BH63+Masivo!BH63+Consumo_Inicial!BH63</f>
        <v>582.05999999999983</v>
      </c>
      <c r="BI63" s="8">
        <f>Renta_Alta!BI63+Masivo!BI63+Consumo_Inicial!BI63</f>
        <v>584.66999999999985</v>
      </c>
      <c r="BJ63" s="8">
        <f>Renta_Alta!BJ63+Masivo!BJ63+Consumo_Inicial!BJ63</f>
        <v>587.27999999999986</v>
      </c>
      <c r="BK63" s="8">
        <f>Renta_Alta!BK63+Masivo!BK63+Consumo_Inicial!BK63</f>
        <v>589.20999999999992</v>
      </c>
      <c r="BO63" s="24">
        <f t="shared" ref="BO63:BT72" si="243">SUMIFS($D63:$BM63,$D$6:$BM$6,"&gt;="&amp;BO$2,$D$6:$BM$6,"&lt;="&amp;BO$6,$D$5:$BM$5,BO$5)</f>
        <v>2657.0745500000003</v>
      </c>
      <c r="BP63" s="24">
        <f t="shared" si="243"/>
        <v>2827.4799999999996</v>
      </c>
      <c r="BQ63" s="24">
        <f t="shared" si="243"/>
        <v>2118.80888</v>
      </c>
      <c r="BR63" s="24">
        <f t="shared" si="243"/>
        <v>2731.0347300359999</v>
      </c>
      <c r="BS63" s="24">
        <f t="shared" si="243"/>
        <v>2840.536190027</v>
      </c>
      <c r="BT63" s="24">
        <f t="shared" si="243"/>
        <v>2496.7509899769998</v>
      </c>
    </row>
    <row r="64" spans="1:72" outlineLevel="1" x14ac:dyDescent="0.25">
      <c r="A64" s="11" t="s">
        <v>71</v>
      </c>
      <c r="C64" s="2" t="s">
        <v>72</v>
      </c>
      <c r="D64" s="8">
        <f>Renta_Alta!D64+Masivo!D64+Consumo_Inicial!D64</f>
        <v>692.35237999999993</v>
      </c>
      <c r="E64" s="8">
        <f>Renta_Alta!E64+Masivo!E64+Consumo_Inicial!E64</f>
        <v>687.6632800000001</v>
      </c>
      <c r="F64" s="8">
        <f>Renta_Alta!F64+Masivo!F64+Consumo_Inicial!F64</f>
        <v>689.22883000000002</v>
      </c>
      <c r="G64" s="8">
        <f>Renta_Alta!G64+Masivo!G64+Consumo_Inicial!G64</f>
        <v>656.93399999999997</v>
      </c>
      <c r="H64" s="8">
        <f>Renta_Alta!H64+Masivo!H64+Consumo_Inicial!H64</f>
        <v>677.1092000000001</v>
      </c>
      <c r="I64" s="8">
        <f>Renta_Alta!I64+Masivo!I64+Consumo_Inicial!I64</f>
        <v>693.14273000000003</v>
      </c>
      <c r="J64" s="8">
        <f>Renta_Alta!J64+Masivo!J64+Consumo_Inicial!J64</f>
        <v>700.46567000000005</v>
      </c>
      <c r="K64" s="8">
        <f>Renta_Alta!K64+Masivo!K64+Consumo_Inicial!K64</f>
        <v>711.85328000000004</v>
      </c>
      <c r="L64" s="8">
        <f>Renta_Alta!L64+Masivo!L64+Consumo_Inicial!L64</f>
        <v>711.46816000000001</v>
      </c>
      <c r="M64" s="8">
        <f>Renta_Alta!M64+Masivo!M64+Consumo_Inicial!M64</f>
        <v>714.46012999999994</v>
      </c>
      <c r="N64" s="8">
        <f>Renta_Alta!N64+Masivo!N64+Consumo_Inicial!N64</f>
        <v>716.0376</v>
      </c>
      <c r="O64" s="8">
        <f>Renta_Alta!O64+Masivo!O64+Consumo_Inicial!O64</f>
        <v>713.58596999999997</v>
      </c>
      <c r="P64" s="8">
        <f>Renta_Alta!P64+Masivo!P64+Consumo_Inicial!P64</f>
        <v>720.61077999999998</v>
      </c>
      <c r="Q64" s="8">
        <f>Renta_Alta!Q64+Masivo!Q64+Consumo_Inicial!Q64</f>
        <v>717.29183000000012</v>
      </c>
      <c r="R64" s="8">
        <f>Renta_Alta!R64+Masivo!R64+Consumo_Inicial!R64</f>
        <v>724.33857</v>
      </c>
      <c r="S64" s="8">
        <f>Renta_Alta!S64+Masivo!S64+Consumo_Inicial!S64</f>
        <v>695.60308999999995</v>
      </c>
      <c r="T64" s="8">
        <f>Renta_Alta!T64+Masivo!T64+Consumo_Inicial!T64</f>
        <v>732.31598999999994</v>
      </c>
      <c r="U64" s="8">
        <f>Renta_Alta!U64+Masivo!U64+Consumo_Inicial!U64</f>
        <v>759.56422000000009</v>
      </c>
      <c r="V64" s="8">
        <f>Renta_Alta!V64+Masivo!V64+Consumo_Inicial!V64</f>
        <v>771.92660000000001</v>
      </c>
      <c r="W64" s="8">
        <f>Renta_Alta!W64+Masivo!W64+Consumo_Inicial!W64</f>
        <v>782.31592000000012</v>
      </c>
      <c r="X64" s="8">
        <f>Renta_Alta!X64+Masivo!X64+Consumo_Inicial!X64</f>
        <v>793.47147000000007</v>
      </c>
      <c r="Y64" s="8">
        <f>Renta_Alta!Y64+Masivo!Y64+Consumo_Inicial!Y64</f>
        <v>789.42702000000008</v>
      </c>
      <c r="Z64" s="8">
        <f>Renta_Alta!Z64+Masivo!Z64+Consumo_Inicial!Z64</f>
        <v>797.43680999999992</v>
      </c>
      <c r="AA64" s="8">
        <f>Renta_Alta!AA64+Masivo!AA64+Consumo_Inicial!AA64</f>
        <v>792.60987</v>
      </c>
      <c r="AB64" s="8">
        <f>Renta_Alta!AB64+Masivo!AB64+Consumo_Inicial!AB64</f>
        <v>786.15765999999996</v>
      </c>
      <c r="AC64" s="8">
        <f>Renta_Alta!AC64+Masivo!AC64+Consumo_Inicial!AC64</f>
        <v>772.10221999999987</v>
      </c>
      <c r="AD64" s="8">
        <f>Renta_Alta!AD64+Masivo!AD64+Consumo_Inicial!AD64</f>
        <v>770.04662999999994</v>
      </c>
      <c r="AE64" s="8">
        <f>Renta_Alta!AE64+Masivo!AE64+Consumo_Inicial!AE64</f>
        <v>742.24670000000003</v>
      </c>
      <c r="AF64" s="8">
        <f>Renta_Alta!AF64+Masivo!AF64+Consumo_Inicial!AF64</f>
        <v>752.49437</v>
      </c>
      <c r="AG64" s="8">
        <f>Renta_Alta!AG64+Masivo!AG64+Consumo_Inicial!AG64</f>
        <v>755.99324999999999</v>
      </c>
      <c r="AH64" s="8">
        <f>Renta_Alta!AH64+Masivo!AH64+Consumo_Inicial!AH64</f>
        <v>757.9874299999999</v>
      </c>
      <c r="AI64" s="8">
        <f>Renta_Alta!AI64+Masivo!AI64+Consumo_Inicial!AI64</f>
        <v>754.78146000000004</v>
      </c>
      <c r="AJ64" s="8">
        <f>Renta_Alta!AJ64+Masivo!AJ64+Consumo_Inicial!AJ64</f>
        <v>744.20243000000005</v>
      </c>
      <c r="AK64" s="8">
        <f>Renta_Alta!AK64+Masivo!AK64+Consumo_Inicial!AK64</f>
        <v>746.21699000000001</v>
      </c>
      <c r="AL64" s="8">
        <f>Renta_Alta!AL64+Masivo!AL64+Consumo_Inicial!AL64</f>
        <v>747.22901999999999</v>
      </c>
      <c r="AM64" s="8">
        <f>Renta_Alta!AM64+Masivo!AM64+Consumo_Inicial!AM64</f>
        <v>743.75159999999994</v>
      </c>
      <c r="AN64" s="8">
        <f>Renta_Alta!AN64+Masivo!AN64+Consumo_Inicial!AN64</f>
        <v>744.44107999999994</v>
      </c>
      <c r="AO64" s="8">
        <f>Renta_Alta!AO64+Masivo!AO64+Consumo_Inicial!AO64</f>
        <v>713.40231000000006</v>
      </c>
      <c r="AP64" s="8">
        <f>Renta_Alta!AP64+Masivo!AP64+Consumo_Inicial!AP64</f>
        <v>721.16026999999985</v>
      </c>
      <c r="AQ64" s="8">
        <f>Renta_Alta!AQ64+Masivo!AQ64+Consumo_Inicial!AQ64</f>
        <v>698.90253999999993</v>
      </c>
      <c r="AR64" s="8">
        <f>Renta_Alta!AR64+Masivo!AR64+Consumo_Inicial!AR64</f>
        <v>713.48594999999989</v>
      </c>
      <c r="AS64" s="8">
        <f>Renta_Alta!AS64+Masivo!AS64+Consumo_Inicial!AS64</f>
        <v>711.55699000000004</v>
      </c>
      <c r="AT64" s="8">
        <f>Renta_Alta!AT64+Masivo!AT64+Consumo_Inicial!AT64</f>
        <v>0</v>
      </c>
      <c r="AU64" s="8">
        <f>Renta_Alta!AU64+Masivo!AU64+Consumo_Inicial!AU64</f>
        <v>0</v>
      </c>
      <c r="AV64" s="8">
        <f>Renta_Alta!AV64+Masivo!AV64+Consumo_Inicial!AV64</f>
        <v>0</v>
      </c>
      <c r="AW64" s="8">
        <f>Renta_Alta!AW64+Masivo!AW64+Consumo_Inicial!AW64</f>
        <v>0</v>
      </c>
      <c r="AX64" s="8">
        <f>Renta_Alta!AX64+Masivo!AX64+Consumo_Inicial!AX64</f>
        <v>0</v>
      </c>
      <c r="AY64" s="8">
        <f>Renta_Alta!AY64+Masivo!AY64+Consumo_Inicial!AY64</f>
        <v>0</v>
      </c>
      <c r="AZ64" s="8">
        <f>Renta_Alta!AZ64+Masivo!AZ64+Consumo_Inicial!AZ64</f>
        <v>754.2873267440001</v>
      </c>
      <c r="BA64" s="8">
        <f>Renta_Alta!BA64+Masivo!BA64+Consumo_Inicial!BA64</f>
        <v>750.57465348799985</v>
      </c>
      <c r="BB64" s="8">
        <f>Renta_Alta!BB64+Masivo!BB64+Consumo_Inicial!BB64</f>
        <v>746.96198023200009</v>
      </c>
      <c r="BC64" s="8">
        <f>Renta_Alta!BC64+Masivo!BC64+Consumo_Inicial!BC64</f>
        <v>743.15930697600004</v>
      </c>
      <c r="BD64" s="8">
        <f>Renta_Alta!BD64+Masivo!BD64+Consumo_Inicial!BD64</f>
        <v>739.37663372000009</v>
      </c>
      <c r="BE64" s="8">
        <f>Renta_Alta!BE64+Masivo!BE64+Consumo_Inicial!BE64</f>
        <v>735.66396046399984</v>
      </c>
      <c r="BF64" s="8">
        <f>Renta_Alta!BF64+Masivo!BF64+Consumo_Inicial!BF64</f>
        <v>731.95128720799994</v>
      </c>
      <c r="BG64" s="8">
        <f>Renta_Alta!BG64+Masivo!BG64+Consumo_Inicial!BG64</f>
        <v>728.22861395200005</v>
      </c>
      <c r="BH64" s="8">
        <f>Renta_Alta!BH64+Masivo!BH64+Consumo_Inicial!BH64</f>
        <v>724.57594069600009</v>
      </c>
      <c r="BI64" s="8">
        <f>Renta_Alta!BI64+Masivo!BI64+Consumo_Inicial!BI64</f>
        <v>720.83326743999999</v>
      </c>
      <c r="BJ64" s="8">
        <f>Renta_Alta!BJ64+Masivo!BJ64+Consumo_Inicial!BJ64</f>
        <v>717.090594184</v>
      </c>
      <c r="BK64" s="8">
        <f>Renta_Alta!BK64+Masivo!BK64+Consumo_Inicial!BK64</f>
        <v>713.25792092799998</v>
      </c>
      <c r="BO64" s="24">
        <f t="shared" si="243"/>
        <v>3591.3921499999997</v>
      </c>
      <c r="BP64" s="24">
        <f t="shared" si="243"/>
        <v>3734.3599011600004</v>
      </c>
      <c r="BQ64" s="24">
        <f t="shared" si="243"/>
        <v>2877.9061999999999</v>
      </c>
      <c r="BR64" s="24">
        <f t="shared" si="243"/>
        <v>3823.0475799999999</v>
      </c>
      <c r="BS64" s="24">
        <f t="shared" si="243"/>
        <v>3590.1602600000001</v>
      </c>
      <c r="BT64" s="24">
        <f t="shared" si="243"/>
        <v>3403.2876900000001</v>
      </c>
    </row>
    <row r="65" spans="1:72" outlineLevel="1" x14ac:dyDescent="0.25">
      <c r="A65" s="11" t="s">
        <v>71</v>
      </c>
      <c r="C65" s="2" t="s">
        <v>73</v>
      </c>
      <c r="D65" s="8">
        <f>Renta_Alta!D65+Masivo!D65+Consumo_Inicial!D65</f>
        <v>-566.15724004430001</v>
      </c>
      <c r="E65" s="8">
        <f>Renta_Alta!E65+Masivo!E65+Consumo_Inicial!E65</f>
        <v>-523.15260996929999</v>
      </c>
      <c r="F65" s="8">
        <f>Renta_Alta!F65+Masivo!F65+Consumo_Inicial!F65</f>
        <v>-574.18295995879998</v>
      </c>
      <c r="G65" s="8">
        <f>Renta_Alta!G65+Masivo!G65+Consumo_Inicial!G65</f>
        <v>-460.39839994499994</v>
      </c>
      <c r="H65" s="8">
        <f>Renta_Alta!H65+Masivo!H65+Consumo_Inicial!H65</f>
        <v>-576.71598008499996</v>
      </c>
      <c r="I65" s="8">
        <f>Renta_Alta!I65+Masivo!I65+Consumo_Inicial!I65</f>
        <v>-564.85800004300006</v>
      </c>
      <c r="J65" s="8">
        <f>Renta_Alta!J65+Masivo!J65+Consumo_Inicial!J65</f>
        <v>-662.23423000399998</v>
      </c>
      <c r="K65" s="8">
        <f>Renta_Alta!K65+Masivo!K65+Consumo_Inicial!K65</f>
        <v>-680.60336000700011</v>
      </c>
      <c r="L65" s="8">
        <f>Renta_Alta!L65+Masivo!L65+Consumo_Inicial!L65</f>
        <v>-676.35918998600005</v>
      </c>
      <c r="M65" s="8">
        <f>Renta_Alta!M65+Masivo!M65+Consumo_Inicial!M65</f>
        <v>-779.86572995500001</v>
      </c>
      <c r="N65" s="8">
        <f>Renta_Alta!N65+Masivo!N65+Consumo_Inicial!N65</f>
        <v>-575.91702003279988</v>
      </c>
      <c r="O65" s="8">
        <f>Renta_Alta!O65+Masivo!O65+Consumo_Inicial!O65</f>
        <v>-991.0722599610001</v>
      </c>
      <c r="P65" s="8">
        <f>Renta_Alta!P65+Masivo!P65+Consumo_Inicial!P65</f>
        <v>-725.54728995839992</v>
      </c>
      <c r="Q65" s="8">
        <f>Renta_Alta!Q65+Masivo!Q65+Consumo_Inicial!Q65</f>
        <v>-650.17592999500005</v>
      </c>
      <c r="R65" s="8">
        <f>Renta_Alta!R65+Masivo!R65+Consumo_Inicial!R65</f>
        <v>-658.26083001399991</v>
      </c>
      <c r="S65" s="8">
        <f>Renta_Alta!S65+Masivo!S65+Consumo_Inicial!S65</f>
        <v>-704.77133003500012</v>
      </c>
      <c r="T65" s="8">
        <f>Renta_Alta!T65+Masivo!T65+Consumo_Inicial!T65</f>
        <v>-788.67093003899993</v>
      </c>
      <c r="U65" s="8">
        <f>Renta_Alta!U65+Masivo!U65+Consumo_Inicial!U65</f>
        <v>-677.40635000400005</v>
      </c>
      <c r="V65" s="8">
        <f>Renta_Alta!V65+Masivo!V65+Consumo_Inicial!V65</f>
        <v>-672.76556007570002</v>
      </c>
      <c r="W65" s="8">
        <f>Renta_Alta!W65+Masivo!W65+Consumo_Inicial!W65</f>
        <v>-857.68489999600001</v>
      </c>
      <c r="X65" s="8">
        <f>Renta_Alta!X65+Masivo!X65+Consumo_Inicial!X65</f>
        <v>-829.90917004899984</v>
      </c>
      <c r="Y65" s="8">
        <f>Renta_Alta!Y65+Masivo!Y65+Consumo_Inicial!Y65</f>
        <v>-683.1041999360001</v>
      </c>
      <c r="Z65" s="8">
        <f>Renta_Alta!Z65+Masivo!Z65+Consumo_Inicial!Z65</f>
        <v>-1189.5779300520001</v>
      </c>
      <c r="AA65" s="8">
        <f>Renta_Alta!AA65+Masivo!AA65+Consumo_Inicial!AA65</f>
        <v>-152.887590035085</v>
      </c>
      <c r="AB65" s="8">
        <f>Renta_Alta!AB65+Masivo!AB65+Consumo_Inicial!AB65</f>
        <v>-945.88041002499995</v>
      </c>
      <c r="AC65" s="8">
        <f>Renta_Alta!AC65+Masivo!AC65+Consumo_Inicial!AC65</f>
        <v>-776.84562997299997</v>
      </c>
      <c r="AD65" s="8">
        <f>Renta_Alta!AD65+Masivo!AD65+Consumo_Inicial!AD65</f>
        <v>-669.29467998900009</v>
      </c>
      <c r="AE65" s="8">
        <f>Renta_Alta!AE65+Masivo!AE65+Consumo_Inicial!AE65</f>
        <v>-788.10349996100001</v>
      </c>
      <c r="AF65" s="8">
        <f>Renta_Alta!AF65+Masivo!AF65+Consumo_Inicial!AF65</f>
        <v>-205.42356004239997</v>
      </c>
      <c r="AG65" s="8">
        <f>Renta_Alta!AG65+Masivo!AG65+Consumo_Inicial!AG65</f>
        <v>-275.69416995649999</v>
      </c>
      <c r="AH65" s="8">
        <f>Renta_Alta!AH65+Masivo!AH65+Consumo_Inicial!AH65</f>
        <v>-228.90348003969999</v>
      </c>
      <c r="AI65" s="8">
        <f>Renta_Alta!AI65+Masivo!AI65+Consumo_Inicial!AI65</f>
        <v>-227.82310004799999</v>
      </c>
      <c r="AJ65" s="8">
        <f>Renta_Alta!AJ65+Masivo!AJ65+Consumo_Inicial!AJ65</f>
        <v>344.63845997519996</v>
      </c>
      <c r="AK65" s="8">
        <f>Renta_Alta!AK65+Masivo!AK65+Consumo_Inicial!AK65</f>
        <v>-204.13103000194999</v>
      </c>
      <c r="AL65" s="8">
        <f>Renta_Alta!AL65+Masivo!AL65+Consumo_Inicial!AL65</f>
        <v>-265.86264995300002</v>
      </c>
      <c r="AM65" s="8">
        <f>Renta_Alta!AM65+Masivo!AM65+Consumo_Inicial!AM65</f>
        <v>-226.55096003100002</v>
      </c>
      <c r="AN65" s="8">
        <f>Renta_Alta!AN65+Masivo!AN65+Consumo_Inicial!AN65</f>
        <v>-333.76348999999982</v>
      </c>
      <c r="AO65" s="8">
        <f>Renta_Alta!AO65+Masivo!AO65+Consumo_Inicial!AO65</f>
        <v>-101.06213000000005</v>
      </c>
      <c r="AP65" s="8">
        <f>Renta_Alta!AP65+Masivo!AP65+Consumo_Inicial!AP65</f>
        <v>-412.63151000000011</v>
      </c>
      <c r="AQ65" s="8">
        <f>Renta_Alta!AQ65+Masivo!AQ65+Consumo_Inicial!AQ65</f>
        <v>-8.1772900000000455</v>
      </c>
      <c r="AR65" s="8">
        <f>Renta_Alta!AR65+Masivo!AR65+Consumo_Inicial!AR65</f>
        <v>-337.3052200000003</v>
      </c>
      <c r="AS65" s="8">
        <f>Renta_Alta!AS65+Masivo!AS65+Consumo_Inicial!AS65</f>
        <v>-142.52613999999969</v>
      </c>
      <c r="AT65" s="8">
        <f>Renta_Alta!AT65+Masivo!AT65+Consumo_Inicial!AT65</f>
        <v>0</v>
      </c>
      <c r="AU65" s="8">
        <f>Renta_Alta!AU65+Masivo!AU65+Consumo_Inicial!AU65</f>
        <v>0</v>
      </c>
      <c r="AV65" s="8">
        <f>Renta_Alta!AV65+Masivo!AV65+Consumo_Inicial!AV65</f>
        <v>0</v>
      </c>
      <c r="AW65" s="8">
        <f>Renta_Alta!AW65+Masivo!AW65+Consumo_Inicial!AW65</f>
        <v>0</v>
      </c>
      <c r="AX65" s="8">
        <f>Renta_Alta!AX65+Masivo!AX65+Consumo_Inicial!AX65</f>
        <v>0</v>
      </c>
      <c r="AY65" s="8">
        <f>Renta_Alta!AY65+Masivo!AY65+Consumo_Inicial!AY65</f>
        <v>0</v>
      </c>
      <c r="AZ65" s="8">
        <f>Renta_Alta!AZ65+Masivo!AZ65+Consumo_Inicial!AZ65</f>
        <v>-409</v>
      </c>
      <c r="BA65" s="8">
        <f>Renta_Alta!BA65+Masivo!BA65+Consumo_Inicial!BA65</f>
        <v>-413</v>
      </c>
      <c r="BB65" s="8">
        <f>Renta_Alta!BB65+Masivo!BB65+Consumo_Inicial!BB65</f>
        <v>-417.99999999999994</v>
      </c>
      <c r="BC65" s="8">
        <f>Renta_Alta!BC65+Masivo!BC65+Consumo_Inicial!BC65</f>
        <v>-421.00000000000006</v>
      </c>
      <c r="BD65" s="8">
        <f>Renta_Alta!BD65+Masivo!BD65+Consumo_Inicial!BD65</f>
        <v>-575</v>
      </c>
      <c r="BE65" s="8">
        <f>Renta_Alta!BE65+Masivo!BE65+Consumo_Inicial!BE65</f>
        <v>-578.99999999999989</v>
      </c>
      <c r="BF65" s="8">
        <f>Renta_Alta!BF65+Masivo!BF65+Consumo_Inicial!BF65</f>
        <v>-633</v>
      </c>
      <c r="BG65" s="8">
        <f>Renta_Alta!BG65+Masivo!BG65+Consumo_Inicial!BG65</f>
        <v>-637</v>
      </c>
      <c r="BH65" s="8">
        <f>Renta_Alta!BH65+Masivo!BH65+Consumo_Inicial!BH65</f>
        <v>-692.00000000000011</v>
      </c>
      <c r="BI65" s="8">
        <f>Renta_Alta!BI65+Masivo!BI65+Consumo_Inicial!BI65</f>
        <v>-696</v>
      </c>
      <c r="BJ65" s="8">
        <f>Renta_Alta!BJ65+Masivo!BJ65+Consumo_Inicial!BJ65</f>
        <v>-800</v>
      </c>
      <c r="BK65" s="8">
        <f>Renta_Alta!BK65+Masivo!BK65+Consumo_Inicial!BK65</f>
        <v>-803</v>
      </c>
      <c r="BO65" s="24">
        <f t="shared" si="243"/>
        <v>-1192.9396400000005</v>
      </c>
      <c r="BP65" s="24">
        <f t="shared" si="243"/>
        <v>-2236</v>
      </c>
      <c r="BQ65" s="24">
        <f t="shared" si="243"/>
        <v>-855.63442000000009</v>
      </c>
      <c r="BR65" s="24">
        <f t="shared" si="243"/>
        <v>-3385.5477799904002</v>
      </c>
      <c r="BS65" s="24">
        <f t="shared" si="243"/>
        <v>-3527.4263100414</v>
      </c>
      <c r="BT65" s="24">
        <f t="shared" si="243"/>
        <v>-2700.6071900023999</v>
      </c>
    </row>
    <row r="66" spans="1:72" outlineLevel="1" x14ac:dyDescent="0.25">
      <c r="A66" s="11" t="s">
        <v>71</v>
      </c>
      <c r="C66" s="2"/>
      <c r="D66" s="8">
        <f>Renta_Alta!D66+Masivo!D66+Consumo_Inicial!D66</f>
        <v>0</v>
      </c>
      <c r="E66" s="8">
        <f>Renta_Alta!E66+Masivo!E66+Consumo_Inicial!E66</f>
        <v>0</v>
      </c>
      <c r="F66" s="8">
        <f>Renta_Alta!F66+Masivo!F66+Consumo_Inicial!F66</f>
        <v>0</v>
      </c>
      <c r="G66" s="8">
        <f>Renta_Alta!G66+Masivo!G66+Consumo_Inicial!G66</f>
        <v>0</v>
      </c>
      <c r="H66" s="8">
        <f>Renta_Alta!H66+Masivo!H66+Consumo_Inicial!H66</f>
        <v>0</v>
      </c>
      <c r="I66" s="8">
        <f>Renta_Alta!I66+Masivo!I66+Consumo_Inicial!I66</f>
        <v>0</v>
      </c>
      <c r="J66" s="8">
        <f>Renta_Alta!J66+Masivo!J66+Consumo_Inicial!J66</f>
        <v>0</v>
      </c>
      <c r="K66" s="8">
        <f>Renta_Alta!K66+Masivo!K66+Consumo_Inicial!K66</f>
        <v>0</v>
      </c>
      <c r="L66" s="8">
        <f>Renta_Alta!L66+Masivo!L66+Consumo_Inicial!L66</f>
        <v>0</v>
      </c>
      <c r="M66" s="8">
        <f>Renta_Alta!M66+Masivo!M66+Consumo_Inicial!M66</f>
        <v>0</v>
      </c>
      <c r="N66" s="8">
        <f>Renta_Alta!N66+Masivo!N66+Consumo_Inicial!N66</f>
        <v>0</v>
      </c>
      <c r="O66" s="8">
        <f>Renta_Alta!O66+Masivo!O66+Consumo_Inicial!O66</f>
        <v>0</v>
      </c>
      <c r="P66" s="8">
        <f>Renta_Alta!P66+Masivo!P66+Consumo_Inicial!P66</f>
        <v>0</v>
      </c>
      <c r="Q66" s="8">
        <f>Renta_Alta!Q66+Masivo!Q66+Consumo_Inicial!Q66</f>
        <v>0</v>
      </c>
      <c r="R66" s="8">
        <f>Renta_Alta!R66+Masivo!R66+Consumo_Inicial!R66</f>
        <v>0</v>
      </c>
      <c r="S66" s="8">
        <f>Renta_Alta!S66+Masivo!S66+Consumo_Inicial!S66</f>
        <v>0</v>
      </c>
      <c r="T66" s="8">
        <f>Renta_Alta!T66+Masivo!T66+Consumo_Inicial!T66</f>
        <v>0</v>
      </c>
      <c r="U66" s="8">
        <f>Renta_Alta!U66+Masivo!U66+Consumo_Inicial!U66</f>
        <v>0</v>
      </c>
      <c r="V66" s="8">
        <f>Renta_Alta!V66+Masivo!V66+Consumo_Inicial!V66</f>
        <v>0</v>
      </c>
      <c r="W66" s="8">
        <f>Renta_Alta!W66+Masivo!W66+Consumo_Inicial!W66</f>
        <v>0</v>
      </c>
      <c r="X66" s="8">
        <f>Renta_Alta!X66+Masivo!X66+Consumo_Inicial!X66</f>
        <v>0</v>
      </c>
      <c r="Y66" s="8">
        <f>Renta_Alta!Y66+Masivo!Y66+Consumo_Inicial!Y66</f>
        <v>0</v>
      </c>
      <c r="Z66" s="8">
        <f>Renta_Alta!Z66+Masivo!Z66+Consumo_Inicial!Z66</f>
        <v>0</v>
      </c>
      <c r="AA66" s="8">
        <f>Renta_Alta!AA66+Masivo!AA66+Consumo_Inicial!AA66</f>
        <v>0</v>
      </c>
      <c r="AB66" s="8">
        <f>Renta_Alta!AB66+Masivo!AB66+Consumo_Inicial!AB66</f>
        <v>0</v>
      </c>
      <c r="AC66" s="8">
        <f>Renta_Alta!AC66+Masivo!AC66+Consumo_Inicial!AC66</f>
        <v>0</v>
      </c>
      <c r="AD66" s="8">
        <f>Renta_Alta!AD66+Masivo!AD66+Consumo_Inicial!AD66</f>
        <v>0</v>
      </c>
      <c r="AE66" s="8">
        <f>Renta_Alta!AE66+Masivo!AE66+Consumo_Inicial!AE66</f>
        <v>0</v>
      </c>
      <c r="AF66" s="8">
        <f>Renta_Alta!AF66+Masivo!AF66+Consumo_Inicial!AF66</f>
        <v>0</v>
      </c>
      <c r="AG66" s="8">
        <f>Renta_Alta!AG66+Masivo!AG66+Consumo_Inicial!AG66</f>
        <v>0</v>
      </c>
      <c r="AH66" s="8">
        <f>Renta_Alta!AH66+Masivo!AH66+Consumo_Inicial!AH66</f>
        <v>0</v>
      </c>
      <c r="AI66" s="8">
        <f>Renta_Alta!AI66+Masivo!AI66+Consumo_Inicial!AI66</f>
        <v>0</v>
      </c>
      <c r="AJ66" s="8">
        <f>Renta_Alta!AJ66+Masivo!AJ66+Consumo_Inicial!AJ66</f>
        <v>0</v>
      </c>
      <c r="AK66" s="8">
        <f>Renta_Alta!AK66+Masivo!AK66+Consumo_Inicial!AK66</f>
        <v>0</v>
      </c>
      <c r="AL66" s="8">
        <f>Renta_Alta!AL66+Masivo!AL66+Consumo_Inicial!AL66</f>
        <v>0</v>
      </c>
      <c r="AM66" s="8">
        <f>Renta_Alta!AM66+Masivo!AM66+Consumo_Inicial!AM66</f>
        <v>0</v>
      </c>
      <c r="AN66" s="8">
        <f>Renta_Alta!AN66+Masivo!AN66+Consumo_Inicial!AN66</f>
        <v>0</v>
      </c>
      <c r="AO66" s="8">
        <f>Renta_Alta!AO66+Masivo!AO66+Consumo_Inicial!AO66</f>
        <v>0</v>
      </c>
      <c r="AP66" s="8">
        <f>Renta_Alta!AP66+Masivo!AP66+Consumo_Inicial!AP66</f>
        <v>0</v>
      </c>
      <c r="AQ66" s="8">
        <f>Renta_Alta!AQ66+Masivo!AQ66+Consumo_Inicial!AQ66</f>
        <v>0</v>
      </c>
      <c r="AR66" s="8">
        <f>Renta_Alta!AR66+Masivo!AR66+Consumo_Inicial!AR66</f>
        <v>0</v>
      </c>
      <c r="AS66" s="8">
        <f>Renta_Alta!AS66+Masivo!AS66+Consumo_Inicial!AS66</f>
        <v>0</v>
      </c>
      <c r="AT66" s="8">
        <f>Renta_Alta!AT66+Masivo!AT66+Consumo_Inicial!AT66</f>
        <v>0</v>
      </c>
      <c r="AU66" s="8">
        <f>Renta_Alta!AU66+Masivo!AU66+Consumo_Inicial!AU66</f>
        <v>0</v>
      </c>
      <c r="AV66" s="8">
        <f>Renta_Alta!AV66+Masivo!AV66+Consumo_Inicial!AV66</f>
        <v>0</v>
      </c>
      <c r="AW66" s="8">
        <f>Renta_Alta!AW66+Masivo!AW66+Consumo_Inicial!AW66</f>
        <v>0</v>
      </c>
      <c r="AX66" s="8">
        <f>Renta_Alta!AX66+Masivo!AX66+Consumo_Inicial!AX66</f>
        <v>0</v>
      </c>
      <c r="AY66" s="8">
        <f>Renta_Alta!AY66+Masivo!AY66+Consumo_Inicial!AY66</f>
        <v>0</v>
      </c>
      <c r="AZ66" s="8">
        <f>Renta_Alta!AZ66+Masivo!AZ66+Consumo_Inicial!AZ66</f>
        <v>0</v>
      </c>
      <c r="BA66" s="8">
        <f>Renta_Alta!BA66+Masivo!BA66+Consumo_Inicial!BA66</f>
        <v>0</v>
      </c>
      <c r="BB66" s="8">
        <f>Renta_Alta!BB66+Masivo!BB66+Consumo_Inicial!BB66</f>
        <v>0</v>
      </c>
      <c r="BC66" s="8">
        <f>Renta_Alta!BC66+Masivo!BC66+Consumo_Inicial!BC66</f>
        <v>0</v>
      </c>
      <c r="BD66" s="8">
        <f>Renta_Alta!BD66+Masivo!BD66+Consumo_Inicial!BD66</f>
        <v>0</v>
      </c>
      <c r="BE66" s="8">
        <f>Renta_Alta!BE66+Masivo!BE66+Consumo_Inicial!BE66</f>
        <v>0</v>
      </c>
      <c r="BF66" s="8">
        <f>Renta_Alta!BF66+Masivo!BF66+Consumo_Inicial!BF66</f>
        <v>0</v>
      </c>
      <c r="BG66" s="8">
        <f>Renta_Alta!BG66+Masivo!BG66+Consumo_Inicial!BG66</f>
        <v>0</v>
      </c>
      <c r="BH66" s="8">
        <f>Renta_Alta!BH66+Masivo!BH66+Consumo_Inicial!BH66</f>
        <v>0</v>
      </c>
      <c r="BI66" s="8">
        <f>Renta_Alta!BI66+Masivo!BI66+Consumo_Inicial!BI66</f>
        <v>0</v>
      </c>
      <c r="BJ66" s="8">
        <f>Renta_Alta!BJ66+Masivo!BJ66+Consumo_Inicial!BJ66</f>
        <v>0</v>
      </c>
      <c r="BK66" s="8">
        <f>Renta_Alta!BK66+Masivo!BK66+Consumo_Inicial!BK66</f>
        <v>0</v>
      </c>
      <c r="BO66" s="24">
        <f t="shared" si="243"/>
        <v>0</v>
      </c>
      <c r="BP66" s="24">
        <f t="shared" si="243"/>
        <v>0</v>
      </c>
      <c r="BQ66" s="24">
        <f t="shared" si="243"/>
        <v>0</v>
      </c>
      <c r="BR66" s="24">
        <f t="shared" si="243"/>
        <v>0</v>
      </c>
      <c r="BS66" s="24">
        <f t="shared" si="243"/>
        <v>0</v>
      </c>
      <c r="BT66" s="24">
        <f t="shared" si="243"/>
        <v>0</v>
      </c>
    </row>
    <row r="67" spans="1:72" outlineLevel="1" x14ac:dyDescent="0.25">
      <c r="A67" s="11" t="s">
        <v>71</v>
      </c>
      <c r="C67" s="2"/>
      <c r="D67" s="8">
        <f>Renta_Alta!D67+Masivo!D67+Consumo_Inicial!D67</f>
        <v>0</v>
      </c>
      <c r="E67" s="8">
        <f>Renta_Alta!E67+Masivo!E67+Consumo_Inicial!E67</f>
        <v>0</v>
      </c>
      <c r="F67" s="8">
        <f>Renta_Alta!F67+Masivo!F67+Consumo_Inicial!F67</f>
        <v>0</v>
      </c>
      <c r="G67" s="8">
        <f>Renta_Alta!G67+Masivo!G67+Consumo_Inicial!G67</f>
        <v>0</v>
      </c>
      <c r="H67" s="8">
        <f>Renta_Alta!H67+Masivo!H67+Consumo_Inicial!H67</f>
        <v>0</v>
      </c>
      <c r="I67" s="8">
        <f>Renta_Alta!I67+Masivo!I67+Consumo_Inicial!I67</f>
        <v>0</v>
      </c>
      <c r="J67" s="8">
        <f>Renta_Alta!J67+Masivo!J67+Consumo_Inicial!J67</f>
        <v>0</v>
      </c>
      <c r="K67" s="8">
        <f>Renta_Alta!K67+Masivo!K67+Consumo_Inicial!K67</f>
        <v>0</v>
      </c>
      <c r="L67" s="8">
        <f>Renta_Alta!L67+Masivo!L67+Consumo_Inicial!L67</f>
        <v>0</v>
      </c>
      <c r="M67" s="8">
        <f>Renta_Alta!M67+Masivo!M67+Consumo_Inicial!M67</f>
        <v>0</v>
      </c>
      <c r="N67" s="8">
        <f>Renta_Alta!N67+Masivo!N67+Consumo_Inicial!N67</f>
        <v>0</v>
      </c>
      <c r="O67" s="8">
        <f>Renta_Alta!O67+Masivo!O67+Consumo_Inicial!O67</f>
        <v>0</v>
      </c>
      <c r="P67" s="8">
        <f>Renta_Alta!P67+Masivo!P67+Consumo_Inicial!P67</f>
        <v>0</v>
      </c>
      <c r="Q67" s="8">
        <f>Renta_Alta!Q67+Masivo!Q67+Consumo_Inicial!Q67</f>
        <v>0</v>
      </c>
      <c r="R67" s="8">
        <f>Renta_Alta!R67+Masivo!R67+Consumo_Inicial!R67</f>
        <v>0</v>
      </c>
      <c r="S67" s="8">
        <f>Renta_Alta!S67+Masivo!S67+Consumo_Inicial!S67</f>
        <v>0</v>
      </c>
      <c r="T67" s="8">
        <f>Renta_Alta!T67+Masivo!T67+Consumo_Inicial!T67</f>
        <v>0</v>
      </c>
      <c r="U67" s="8">
        <f>Renta_Alta!U67+Masivo!U67+Consumo_Inicial!U67</f>
        <v>0</v>
      </c>
      <c r="V67" s="8">
        <f>Renta_Alta!V67+Masivo!V67+Consumo_Inicial!V67</f>
        <v>0</v>
      </c>
      <c r="W67" s="8">
        <f>Renta_Alta!W67+Masivo!W67+Consumo_Inicial!W67</f>
        <v>0</v>
      </c>
      <c r="X67" s="8">
        <f>Renta_Alta!X67+Masivo!X67+Consumo_Inicial!X67</f>
        <v>0</v>
      </c>
      <c r="Y67" s="8">
        <f>Renta_Alta!Y67+Masivo!Y67+Consumo_Inicial!Y67</f>
        <v>0</v>
      </c>
      <c r="Z67" s="8">
        <f>Renta_Alta!Z67+Masivo!Z67+Consumo_Inicial!Z67</f>
        <v>0</v>
      </c>
      <c r="AA67" s="8">
        <f>Renta_Alta!AA67+Masivo!AA67+Consumo_Inicial!AA67</f>
        <v>0</v>
      </c>
      <c r="AB67" s="8">
        <f>Renta_Alta!AB67+Masivo!AB67+Consumo_Inicial!AB67</f>
        <v>0</v>
      </c>
      <c r="AC67" s="8">
        <f>Renta_Alta!AC67+Masivo!AC67+Consumo_Inicial!AC67</f>
        <v>0</v>
      </c>
      <c r="AD67" s="8">
        <f>Renta_Alta!AD67+Masivo!AD67+Consumo_Inicial!AD67</f>
        <v>0</v>
      </c>
      <c r="AE67" s="8">
        <f>Renta_Alta!AE67+Masivo!AE67+Consumo_Inicial!AE67</f>
        <v>0</v>
      </c>
      <c r="AF67" s="8">
        <f>Renta_Alta!AF67+Masivo!AF67+Consumo_Inicial!AF67</f>
        <v>0</v>
      </c>
      <c r="AG67" s="8">
        <f>Renta_Alta!AG67+Masivo!AG67+Consumo_Inicial!AG67</f>
        <v>0</v>
      </c>
      <c r="AH67" s="8">
        <f>Renta_Alta!AH67+Masivo!AH67+Consumo_Inicial!AH67</f>
        <v>0</v>
      </c>
      <c r="AI67" s="8">
        <f>Renta_Alta!AI67+Masivo!AI67+Consumo_Inicial!AI67</f>
        <v>0</v>
      </c>
      <c r="AJ67" s="8">
        <f>Renta_Alta!AJ67+Masivo!AJ67+Consumo_Inicial!AJ67</f>
        <v>0</v>
      </c>
      <c r="AK67" s="8">
        <f>Renta_Alta!AK67+Masivo!AK67+Consumo_Inicial!AK67</f>
        <v>0</v>
      </c>
      <c r="AL67" s="8">
        <f>Renta_Alta!AL67+Masivo!AL67+Consumo_Inicial!AL67</f>
        <v>0</v>
      </c>
      <c r="AM67" s="8">
        <f>Renta_Alta!AM67+Masivo!AM67+Consumo_Inicial!AM67</f>
        <v>0</v>
      </c>
      <c r="AN67" s="8">
        <f>Renta_Alta!AN67+Masivo!AN67+Consumo_Inicial!AN67</f>
        <v>0</v>
      </c>
      <c r="AO67" s="8">
        <f>Renta_Alta!AO67+Masivo!AO67+Consumo_Inicial!AO67</f>
        <v>0</v>
      </c>
      <c r="AP67" s="8">
        <f>Renta_Alta!AP67+Masivo!AP67+Consumo_Inicial!AP67</f>
        <v>0</v>
      </c>
      <c r="AQ67" s="8">
        <f>Renta_Alta!AQ67+Masivo!AQ67+Consumo_Inicial!AQ67</f>
        <v>0</v>
      </c>
      <c r="AR67" s="8">
        <f>Renta_Alta!AR67+Masivo!AR67+Consumo_Inicial!AR67</f>
        <v>0</v>
      </c>
      <c r="AS67" s="8">
        <f>Renta_Alta!AS67+Masivo!AS67+Consumo_Inicial!AS67</f>
        <v>0</v>
      </c>
      <c r="AT67" s="8">
        <f>Renta_Alta!AT67+Masivo!AT67+Consumo_Inicial!AT67</f>
        <v>0</v>
      </c>
      <c r="AU67" s="8">
        <f>Renta_Alta!AU67+Masivo!AU67+Consumo_Inicial!AU67</f>
        <v>0</v>
      </c>
      <c r="AV67" s="8">
        <f>Renta_Alta!AV67+Masivo!AV67+Consumo_Inicial!AV67</f>
        <v>0</v>
      </c>
      <c r="AW67" s="8">
        <f>Renta_Alta!AW67+Masivo!AW67+Consumo_Inicial!AW67</f>
        <v>0</v>
      </c>
      <c r="AX67" s="8">
        <f>Renta_Alta!AX67+Masivo!AX67+Consumo_Inicial!AX67</f>
        <v>0</v>
      </c>
      <c r="AY67" s="8">
        <f>Renta_Alta!AY67+Masivo!AY67+Consumo_Inicial!AY67</f>
        <v>0</v>
      </c>
      <c r="AZ67" s="8">
        <f>Renta_Alta!AZ67+Masivo!AZ67+Consumo_Inicial!AZ67</f>
        <v>0</v>
      </c>
      <c r="BA67" s="8">
        <f>Renta_Alta!BA67+Masivo!BA67+Consumo_Inicial!BA67</f>
        <v>0</v>
      </c>
      <c r="BB67" s="8">
        <f>Renta_Alta!BB67+Masivo!BB67+Consumo_Inicial!BB67</f>
        <v>0</v>
      </c>
      <c r="BC67" s="8">
        <f>Renta_Alta!BC67+Masivo!BC67+Consumo_Inicial!BC67</f>
        <v>0</v>
      </c>
      <c r="BD67" s="8">
        <f>Renta_Alta!BD67+Masivo!BD67+Consumo_Inicial!BD67</f>
        <v>0</v>
      </c>
      <c r="BE67" s="8">
        <f>Renta_Alta!BE67+Masivo!BE67+Consumo_Inicial!BE67</f>
        <v>0</v>
      </c>
      <c r="BF67" s="8">
        <f>Renta_Alta!BF67+Masivo!BF67+Consumo_Inicial!BF67</f>
        <v>0</v>
      </c>
      <c r="BG67" s="8">
        <f>Renta_Alta!BG67+Masivo!BG67+Consumo_Inicial!BG67</f>
        <v>0</v>
      </c>
      <c r="BH67" s="8">
        <f>Renta_Alta!BH67+Masivo!BH67+Consumo_Inicial!BH67</f>
        <v>0</v>
      </c>
      <c r="BI67" s="8">
        <f>Renta_Alta!BI67+Masivo!BI67+Consumo_Inicial!BI67</f>
        <v>0</v>
      </c>
      <c r="BJ67" s="8">
        <f>Renta_Alta!BJ67+Masivo!BJ67+Consumo_Inicial!BJ67</f>
        <v>0</v>
      </c>
      <c r="BK67" s="8">
        <f>Renta_Alta!BK67+Masivo!BK67+Consumo_Inicial!BK67</f>
        <v>0</v>
      </c>
      <c r="BO67" s="24">
        <f t="shared" si="243"/>
        <v>0</v>
      </c>
      <c r="BP67" s="24">
        <f t="shared" si="243"/>
        <v>0</v>
      </c>
      <c r="BQ67" s="24">
        <f t="shared" si="243"/>
        <v>0</v>
      </c>
      <c r="BR67" s="24">
        <f t="shared" si="243"/>
        <v>0</v>
      </c>
      <c r="BS67" s="24">
        <f t="shared" si="243"/>
        <v>0</v>
      </c>
      <c r="BT67" s="24">
        <f t="shared" si="243"/>
        <v>0</v>
      </c>
    </row>
    <row r="68" spans="1:72" outlineLevel="1" x14ac:dyDescent="0.25">
      <c r="A68" s="11" t="s">
        <v>71</v>
      </c>
      <c r="C68" s="2"/>
      <c r="D68" s="8">
        <f>Renta_Alta!D68+Masivo!D68+Consumo_Inicial!D68</f>
        <v>0</v>
      </c>
      <c r="E68" s="8">
        <f>Renta_Alta!E68+Masivo!E68+Consumo_Inicial!E68</f>
        <v>0</v>
      </c>
      <c r="F68" s="8">
        <f>Renta_Alta!F68+Masivo!F68+Consumo_Inicial!F68</f>
        <v>0</v>
      </c>
      <c r="G68" s="8">
        <f>Renta_Alta!G68+Masivo!G68+Consumo_Inicial!G68</f>
        <v>0</v>
      </c>
      <c r="H68" s="8">
        <f>Renta_Alta!H68+Masivo!H68+Consumo_Inicial!H68</f>
        <v>0</v>
      </c>
      <c r="I68" s="8">
        <f>Renta_Alta!I68+Masivo!I68+Consumo_Inicial!I68</f>
        <v>0</v>
      </c>
      <c r="J68" s="8">
        <f>Renta_Alta!J68+Masivo!J68+Consumo_Inicial!J68</f>
        <v>0</v>
      </c>
      <c r="K68" s="8">
        <f>Renta_Alta!K68+Masivo!K68+Consumo_Inicial!K68</f>
        <v>0</v>
      </c>
      <c r="L68" s="8">
        <f>Renta_Alta!L68+Masivo!L68+Consumo_Inicial!L68</f>
        <v>0</v>
      </c>
      <c r="M68" s="8">
        <f>Renta_Alta!M68+Masivo!M68+Consumo_Inicial!M68</f>
        <v>0</v>
      </c>
      <c r="N68" s="8">
        <f>Renta_Alta!N68+Masivo!N68+Consumo_Inicial!N68</f>
        <v>0</v>
      </c>
      <c r="O68" s="8">
        <f>Renta_Alta!O68+Masivo!O68+Consumo_Inicial!O68</f>
        <v>0</v>
      </c>
      <c r="P68" s="8">
        <f>Renta_Alta!P68+Masivo!P68+Consumo_Inicial!P68</f>
        <v>0</v>
      </c>
      <c r="Q68" s="8">
        <f>Renta_Alta!Q68+Masivo!Q68+Consumo_Inicial!Q68</f>
        <v>0</v>
      </c>
      <c r="R68" s="8">
        <f>Renta_Alta!R68+Masivo!R68+Consumo_Inicial!R68</f>
        <v>0</v>
      </c>
      <c r="S68" s="8">
        <f>Renta_Alta!S68+Masivo!S68+Consumo_Inicial!S68</f>
        <v>0</v>
      </c>
      <c r="T68" s="8">
        <f>Renta_Alta!T68+Masivo!T68+Consumo_Inicial!T68</f>
        <v>0</v>
      </c>
      <c r="U68" s="8">
        <f>Renta_Alta!U68+Masivo!U68+Consumo_Inicial!U68</f>
        <v>0</v>
      </c>
      <c r="V68" s="8">
        <f>Renta_Alta!V68+Masivo!V68+Consumo_Inicial!V68</f>
        <v>0</v>
      </c>
      <c r="W68" s="8">
        <f>Renta_Alta!W68+Masivo!W68+Consumo_Inicial!W68</f>
        <v>0</v>
      </c>
      <c r="X68" s="8">
        <f>Renta_Alta!X68+Masivo!X68+Consumo_Inicial!X68</f>
        <v>0</v>
      </c>
      <c r="Y68" s="8">
        <f>Renta_Alta!Y68+Masivo!Y68+Consumo_Inicial!Y68</f>
        <v>0</v>
      </c>
      <c r="Z68" s="8">
        <f>Renta_Alta!Z68+Masivo!Z68+Consumo_Inicial!Z68</f>
        <v>0</v>
      </c>
      <c r="AA68" s="8">
        <f>Renta_Alta!AA68+Masivo!AA68+Consumo_Inicial!AA68</f>
        <v>0</v>
      </c>
      <c r="AB68" s="8">
        <f>Renta_Alta!AB68+Masivo!AB68+Consumo_Inicial!AB68</f>
        <v>0</v>
      </c>
      <c r="AC68" s="8">
        <f>Renta_Alta!AC68+Masivo!AC68+Consumo_Inicial!AC68</f>
        <v>0</v>
      </c>
      <c r="AD68" s="8">
        <f>Renta_Alta!AD68+Masivo!AD68+Consumo_Inicial!AD68</f>
        <v>0</v>
      </c>
      <c r="AE68" s="8">
        <f>Renta_Alta!AE68+Masivo!AE68+Consumo_Inicial!AE68</f>
        <v>0</v>
      </c>
      <c r="AF68" s="8">
        <f>Renta_Alta!AF68+Masivo!AF68+Consumo_Inicial!AF68</f>
        <v>0</v>
      </c>
      <c r="AG68" s="8">
        <f>Renta_Alta!AG68+Masivo!AG68+Consumo_Inicial!AG68</f>
        <v>0</v>
      </c>
      <c r="AH68" s="8">
        <f>Renta_Alta!AH68+Masivo!AH68+Consumo_Inicial!AH68</f>
        <v>0</v>
      </c>
      <c r="AI68" s="8">
        <f>Renta_Alta!AI68+Masivo!AI68+Consumo_Inicial!AI68</f>
        <v>0</v>
      </c>
      <c r="AJ68" s="8">
        <f>Renta_Alta!AJ68+Masivo!AJ68+Consumo_Inicial!AJ68</f>
        <v>0</v>
      </c>
      <c r="AK68" s="8">
        <f>Renta_Alta!AK68+Masivo!AK68+Consumo_Inicial!AK68</f>
        <v>0</v>
      </c>
      <c r="AL68" s="8">
        <f>Renta_Alta!AL68+Masivo!AL68+Consumo_Inicial!AL68</f>
        <v>0</v>
      </c>
      <c r="AM68" s="8">
        <f>Renta_Alta!AM68+Masivo!AM68+Consumo_Inicial!AM68</f>
        <v>0</v>
      </c>
      <c r="AN68" s="8">
        <f>Renta_Alta!AN68+Masivo!AN68+Consumo_Inicial!AN68</f>
        <v>0</v>
      </c>
      <c r="AO68" s="8">
        <f>Renta_Alta!AO68+Masivo!AO68+Consumo_Inicial!AO68</f>
        <v>0</v>
      </c>
      <c r="AP68" s="8">
        <f>Renta_Alta!AP68+Masivo!AP68+Consumo_Inicial!AP68</f>
        <v>0</v>
      </c>
      <c r="AQ68" s="8">
        <f>Renta_Alta!AQ68+Masivo!AQ68+Consumo_Inicial!AQ68</f>
        <v>0</v>
      </c>
      <c r="AR68" s="8">
        <f>Renta_Alta!AR68+Masivo!AR68+Consumo_Inicial!AR68</f>
        <v>0</v>
      </c>
      <c r="AS68" s="8">
        <f>Renta_Alta!AS68+Masivo!AS68+Consumo_Inicial!AS68</f>
        <v>0</v>
      </c>
      <c r="AT68" s="8">
        <f>Renta_Alta!AT68+Masivo!AT68+Consumo_Inicial!AT68</f>
        <v>0</v>
      </c>
      <c r="AU68" s="8">
        <f>Renta_Alta!AU68+Masivo!AU68+Consumo_Inicial!AU68</f>
        <v>0</v>
      </c>
      <c r="AV68" s="8">
        <f>Renta_Alta!AV68+Masivo!AV68+Consumo_Inicial!AV68</f>
        <v>0</v>
      </c>
      <c r="AW68" s="8">
        <f>Renta_Alta!AW68+Masivo!AW68+Consumo_Inicial!AW68</f>
        <v>0</v>
      </c>
      <c r="AX68" s="8">
        <f>Renta_Alta!AX68+Masivo!AX68+Consumo_Inicial!AX68</f>
        <v>0</v>
      </c>
      <c r="AY68" s="8">
        <f>Renta_Alta!AY68+Masivo!AY68+Consumo_Inicial!AY68</f>
        <v>0</v>
      </c>
      <c r="AZ68" s="8">
        <f>Renta_Alta!AZ68+Masivo!AZ68+Consumo_Inicial!AZ68</f>
        <v>0</v>
      </c>
      <c r="BA68" s="8">
        <f>Renta_Alta!BA68+Masivo!BA68+Consumo_Inicial!BA68</f>
        <v>0</v>
      </c>
      <c r="BB68" s="8">
        <f>Renta_Alta!BB68+Masivo!BB68+Consumo_Inicial!BB68</f>
        <v>0</v>
      </c>
      <c r="BC68" s="8">
        <f>Renta_Alta!BC68+Masivo!BC68+Consumo_Inicial!BC68</f>
        <v>0</v>
      </c>
      <c r="BD68" s="8">
        <f>Renta_Alta!BD68+Masivo!BD68+Consumo_Inicial!BD68</f>
        <v>0</v>
      </c>
      <c r="BE68" s="8">
        <f>Renta_Alta!BE68+Masivo!BE68+Consumo_Inicial!BE68</f>
        <v>0</v>
      </c>
      <c r="BF68" s="8">
        <f>Renta_Alta!BF68+Masivo!BF68+Consumo_Inicial!BF68</f>
        <v>0</v>
      </c>
      <c r="BG68" s="8">
        <f>Renta_Alta!BG68+Masivo!BG68+Consumo_Inicial!BG68</f>
        <v>0</v>
      </c>
      <c r="BH68" s="8">
        <f>Renta_Alta!BH68+Masivo!BH68+Consumo_Inicial!BH68</f>
        <v>0</v>
      </c>
      <c r="BI68" s="8">
        <f>Renta_Alta!BI68+Masivo!BI68+Consumo_Inicial!BI68</f>
        <v>0</v>
      </c>
      <c r="BJ68" s="8">
        <f>Renta_Alta!BJ68+Masivo!BJ68+Consumo_Inicial!BJ68</f>
        <v>0</v>
      </c>
      <c r="BK68" s="8">
        <f>Renta_Alta!BK68+Masivo!BK68+Consumo_Inicial!BK68</f>
        <v>0</v>
      </c>
      <c r="BO68" s="24">
        <f t="shared" si="243"/>
        <v>0</v>
      </c>
      <c r="BP68" s="24">
        <f t="shared" si="243"/>
        <v>0</v>
      </c>
      <c r="BQ68" s="24">
        <f t="shared" si="243"/>
        <v>0</v>
      </c>
      <c r="BR68" s="24">
        <f t="shared" si="243"/>
        <v>0</v>
      </c>
      <c r="BS68" s="24">
        <f t="shared" si="243"/>
        <v>0</v>
      </c>
      <c r="BT68" s="24">
        <f t="shared" si="243"/>
        <v>0</v>
      </c>
    </row>
    <row r="69" spans="1:72" outlineLevel="1" x14ac:dyDescent="0.25">
      <c r="A69" s="11" t="s">
        <v>71</v>
      </c>
      <c r="C69" s="2"/>
      <c r="D69" s="8">
        <f>Renta_Alta!D69+Masivo!D69+Consumo_Inicial!D69</f>
        <v>0</v>
      </c>
      <c r="E69" s="8">
        <f>Renta_Alta!E69+Masivo!E69+Consumo_Inicial!E69</f>
        <v>0</v>
      </c>
      <c r="F69" s="8">
        <f>Renta_Alta!F69+Masivo!F69+Consumo_Inicial!F69</f>
        <v>0</v>
      </c>
      <c r="G69" s="8">
        <f>Renta_Alta!G69+Masivo!G69+Consumo_Inicial!G69</f>
        <v>0</v>
      </c>
      <c r="H69" s="8">
        <f>Renta_Alta!H69+Masivo!H69+Consumo_Inicial!H69</f>
        <v>0</v>
      </c>
      <c r="I69" s="8">
        <f>Renta_Alta!I69+Masivo!I69+Consumo_Inicial!I69</f>
        <v>0</v>
      </c>
      <c r="J69" s="8">
        <f>Renta_Alta!J69+Masivo!J69+Consumo_Inicial!J69</f>
        <v>0</v>
      </c>
      <c r="K69" s="8">
        <f>Renta_Alta!K69+Masivo!K69+Consumo_Inicial!K69</f>
        <v>0</v>
      </c>
      <c r="L69" s="8">
        <f>Renta_Alta!L69+Masivo!L69+Consumo_Inicial!L69</f>
        <v>0</v>
      </c>
      <c r="M69" s="8">
        <f>Renta_Alta!M69+Masivo!M69+Consumo_Inicial!M69</f>
        <v>0</v>
      </c>
      <c r="N69" s="8">
        <f>Renta_Alta!N69+Masivo!N69+Consumo_Inicial!N69</f>
        <v>0</v>
      </c>
      <c r="O69" s="8">
        <f>Renta_Alta!O69+Masivo!O69+Consumo_Inicial!O69</f>
        <v>0</v>
      </c>
      <c r="P69" s="8">
        <f>Renta_Alta!P69+Masivo!P69+Consumo_Inicial!P69</f>
        <v>0</v>
      </c>
      <c r="Q69" s="8">
        <f>Renta_Alta!Q69+Masivo!Q69+Consumo_Inicial!Q69</f>
        <v>0</v>
      </c>
      <c r="R69" s="8">
        <f>Renta_Alta!R69+Masivo!R69+Consumo_Inicial!R69</f>
        <v>0</v>
      </c>
      <c r="S69" s="8">
        <f>Renta_Alta!S69+Masivo!S69+Consumo_Inicial!S69</f>
        <v>0</v>
      </c>
      <c r="T69" s="8">
        <f>Renta_Alta!T69+Masivo!T69+Consumo_Inicial!T69</f>
        <v>0</v>
      </c>
      <c r="U69" s="8">
        <f>Renta_Alta!U69+Masivo!U69+Consumo_Inicial!U69</f>
        <v>0</v>
      </c>
      <c r="V69" s="8">
        <f>Renta_Alta!V69+Masivo!V69+Consumo_Inicial!V69</f>
        <v>0</v>
      </c>
      <c r="W69" s="8">
        <f>Renta_Alta!W69+Masivo!W69+Consumo_Inicial!W69</f>
        <v>0</v>
      </c>
      <c r="X69" s="8">
        <f>Renta_Alta!X69+Masivo!X69+Consumo_Inicial!X69</f>
        <v>0</v>
      </c>
      <c r="Y69" s="8">
        <f>Renta_Alta!Y69+Masivo!Y69+Consumo_Inicial!Y69</f>
        <v>0</v>
      </c>
      <c r="Z69" s="8">
        <f>Renta_Alta!Z69+Masivo!Z69+Consumo_Inicial!Z69</f>
        <v>0</v>
      </c>
      <c r="AA69" s="8">
        <f>Renta_Alta!AA69+Masivo!AA69+Consumo_Inicial!AA69</f>
        <v>0</v>
      </c>
      <c r="AB69" s="8">
        <f>Renta_Alta!AB69+Masivo!AB69+Consumo_Inicial!AB69</f>
        <v>0</v>
      </c>
      <c r="AC69" s="8">
        <f>Renta_Alta!AC69+Masivo!AC69+Consumo_Inicial!AC69</f>
        <v>0</v>
      </c>
      <c r="AD69" s="8">
        <f>Renta_Alta!AD69+Masivo!AD69+Consumo_Inicial!AD69</f>
        <v>0</v>
      </c>
      <c r="AE69" s="8">
        <f>Renta_Alta!AE69+Masivo!AE69+Consumo_Inicial!AE69</f>
        <v>0</v>
      </c>
      <c r="AF69" s="8">
        <f>Renta_Alta!AF69+Masivo!AF69+Consumo_Inicial!AF69</f>
        <v>0</v>
      </c>
      <c r="AG69" s="8">
        <f>Renta_Alta!AG69+Masivo!AG69+Consumo_Inicial!AG69</f>
        <v>0</v>
      </c>
      <c r="AH69" s="8">
        <f>Renta_Alta!AH69+Masivo!AH69+Consumo_Inicial!AH69</f>
        <v>0</v>
      </c>
      <c r="AI69" s="8">
        <f>Renta_Alta!AI69+Masivo!AI69+Consumo_Inicial!AI69</f>
        <v>0</v>
      </c>
      <c r="AJ69" s="8">
        <f>Renta_Alta!AJ69+Masivo!AJ69+Consumo_Inicial!AJ69</f>
        <v>0</v>
      </c>
      <c r="AK69" s="8">
        <f>Renta_Alta!AK69+Masivo!AK69+Consumo_Inicial!AK69</f>
        <v>0</v>
      </c>
      <c r="AL69" s="8">
        <f>Renta_Alta!AL69+Masivo!AL69+Consumo_Inicial!AL69</f>
        <v>0</v>
      </c>
      <c r="AM69" s="8">
        <f>Renta_Alta!AM69+Masivo!AM69+Consumo_Inicial!AM69</f>
        <v>0</v>
      </c>
      <c r="AN69" s="8">
        <f>Renta_Alta!AN69+Masivo!AN69+Consumo_Inicial!AN69</f>
        <v>0</v>
      </c>
      <c r="AO69" s="8">
        <f>Renta_Alta!AO69+Masivo!AO69+Consumo_Inicial!AO69</f>
        <v>0</v>
      </c>
      <c r="AP69" s="8">
        <f>Renta_Alta!AP69+Masivo!AP69+Consumo_Inicial!AP69</f>
        <v>0</v>
      </c>
      <c r="AQ69" s="8">
        <f>Renta_Alta!AQ69+Masivo!AQ69+Consumo_Inicial!AQ69</f>
        <v>0</v>
      </c>
      <c r="AR69" s="8">
        <f>Renta_Alta!AR69+Masivo!AR69+Consumo_Inicial!AR69</f>
        <v>0</v>
      </c>
      <c r="AS69" s="8">
        <f>Renta_Alta!AS69+Masivo!AS69+Consumo_Inicial!AS69</f>
        <v>0</v>
      </c>
      <c r="AT69" s="8">
        <f>Renta_Alta!AT69+Masivo!AT69+Consumo_Inicial!AT69</f>
        <v>0</v>
      </c>
      <c r="AU69" s="8">
        <f>Renta_Alta!AU69+Masivo!AU69+Consumo_Inicial!AU69</f>
        <v>0</v>
      </c>
      <c r="AV69" s="8">
        <f>Renta_Alta!AV69+Masivo!AV69+Consumo_Inicial!AV69</f>
        <v>0</v>
      </c>
      <c r="AW69" s="8">
        <f>Renta_Alta!AW69+Masivo!AW69+Consumo_Inicial!AW69</f>
        <v>0</v>
      </c>
      <c r="AX69" s="8">
        <f>Renta_Alta!AX69+Masivo!AX69+Consumo_Inicial!AX69</f>
        <v>0</v>
      </c>
      <c r="AY69" s="8">
        <f>Renta_Alta!AY69+Masivo!AY69+Consumo_Inicial!AY69</f>
        <v>0</v>
      </c>
      <c r="AZ69" s="8">
        <f>Renta_Alta!AZ69+Masivo!AZ69+Consumo_Inicial!AZ69</f>
        <v>0</v>
      </c>
      <c r="BA69" s="8">
        <f>Renta_Alta!BA69+Masivo!BA69+Consumo_Inicial!BA69</f>
        <v>0</v>
      </c>
      <c r="BB69" s="8">
        <f>Renta_Alta!BB69+Masivo!BB69+Consumo_Inicial!BB69</f>
        <v>0</v>
      </c>
      <c r="BC69" s="8">
        <f>Renta_Alta!BC69+Masivo!BC69+Consumo_Inicial!BC69</f>
        <v>0</v>
      </c>
      <c r="BD69" s="8">
        <f>Renta_Alta!BD69+Masivo!BD69+Consumo_Inicial!BD69</f>
        <v>0</v>
      </c>
      <c r="BE69" s="8">
        <f>Renta_Alta!BE69+Masivo!BE69+Consumo_Inicial!BE69</f>
        <v>0</v>
      </c>
      <c r="BF69" s="8">
        <f>Renta_Alta!BF69+Masivo!BF69+Consumo_Inicial!BF69</f>
        <v>0</v>
      </c>
      <c r="BG69" s="8">
        <f>Renta_Alta!BG69+Masivo!BG69+Consumo_Inicial!BG69</f>
        <v>0</v>
      </c>
      <c r="BH69" s="8">
        <f>Renta_Alta!BH69+Masivo!BH69+Consumo_Inicial!BH69</f>
        <v>0</v>
      </c>
      <c r="BI69" s="8">
        <f>Renta_Alta!BI69+Masivo!BI69+Consumo_Inicial!BI69</f>
        <v>0</v>
      </c>
      <c r="BJ69" s="8">
        <f>Renta_Alta!BJ69+Masivo!BJ69+Consumo_Inicial!BJ69</f>
        <v>0</v>
      </c>
      <c r="BK69" s="8">
        <f>Renta_Alta!BK69+Masivo!BK69+Consumo_Inicial!BK69</f>
        <v>0</v>
      </c>
      <c r="BO69" s="24">
        <f t="shared" si="243"/>
        <v>0</v>
      </c>
      <c r="BP69" s="24">
        <f t="shared" si="243"/>
        <v>0</v>
      </c>
      <c r="BQ69" s="24">
        <f t="shared" si="243"/>
        <v>0</v>
      </c>
      <c r="BR69" s="24">
        <f t="shared" si="243"/>
        <v>0</v>
      </c>
      <c r="BS69" s="24">
        <f t="shared" si="243"/>
        <v>0</v>
      </c>
      <c r="BT69" s="24">
        <f t="shared" si="243"/>
        <v>0</v>
      </c>
    </row>
    <row r="70" spans="1:72" outlineLevel="1" x14ac:dyDescent="0.25">
      <c r="A70" s="11" t="s">
        <v>71</v>
      </c>
      <c r="C70" s="2"/>
      <c r="D70" s="8">
        <f>Renta_Alta!D70+Masivo!D70+Consumo_Inicial!D70</f>
        <v>0</v>
      </c>
      <c r="E70" s="8">
        <f>Renta_Alta!E70+Masivo!E70+Consumo_Inicial!E70</f>
        <v>0</v>
      </c>
      <c r="F70" s="8">
        <f>Renta_Alta!F70+Masivo!F70+Consumo_Inicial!F70</f>
        <v>0</v>
      </c>
      <c r="G70" s="8">
        <f>Renta_Alta!G70+Masivo!G70+Consumo_Inicial!G70</f>
        <v>0</v>
      </c>
      <c r="H70" s="8">
        <f>Renta_Alta!H70+Masivo!H70+Consumo_Inicial!H70</f>
        <v>0</v>
      </c>
      <c r="I70" s="8">
        <f>Renta_Alta!I70+Masivo!I70+Consumo_Inicial!I70</f>
        <v>0</v>
      </c>
      <c r="J70" s="8">
        <f>Renta_Alta!J70+Masivo!J70+Consumo_Inicial!J70</f>
        <v>0</v>
      </c>
      <c r="K70" s="8">
        <f>Renta_Alta!K70+Masivo!K70+Consumo_Inicial!K70</f>
        <v>0</v>
      </c>
      <c r="L70" s="8">
        <f>Renta_Alta!L70+Masivo!L70+Consumo_Inicial!L70</f>
        <v>0</v>
      </c>
      <c r="M70" s="8">
        <f>Renta_Alta!M70+Masivo!M70+Consumo_Inicial!M70</f>
        <v>0</v>
      </c>
      <c r="N70" s="8">
        <f>Renta_Alta!N70+Masivo!N70+Consumo_Inicial!N70</f>
        <v>0</v>
      </c>
      <c r="O70" s="8">
        <f>Renta_Alta!O70+Masivo!O70+Consumo_Inicial!O70</f>
        <v>0</v>
      </c>
      <c r="P70" s="8">
        <f>Renta_Alta!P70+Masivo!P70+Consumo_Inicial!P70</f>
        <v>0</v>
      </c>
      <c r="Q70" s="8">
        <f>Renta_Alta!Q70+Masivo!Q70+Consumo_Inicial!Q70</f>
        <v>0</v>
      </c>
      <c r="R70" s="8">
        <f>Renta_Alta!R70+Masivo!R70+Consumo_Inicial!R70</f>
        <v>0</v>
      </c>
      <c r="S70" s="8">
        <f>Renta_Alta!S70+Masivo!S70+Consumo_Inicial!S70</f>
        <v>0</v>
      </c>
      <c r="T70" s="8">
        <f>Renta_Alta!T70+Masivo!T70+Consumo_Inicial!T70</f>
        <v>0</v>
      </c>
      <c r="U70" s="8">
        <f>Renta_Alta!U70+Masivo!U70+Consumo_Inicial!U70</f>
        <v>0</v>
      </c>
      <c r="V70" s="8">
        <f>Renta_Alta!V70+Masivo!V70+Consumo_Inicial!V70</f>
        <v>0</v>
      </c>
      <c r="W70" s="8">
        <f>Renta_Alta!W70+Masivo!W70+Consumo_Inicial!W70</f>
        <v>0</v>
      </c>
      <c r="X70" s="8">
        <f>Renta_Alta!X70+Masivo!X70+Consumo_Inicial!X70</f>
        <v>0</v>
      </c>
      <c r="Y70" s="8">
        <f>Renta_Alta!Y70+Masivo!Y70+Consumo_Inicial!Y70</f>
        <v>0</v>
      </c>
      <c r="Z70" s="8">
        <f>Renta_Alta!Z70+Masivo!Z70+Consumo_Inicial!Z70</f>
        <v>0</v>
      </c>
      <c r="AA70" s="8">
        <f>Renta_Alta!AA70+Masivo!AA70+Consumo_Inicial!AA70</f>
        <v>0</v>
      </c>
      <c r="AB70" s="8">
        <f>Renta_Alta!AB70+Masivo!AB70+Consumo_Inicial!AB70</f>
        <v>0</v>
      </c>
      <c r="AC70" s="8">
        <f>Renta_Alta!AC70+Masivo!AC70+Consumo_Inicial!AC70</f>
        <v>0</v>
      </c>
      <c r="AD70" s="8">
        <f>Renta_Alta!AD70+Masivo!AD70+Consumo_Inicial!AD70</f>
        <v>0</v>
      </c>
      <c r="AE70" s="8">
        <f>Renta_Alta!AE70+Masivo!AE70+Consumo_Inicial!AE70</f>
        <v>0</v>
      </c>
      <c r="AF70" s="8">
        <f>Renta_Alta!AF70+Masivo!AF70+Consumo_Inicial!AF70</f>
        <v>0</v>
      </c>
      <c r="AG70" s="8">
        <f>Renta_Alta!AG70+Masivo!AG70+Consumo_Inicial!AG70</f>
        <v>0</v>
      </c>
      <c r="AH70" s="8">
        <f>Renta_Alta!AH70+Masivo!AH70+Consumo_Inicial!AH70</f>
        <v>0</v>
      </c>
      <c r="AI70" s="8">
        <f>Renta_Alta!AI70+Masivo!AI70+Consumo_Inicial!AI70</f>
        <v>0</v>
      </c>
      <c r="AJ70" s="8">
        <f>Renta_Alta!AJ70+Masivo!AJ70+Consumo_Inicial!AJ70</f>
        <v>0</v>
      </c>
      <c r="AK70" s="8">
        <f>Renta_Alta!AK70+Masivo!AK70+Consumo_Inicial!AK70</f>
        <v>0</v>
      </c>
      <c r="AL70" s="8">
        <f>Renta_Alta!AL70+Masivo!AL70+Consumo_Inicial!AL70</f>
        <v>0</v>
      </c>
      <c r="AM70" s="8">
        <f>Renta_Alta!AM70+Masivo!AM70+Consumo_Inicial!AM70</f>
        <v>0</v>
      </c>
      <c r="AN70" s="8">
        <f>Renta_Alta!AN70+Masivo!AN70+Consumo_Inicial!AN70</f>
        <v>0</v>
      </c>
      <c r="AO70" s="8">
        <f>Renta_Alta!AO70+Masivo!AO70+Consumo_Inicial!AO70</f>
        <v>0</v>
      </c>
      <c r="AP70" s="8">
        <f>Renta_Alta!AP70+Masivo!AP70+Consumo_Inicial!AP70</f>
        <v>0</v>
      </c>
      <c r="AQ70" s="8">
        <f>Renta_Alta!AQ70+Masivo!AQ70+Consumo_Inicial!AQ70</f>
        <v>0</v>
      </c>
      <c r="AR70" s="8">
        <f>Renta_Alta!AR70+Masivo!AR70+Consumo_Inicial!AR70</f>
        <v>0</v>
      </c>
      <c r="AS70" s="8">
        <f>Renta_Alta!AS70+Masivo!AS70+Consumo_Inicial!AS70</f>
        <v>0</v>
      </c>
      <c r="AT70" s="8">
        <f>Renta_Alta!AT70+Masivo!AT70+Consumo_Inicial!AT70</f>
        <v>0</v>
      </c>
      <c r="AU70" s="8">
        <f>Renta_Alta!AU70+Masivo!AU70+Consumo_Inicial!AU70</f>
        <v>0</v>
      </c>
      <c r="AV70" s="8">
        <f>Renta_Alta!AV70+Masivo!AV70+Consumo_Inicial!AV70</f>
        <v>0</v>
      </c>
      <c r="AW70" s="8">
        <f>Renta_Alta!AW70+Masivo!AW70+Consumo_Inicial!AW70</f>
        <v>0</v>
      </c>
      <c r="AX70" s="8">
        <f>Renta_Alta!AX70+Masivo!AX70+Consumo_Inicial!AX70</f>
        <v>0</v>
      </c>
      <c r="AY70" s="8">
        <f>Renta_Alta!AY70+Masivo!AY70+Consumo_Inicial!AY70</f>
        <v>0</v>
      </c>
      <c r="AZ70" s="8">
        <f>Renta_Alta!AZ70+Masivo!AZ70+Consumo_Inicial!AZ70</f>
        <v>0</v>
      </c>
      <c r="BA70" s="8">
        <f>Renta_Alta!BA70+Masivo!BA70+Consumo_Inicial!BA70</f>
        <v>0</v>
      </c>
      <c r="BB70" s="8">
        <f>Renta_Alta!BB70+Masivo!BB70+Consumo_Inicial!BB70</f>
        <v>0</v>
      </c>
      <c r="BC70" s="8">
        <f>Renta_Alta!BC70+Masivo!BC70+Consumo_Inicial!BC70</f>
        <v>0</v>
      </c>
      <c r="BD70" s="8">
        <f>Renta_Alta!BD70+Masivo!BD70+Consumo_Inicial!BD70</f>
        <v>0</v>
      </c>
      <c r="BE70" s="8">
        <f>Renta_Alta!BE70+Masivo!BE70+Consumo_Inicial!BE70</f>
        <v>0</v>
      </c>
      <c r="BF70" s="8">
        <f>Renta_Alta!BF70+Masivo!BF70+Consumo_Inicial!BF70</f>
        <v>0</v>
      </c>
      <c r="BG70" s="8">
        <f>Renta_Alta!BG70+Masivo!BG70+Consumo_Inicial!BG70</f>
        <v>0</v>
      </c>
      <c r="BH70" s="8">
        <f>Renta_Alta!BH70+Masivo!BH70+Consumo_Inicial!BH70</f>
        <v>0</v>
      </c>
      <c r="BI70" s="8">
        <f>Renta_Alta!BI70+Masivo!BI70+Consumo_Inicial!BI70</f>
        <v>0</v>
      </c>
      <c r="BJ70" s="8">
        <f>Renta_Alta!BJ70+Masivo!BJ70+Consumo_Inicial!BJ70</f>
        <v>0</v>
      </c>
      <c r="BK70" s="8">
        <f>Renta_Alta!BK70+Masivo!BK70+Consumo_Inicial!BK70</f>
        <v>0</v>
      </c>
      <c r="BO70" s="24">
        <f t="shared" si="243"/>
        <v>0</v>
      </c>
      <c r="BP70" s="24">
        <f t="shared" si="243"/>
        <v>0</v>
      </c>
      <c r="BQ70" s="24">
        <f t="shared" si="243"/>
        <v>0</v>
      </c>
      <c r="BR70" s="24">
        <f t="shared" si="243"/>
        <v>0</v>
      </c>
      <c r="BS70" s="24">
        <f t="shared" si="243"/>
        <v>0</v>
      </c>
      <c r="BT70" s="24">
        <f t="shared" si="243"/>
        <v>0</v>
      </c>
    </row>
    <row r="71" spans="1:72" outlineLevel="1" x14ac:dyDescent="0.25">
      <c r="A71" s="11" t="s">
        <v>71</v>
      </c>
      <c r="C71" s="2"/>
      <c r="D71" s="8">
        <f>Renta_Alta!D71+Masivo!D71+Consumo_Inicial!D71</f>
        <v>0</v>
      </c>
      <c r="E71" s="8">
        <f>Renta_Alta!E71+Masivo!E71+Consumo_Inicial!E71</f>
        <v>0</v>
      </c>
      <c r="F71" s="8">
        <f>Renta_Alta!F71+Masivo!F71+Consumo_Inicial!F71</f>
        <v>0</v>
      </c>
      <c r="G71" s="8">
        <f>Renta_Alta!G71+Masivo!G71+Consumo_Inicial!G71</f>
        <v>0</v>
      </c>
      <c r="H71" s="8">
        <f>Renta_Alta!H71+Masivo!H71+Consumo_Inicial!H71</f>
        <v>0</v>
      </c>
      <c r="I71" s="8">
        <f>Renta_Alta!I71+Masivo!I71+Consumo_Inicial!I71</f>
        <v>0</v>
      </c>
      <c r="J71" s="8">
        <f>Renta_Alta!J71+Masivo!J71+Consumo_Inicial!J71</f>
        <v>0</v>
      </c>
      <c r="K71" s="8">
        <f>Renta_Alta!K71+Masivo!K71+Consumo_Inicial!K71</f>
        <v>0</v>
      </c>
      <c r="L71" s="8">
        <f>Renta_Alta!L71+Masivo!L71+Consumo_Inicial!L71</f>
        <v>0</v>
      </c>
      <c r="M71" s="8">
        <f>Renta_Alta!M71+Masivo!M71+Consumo_Inicial!M71</f>
        <v>0</v>
      </c>
      <c r="N71" s="8">
        <f>Renta_Alta!N71+Masivo!N71+Consumo_Inicial!N71</f>
        <v>0</v>
      </c>
      <c r="O71" s="8">
        <f>Renta_Alta!O71+Masivo!O71+Consumo_Inicial!O71</f>
        <v>0</v>
      </c>
      <c r="P71" s="8">
        <f>Renta_Alta!P71+Masivo!P71+Consumo_Inicial!P71</f>
        <v>0</v>
      </c>
      <c r="Q71" s="8">
        <f>Renta_Alta!Q71+Masivo!Q71+Consumo_Inicial!Q71</f>
        <v>0</v>
      </c>
      <c r="R71" s="8">
        <f>Renta_Alta!R71+Masivo!R71+Consumo_Inicial!R71</f>
        <v>0</v>
      </c>
      <c r="S71" s="8">
        <f>Renta_Alta!S71+Masivo!S71+Consumo_Inicial!S71</f>
        <v>0</v>
      </c>
      <c r="T71" s="8">
        <f>Renta_Alta!T71+Masivo!T71+Consumo_Inicial!T71</f>
        <v>0</v>
      </c>
      <c r="U71" s="8">
        <f>Renta_Alta!U71+Masivo!U71+Consumo_Inicial!U71</f>
        <v>0</v>
      </c>
      <c r="V71" s="8">
        <f>Renta_Alta!V71+Masivo!V71+Consumo_Inicial!V71</f>
        <v>0</v>
      </c>
      <c r="W71" s="8">
        <f>Renta_Alta!W71+Masivo!W71+Consumo_Inicial!W71</f>
        <v>0</v>
      </c>
      <c r="X71" s="8">
        <f>Renta_Alta!X71+Masivo!X71+Consumo_Inicial!X71</f>
        <v>0</v>
      </c>
      <c r="Y71" s="8">
        <f>Renta_Alta!Y71+Masivo!Y71+Consumo_Inicial!Y71</f>
        <v>0</v>
      </c>
      <c r="Z71" s="8">
        <f>Renta_Alta!Z71+Masivo!Z71+Consumo_Inicial!Z71</f>
        <v>0</v>
      </c>
      <c r="AA71" s="8">
        <f>Renta_Alta!AA71+Masivo!AA71+Consumo_Inicial!AA71</f>
        <v>0</v>
      </c>
      <c r="AB71" s="8">
        <f>Renta_Alta!AB71+Masivo!AB71+Consumo_Inicial!AB71</f>
        <v>0</v>
      </c>
      <c r="AC71" s="8">
        <f>Renta_Alta!AC71+Masivo!AC71+Consumo_Inicial!AC71</f>
        <v>0</v>
      </c>
      <c r="AD71" s="8">
        <f>Renta_Alta!AD71+Masivo!AD71+Consumo_Inicial!AD71</f>
        <v>0</v>
      </c>
      <c r="AE71" s="8">
        <f>Renta_Alta!AE71+Masivo!AE71+Consumo_Inicial!AE71</f>
        <v>0</v>
      </c>
      <c r="AF71" s="8">
        <f>Renta_Alta!AF71+Masivo!AF71+Consumo_Inicial!AF71</f>
        <v>0</v>
      </c>
      <c r="AG71" s="8">
        <f>Renta_Alta!AG71+Masivo!AG71+Consumo_Inicial!AG71</f>
        <v>0</v>
      </c>
      <c r="AH71" s="8">
        <f>Renta_Alta!AH71+Masivo!AH71+Consumo_Inicial!AH71</f>
        <v>0</v>
      </c>
      <c r="AI71" s="8">
        <f>Renta_Alta!AI71+Masivo!AI71+Consumo_Inicial!AI71</f>
        <v>0</v>
      </c>
      <c r="AJ71" s="8">
        <f>Renta_Alta!AJ71+Masivo!AJ71+Consumo_Inicial!AJ71</f>
        <v>0</v>
      </c>
      <c r="AK71" s="8">
        <f>Renta_Alta!AK71+Masivo!AK71+Consumo_Inicial!AK71</f>
        <v>0</v>
      </c>
      <c r="AL71" s="8">
        <f>Renta_Alta!AL71+Masivo!AL71+Consumo_Inicial!AL71</f>
        <v>0</v>
      </c>
      <c r="AM71" s="8">
        <f>Renta_Alta!AM71+Masivo!AM71+Consumo_Inicial!AM71</f>
        <v>0</v>
      </c>
      <c r="AN71" s="8">
        <f>Renta_Alta!AN71+Masivo!AN71+Consumo_Inicial!AN71</f>
        <v>0</v>
      </c>
      <c r="AO71" s="8">
        <f>Renta_Alta!AO71+Masivo!AO71+Consumo_Inicial!AO71</f>
        <v>0</v>
      </c>
      <c r="AP71" s="8">
        <f>Renta_Alta!AP71+Masivo!AP71+Consumo_Inicial!AP71</f>
        <v>0</v>
      </c>
      <c r="AQ71" s="8">
        <f>Renta_Alta!AQ71+Masivo!AQ71+Consumo_Inicial!AQ71</f>
        <v>0</v>
      </c>
      <c r="AR71" s="8">
        <f>Renta_Alta!AR71+Masivo!AR71+Consumo_Inicial!AR71</f>
        <v>0</v>
      </c>
      <c r="AS71" s="8">
        <f>Renta_Alta!AS71+Masivo!AS71+Consumo_Inicial!AS71</f>
        <v>0</v>
      </c>
      <c r="AT71" s="8">
        <f>Renta_Alta!AT71+Masivo!AT71+Consumo_Inicial!AT71</f>
        <v>0</v>
      </c>
      <c r="AU71" s="8">
        <f>Renta_Alta!AU71+Masivo!AU71+Consumo_Inicial!AU71</f>
        <v>0</v>
      </c>
      <c r="AV71" s="8">
        <f>Renta_Alta!AV71+Masivo!AV71+Consumo_Inicial!AV71</f>
        <v>0</v>
      </c>
      <c r="AW71" s="8">
        <f>Renta_Alta!AW71+Masivo!AW71+Consumo_Inicial!AW71</f>
        <v>0</v>
      </c>
      <c r="AX71" s="8">
        <f>Renta_Alta!AX71+Masivo!AX71+Consumo_Inicial!AX71</f>
        <v>0</v>
      </c>
      <c r="AY71" s="8">
        <f>Renta_Alta!AY71+Masivo!AY71+Consumo_Inicial!AY71</f>
        <v>0</v>
      </c>
      <c r="AZ71" s="8">
        <f>Renta_Alta!AZ71+Masivo!AZ71+Consumo_Inicial!AZ71</f>
        <v>0</v>
      </c>
      <c r="BA71" s="8">
        <f>Renta_Alta!BA71+Masivo!BA71+Consumo_Inicial!BA71</f>
        <v>0</v>
      </c>
      <c r="BB71" s="8">
        <f>Renta_Alta!BB71+Masivo!BB71+Consumo_Inicial!BB71</f>
        <v>0</v>
      </c>
      <c r="BC71" s="8">
        <f>Renta_Alta!BC71+Masivo!BC71+Consumo_Inicial!BC71</f>
        <v>0</v>
      </c>
      <c r="BD71" s="8">
        <f>Renta_Alta!BD71+Masivo!BD71+Consumo_Inicial!BD71</f>
        <v>0</v>
      </c>
      <c r="BE71" s="8">
        <f>Renta_Alta!BE71+Masivo!BE71+Consumo_Inicial!BE71</f>
        <v>0</v>
      </c>
      <c r="BF71" s="8">
        <f>Renta_Alta!BF71+Masivo!BF71+Consumo_Inicial!BF71</f>
        <v>0</v>
      </c>
      <c r="BG71" s="8">
        <f>Renta_Alta!BG71+Masivo!BG71+Consumo_Inicial!BG71</f>
        <v>0</v>
      </c>
      <c r="BH71" s="8">
        <f>Renta_Alta!BH71+Masivo!BH71+Consumo_Inicial!BH71</f>
        <v>0</v>
      </c>
      <c r="BI71" s="8">
        <f>Renta_Alta!BI71+Masivo!BI71+Consumo_Inicial!BI71</f>
        <v>0</v>
      </c>
      <c r="BJ71" s="8">
        <f>Renta_Alta!BJ71+Masivo!BJ71+Consumo_Inicial!BJ71</f>
        <v>0</v>
      </c>
      <c r="BK71" s="8">
        <f>Renta_Alta!BK71+Masivo!BK71+Consumo_Inicial!BK71</f>
        <v>0</v>
      </c>
      <c r="BO71" s="24">
        <f t="shared" si="243"/>
        <v>0</v>
      </c>
      <c r="BP71" s="24">
        <f t="shared" si="243"/>
        <v>0</v>
      </c>
      <c r="BQ71" s="24">
        <f t="shared" si="243"/>
        <v>0</v>
      </c>
      <c r="BR71" s="24">
        <f t="shared" si="243"/>
        <v>0</v>
      </c>
      <c r="BS71" s="24">
        <f t="shared" si="243"/>
        <v>0</v>
      </c>
      <c r="BT71" s="24">
        <f t="shared" si="243"/>
        <v>0</v>
      </c>
    </row>
    <row r="72" spans="1:72" outlineLevel="1" x14ac:dyDescent="0.25">
      <c r="A72" s="11" t="s">
        <v>71</v>
      </c>
      <c r="C72" s="2"/>
      <c r="D72" s="8">
        <f>Renta_Alta!D72+Masivo!D72+Consumo_Inicial!D72</f>
        <v>0</v>
      </c>
      <c r="E72" s="8">
        <f>Renta_Alta!E72+Masivo!E72+Consumo_Inicial!E72</f>
        <v>0</v>
      </c>
      <c r="F72" s="8">
        <f>Renta_Alta!F72+Masivo!F72+Consumo_Inicial!F72</f>
        <v>0</v>
      </c>
      <c r="G72" s="8">
        <f>Renta_Alta!G72+Masivo!G72+Consumo_Inicial!G72</f>
        <v>0</v>
      </c>
      <c r="H72" s="8">
        <f>Renta_Alta!H72+Masivo!H72+Consumo_Inicial!H72</f>
        <v>0</v>
      </c>
      <c r="I72" s="8">
        <f>Renta_Alta!I72+Masivo!I72+Consumo_Inicial!I72</f>
        <v>0</v>
      </c>
      <c r="J72" s="8">
        <f>Renta_Alta!J72+Masivo!J72+Consumo_Inicial!J72</f>
        <v>0</v>
      </c>
      <c r="K72" s="8">
        <f>Renta_Alta!K72+Masivo!K72+Consumo_Inicial!K72</f>
        <v>0</v>
      </c>
      <c r="L72" s="8">
        <f>Renta_Alta!L72+Masivo!L72+Consumo_Inicial!L72</f>
        <v>0</v>
      </c>
      <c r="M72" s="8">
        <f>Renta_Alta!M72+Masivo!M72+Consumo_Inicial!M72</f>
        <v>0</v>
      </c>
      <c r="N72" s="8">
        <f>Renta_Alta!N72+Masivo!N72+Consumo_Inicial!N72</f>
        <v>0</v>
      </c>
      <c r="O72" s="8">
        <f>Renta_Alta!O72+Masivo!O72+Consumo_Inicial!O72</f>
        <v>0</v>
      </c>
      <c r="P72" s="8">
        <f>Renta_Alta!P72+Masivo!P72+Consumo_Inicial!P72</f>
        <v>0</v>
      </c>
      <c r="Q72" s="8">
        <f>Renta_Alta!Q72+Masivo!Q72+Consumo_Inicial!Q72</f>
        <v>0</v>
      </c>
      <c r="R72" s="8">
        <f>Renta_Alta!R72+Masivo!R72+Consumo_Inicial!R72</f>
        <v>0</v>
      </c>
      <c r="S72" s="8">
        <f>Renta_Alta!S72+Masivo!S72+Consumo_Inicial!S72</f>
        <v>0</v>
      </c>
      <c r="T72" s="8">
        <f>Renta_Alta!T72+Masivo!T72+Consumo_Inicial!T72</f>
        <v>0</v>
      </c>
      <c r="U72" s="8">
        <f>Renta_Alta!U72+Masivo!U72+Consumo_Inicial!U72</f>
        <v>0</v>
      </c>
      <c r="V72" s="8">
        <f>Renta_Alta!V72+Masivo!V72+Consumo_Inicial!V72</f>
        <v>0</v>
      </c>
      <c r="W72" s="8">
        <f>Renta_Alta!W72+Masivo!W72+Consumo_Inicial!W72</f>
        <v>0</v>
      </c>
      <c r="X72" s="8">
        <f>Renta_Alta!X72+Masivo!X72+Consumo_Inicial!X72</f>
        <v>0</v>
      </c>
      <c r="Y72" s="8">
        <f>Renta_Alta!Y72+Masivo!Y72+Consumo_Inicial!Y72</f>
        <v>0</v>
      </c>
      <c r="Z72" s="8">
        <f>Renta_Alta!Z72+Masivo!Z72+Consumo_Inicial!Z72</f>
        <v>0</v>
      </c>
      <c r="AA72" s="8">
        <f>Renta_Alta!AA72+Masivo!AA72+Consumo_Inicial!AA72</f>
        <v>0</v>
      </c>
      <c r="AB72" s="8">
        <f>Renta_Alta!AB72+Masivo!AB72+Consumo_Inicial!AB72</f>
        <v>0</v>
      </c>
      <c r="AC72" s="8">
        <f>Renta_Alta!AC72+Masivo!AC72+Consumo_Inicial!AC72</f>
        <v>0</v>
      </c>
      <c r="AD72" s="8">
        <f>Renta_Alta!AD72+Masivo!AD72+Consumo_Inicial!AD72</f>
        <v>0</v>
      </c>
      <c r="AE72" s="8">
        <f>Renta_Alta!AE72+Masivo!AE72+Consumo_Inicial!AE72</f>
        <v>0</v>
      </c>
      <c r="AF72" s="8">
        <f>Renta_Alta!AF72+Masivo!AF72+Consumo_Inicial!AF72</f>
        <v>0</v>
      </c>
      <c r="AG72" s="8">
        <f>Renta_Alta!AG72+Masivo!AG72+Consumo_Inicial!AG72</f>
        <v>0</v>
      </c>
      <c r="AH72" s="8">
        <f>Renta_Alta!AH72+Masivo!AH72+Consumo_Inicial!AH72</f>
        <v>0</v>
      </c>
      <c r="AI72" s="8">
        <f>Renta_Alta!AI72+Masivo!AI72+Consumo_Inicial!AI72</f>
        <v>0</v>
      </c>
      <c r="AJ72" s="8">
        <f>Renta_Alta!AJ72+Masivo!AJ72+Consumo_Inicial!AJ72</f>
        <v>0</v>
      </c>
      <c r="AK72" s="8">
        <f>Renta_Alta!AK72+Masivo!AK72+Consumo_Inicial!AK72</f>
        <v>0</v>
      </c>
      <c r="AL72" s="8">
        <f>Renta_Alta!AL72+Masivo!AL72+Consumo_Inicial!AL72</f>
        <v>0</v>
      </c>
      <c r="AM72" s="8">
        <f>Renta_Alta!AM72+Masivo!AM72+Consumo_Inicial!AM72</f>
        <v>0</v>
      </c>
      <c r="AN72" s="8">
        <f>Renta_Alta!AN72+Masivo!AN72+Consumo_Inicial!AN72</f>
        <v>0</v>
      </c>
      <c r="AO72" s="8">
        <f>Renta_Alta!AO72+Masivo!AO72+Consumo_Inicial!AO72</f>
        <v>0</v>
      </c>
      <c r="AP72" s="8">
        <f>Renta_Alta!AP72+Masivo!AP72+Consumo_Inicial!AP72</f>
        <v>0</v>
      </c>
      <c r="AQ72" s="8">
        <f>Renta_Alta!AQ72+Masivo!AQ72+Consumo_Inicial!AQ72</f>
        <v>0</v>
      </c>
      <c r="AR72" s="8">
        <f>Renta_Alta!AR72+Masivo!AR72+Consumo_Inicial!AR72</f>
        <v>0</v>
      </c>
      <c r="AS72" s="8">
        <f>Renta_Alta!AS72+Masivo!AS72+Consumo_Inicial!AS72</f>
        <v>0</v>
      </c>
      <c r="AT72" s="8">
        <f>Renta_Alta!AT72+Masivo!AT72+Consumo_Inicial!AT72</f>
        <v>0</v>
      </c>
      <c r="AU72" s="8">
        <f>Renta_Alta!AU72+Masivo!AU72+Consumo_Inicial!AU72</f>
        <v>0</v>
      </c>
      <c r="AV72" s="8">
        <f>Renta_Alta!AV72+Masivo!AV72+Consumo_Inicial!AV72</f>
        <v>0</v>
      </c>
      <c r="AW72" s="8">
        <f>Renta_Alta!AW72+Masivo!AW72+Consumo_Inicial!AW72</f>
        <v>0</v>
      </c>
      <c r="AX72" s="8">
        <f>Renta_Alta!AX72+Masivo!AX72+Consumo_Inicial!AX72</f>
        <v>0</v>
      </c>
      <c r="AY72" s="8">
        <f>Renta_Alta!AY72+Masivo!AY72+Consumo_Inicial!AY72</f>
        <v>0</v>
      </c>
      <c r="AZ72" s="8">
        <f>Renta_Alta!AZ72+Masivo!AZ72+Consumo_Inicial!AZ72</f>
        <v>0</v>
      </c>
      <c r="BA72" s="8">
        <f>Renta_Alta!BA72+Masivo!BA72+Consumo_Inicial!BA72</f>
        <v>0</v>
      </c>
      <c r="BB72" s="8">
        <f>Renta_Alta!BB72+Masivo!BB72+Consumo_Inicial!BB72</f>
        <v>0</v>
      </c>
      <c r="BC72" s="8">
        <f>Renta_Alta!BC72+Masivo!BC72+Consumo_Inicial!BC72</f>
        <v>0</v>
      </c>
      <c r="BD72" s="8">
        <f>Renta_Alta!BD72+Masivo!BD72+Consumo_Inicial!BD72</f>
        <v>0</v>
      </c>
      <c r="BE72" s="8">
        <f>Renta_Alta!BE72+Masivo!BE72+Consumo_Inicial!BE72</f>
        <v>0</v>
      </c>
      <c r="BF72" s="8">
        <f>Renta_Alta!BF72+Masivo!BF72+Consumo_Inicial!BF72</f>
        <v>0</v>
      </c>
      <c r="BG72" s="8">
        <f>Renta_Alta!BG72+Masivo!BG72+Consumo_Inicial!BG72</f>
        <v>0</v>
      </c>
      <c r="BH72" s="8">
        <f>Renta_Alta!BH72+Masivo!BH72+Consumo_Inicial!BH72</f>
        <v>0</v>
      </c>
      <c r="BI72" s="8">
        <f>Renta_Alta!BI72+Masivo!BI72+Consumo_Inicial!BI72</f>
        <v>0</v>
      </c>
      <c r="BJ72" s="8">
        <f>Renta_Alta!BJ72+Masivo!BJ72+Consumo_Inicial!BJ72</f>
        <v>0</v>
      </c>
      <c r="BK72" s="8">
        <f>Renta_Alta!BK72+Masivo!BK72+Consumo_Inicial!BK72</f>
        <v>0</v>
      </c>
      <c r="BO72" s="24">
        <f t="shared" si="243"/>
        <v>0</v>
      </c>
      <c r="BP72" s="24">
        <f t="shared" si="243"/>
        <v>0</v>
      </c>
      <c r="BQ72" s="24">
        <f t="shared" si="243"/>
        <v>0</v>
      </c>
      <c r="BR72" s="24">
        <f t="shared" si="243"/>
        <v>0</v>
      </c>
      <c r="BS72" s="24">
        <f t="shared" si="243"/>
        <v>0</v>
      </c>
      <c r="BT72" s="24">
        <f t="shared" si="243"/>
        <v>0</v>
      </c>
    </row>
    <row r="73" spans="1:72" outlineLevel="1" x14ac:dyDescent="0.25">
      <c r="A73" s="11" t="s">
        <v>71</v>
      </c>
      <c r="C73" s="2"/>
      <c r="D73" s="8">
        <f>Renta_Alta!D73+Masivo!D73+Consumo_Inicial!D73</f>
        <v>0</v>
      </c>
      <c r="E73" s="8">
        <f>Renta_Alta!E73+Masivo!E73+Consumo_Inicial!E73</f>
        <v>0</v>
      </c>
      <c r="F73" s="8">
        <f>Renta_Alta!F73+Masivo!F73+Consumo_Inicial!F73</f>
        <v>0</v>
      </c>
      <c r="G73" s="8">
        <f>Renta_Alta!G73+Masivo!G73+Consumo_Inicial!G73</f>
        <v>0</v>
      </c>
      <c r="H73" s="8">
        <f>Renta_Alta!H73+Masivo!H73+Consumo_Inicial!H73</f>
        <v>0</v>
      </c>
      <c r="I73" s="8">
        <f>Renta_Alta!I73+Masivo!I73+Consumo_Inicial!I73</f>
        <v>0</v>
      </c>
      <c r="J73" s="8">
        <f>Renta_Alta!J73+Masivo!J73+Consumo_Inicial!J73</f>
        <v>0</v>
      </c>
      <c r="K73" s="8">
        <f>Renta_Alta!K73+Masivo!K73+Consumo_Inicial!K73</f>
        <v>0</v>
      </c>
      <c r="L73" s="8">
        <f>Renta_Alta!L73+Masivo!L73+Consumo_Inicial!L73</f>
        <v>0</v>
      </c>
      <c r="M73" s="8">
        <f>Renta_Alta!M73+Masivo!M73+Consumo_Inicial!M73</f>
        <v>0</v>
      </c>
      <c r="N73" s="8">
        <f>Renta_Alta!N73+Masivo!N73+Consumo_Inicial!N73</f>
        <v>0</v>
      </c>
      <c r="O73" s="8">
        <f>Renta_Alta!O73+Masivo!O73+Consumo_Inicial!O73</f>
        <v>0</v>
      </c>
      <c r="P73" s="8">
        <f>Renta_Alta!P73+Masivo!P73+Consumo_Inicial!P73</f>
        <v>0</v>
      </c>
      <c r="Q73" s="8">
        <f>Renta_Alta!Q73+Masivo!Q73+Consumo_Inicial!Q73</f>
        <v>0</v>
      </c>
      <c r="R73" s="8">
        <f>Renta_Alta!R73+Masivo!R73+Consumo_Inicial!R73</f>
        <v>0</v>
      </c>
      <c r="S73" s="8">
        <f>Renta_Alta!S73+Masivo!S73+Consumo_Inicial!S73</f>
        <v>0</v>
      </c>
      <c r="T73" s="8">
        <f>Renta_Alta!T73+Masivo!T73+Consumo_Inicial!T73</f>
        <v>0</v>
      </c>
      <c r="U73" s="8">
        <f>Renta_Alta!U73+Masivo!U73+Consumo_Inicial!U73</f>
        <v>0</v>
      </c>
      <c r="V73" s="8">
        <f>Renta_Alta!V73+Masivo!V73+Consumo_Inicial!V73</f>
        <v>0</v>
      </c>
      <c r="W73" s="8">
        <f>Renta_Alta!W73+Masivo!W73+Consumo_Inicial!W73</f>
        <v>0</v>
      </c>
      <c r="X73" s="8">
        <f>Renta_Alta!X73+Masivo!X73+Consumo_Inicial!X73</f>
        <v>0</v>
      </c>
      <c r="Y73" s="8">
        <f>Renta_Alta!Y73+Masivo!Y73+Consumo_Inicial!Y73</f>
        <v>0</v>
      </c>
      <c r="Z73" s="8">
        <f>Renta_Alta!Z73+Masivo!Z73+Consumo_Inicial!Z73</f>
        <v>0</v>
      </c>
      <c r="AA73" s="8">
        <f>Renta_Alta!AA73+Masivo!AA73+Consumo_Inicial!AA73</f>
        <v>0</v>
      </c>
      <c r="AB73" s="8">
        <f>Renta_Alta!AB73+Masivo!AB73+Consumo_Inicial!AB73</f>
        <v>0</v>
      </c>
      <c r="AC73" s="8">
        <f>Renta_Alta!AC73+Masivo!AC73+Consumo_Inicial!AC73</f>
        <v>0</v>
      </c>
      <c r="AD73" s="8">
        <f>Renta_Alta!AD73+Masivo!AD73+Consumo_Inicial!AD73</f>
        <v>0</v>
      </c>
      <c r="AE73" s="8">
        <f>Renta_Alta!AE73+Masivo!AE73+Consumo_Inicial!AE73</f>
        <v>0</v>
      </c>
      <c r="AF73" s="8">
        <f>Renta_Alta!AF73+Masivo!AF73+Consumo_Inicial!AF73</f>
        <v>0</v>
      </c>
      <c r="AG73" s="8">
        <f>Renta_Alta!AG73+Masivo!AG73+Consumo_Inicial!AG73</f>
        <v>0</v>
      </c>
      <c r="AH73" s="8">
        <f>Renta_Alta!AH73+Masivo!AH73+Consumo_Inicial!AH73</f>
        <v>0</v>
      </c>
      <c r="AI73" s="8">
        <f>Renta_Alta!AI73+Masivo!AI73+Consumo_Inicial!AI73</f>
        <v>0</v>
      </c>
      <c r="AJ73" s="8">
        <f>Renta_Alta!AJ73+Masivo!AJ73+Consumo_Inicial!AJ73</f>
        <v>0</v>
      </c>
      <c r="AK73" s="8">
        <f>Renta_Alta!AK73+Masivo!AK73+Consumo_Inicial!AK73</f>
        <v>0</v>
      </c>
      <c r="AL73" s="8">
        <f>Renta_Alta!AL73+Masivo!AL73+Consumo_Inicial!AL73</f>
        <v>0</v>
      </c>
      <c r="AM73" s="8">
        <f>Renta_Alta!AM73+Masivo!AM73+Consumo_Inicial!AM73</f>
        <v>0</v>
      </c>
      <c r="AN73" s="8">
        <f>Renta_Alta!AN73+Masivo!AN73+Consumo_Inicial!AN73</f>
        <v>0</v>
      </c>
      <c r="AO73" s="8">
        <f>Renta_Alta!AO73+Masivo!AO73+Consumo_Inicial!AO73</f>
        <v>0</v>
      </c>
      <c r="AP73" s="8">
        <f>Renta_Alta!AP73+Masivo!AP73+Consumo_Inicial!AP73</f>
        <v>0</v>
      </c>
      <c r="AQ73" s="8">
        <f>Renta_Alta!AQ73+Masivo!AQ73+Consumo_Inicial!AQ73</f>
        <v>0</v>
      </c>
      <c r="AR73" s="8">
        <f>Renta_Alta!AR73+Masivo!AR73+Consumo_Inicial!AR73</f>
        <v>0</v>
      </c>
      <c r="AS73" s="8">
        <f>Renta_Alta!AS73+Masivo!AS73+Consumo_Inicial!AS73</f>
        <v>0</v>
      </c>
      <c r="AT73" s="8">
        <f>Renta_Alta!AT73+Masivo!AT73+Consumo_Inicial!AT73</f>
        <v>0</v>
      </c>
      <c r="AU73" s="8">
        <f>Renta_Alta!AU73+Masivo!AU73+Consumo_Inicial!AU73</f>
        <v>0</v>
      </c>
      <c r="AV73" s="8">
        <f>Renta_Alta!AV73+Masivo!AV73+Consumo_Inicial!AV73</f>
        <v>0</v>
      </c>
      <c r="AW73" s="8">
        <f>Renta_Alta!AW73+Masivo!AW73+Consumo_Inicial!AW73</f>
        <v>0</v>
      </c>
      <c r="AX73" s="8">
        <f>Renta_Alta!AX73+Masivo!AX73+Consumo_Inicial!AX73</f>
        <v>0</v>
      </c>
      <c r="AY73" s="8">
        <f>Renta_Alta!AY73+Masivo!AY73+Consumo_Inicial!AY73</f>
        <v>0</v>
      </c>
      <c r="AZ73" s="8">
        <f>Renta_Alta!AZ73+Masivo!AZ73+Consumo_Inicial!AZ73</f>
        <v>0</v>
      </c>
      <c r="BA73" s="8">
        <f>Renta_Alta!BA73+Masivo!BA73+Consumo_Inicial!BA73</f>
        <v>0</v>
      </c>
      <c r="BB73" s="8">
        <f>Renta_Alta!BB73+Masivo!BB73+Consumo_Inicial!BB73</f>
        <v>0</v>
      </c>
      <c r="BC73" s="8">
        <f>Renta_Alta!BC73+Masivo!BC73+Consumo_Inicial!BC73</f>
        <v>0</v>
      </c>
      <c r="BD73" s="8">
        <f>Renta_Alta!BD73+Masivo!BD73+Consumo_Inicial!BD73</f>
        <v>0</v>
      </c>
      <c r="BE73" s="8">
        <f>Renta_Alta!BE73+Masivo!BE73+Consumo_Inicial!BE73</f>
        <v>0</v>
      </c>
      <c r="BF73" s="8">
        <f>Renta_Alta!BF73+Masivo!BF73+Consumo_Inicial!BF73</f>
        <v>0</v>
      </c>
      <c r="BG73" s="8">
        <f>Renta_Alta!BG73+Masivo!BG73+Consumo_Inicial!BG73</f>
        <v>0</v>
      </c>
      <c r="BH73" s="8">
        <f>Renta_Alta!BH73+Masivo!BH73+Consumo_Inicial!BH73</f>
        <v>0</v>
      </c>
      <c r="BI73" s="8">
        <f>Renta_Alta!BI73+Masivo!BI73+Consumo_Inicial!BI73</f>
        <v>0</v>
      </c>
      <c r="BJ73" s="8">
        <f>Renta_Alta!BJ73+Masivo!BJ73+Consumo_Inicial!BJ73</f>
        <v>0</v>
      </c>
      <c r="BK73" s="8">
        <f>Renta_Alta!BK73+Masivo!BK73+Consumo_Inicial!BK73</f>
        <v>0</v>
      </c>
      <c r="BO73" s="24">
        <f t="shared" ref="BO73:BT82" si="244">SUMIFS($D73:$BM73,$D$6:$BM$6,"&gt;="&amp;BO$2,$D$6:$BM$6,"&lt;="&amp;BO$6,$D$5:$BM$5,BO$5)</f>
        <v>0</v>
      </c>
      <c r="BP73" s="24">
        <f t="shared" si="244"/>
        <v>0</v>
      </c>
      <c r="BQ73" s="24">
        <f t="shared" si="244"/>
        <v>0</v>
      </c>
      <c r="BR73" s="24">
        <f t="shared" si="244"/>
        <v>0</v>
      </c>
      <c r="BS73" s="24">
        <f t="shared" si="244"/>
        <v>0</v>
      </c>
      <c r="BT73" s="24">
        <f t="shared" si="244"/>
        <v>0</v>
      </c>
    </row>
    <row r="74" spans="1:72" outlineLevel="1" x14ac:dyDescent="0.25">
      <c r="A74" s="11" t="s">
        <v>71</v>
      </c>
      <c r="C74" s="2"/>
      <c r="D74" s="8">
        <f>Renta_Alta!D74+Masivo!D74+Consumo_Inicial!D74</f>
        <v>0</v>
      </c>
      <c r="E74" s="8">
        <f>Renta_Alta!E74+Masivo!E74+Consumo_Inicial!E74</f>
        <v>0</v>
      </c>
      <c r="F74" s="8">
        <f>Renta_Alta!F74+Masivo!F74+Consumo_Inicial!F74</f>
        <v>0</v>
      </c>
      <c r="G74" s="8">
        <f>Renta_Alta!G74+Masivo!G74+Consumo_Inicial!G74</f>
        <v>0</v>
      </c>
      <c r="H74" s="8">
        <f>Renta_Alta!H74+Masivo!H74+Consumo_Inicial!H74</f>
        <v>0</v>
      </c>
      <c r="I74" s="8">
        <f>Renta_Alta!I74+Masivo!I74+Consumo_Inicial!I74</f>
        <v>0</v>
      </c>
      <c r="J74" s="8">
        <f>Renta_Alta!J74+Masivo!J74+Consumo_Inicial!J74</f>
        <v>0</v>
      </c>
      <c r="K74" s="8">
        <f>Renta_Alta!K74+Masivo!K74+Consumo_Inicial!K74</f>
        <v>0</v>
      </c>
      <c r="L74" s="8">
        <f>Renta_Alta!L74+Masivo!L74+Consumo_Inicial!L74</f>
        <v>0</v>
      </c>
      <c r="M74" s="8">
        <f>Renta_Alta!M74+Masivo!M74+Consumo_Inicial!M74</f>
        <v>0</v>
      </c>
      <c r="N74" s="8">
        <f>Renta_Alta!N74+Masivo!N74+Consumo_Inicial!N74</f>
        <v>0</v>
      </c>
      <c r="O74" s="8">
        <f>Renta_Alta!O74+Masivo!O74+Consumo_Inicial!O74</f>
        <v>0</v>
      </c>
      <c r="P74" s="8">
        <f>Renta_Alta!P74+Masivo!P74+Consumo_Inicial!P74</f>
        <v>0</v>
      </c>
      <c r="Q74" s="8">
        <f>Renta_Alta!Q74+Masivo!Q74+Consumo_Inicial!Q74</f>
        <v>0</v>
      </c>
      <c r="R74" s="8">
        <f>Renta_Alta!R74+Masivo!R74+Consumo_Inicial!R74</f>
        <v>0</v>
      </c>
      <c r="S74" s="8">
        <f>Renta_Alta!S74+Masivo!S74+Consumo_Inicial!S74</f>
        <v>0</v>
      </c>
      <c r="T74" s="8">
        <f>Renta_Alta!T74+Masivo!T74+Consumo_Inicial!T74</f>
        <v>0</v>
      </c>
      <c r="U74" s="8">
        <f>Renta_Alta!U74+Masivo!U74+Consumo_Inicial!U74</f>
        <v>0</v>
      </c>
      <c r="V74" s="8">
        <f>Renta_Alta!V74+Masivo!V74+Consumo_Inicial!V74</f>
        <v>0</v>
      </c>
      <c r="W74" s="8">
        <f>Renta_Alta!W74+Masivo!W74+Consumo_Inicial!W74</f>
        <v>0</v>
      </c>
      <c r="X74" s="8">
        <f>Renta_Alta!X74+Masivo!X74+Consumo_Inicial!X74</f>
        <v>0</v>
      </c>
      <c r="Y74" s="8">
        <f>Renta_Alta!Y74+Masivo!Y74+Consumo_Inicial!Y74</f>
        <v>0</v>
      </c>
      <c r="Z74" s="8">
        <f>Renta_Alta!Z74+Masivo!Z74+Consumo_Inicial!Z74</f>
        <v>0</v>
      </c>
      <c r="AA74" s="8">
        <f>Renta_Alta!AA74+Masivo!AA74+Consumo_Inicial!AA74</f>
        <v>0</v>
      </c>
      <c r="AB74" s="8">
        <f>Renta_Alta!AB74+Masivo!AB74+Consumo_Inicial!AB74</f>
        <v>0</v>
      </c>
      <c r="AC74" s="8">
        <f>Renta_Alta!AC74+Masivo!AC74+Consumo_Inicial!AC74</f>
        <v>0</v>
      </c>
      <c r="AD74" s="8">
        <f>Renta_Alta!AD74+Masivo!AD74+Consumo_Inicial!AD74</f>
        <v>0</v>
      </c>
      <c r="AE74" s="8">
        <f>Renta_Alta!AE74+Masivo!AE74+Consumo_Inicial!AE74</f>
        <v>0</v>
      </c>
      <c r="AF74" s="8">
        <f>Renta_Alta!AF74+Masivo!AF74+Consumo_Inicial!AF74</f>
        <v>0</v>
      </c>
      <c r="AG74" s="8">
        <f>Renta_Alta!AG74+Masivo!AG74+Consumo_Inicial!AG74</f>
        <v>0</v>
      </c>
      <c r="AH74" s="8">
        <f>Renta_Alta!AH74+Masivo!AH74+Consumo_Inicial!AH74</f>
        <v>0</v>
      </c>
      <c r="AI74" s="8">
        <f>Renta_Alta!AI74+Masivo!AI74+Consumo_Inicial!AI74</f>
        <v>0</v>
      </c>
      <c r="AJ74" s="8">
        <f>Renta_Alta!AJ74+Masivo!AJ74+Consumo_Inicial!AJ74</f>
        <v>0</v>
      </c>
      <c r="AK74" s="8">
        <f>Renta_Alta!AK74+Masivo!AK74+Consumo_Inicial!AK74</f>
        <v>0</v>
      </c>
      <c r="AL74" s="8">
        <f>Renta_Alta!AL74+Masivo!AL74+Consumo_Inicial!AL74</f>
        <v>0</v>
      </c>
      <c r="AM74" s="8">
        <f>Renta_Alta!AM74+Masivo!AM74+Consumo_Inicial!AM74</f>
        <v>0</v>
      </c>
      <c r="AN74" s="8">
        <f>Renta_Alta!AN74+Masivo!AN74+Consumo_Inicial!AN74</f>
        <v>0</v>
      </c>
      <c r="AO74" s="8">
        <f>Renta_Alta!AO74+Masivo!AO74+Consumo_Inicial!AO74</f>
        <v>0</v>
      </c>
      <c r="AP74" s="8">
        <f>Renta_Alta!AP74+Masivo!AP74+Consumo_Inicial!AP74</f>
        <v>0</v>
      </c>
      <c r="AQ74" s="8">
        <f>Renta_Alta!AQ74+Masivo!AQ74+Consumo_Inicial!AQ74</f>
        <v>0</v>
      </c>
      <c r="AR74" s="8">
        <f>Renta_Alta!AR74+Masivo!AR74+Consumo_Inicial!AR74</f>
        <v>0</v>
      </c>
      <c r="AS74" s="8">
        <f>Renta_Alta!AS74+Masivo!AS74+Consumo_Inicial!AS74</f>
        <v>0</v>
      </c>
      <c r="AT74" s="8">
        <f>Renta_Alta!AT74+Masivo!AT74+Consumo_Inicial!AT74</f>
        <v>0</v>
      </c>
      <c r="AU74" s="8">
        <f>Renta_Alta!AU74+Masivo!AU74+Consumo_Inicial!AU74</f>
        <v>0</v>
      </c>
      <c r="AV74" s="8">
        <f>Renta_Alta!AV74+Masivo!AV74+Consumo_Inicial!AV74</f>
        <v>0</v>
      </c>
      <c r="AW74" s="8">
        <f>Renta_Alta!AW74+Masivo!AW74+Consumo_Inicial!AW74</f>
        <v>0</v>
      </c>
      <c r="AX74" s="8">
        <f>Renta_Alta!AX74+Masivo!AX74+Consumo_Inicial!AX74</f>
        <v>0</v>
      </c>
      <c r="AY74" s="8">
        <f>Renta_Alta!AY74+Masivo!AY74+Consumo_Inicial!AY74</f>
        <v>0</v>
      </c>
      <c r="AZ74" s="8">
        <f>Renta_Alta!AZ74+Masivo!AZ74+Consumo_Inicial!AZ74</f>
        <v>0</v>
      </c>
      <c r="BA74" s="8">
        <f>Renta_Alta!BA74+Masivo!BA74+Consumo_Inicial!BA74</f>
        <v>0</v>
      </c>
      <c r="BB74" s="8">
        <f>Renta_Alta!BB74+Masivo!BB74+Consumo_Inicial!BB74</f>
        <v>0</v>
      </c>
      <c r="BC74" s="8">
        <f>Renta_Alta!BC74+Masivo!BC74+Consumo_Inicial!BC74</f>
        <v>0</v>
      </c>
      <c r="BD74" s="8">
        <f>Renta_Alta!BD74+Masivo!BD74+Consumo_Inicial!BD74</f>
        <v>0</v>
      </c>
      <c r="BE74" s="8">
        <f>Renta_Alta!BE74+Masivo!BE74+Consumo_Inicial!BE74</f>
        <v>0</v>
      </c>
      <c r="BF74" s="8">
        <f>Renta_Alta!BF74+Masivo!BF74+Consumo_Inicial!BF74</f>
        <v>0</v>
      </c>
      <c r="BG74" s="8">
        <f>Renta_Alta!BG74+Masivo!BG74+Consumo_Inicial!BG74</f>
        <v>0</v>
      </c>
      <c r="BH74" s="8">
        <f>Renta_Alta!BH74+Masivo!BH74+Consumo_Inicial!BH74</f>
        <v>0</v>
      </c>
      <c r="BI74" s="8">
        <f>Renta_Alta!BI74+Masivo!BI74+Consumo_Inicial!BI74</f>
        <v>0</v>
      </c>
      <c r="BJ74" s="8">
        <f>Renta_Alta!BJ74+Masivo!BJ74+Consumo_Inicial!BJ74</f>
        <v>0</v>
      </c>
      <c r="BK74" s="8">
        <f>Renta_Alta!BK74+Masivo!BK74+Consumo_Inicial!BK74</f>
        <v>0</v>
      </c>
      <c r="BO74" s="24">
        <f t="shared" si="244"/>
        <v>0</v>
      </c>
      <c r="BP74" s="24">
        <f t="shared" si="244"/>
        <v>0</v>
      </c>
      <c r="BQ74" s="24">
        <f t="shared" si="244"/>
        <v>0</v>
      </c>
      <c r="BR74" s="24">
        <f t="shared" si="244"/>
        <v>0</v>
      </c>
      <c r="BS74" s="24">
        <f t="shared" si="244"/>
        <v>0</v>
      </c>
      <c r="BT74" s="24">
        <f t="shared" si="244"/>
        <v>0</v>
      </c>
    </row>
    <row r="75" spans="1:72" outlineLevel="1" x14ac:dyDescent="0.25">
      <c r="A75" s="11" t="s">
        <v>71</v>
      </c>
      <c r="C75" s="2"/>
      <c r="D75" s="8">
        <f>Renta_Alta!D75+Masivo!D75+Consumo_Inicial!D75</f>
        <v>0</v>
      </c>
      <c r="E75" s="8">
        <f>Renta_Alta!E75+Masivo!E75+Consumo_Inicial!E75</f>
        <v>0</v>
      </c>
      <c r="F75" s="8">
        <f>Renta_Alta!F75+Masivo!F75+Consumo_Inicial!F75</f>
        <v>0</v>
      </c>
      <c r="G75" s="8">
        <f>Renta_Alta!G75+Masivo!G75+Consumo_Inicial!G75</f>
        <v>0</v>
      </c>
      <c r="H75" s="8">
        <f>Renta_Alta!H75+Masivo!H75+Consumo_Inicial!H75</f>
        <v>0</v>
      </c>
      <c r="I75" s="8">
        <f>Renta_Alta!I75+Masivo!I75+Consumo_Inicial!I75</f>
        <v>0</v>
      </c>
      <c r="J75" s="8">
        <f>Renta_Alta!J75+Masivo!J75+Consumo_Inicial!J75</f>
        <v>0</v>
      </c>
      <c r="K75" s="8">
        <f>Renta_Alta!K75+Masivo!K75+Consumo_Inicial!K75</f>
        <v>0</v>
      </c>
      <c r="L75" s="8">
        <f>Renta_Alta!L75+Masivo!L75+Consumo_Inicial!L75</f>
        <v>0</v>
      </c>
      <c r="M75" s="8">
        <f>Renta_Alta!M75+Masivo!M75+Consumo_Inicial!M75</f>
        <v>0</v>
      </c>
      <c r="N75" s="8">
        <f>Renta_Alta!N75+Masivo!N75+Consumo_Inicial!N75</f>
        <v>0</v>
      </c>
      <c r="O75" s="8">
        <f>Renta_Alta!O75+Masivo!O75+Consumo_Inicial!O75</f>
        <v>0</v>
      </c>
      <c r="P75" s="8">
        <f>Renta_Alta!P75+Masivo!P75+Consumo_Inicial!P75</f>
        <v>0</v>
      </c>
      <c r="Q75" s="8">
        <f>Renta_Alta!Q75+Masivo!Q75+Consumo_Inicial!Q75</f>
        <v>0</v>
      </c>
      <c r="R75" s="8">
        <f>Renta_Alta!R75+Masivo!R75+Consumo_Inicial!R75</f>
        <v>0</v>
      </c>
      <c r="S75" s="8">
        <f>Renta_Alta!S75+Masivo!S75+Consumo_Inicial!S75</f>
        <v>0</v>
      </c>
      <c r="T75" s="8">
        <f>Renta_Alta!T75+Masivo!T75+Consumo_Inicial!T75</f>
        <v>0</v>
      </c>
      <c r="U75" s="8">
        <f>Renta_Alta!U75+Masivo!U75+Consumo_Inicial!U75</f>
        <v>0</v>
      </c>
      <c r="V75" s="8">
        <f>Renta_Alta!V75+Masivo!V75+Consumo_Inicial!V75</f>
        <v>0</v>
      </c>
      <c r="W75" s="8">
        <f>Renta_Alta!W75+Masivo!W75+Consumo_Inicial!W75</f>
        <v>0</v>
      </c>
      <c r="X75" s="8">
        <f>Renta_Alta!X75+Masivo!X75+Consumo_Inicial!X75</f>
        <v>0</v>
      </c>
      <c r="Y75" s="8">
        <f>Renta_Alta!Y75+Masivo!Y75+Consumo_Inicial!Y75</f>
        <v>0</v>
      </c>
      <c r="Z75" s="8">
        <f>Renta_Alta!Z75+Masivo!Z75+Consumo_Inicial!Z75</f>
        <v>0</v>
      </c>
      <c r="AA75" s="8">
        <f>Renta_Alta!AA75+Masivo!AA75+Consumo_Inicial!AA75</f>
        <v>0</v>
      </c>
      <c r="AB75" s="8">
        <f>Renta_Alta!AB75+Masivo!AB75+Consumo_Inicial!AB75</f>
        <v>0</v>
      </c>
      <c r="AC75" s="8">
        <f>Renta_Alta!AC75+Masivo!AC75+Consumo_Inicial!AC75</f>
        <v>0</v>
      </c>
      <c r="AD75" s="8">
        <f>Renta_Alta!AD75+Masivo!AD75+Consumo_Inicial!AD75</f>
        <v>0</v>
      </c>
      <c r="AE75" s="8">
        <f>Renta_Alta!AE75+Masivo!AE75+Consumo_Inicial!AE75</f>
        <v>0</v>
      </c>
      <c r="AF75" s="8">
        <f>Renta_Alta!AF75+Masivo!AF75+Consumo_Inicial!AF75</f>
        <v>0</v>
      </c>
      <c r="AG75" s="8">
        <f>Renta_Alta!AG75+Masivo!AG75+Consumo_Inicial!AG75</f>
        <v>0</v>
      </c>
      <c r="AH75" s="8">
        <f>Renta_Alta!AH75+Masivo!AH75+Consumo_Inicial!AH75</f>
        <v>0</v>
      </c>
      <c r="AI75" s="8">
        <f>Renta_Alta!AI75+Masivo!AI75+Consumo_Inicial!AI75</f>
        <v>0</v>
      </c>
      <c r="AJ75" s="8">
        <f>Renta_Alta!AJ75+Masivo!AJ75+Consumo_Inicial!AJ75</f>
        <v>0</v>
      </c>
      <c r="AK75" s="8">
        <f>Renta_Alta!AK75+Masivo!AK75+Consumo_Inicial!AK75</f>
        <v>0</v>
      </c>
      <c r="AL75" s="8">
        <f>Renta_Alta!AL75+Masivo!AL75+Consumo_Inicial!AL75</f>
        <v>0</v>
      </c>
      <c r="AM75" s="8">
        <f>Renta_Alta!AM75+Masivo!AM75+Consumo_Inicial!AM75</f>
        <v>0</v>
      </c>
      <c r="AN75" s="8">
        <f>Renta_Alta!AN75+Masivo!AN75+Consumo_Inicial!AN75</f>
        <v>0</v>
      </c>
      <c r="AO75" s="8">
        <f>Renta_Alta!AO75+Masivo!AO75+Consumo_Inicial!AO75</f>
        <v>0</v>
      </c>
      <c r="AP75" s="8">
        <f>Renta_Alta!AP75+Masivo!AP75+Consumo_Inicial!AP75</f>
        <v>0</v>
      </c>
      <c r="AQ75" s="8">
        <f>Renta_Alta!AQ75+Masivo!AQ75+Consumo_Inicial!AQ75</f>
        <v>0</v>
      </c>
      <c r="AR75" s="8">
        <f>Renta_Alta!AR75+Masivo!AR75+Consumo_Inicial!AR75</f>
        <v>0</v>
      </c>
      <c r="AS75" s="8">
        <f>Renta_Alta!AS75+Masivo!AS75+Consumo_Inicial!AS75</f>
        <v>0</v>
      </c>
      <c r="AT75" s="8">
        <f>Renta_Alta!AT75+Masivo!AT75+Consumo_Inicial!AT75</f>
        <v>0</v>
      </c>
      <c r="AU75" s="8">
        <f>Renta_Alta!AU75+Masivo!AU75+Consumo_Inicial!AU75</f>
        <v>0</v>
      </c>
      <c r="AV75" s="8">
        <f>Renta_Alta!AV75+Masivo!AV75+Consumo_Inicial!AV75</f>
        <v>0</v>
      </c>
      <c r="AW75" s="8">
        <f>Renta_Alta!AW75+Masivo!AW75+Consumo_Inicial!AW75</f>
        <v>0</v>
      </c>
      <c r="AX75" s="8">
        <f>Renta_Alta!AX75+Masivo!AX75+Consumo_Inicial!AX75</f>
        <v>0</v>
      </c>
      <c r="AY75" s="8">
        <f>Renta_Alta!AY75+Masivo!AY75+Consumo_Inicial!AY75</f>
        <v>0</v>
      </c>
      <c r="AZ75" s="8">
        <f>Renta_Alta!AZ75+Masivo!AZ75+Consumo_Inicial!AZ75</f>
        <v>0</v>
      </c>
      <c r="BA75" s="8">
        <f>Renta_Alta!BA75+Masivo!BA75+Consumo_Inicial!BA75</f>
        <v>0</v>
      </c>
      <c r="BB75" s="8">
        <f>Renta_Alta!BB75+Masivo!BB75+Consumo_Inicial!BB75</f>
        <v>0</v>
      </c>
      <c r="BC75" s="8">
        <f>Renta_Alta!BC75+Masivo!BC75+Consumo_Inicial!BC75</f>
        <v>0</v>
      </c>
      <c r="BD75" s="8">
        <f>Renta_Alta!BD75+Masivo!BD75+Consumo_Inicial!BD75</f>
        <v>0</v>
      </c>
      <c r="BE75" s="8">
        <f>Renta_Alta!BE75+Masivo!BE75+Consumo_Inicial!BE75</f>
        <v>0</v>
      </c>
      <c r="BF75" s="8">
        <f>Renta_Alta!BF75+Masivo!BF75+Consumo_Inicial!BF75</f>
        <v>0</v>
      </c>
      <c r="BG75" s="8">
        <f>Renta_Alta!BG75+Masivo!BG75+Consumo_Inicial!BG75</f>
        <v>0</v>
      </c>
      <c r="BH75" s="8">
        <f>Renta_Alta!BH75+Masivo!BH75+Consumo_Inicial!BH75</f>
        <v>0</v>
      </c>
      <c r="BI75" s="8">
        <f>Renta_Alta!BI75+Masivo!BI75+Consumo_Inicial!BI75</f>
        <v>0</v>
      </c>
      <c r="BJ75" s="8">
        <f>Renta_Alta!BJ75+Masivo!BJ75+Consumo_Inicial!BJ75</f>
        <v>0</v>
      </c>
      <c r="BK75" s="8">
        <f>Renta_Alta!BK75+Masivo!BK75+Consumo_Inicial!BK75</f>
        <v>0</v>
      </c>
      <c r="BO75" s="24">
        <f t="shared" si="244"/>
        <v>0</v>
      </c>
      <c r="BP75" s="24">
        <f t="shared" si="244"/>
        <v>0</v>
      </c>
      <c r="BQ75" s="24">
        <f t="shared" si="244"/>
        <v>0</v>
      </c>
      <c r="BR75" s="24">
        <f t="shared" si="244"/>
        <v>0</v>
      </c>
      <c r="BS75" s="24">
        <f t="shared" si="244"/>
        <v>0</v>
      </c>
      <c r="BT75" s="24">
        <f t="shared" si="244"/>
        <v>0</v>
      </c>
    </row>
    <row r="76" spans="1:72" outlineLevel="1" x14ac:dyDescent="0.25">
      <c r="A76" s="11" t="s">
        <v>71</v>
      </c>
      <c r="C76" s="2"/>
      <c r="D76" s="8">
        <f>Renta_Alta!D76+Masivo!D76+Consumo_Inicial!D76</f>
        <v>0</v>
      </c>
      <c r="E76" s="8">
        <f>Renta_Alta!E76+Masivo!E76+Consumo_Inicial!E76</f>
        <v>0</v>
      </c>
      <c r="F76" s="8">
        <f>Renta_Alta!F76+Masivo!F76+Consumo_Inicial!F76</f>
        <v>0</v>
      </c>
      <c r="G76" s="8">
        <f>Renta_Alta!G76+Masivo!G76+Consumo_Inicial!G76</f>
        <v>0</v>
      </c>
      <c r="H76" s="8">
        <f>Renta_Alta!H76+Masivo!H76+Consumo_Inicial!H76</f>
        <v>0</v>
      </c>
      <c r="I76" s="8">
        <f>Renta_Alta!I76+Masivo!I76+Consumo_Inicial!I76</f>
        <v>0</v>
      </c>
      <c r="J76" s="8">
        <f>Renta_Alta!J76+Masivo!J76+Consumo_Inicial!J76</f>
        <v>0</v>
      </c>
      <c r="K76" s="8">
        <f>Renta_Alta!K76+Masivo!K76+Consumo_Inicial!K76</f>
        <v>0</v>
      </c>
      <c r="L76" s="8">
        <f>Renta_Alta!L76+Masivo!L76+Consumo_Inicial!L76</f>
        <v>0</v>
      </c>
      <c r="M76" s="8">
        <f>Renta_Alta!M76+Masivo!M76+Consumo_Inicial!M76</f>
        <v>0</v>
      </c>
      <c r="N76" s="8">
        <f>Renta_Alta!N76+Masivo!N76+Consumo_Inicial!N76</f>
        <v>0</v>
      </c>
      <c r="O76" s="8">
        <f>Renta_Alta!O76+Masivo!O76+Consumo_Inicial!O76</f>
        <v>0</v>
      </c>
      <c r="P76" s="8">
        <f>Renta_Alta!P76+Masivo!P76+Consumo_Inicial!P76</f>
        <v>0</v>
      </c>
      <c r="Q76" s="8">
        <f>Renta_Alta!Q76+Masivo!Q76+Consumo_Inicial!Q76</f>
        <v>0</v>
      </c>
      <c r="R76" s="8">
        <f>Renta_Alta!R76+Masivo!R76+Consumo_Inicial!R76</f>
        <v>0</v>
      </c>
      <c r="S76" s="8">
        <f>Renta_Alta!S76+Masivo!S76+Consumo_Inicial!S76</f>
        <v>0</v>
      </c>
      <c r="T76" s="8">
        <f>Renta_Alta!T76+Masivo!T76+Consumo_Inicial!T76</f>
        <v>0</v>
      </c>
      <c r="U76" s="8">
        <f>Renta_Alta!U76+Masivo!U76+Consumo_Inicial!U76</f>
        <v>0</v>
      </c>
      <c r="V76" s="8">
        <f>Renta_Alta!V76+Masivo!V76+Consumo_Inicial!V76</f>
        <v>0</v>
      </c>
      <c r="W76" s="8">
        <f>Renta_Alta!W76+Masivo!W76+Consumo_Inicial!W76</f>
        <v>0</v>
      </c>
      <c r="X76" s="8">
        <f>Renta_Alta!X76+Masivo!X76+Consumo_Inicial!X76</f>
        <v>0</v>
      </c>
      <c r="Y76" s="8">
        <f>Renta_Alta!Y76+Masivo!Y76+Consumo_Inicial!Y76</f>
        <v>0</v>
      </c>
      <c r="Z76" s="8">
        <f>Renta_Alta!Z76+Masivo!Z76+Consumo_Inicial!Z76</f>
        <v>0</v>
      </c>
      <c r="AA76" s="8">
        <f>Renta_Alta!AA76+Masivo!AA76+Consumo_Inicial!AA76</f>
        <v>0</v>
      </c>
      <c r="AB76" s="8">
        <f>Renta_Alta!AB76+Masivo!AB76+Consumo_Inicial!AB76</f>
        <v>0</v>
      </c>
      <c r="AC76" s="8">
        <f>Renta_Alta!AC76+Masivo!AC76+Consumo_Inicial!AC76</f>
        <v>0</v>
      </c>
      <c r="AD76" s="8">
        <f>Renta_Alta!AD76+Masivo!AD76+Consumo_Inicial!AD76</f>
        <v>0</v>
      </c>
      <c r="AE76" s="8">
        <f>Renta_Alta!AE76+Masivo!AE76+Consumo_Inicial!AE76</f>
        <v>0</v>
      </c>
      <c r="AF76" s="8">
        <f>Renta_Alta!AF76+Masivo!AF76+Consumo_Inicial!AF76</f>
        <v>0</v>
      </c>
      <c r="AG76" s="8">
        <f>Renta_Alta!AG76+Masivo!AG76+Consumo_Inicial!AG76</f>
        <v>0</v>
      </c>
      <c r="AH76" s="8">
        <f>Renta_Alta!AH76+Masivo!AH76+Consumo_Inicial!AH76</f>
        <v>0</v>
      </c>
      <c r="AI76" s="8">
        <f>Renta_Alta!AI76+Masivo!AI76+Consumo_Inicial!AI76</f>
        <v>0</v>
      </c>
      <c r="AJ76" s="8">
        <f>Renta_Alta!AJ76+Masivo!AJ76+Consumo_Inicial!AJ76</f>
        <v>0</v>
      </c>
      <c r="AK76" s="8">
        <f>Renta_Alta!AK76+Masivo!AK76+Consumo_Inicial!AK76</f>
        <v>0</v>
      </c>
      <c r="AL76" s="8">
        <f>Renta_Alta!AL76+Masivo!AL76+Consumo_Inicial!AL76</f>
        <v>0</v>
      </c>
      <c r="AM76" s="8">
        <f>Renta_Alta!AM76+Masivo!AM76+Consumo_Inicial!AM76</f>
        <v>0</v>
      </c>
      <c r="AN76" s="8">
        <f>Renta_Alta!AN76+Masivo!AN76+Consumo_Inicial!AN76</f>
        <v>0</v>
      </c>
      <c r="AO76" s="8">
        <f>Renta_Alta!AO76+Masivo!AO76+Consumo_Inicial!AO76</f>
        <v>0</v>
      </c>
      <c r="AP76" s="8">
        <f>Renta_Alta!AP76+Masivo!AP76+Consumo_Inicial!AP76</f>
        <v>0</v>
      </c>
      <c r="AQ76" s="8">
        <f>Renta_Alta!AQ76+Masivo!AQ76+Consumo_Inicial!AQ76</f>
        <v>0</v>
      </c>
      <c r="AR76" s="8">
        <f>Renta_Alta!AR76+Masivo!AR76+Consumo_Inicial!AR76</f>
        <v>0</v>
      </c>
      <c r="AS76" s="8">
        <f>Renta_Alta!AS76+Masivo!AS76+Consumo_Inicial!AS76</f>
        <v>0</v>
      </c>
      <c r="AT76" s="8">
        <f>Renta_Alta!AT76+Masivo!AT76+Consumo_Inicial!AT76</f>
        <v>0</v>
      </c>
      <c r="AU76" s="8">
        <f>Renta_Alta!AU76+Masivo!AU76+Consumo_Inicial!AU76</f>
        <v>0</v>
      </c>
      <c r="AV76" s="8">
        <f>Renta_Alta!AV76+Masivo!AV76+Consumo_Inicial!AV76</f>
        <v>0</v>
      </c>
      <c r="AW76" s="8">
        <f>Renta_Alta!AW76+Masivo!AW76+Consumo_Inicial!AW76</f>
        <v>0</v>
      </c>
      <c r="AX76" s="8">
        <f>Renta_Alta!AX76+Masivo!AX76+Consumo_Inicial!AX76</f>
        <v>0</v>
      </c>
      <c r="AY76" s="8">
        <f>Renta_Alta!AY76+Masivo!AY76+Consumo_Inicial!AY76</f>
        <v>0</v>
      </c>
      <c r="AZ76" s="8">
        <f>Renta_Alta!AZ76+Masivo!AZ76+Consumo_Inicial!AZ76</f>
        <v>0</v>
      </c>
      <c r="BA76" s="8">
        <f>Renta_Alta!BA76+Masivo!BA76+Consumo_Inicial!BA76</f>
        <v>0</v>
      </c>
      <c r="BB76" s="8">
        <f>Renta_Alta!BB76+Masivo!BB76+Consumo_Inicial!BB76</f>
        <v>0</v>
      </c>
      <c r="BC76" s="8">
        <f>Renta_Alta!BC76+Masivo!BC76+Consumo_Inicial!BC76</f>
        <v>0</v>
      </c>
      <c r="BD76" s="8">
        <f>Renta_Alta!BD76+Masivo!BD76+Consumo_Inicial!BD76</f>
        <v>0</v>
      </c>
      <c r="BE76" s="8">
        <f>Renta_Alta!BE76+Masivo!BE76+Consumo_Inicial!BE76</f>
        <v>0</v>
      </c>
      <c r="BF76" s="8">
        <f>Renta_Alta!BF76+Masivo!BF76+Consumo_Inicial!BF76</f>
        <v>0</v>
      </c>
      <c r="BG76" s="8">
        <f>Renta_Alta!BG76+Masivo!BG76+Consumo_Inicial!BG76</f>
        <v>0</v>
      </c>
      <c r="BH76" s="8">
        <f>Renta_Alta!BH76+Masivo!BH76+Consumo_Inicial!BH76</f>
        <v>0</v>
      </c>
      <c r="BI76" s="8">
        <f>Renta_Alta!BI76+Masivo!BI76+Consumo_Inicial!BI76</f>
        <v>0</v>
      </c>
      <c r="BJ76" s="8">
        <f>Renta_Alta!BJ76+Masivo!BJ76+Consumo_Inicial!BJ76</f>
        <v>0</v>
      </c>
      <c r="BK76" s="8">
        <f>Renta_Alta!BK76+Masivo!BK76+Consumo_Inicial!BK76</f>
        <v>0</v>
      </c>
      <c r="BO76" s="24">
        <f t="shared" si="244"/>
        <v>0</v>
      </c>
      <c r="BP76" s="24">
        <f t="shared" si="244"/>
        <v>0</v>
      </c>
      <c r="BQ76" s="24">
        <f t="shared" si="244"/>
        <v>0</v>
      </c>
      <c r="BR76" s="24">
        <f t="shared" si="244"/>
        <v>0</v>
      </c>
      <c r="BS76" s="24">
        <f t="shared" si="244"/>
        <v>0</v>
      </c>
      <c r="BT76" s="24">
        <f t="shared" si="244"/>
        <v>0</v>
      </c>
    </row>
    <row r="77" spans="1:72" outlineLevel="1" x14ac:dyDescent="0.25">
      <c r="A77" s="11" t="s">
        <v>71</v>
      </c>
      <c r="C77" s="2"/>
      <c r="D77" s="8">
        <f>Renta_Alta!D77+Masivo!D77+Consumo_Inicial!D77</f>
        <v>0</v>
      </c>
      <c r="E77" s="8">
        <f>Renta_Alta!E77+Masivo!E77+Consumo_Inicial!E77</f>
        <v>0</v>
      </c>
      <c r="F77" s="8">
        <f>Renta_Alta!F77+Masivo!F77+Consumo_Inicial!F77</f>
        <v>0</v>
      </c>
      <c r="G77" s="8">
        <f>Renta_Alta!G77+Masivo!G77+Consumo_Inicial!G77</f>
        <v>0</v>
      </c>
      <c r="H77" s="8">
        <f>Renta_Alta!H77+Masivo!H77+Consumo_Inicial!H77</f>
        <v>0</v>
      </c>
      <c r="I77" s="8">
        <f>Renta_Alta!I77+Masivo!I77+Consumo_Inicial!I77</f>
        <v>0</v>
      </c>
      <c r="J77" s="8">
        <f>Renta_Alta!J77+Masivo!J77+Consumo_Inicial!J77</f>
        <v>0</v>
      </c>
      <c r="K77" s="8">
        <f>Renta_Alta!K77+Masivo!K77+Consumo_Inicial!K77</f>
        <v>0</v>
      </c>
      <c r="L77" s="8">
        <f>Renta_Alta!L77+Masivo!L77+Consumo_Inicial!L77</f>
        <v>0</v>
      </c>
      <c r="M77" s="8">
        <f>Renta_Alta!M77+Masivo!M77+Consumo_Inicial!M77</f>
        <v>0</v>
      </c>
      <c r="N77" s="8">
        <f>Renta_Alta!N77+Masivo!N77+Consumo_Inicial!N77</f>
        <v>0</v>
      </c>
      <c r="O77" s="8">
        <f>Renta_Alta!O77+Masivo!O77+Consumo_Inicial!O77</f>
        <v>0</v>
      </c>
      <c r="P77" s="8">
        <f>Renta_Alta!P77+Masivo!P77+Consumo_Inicial!P77</f>
        <v>0</v>
      </c>
      <c r="Q77" s="8">
        <f>Renta_Alta!Q77+Masivo!Q77+Consumo_Inicial!Q77</f>
        <v>0</v>
      </c>
      <c r="R77" s="8">
        <f>Renta_Alta!R77+Masivo!R77+Consumo_Inicial!R77</f>
        <v>0</v>
      </c>
      <c r="S77" s="8">
        <f>Renta_Alta!S77+Masivo!S77+Consumo_Inicial!S77</f>
        <v>0</v>
      </c>
      <c r="T77" s="8">
        <f>Renta_Alta!T77+Masivo!T77+Consumo_Inicial!T77</f>
        <v>0</v>
      </c>
      <c r="U77" s="8">
        <f>Renta_Alta!U77+Masivo!U77+Consumo_Inicial!U77</f>
        <v>0</v>
      </c>
      <c r="V77" s="8">
        <f>Renta_Alta!V77+Masivo!V77+Consumo_Inicial!V77</f>
        <v>0</v>
      </c>
      <c r="W77" s="8">
        <f>Renta_Alta!W77+Masivo!W77+Consumo_Inicial!W77</f>
        <v>0</v>
      </c>
      <c r="X77" s="8">
        <f>Renta_Alta!X77+Masivo!X77+Consumo_Inicial!X77</f>
        <v>0</v>
      </c>
      <c r="Y77" s="8">
        <f>Renta_Alta!Y77+Masivo!Y77+Consumo_Inicial!Y77</f>
        <v>0</v>
      </c>
      <c r="Z77" s="8">
        <f>Renta_Alta!Z77+Masivo!Z77+Consumo_Inicial!Z77</f>
        <v>0</v>
      </c>
      <c r="AA77" s="8">
        <f>Renta_Alta!AA77+Masivo!AA77+Consumo_Inicial!AA77</f>
        <v>0</v>
      </c>
      <c r="AB77" s="8">
        <f>Renta_Alta!AB77+Masivo!AB77+Consumo_Inicial!AB77</f>
        <v>0</v>
      </c>
      <c r="AC77" s="8">
        <f>Renta_Alta!AC77+Masivo!AC77+Consumo_Inicial!AC77</f>
        <v>0</v>
      </c>
      <c r="AD77" s="8">
        <f>Renta_Alta!AD77+Masivo!AD77+Consumo_Inicial!AD77</f>
        <v>0</v>
      </c>
      <c r="AE77" s="8">
        <f>Renta_Alta!AE77+Masivo!AE77+Consumo_Inicial!AE77</f>
        <v>0</v>
      </c>
      <c r="AF77" s="8">
        <f>Renta_Alta!AF77+Masivo!AF77+Consumo_Inicial!AF77</f>
        <v>0</v>
      </c>
      <c r="AG77" s="8">
        <f>Renta_Alta!AG77+Masivo!AG77+Consumo_Inicial!AG77</f>
        <v>0</v>
      </c>
      <c r="AH77" s="8">
        <f>Renta_Alta!AH77+Masivo!AH77+Consumo_Inicial!AH77</f>
        <v>0</v>
      </c>
      <c r="AI77" s="8">
        <f>Renta_Alta!AI77+Masivo!AI77+Consumo_Inicial!AI77</f>
        <v>0</v>
      </c>
      <c r="AJ77" s="8">
        <f>Renta_Alta!AJ77+Masivo!AJ77+Consumo_Inicial!AJ77</f>
        <v>0</v>
      </c>
      <c r="AK77" s="8">
        <f>Renta_Alta!AK77+Masivo!AK77+Consumo_Inicial!AK77</f>
        <v>0</v>
      </c>
      <c r="AL77" s="8">
        <f>Renta_Alta!AL77+Masivo!AL77+Consumo_Inicial!AL77</f>
        <v>0</v>
      </c>
      <c r="AM77" s="8">
        <f>Renta_Alta!AM77+Masivo!AM77+Consumo_Inicial!AM77</f>
        <v>0</v>
      </c>
      <c r="AN77" s="8">
        <f>Renta_Alta!AN77+Masivo!AN77+Consumo_Inicial!AN77</f>
        <v>0</v>
      </c>
      <c r="AO77" s="8">
        <f>Renta_Alta!AO77+Masivo!AO77+Consumo_Inicial!AO77</f>
        <v>0</v>
      </c>
      <c r="AP77" s="8">
        <f>Renta_Alta!AP77+Masivo!AP77+Consumo_Inicial!AP77</f>
        <v>0</v>
      </c>
      <c r="AQ77" s="8">
        <f>Renta_Alta!AQ77+Masivo!AQ77+Consumo_Inicial!AQ77</f>
        <v>0</v>
      </c>
      <c r="AR77" s="8">
        <f>Renta_Alta!AR77+Masivo!AR77+Consumo_Inicial!AR77</f>
        <v>0</v>
      </c>
      <c r="AS77" s="8">
        <f>Renta_Alta!AS77+Masivo!AS77+Consumo_Inicial!AS77</f>
        <v>0</v>
      </c>
      <c r="AT77" s="8">
        <f>Renta_Alta!AT77+Masivo!AT77+Consumo_Inicial!AT77</f>
        <v>0</v>
      </c>
      <c r="AU77" s="8">
        <f>Renta_Alta!AU77+Masivo!AU77+Consumo_Inicial!AU77</f>
        <v>0</v>
      </c>
      <c r="AV77" s="8">
        <f>Renta_Alta!AV77+Masivo!AV77+Consumo_Inicial!AV77</f>
        <v>0</v>
      </c>
      <c r="AW77" s="8">
        <f>Renta_Alta!AW77+Masivo!AW77+Consumo_Inicial!AW77</f>
        <v>0</v>
      </c>
      <c r="AX77" s="8">
        <f>Renta_Alta!AX77+Masivo!AX77+Consumo_Inicial!AX77</f>
        <v>0</v>
      </c>
      <c r="AY77" s="8">
        <f>Renta_Alta!AY77+Masivo!AY77+Consumo_Inicial!AY77</f>
        <v>0</v>
      </c>
      <c r="AZ77" s="8">
        <f>Renta_Alta!AZ77+Masivo!AZ77+Consumo_Inicial!AZ77</f>
        <v>0</v>
      </c>
      <c r="BA77" s="8">
        <f>Renta_Alta!BA77+Masivo!BA77+Consumo_Inicial!BA77</f>
        <v>0</v>
      </c>
      <c r="BB77" s="8">
        <f>Renta_Alta!BB77+Masivo!BB77+Consumo_Inicial!BB77</f>
        <v>0</v>
      </c>
      <c r="BC77" s="8">
        <f>Renta_Alta!BC77+Masivo!BC77+Consumo_Inicial!BC77</f>
        <v>0</v>
      </c>
      <c r="BD77" s="8">
        <f>Renta_Alta!BD77+Masivo!BD77+Consumo_Inicial!BD77</f>
        <v>0</v>
      </c>
      <c r="BE77" s="8">
        <f>Renta_Alta!BE77+Masivo!BE77+Consumo_Inicial!BE77</f>
        <v>0</v>
      </c>
      <c r="BF77" s="8">
        <f>Renta_Alta!BF77+Masivo!BF77+Consumo_Inicial!BF77</f>
        <v>0</v>
      </c>
      <c r="BG77" s="8">
        <f>Renta_Alta!BG77+Masivo!BG77+Consumo_Inicial!BG77</f>
        <v>0</v>
      </c>
      <c r="BH77" s="8">
        <f>Renta_Alta!BH77+Masivo!BH77+Consumo_Inicial!BH77</f>
        <v>0</v>
      </c>
      <c r="BI77" s="8">
        <f>Renta_Alta!BI77+Masivo!BI77+Consumo_Inicial!BI77</f>
        <v>0</v>
      </c>
      <c r="BJ77" s="8">
        <f>Renta_Alta!BJ77+Masivo!BJ77+Consumo_Inicial!BJ77</f>
        <v>0</v>
      </c>
      <c r="BK77" s="8">
        <f>Renta_Alta!BK77+Masivo!BK77+Consumo_Inicial!BK77</f>
        <v>0</v>
      </c>
      <c r="BO77" s="24">
        <f t="shared" si="244"/>
        <v>0</v>
      </c>
      <c r="BP77" s="24">
        <f t="shared" si="244"/>
        <v>0</v>
      </c>
      <c r="BQ77" s="24">
        <f t="shared" si="244"/>
        <v>0</v>
      </c>
      <c r="BR77" s="24">
        <f t="shared" si="244"/>
        <v>0</v>
      </c>
      <c r="BS77" s="24">
        <f t="shared" si="244"/>
        <v>0</v>
      </c>
      <c r="BT77" s="24">
        <f t="shared" si="244"/>
        <v>0</v>
      </c>
    </row>
    <row r="78" spans="1:72" outlineLevel="1" x14ac:dyDescent="0.25">
      <c r="A78" s="11" t="s">
        <v>71</v>
      </c>
      <c r="C78" s="2"/>
      <c r="D78" s="8">
        <f>Renta_Alta!D78+Masivo!D78+Consumo_Inicial!D78</f>
        <v>0</v>
      </c>
      <c r="E78" s="8">
        <f>Renta_Alta!E78+Masivo!E78+Consumo_Inicial!E78</f>
        <v>0</v>
      </c>
      <c r="F78" s="8">
        <f>Renta_Alta!F78+Masivo!F78+Consumo_Inicial!F78</f>
        <v>0</v>
      </c>
      <c r="G78" s="8">
        <f>Renta_Alta!G78+Masivo!G78+Consumo_Inicial!G78</f>
        <v>0</v>
      </c>
      <c r="H78" s="8">
        <f>Renta_Alta!H78+Masivo!H78+Consumo_Inicial!H78</f>
        <v>0</v>
      </c>
      <c r="I78" s="8">
        <f>Renta_Alta!I78+Masivo!I78+Consumo_Inicial!I78</f>
        <v>0</v>
      </c>
      <c r="J78" s="8">
        <f>Renta_Alta!J78+Masivo!J78+Consumo_Inicial!J78</f>
        <v>0</v>
      </c>
      <c r="K78" s="8">
        <f>Renta_Alta!K78+Masivo!K78+Consumo_Inicial!K78</f>
        <v>0</v>
      </c>
      <c r="L78" s="8">
        <f>Renta_Alta!L78+Masivo!L78+Consumo_Inicial!L78</f>
        <v>0</v>
      </c>
      <c r="M78" s="8">
        <f>Renta_Alta!M78+Masivo!M78+Consumo_Inicial!M78</f>
        <v>0</v>
      </c>
      <c r="N78" s="8">
        <f>Renta_Alta!N78+Masivo!N78+Consumo_Inicial!N78</f>
        <v>0</v>
      </c>
      <c r="O78" s="8">
        <f>Renta_Alta!O78+Masivo!O78+Consumo_Inicial!O78</f>
        <v>0</v>
      </c>
      <c r="P78" s="8">
        <f>Renta_Alta!P78+Masivo!P78+Consumo_Inicial!P78</f>
        <v>0</v>
      </c>
      <c r="Q78" s="8">
        <f>Renta_Alta!Q78+Masivo!Q78+Consumo_Inicial!Q78</f>
        <v>0</v>
      </c>
      <c r="R78" s="8">
        <f>Renta_Alta!R78+Masivo!R78+Consumo_Inicial!R78</f>
        <v>0</v>
      </c>
      <c r="S78" s="8">
        <f>Renta_Alta!S78+Masivo!S78+Consumo_Inicial!S78</f>
        <v>0</v>
      </c>
      <c r="T78" s="8">
        <f>Renta_Alta!T78+Masivo!T78+Consumo_Inicial!T78</f>
        <v>0</v>
      </c>
      <c r="U78" s="8">
        <f>Renta_Alta!U78+Masivo!U78+Consumo_Inicial!U78</f>
        <v>0</v>
      </c>
      <c r="V78" s="8">
        <f>Renta_Alta!V78+Masivo!V78+Consumo_Inicial!V78</f>
        <v>0</v>
      </c>
      <c r="W78" s="8">
        <f>Renta_Alta!W78+Masivo!W78+Consumo_Inicial!W78</f>
        <v>0</v>
      </c>
      <c r="X78" s="8">
        <f>Renta_Alta!X78+Masivo!X78+Consumo_Inicial!X78</f>
        <v>0</v>
      </c>
      <c r="Y78" s="8">
        <f>Renta_Alta!Y78+Masivo!Y78+Consumo_Inicial!Y78</f>
        <v>0</v>
      </c>
      <c r="Z78" s="8">
        <f>Renta_Alta!Z78+Masivo!Z78+Consumo_Inicial!Z78</f>
        <v>0</v>
      </c>
      <c r="AA78" s="8">
        <f>Renta_Alta!AA78+Masivo!AA78+Consumo_Inicial!AA78</f>
        <v>0</v>
      </c>
      <c r="AB78" s="8">
        <f>Renta_Alta!AB78+Masivo!AB78+Consumo_Inicial!AB78</f>
        <v>0</v>
      </c>
      <c r="AC78" s="8">
        <f>Renta_Alta!AC78+Masivo!AC78+Consumo_Inicial!AC78</f>
        <v>0</v>
      </c>
      <c r="AD78" s="8">
        <f>Renta_Alta!AD78+Masivo!AD78+Consumo_Inicial!AD78</f>
        <v>0</v>
      </c>
      <c r="AE78" s="8">
        <f>Renta_Alta!AE78+Masivo!AE78+Consumo_Inicial!AE78</f>
        <v>0</v>
      </c>
      <c r="AF78" s="8">
        <f>Renta_Alta!AF78+Masivo!AF78+Consumo_Inicial!AF78</f>
        <v>0</v>
      </c>
      <c r="AG78" s="8">
        <f>Renta_Alta!AG78+Masivo!AG78+Consumo_Inicial!AG78</f>
        <v>0</v>
      </c>
      <c r="AH78" s="8">
        <f>Renta_Alta!AH78+Masivo!AH78+Consumo_Inicial!AH78</f>
        <v>0</v>
      </c>
      <c r="AI78" s="8">
        <f>Renta_Alta!AI78+Masivo!AI78+Consumo_Inicial!AI78</f>
        <v>0</v>
      </c>
      <c r="AJ78" s="8">
        <f>Renta_Alta!AJ78+Masivo!AJ78+Consumo_Inicial!AJ78</f>
        <v>0</v>
      </c>
      <c r="AK78" s="8">
        <f>Renta_Alta!AK78+Masivo!AK78+Consumo_Inicial!AK78</f>
        <v>0</v>
      </c>
      <c r="AL78" s="8">
        <f>Renta_Alta!AL78+Masivo!AL78+Consumo_Inicial!AL78</f>
        <v>0</v>
      </c>
      <c r="AM78" s="8">
        <f>Renta_Alta!AM78+Masivo!AM78+Consumo_Inicial!AM78</f>
        <v>0</v>
      </c>
      <c r="AN78" s="8">
        <f>Renta_Alta!AN78+Masivo!AN78+Consumo_Inicial!AN78</f>
        <v>0</v>
      </c>
      <c r="AO78" s="8">
        <f>Renta_Alta!AO78+Masivo!AO78+Consumo_Inicial!AO78</f>
        <v>0</v>
      </c>
      <c r="AP78" s="8">
        <f>Renta_Alta!AP78+Masivo!AP78+Consumo_Inicial!AP78</f>
        <v>0</v>
      </c>
      <c r="AQ78" s="8">
        <f>Renta_Alta!AQ78+Masivo!AQ78+Consumo_Inicial!AQ78</f>
        <v>0</v>
      </c>
      <c r="AR78" s="8">
        <f>Renta_Alta!AR78+Masivo!AR78+Consumo_Inicial!AR78</f>
        <v>0</v>
      </c>
      <c r="AS78" s="8">
        <f>Renta_Alta!AS78+Masivo!AS78+Consumo_Inicial!AS78</f>
        <v>0</v>
      </c>
      <c r="AT78" s="8">
        <f>Renta_Alta!AT78+Masivo!AT78+Consumo_Inicial!AT78</f>
        <v>0</v>
      </c>
      <c r="AU78" s="8">
        <f>Renta_Alta!AU78+Masivo!AU78+Consumo_Inicial!AU78</f>
        <v>0</v>
      </c>
      <c r="AV78" s="8">
        <f>Renta_Alta!AV78+Masivo!AV78+Consumo_Inicial!AV78</f>
        <v>0</v>
      </c>
      <c r="AW78" s="8">
        <f>Renta_Alta!AW78+Masivo!AW78+Consumo_Inicial!AW78</f>
        <v>0</v>
      </c>
      <c r="AX78" s="8">
        <f>Renta_Alta!AX78+Masivo!AX78+Consumo_Inicial!AX78</f>
        <v>0</v>
      </c>
      <c r="AY78" s="8">
        <f>Renta_Alta!AY78+Masivo!AY78+Consumo_Inicial!AY78</f>
        <v>0</v>
      </c>
      <c r="AZ78" s="8">
        <f>Renta_Alta!AZ78+Masivo!AZ78+Consumo_Inicial!AZ78</f>
        <v>0</v>
      </c>
      <c r="BA78" s="8">
        <f>Renta_Alta!BA78+Masivo!BA78+Consumo_Inicial!BA78</f>
        <v>0</v>
      </c>
      <c r="BB78" s="8">
        <f>Renta_Alta!BB78+Masivo!BB78+Consumo_Inicial!BB78</f>
        <v>0</v>
      </c>
      <c r="BC78" s="8">
        <f>Renta_Alta!BC78+Masivo!BC78+Consumo_Inicial!BC78</f>
        <v>0</v>
      </c>
      <c r="BD78" s="8">
        <f>Renta_Alta!BD78+Masivo!BD78+Consumo_Inicial!BD78</f>
        <v>0</v>
      </c>
      <c r="BE78" s="8">
        <f>Renta_Alta!BE78+Masivo!BE78+Consumo_Inicial!BE78</f>
        <v>0</v>
      </c>
      <c r="BF78" s="8">
        <f>Renta_Alta!BF78+Masivo!BF78+Consumo_Inicial!BF78</f>
        <v>0</v>
      </c>
      <c r="BG78" s="8">
        <f>Renta_Alta!BG78+Masivo!BG78+Consumo_Inicial!BG78</f>
        <v>0</v>
      </c>
      <c r="BH78" s="8">
        <f>Renta_Alta!BH78+Masivo!BH78+Consumo_Inicial!BH78</f>
        <v>0</v>
      </c>
      <c r="BI78" s="8">
        <f>Renta_Alta!BI78+Masivo!BI78+Consumo_Inicial!BI78</f>
        <v>0</v>
      </c>
      <c r="BJ78" s="8">
        <f>Renta_Alta!BJ78+Masivo!BJ78+Consumo_Inicial!BJ78</f>
        <v>0</v>
      </c>
      <c r="BK78" s="8">
        <f>Renta_Alta!BK78+Masivo!BK78+Consumo_Inicial!BK78</f>
        <v>0</v>
      </c>
      <c r="BO78" s="24">
        <f t="shared" si="244"/>
        <v>0</v>
      </c>
      <c r="BP78" s="24">
        <f t="shared" si="244"/>
        <v>0</v>
      </c>
      <c r="BQ78" s="24">
        <f t="shared" si="244"/>
        <v>0</v>
      </c>
      <c r="BR78" s="24">
        <f t="shared" si="244"/>
        <v>0</v>
      </c>
      <c r="BS78" s="24">
        <f t="shared" si="244"/>
        <v>0</v>
      </c>
      <c r="BT78" s="24">
        <f t="shared" si="244"/>
        <v>0</v>
      </c>
    </row>
    <row r="79" spans="1:72" outlineLevel="1" x14ac:dyDescent="0.25">
      <c r="A79" s="11" t="s">
        <v>71</v>
      </c>
      <c r="C79" s="2"/>
      <c r="D79" s="8">
        <f>Renta_Alta!D79+Masivo!D79+Consumo_Inicial!D79</f>
        <v>0</v>
      </c>
      <c r="E79" s="8">
        <f>Renta_Alta!E79+Masivo!E79+Consumo_Inicial!E79</f>
        <v>0</v>
      </c>
      <c r="F79" s="8">
        <f>Renta_Alta!F79+Masivo!F79+Consumo_Inicial!F79</f>
        <v>0</v>
      </c>
      <c r="G79" s="8">
        <f>Renta_Alta!G79+Masivo!G79+Consumo_Inicial!G79</f>
        <v>0</v>
      </c>
      <c r="H79" s="8">
        <f>Renta_Alta!H79+Masivo!H79+Consumo_Inicial!H79</f>
        <v>0</v>
      </c>
      <c r="I79" s="8">
        <f>Renta_Alta!I79+Masivo!I79+Consumo_Inicial!I79</f>
        <v>0</v>
      </c>
      <c r="J79" s="8">
        <f>Renta_Alta!J79+Masivo!J79+Consumo_Inicial!J79</f>
        <v>0</v>
      </c>
      <c r="K79" s="8">
        <f>Renta_Alta!K79+Masivo!K79+Consumo_Inicial!K79</f>
        <v>0</v>
      </c>
      <c r="L79" s="8">
        <f>Renta_Alta!L79+Masivo!L79+Consumo_Inicial!L79</f>
        <v>0</v>
      </c>
      <c r="M79" s="8">
        <f>Renta_Alta!M79+Masivo!M79+Consumo_Inicial!M79</f>
        <v>0</v>
      </c>
      <c r="N79" s="8">
        <f>Renta_Alta!N79+Masivo!N79+Consumo_Inicial!N79</f>
        <v>0</v>
      </c>
      <c r="O79" s="8">
        <f>Renta_Alta!O79+Masivo!O79+Consumo_Inicial!O79</f>
        <v>0</v>
      </c>
      <c r="P79" s="8">
        <f>Renta_Alta!P79+Masivo!P79+Consumo_Inicial!P79</f>
        <v>0</v>
      </c>
      <c r="Q79" s="8">
        <f>Renta_Alta!Q79+Masivo!Q79+Consumo_Inicial!Q79</f>
        <v>0</v>
      </c>
      <c r="R79" s="8">
        <f>Renta_Alta!R79+Masivo!R79+Consumo_Inicial!R79</f>
        <v>0</v>
      </c>
      <c r="S79" s="8">
        <f>Renta_Alta!S79+Masivo!S79+Consumo_Inicial!S79</f>
        <v>0</v>
      </c>
      <c r="T79" s="8">
        <f>Renta_Alta!T79+Masivo!T79+Consumo_Inicial!T79</f>
        <v>0</v>
      </c>
      <c r="U79" s="8">
        <f>Renta_Alta!U79+Masivo!U79+Consumo_Inicial!U79</f>
        <v>0</v>
      </c>
      <c r="V79" s="8">
        <f>Renta_Alta!V79+Masivo!V79+Consumo_Inicial!V79</f>
        <v>0</v>
      </c>
      <c r="W79" s="8">
        <f>Renta_Alta!W79+Masivo!W79+Consumo_Inicial!W79</f>
        <v>0</v>
      </c>
      <c r="X79" s="8">
        <f>Renta_Alta!X79+Masivo!X79+Consumo_Inicial!X79</f>
        <v>0</v>
      </c>
      <c r="Y79" s="8">
        <f>Renta_Alta!Y79+Masivo!Y79+Consumo_Inicial!Y79</f>
        <v>0</v>
      </c>
      <c r="Z79" s="8">
        <f>Renta_Alta!Z79+Masivo!Z79+Consumo_Inicial!Z79</f>
        <v>0</v>
      </c>
      <c r="AA79" s="8">
        <f>Renta_Alta!AA79+Masivo!AA79+Consumo_Inicial!AA79</f>
        <v>0</v>
      </c>
      <c r="AB79" s="8">
        <f>Renta_Alta!AB79+Masivo!AB79+Consumo_Inicial!AB79</f>
        <v>0</v>
      </c>
      <c r="AC79" s="8">
        <f>Renta_Alta!AC79+Masivo!AC79+Consumo_Inicial!AC79</f>
        <v>0</v>
      </c>
      <c r="AD79" s="8">
        <f>Renta_Alta!AD79+Masivo!AD79+Consumo_Inicial!AD79</f>
        <v>0</v>
      </c>
      <c r="AE79" s="8">
        <f>Renta_Alta!AE79+Masivo!AE79+Consumo_Inicial!AE79</f>
        <v>0</v>
      </c>
      <c r="AF79" s="8">
        <f>Renta_Alta!AF79+Masivo!AF79+Consumo_Inicial!AF79</f>
        <v>0</v>
      </c>
      <c r="AG79" s="8">
        <f>Renta_Alta!AG79+Masivo!AG79+Consumo_Inicial!AG79</f>
        <v>0</v>
      </c>
      <c r="AH79" s="8">
        <f>Renta_Alta!AH79+Masivo!AH79+Consumo_Inicial!AH79</f>
        <v>0</v>
      </c>
      <c r="AI79" s="8">
        <f>Renta_Alta!AI79+Masivo!AI79+Consumo_Inicial!AI79</f>
        <v>0</v>
      </c>
      <c r="AJ79" s="8">
        <f>Renta_Alta!AJ79+Masivo!AJ79+Consumo_Inicial!AJ79</f>
        <v>0</v>
      </c>
      <c r="AK79" s="8">
        <f>Renta_Alta!AK79+Masivo!AK79+Consumo_Inicial!AK79</f>
        <v>0</v>
      </c>
      <c r="AL79" s="8">
        <f>Renta_Alta!AL79+Masivo!AL79+Consumo_Inicial!AL79</f>
        <v>0</v>
      </c>
      <c r="AM79" s="8">
        <f>Renta_Alta!AM79+Masivo!AM79+Consumo_Inicial!AM79</f>
        <v>0</v>
      </c>
      <c r="AN79" s="8">
        <f>Renta_Alta!AN79+Masivo!AN79+Consumo_Inicial!AN79</f>
        <v>0</v>
      </c>
      <c r="AO79" s="8">
        <f>Renta_Alta!AO79+Masivo!AO79+Consumo_Inicial!AO79</f>
        <v>0</v>
      </c>
      <c r="AP79" s="8">
        <f>Renta_Alta!AP79+Masivo!AP79+Consumo_Inicial!AP79</f>
        <v>0</v>
      </c>
      <c r="AQ79" s="8">
        <f>Renta_Alta!AQ79+Masivo!AQ79+Consumo_Inicial!AQ79</f>
        <v>0</v>
      </c>
      <c r="AR79" s="8">
        <f>Renta_Alta!AR79+Masivo!AR79+Consumo_Inicial!AR79</f>
        <v>0</v>
      </c>
      <c r="AS79" s="8">
        <f>Renta_Alta!AS79+Masivo!AS79+Consumo_Inicial!AS79</f>
        <v>0</v>
      </c>
      <c r="AT79" s="8">
        <f>Renta_Alta!AT79+Masivo!AT79+Consumo_Inicial!AT79</f>
        <v>0</v>
      </c>
      <c r="AU79" s="8">
        <f>Renta_Alta!AU79+Masivo!AU79+Consumo_Inicial!AU79</f>
        <v>0</v>
      </c>
      <c r="AV79" s="8">
        <f>Renta_Alta!AV79+Masivo!AV79+Consumo_Inicial!AV79</f>
        <v>0</v>
      </c>
      <c r="AW79" s="8">
        <f>Renta_Alta!AW79+Masivo!AW79+Consumo_Inicial!AW79</f>
        <v>0</v>
      </c>
      <c r="AX79" s="8">
        <f>Renta_Alta!AX79+Masivo!AX79+Consumo_Inicial!AX79</f>
        <v>0</v>
      </c>
      <c r="AY79" s="8">
        <f>Renta_Alta!AY79+Masivo!AY79+Consumo_Inicial!AY79</f>
        <v>0</v>
      </c>
      <c r="AZ79" s="8">
        <f>Renta_Alta!AZ79+Masivo!AZ79+Consumo_Inicial!AZ79</f>
        <v>0</v>
      </c>
      <c r="BA79" s="8">
        <f>Renta_Alta!BA79+Masivo!BA79+Consumo_Inicial!BA79</f>
        <v>0</v>
      </c>
      <c r="BB79" s="8">
        <f>Renta_Alta!BB79+Masivo!BB79+Consumo_Inicial!BB79</f>
        <v>0</v>
      </c>
      <c r="BC79" s="8">
        <f>Renta_Alta!BC79+Masivo!BC79+Consumo_Inicial!BC79</f>
        <v>0</v>
      </c>
      <c r="BD79" s="8">
        <f>Renta_Alta!BD79+Masivo!BD79+Consumo_Inicial!BD79</f>
        <v>0</v>
      </c>
      <c r="BE79" s="8">
        <f>Renta_Alta!BE79+Masivo!BE79+Consumo_Inicial!BE79</f>
        <v>0</v>
      </c>
      <c r="BF79" s="8">
        <f>Renta_Alta!BF79+Masivo!BF79+Consumo_Inicial!BF79</f>
        <v>0</v>
      </c>
      <c r="BG79" s="8">
        <f>Renta_Alta!BG79+Masivo!BG79+Consumo_Inicial!BG79</f>
        <v>0</v>
      </c>
      <c r="BH79" s="8">
        <f>Renta_Alta!BH79+Masivo!BH79+Consumo_Inicial!BH79</f>
        <v>0</v>
      </c>
      <c r="BI79" s="8">
        <f>Renta_Alta!BI79+Masivo!BI79+Consumo_Inicial!BI79</f>
        <v>0</v>
      </c>
      <c r="BJ79" s="8">
        <f>Renta_Alta!BJ79+Masivo!BJ79+Consumo_Inicial!BJ79</f>
        <v>0</v>
      </c>
      <c r="BK79" s="8">
        <f>Renta_Alta!BK79+Masivo!BK79+Consumo_Inicial!BK79</f>
        <v>0</v>
      </c>
      <c r="BO79" s="24">
        <f t="shared" si="244"/>
        <v>0</v>
      </c>
      <c r="BP79" s="24">
        <f t="shared" si="244"/>
        <v>0</v>
      </c>
      <c r="BQ79" s="24">
        <f t="shared" si="244"/>
        <v>0</v>
      </c>
      <c r="BR79" s="24">
        <f t="shared" si="244"/>
        <v>0</v>
      </c>
      <c r="BS79" s="24">
        <f t="shared" si="244"/>
        <v>0</v>
      </c>
      <c r="BT79" s="24">
        <f t="shared" si="244"/>
        <v>0</v>
      </c>
    </row>
    <row r="80" spans="1:72" outlineLevel="1" x14ac:dyDescent="0.25">
      <c r="A80" s="11" t="s">
        <v>71</v>
      </c>
      <c r="C80" s="2"/>
      <c r="D80" s="8">
        <f>Renta_Alta!D80+Masivo!D80+Consumo_Inicial!D80</f>
        <v>0</v>
      </c>
      <c r="E80" s="8">
        <f>Renta_Alta!E80+Masivo!E80+Consumo_Inicial!E80</f>
        <v>0</v>
      </c>
      <c r="F80" s="8">
        <f>Renta_Alta!F80+Masivo!F80+Consumo_Inicial!F80</f>
        <v>0</v>
      </c>
      <c r="G80" s="8">
        <f>Renta_Alta!G80+Masivo!G80+Consumo_Inicial!G80</f>
        <v>0</v>
      </c>
      <c r="H80" s="8">
        <f>Renta_Alta!H80+Masivo!H80+Consumo_Inicial!H80</f>
        <v>0</v>
      </c>
      <c r="I80" s="8">
        <f>Renta_Alta!I80+Masivo!I80+Consumo_Inicial!I80</f>
        <v>0</v>
      </c>
      <c r="J80" s="8">
        <f>Renta_Alta!J80+Masivo!J80+Consumo_Inicial!J80</f>
        <v>0</v>
      </c>
      <c r="K80" s="8">
        <f>Renta_Alta!K80+Masivo!K80+Consumo_Inicial!K80</f>
        <v>0</v>
      </c>
      <c r="L80" s="8">
        <f>Renta_Alta!L80+Masivo!L80+Consumo_Inicial!L80</f>
        <v>0</v>
      </c>
      <c r="M80" s="8">
        <f>Renta_Alta!M80+Masivo!M80+Consumo_Inicial!M80</f>
        <v>0</v>
      </c>
      <c r="N80" s="8">
        <f>Renta_Alta!N80+Masivo!N80+Consumo_Inicial!N80</f>
        <v>0</v>
      </c>
      <c r="O80" s="8">
        <f>Renta_Alta!O80+Masivo!O80+Consumo_Inicial!O80</f>
        <v>0</v>
      </c>
      <c r="P80" s="8">
        <f>Renta_Alta!P80+Masivo!P80+Consumo_Inicial!P80</f>
        <v>0</v>
      </c>
      <c r="Q80" s="8">
        <f>Renta_Alta!Q80+Masivo!Q80+Consumo_Inicial!Q80</f>
        <v>0</v>
      </c>
      <c r="R80" s="8">
        <f>Renta_Alta!R80+Masivo!R80+Consumo_Inicial!R80</f>
        <v>0</v>
      </c>
      <c r="S80" s="8">
        <f>Renta_Alta!S80+Masivo!S80+Consumo_Inicial!S80</f>
        <v>0</v>
      </c>
      <c r="T80" s="8">
        <f>Renta_Alta!T80+Masivo!T80+Consumo_Inicial!T80</f>
        <v>0</v>
      </c>
      <c r="U80" s="8">
        <f>Renta_Alta!U80+Masivo!U80+Consumo_Inicial!U80</f>
        <v>0</v>
      </c>
      <c r="V80" s="8">
        <f>Renta_Alta!V80+Masivo!V80+Consumo_Inicial!V80</f>
        <v>0</v>
      </c>
      <c r="W80" s="8">
        <f>Renta_Alta!W80+Masivo!W80+Consumo_Inicial!W80</f>
        <v>0</v>
      </c>
      <c r="X80" s="8">
        <f>Renta_Alta!X80+Masivo!X80+Consumo_Inicial!X80</f>
        <v>0</v>
      </c>
      <c r="Y80" s="8">
        <f>Renta_Alta!Y80+Masivo!Y80+Consumo_Inicial!Y80</f>
        <v>0</v>
      </c>
      <c r="Z80" s="8">
        <f>Renta_Alta!Z80+Masivo!Z80+Consumo_Inicial!Z80</f>
        <v>0</v>
      </c>
      <c r="AA80" s="8">
        <f>Renta_Alta!AA80+Masivo!AA80+Consumo_Inicial!AA80</f>
        <v>0</v>
      </c>
      <c r="AB80" s="8">
        <f>Renta_Alta!AB80+Masivo!AB80+Consumo_Inicial!AB80</f>
        <v>0</v>
      </c>
      <c r="AC80" s="8">
        <f>Renta_Alta!AC80+Masivo!AC80+Consumo_Inicial!AC80</f>
        <v>0</v>
      </c>
      <c r="AD80" s="8">
        <f>Renta_Alta!AD80+Masivo!AD80+Consumo_Inicial!AD80</f>
        <v>0</v>
      </c>
      <c r="AE80" s="8">
        <f>Renta_Alta!AE80+Masivo!AE80+Consumo_Inicial!AE80</f>
        <v>0</v>
      </c>
      <c r="AF80" s="8">
        <f>Renta_Alta!AF80+Masivo!AF80+Consumo_Inicial!AF80</f>
        <v>0</v>
      </c>
      <c r="AG80" s="8">
        <f>Renta_Alta!AG80+Masivo!AG80+Consumo_Inicial!AG80</f>
        <v>0</v>
      </c>
      <c r="AH80" s="8">
        <f>Renta_Alta!AH80+Masivo!AH80+Consumo_Inicial!AH80</f>
        <v>0</v>
      </c>
      <c r="AI80" s="8">
        <f>Renta_Alta!AI80+Masivo!AI80+Consumo_Inicial!AI80</f>
        <v>0</v>
      </c>
      <c r="AJ80" s="8">
        <f>Renta_Alta!AJ80+Masivo!AJ80+Consumo_Inicial!AJ80</f>
        <v>0</v>
      </c>
      <c r="AK80" s="8">
        <f>Renta_Alta!AK80+Masivo!AK80+Consumo_Inicial!AK80</f>
        <v>0</v>
      </c>
      <c r="AL80" s="8">
        <f>Renta_Alta!AL80+Masivo!AL80+Consumo_Inicial!AL80</f>
        <v>0</v>
      </c>
      <c r="AM80" s="8">
        <f>Renta_Alta!AM80+Masivo!AM80+Consumo_Inicial!AM80</f>
        <v>0</v>
      </c>
      <c r="AN80" s="8">
        <f>Renta_Alta!AN80+Masivo!AN80+Consumo_Inicial!AN80</f>
        <v>0</v>
      </c>
      <c r="AO80" s="8">
        <f>Renta_Alta!AO80+Masivo!AO80+Consumo_Inicial!AO80</f>
        <v>0</v>
      </c>
      <c r="AP80" s="8">
        <f>Renta_Alta!AP80+Masivo!AP80+Consumo_Inicial!AP80</f>
        <v>0</v>
      </c>
      <c r="AQ80" s="8">
        <f>Renta_Alta!AQ80+Masivo!AQ80+Consumo_Inicial!AQ80</f>
        <v>0</v>
      </c>
      <c r="AR80" s="8">
        <f>Renta_Alta!AR80+Masivo!AR80+Consumo_Inicial!AR80</f>
        <v>0</v>
      </c>
      <c r="AS80" s="8">
        <f>Renta_Alta!AS80+Masivo!AS80+Consumo_Inicial!AS80</f>
        <v>0</v>
      </c>
      <c r="AT80" s="8">
        <f>Renta_Alta!AT80+Masivo!AT80+Consumo_Inicial!AT80</f>
        <v>0</v>
      </c>
      <c r="AU80" s="8">
        <f>Renta_Alta!AU80+Masivo!AU80+Consumo_Inicial!AU80</f>
        <v>0</v>
      </c>
      <c r="AV80" s="8">
        <f>Renta_Alta!AV80+Masivo!AV80+Consumo_Inicial!AV80</f>
        <v>0</v>
      </c>
      <c r="AW80" s="8">
        <f>Renta_Alta!AW80+Masivo!AW80+Consumo_Inicial!AW80</f>
        <v>0</v>
      </c>
      <c r="AX80" s="8">
        <f>Renta_Alta!AX80+Masivo!AX80+Consumo_Inicial!AX80</f>
        <v>0</v>
      </c>
      <c r="AY80" s="8">
        <f>Renta_Alta!AY80+Masivo!AY80+Consumo_Inicial!AY80</f>
        <v>0</v>
      </c>
      <c r="AZ80" s="8">
        <f>Renta_Alta!AZ80+Masivo!AZ80+Consumo_Inicial!AZ80</f>
        <v>0</v>
      </c>
      <c r="BA80" s="8">
        <f>Renta_Alta!BA80+Masivo!BA80+Consumo_Inicial!BA80</f>
        <v>0</v>
      </c>
      <c r="BB80" s="8">
        <f>Renta_Alta!BB80+Masivo!BB80+Consumo_Inicial!BB80</f>
        <v>0</v>
      </c>
      <c r="BC80" s="8">
        <f>Renta_Alta!BC80+Masivo!BC80+Consumo_Inicial!BC80</f>
        <v>0</v>
      </c>
      <c r="BD80" s="8">
        <f>Renta_Alta!BD80+Masivo!BD80+Consumo_Inicial!BD80</f>
        <v>0</v>
      </c>
      <c r="BE80" s="8">
        <f>Renta_Alta!BE80+Masivo!BE80+Consumo_Inicial!BE80</f>
        <v>0</v>
      </c>
      <c r="BF80" s="8">
        <f>Renta_Alta!BF80+Masivo!BF80+Consumo_Inicial!BF80</f>
        <v>0</v>
      </c>
      <c r="BG80" s="8">
        <f>Renta_Alta!BG80+Masivo!BG80+Consumo_Inicial!BG80</f>
        <v>0</v>
      </c>
      <c r="BH80" s="8">
        <f>Renta_Alta!BH80+Masivo!BH80+Consumo_Inicial!BH80</f>
        <v>0</v>
      </c>
      <c r="BI80" s="8">
        <f>Renta_Alta!BI80+Masivo!BI80+Consumo_Inicial!BI80</f>
        <v>0</v>
      </c>
      <c r="BJ80" s="8">
        <f>Renta_Alta!BJ80+Masivo!BJ80+Consumo_Inicial!BJ80</f>
        <v>0</v>
      </c>
      <c r="BK80" s="8">
        <f>Renta_Alta!BK80+Masivo!BK80+Consumo_Inicial!BK80</f>
        <v>0</v>
      </c>
      <c r="BO80" s="24">
        <f t="shared" si="244"/>
        <v>0</v>
      </c>
      <c r="BP80" s="24">
        <f t="shared" si="244"/>
        <v>0</v>
      </c>
      <c r="BQ80" s="24">
        <f t="shared" si="244"/>
        <v>0</v>
      </c>
      <c r="BR80" s="24">
        <f t="shared" si="244"/>
        <v>0</v>
      </c>
      <c r="BS80" s="24">
        <f t="shared" si="244"/>
        <v>0</v>
      </c>
      <c r="BT80" s="24">
        <f t="shared" si="244"/>
        <v>0</v>
      </c>
    </row>
    <row r="81" spans="1:72" outlineLevel="1" x14ac:dyDescent="0.25">
      <c r="A81" s="11" t="s">
        <v>71</v>
      </c>
      <c r="C81" s="2"/>
      <c r="D81" s="8">
        <f>Renta_Alta!D81+Masivo!D81+Consumo_Inicial!D81</f>
        <v>0</v>
      </c>
      <c r="E81" s="8">
        <f>Renta_Alta!E81+Masivo!E81+Consumo_Inicial!E81</f>
        <v>0</v>
      </c>
      <c r="F81" s="8">
        <f>Renta_Alta!F81+Masivo!F81+Consumo_Inicial!F81</f>
        <v>0</v>
      </c>
      <c r="G81" s="8">
        <f>Renta_Alta!G81+Masivo!G81+Consumo_Inicial!G81</f>
        <v>0</v>
      </c>
      <c r="H81" s="8">
        <f>Renta_Alta!H81+Masivo!H81+Consumo_Inicial!H81</f>
        <v>0</v>
      </c>
      <c r="I81" s="8">
        <f>Renta_Alta!I81+Masivo!I81+Consumo_Inicial!I81</f>
        <v>0</v>
      </c>
      <c r="J81" s="8">
        <f>Renta_Alta!J81+Masivo!J81+Consumo_Inicial!J81</f>
        <v>0</v>
      </c>
      <c r="K81" s="8">
        <f>Renta_Alta!K81+Masivo!K81+Consumo_Inicial!K81</f>
        <v>0</v>
      </c>
      <c r="L81" s="8">
        <f>Renta_Alta!L81+Masivo!L81+Consumo_Inicial!L81</f>
        <v>0</v>
      </c>
      <c r="M81" s="8">
        <f>Renta_Alta!M81+Masivo!M81+Consumo_Inicial!M81</f>
        <v>0</v>
      </c>
      <c r="N81" s="8">
        <f>Renta_Alta!N81+Masivo!N81+Consumo_Inicial!N81</f>
        <v>0</v>
      </c>
      <c r="O81" s="8">
        <f>Renta_Alta!O81+Masivo!O81+Consumo_Inicial!O81</f>
        <v>0</v>
      </c>
      <c r="P81" s="8">
        <f>Renta_Alta!P81+Masivo!P81+Consumo_Inicial!P81</f>
        <v>0</v>
      </c>
      <c r="Q81" s="8">
        <f>Renta_Alta!Q81+Masivo!Q81+Consumo_Inicial!Q81</f>
        <v>0</v>
      </c>
      <c r="R81" s="8">
        <f>Renta_Alta!R81+Masivo!R81+Consumo_Inicial!R81</f>
        <v>0</v>
      </c>
      <c r="S81" s="8">
        <f>Renta_Alta!S81+Masivo!S81+Consumo_Inicial!S81</f>
        <v>0</v>
      </c>
      <c r="T81" s="8">
        <f>Renta_Alta!T81+Masivo!T81+Consumo_Inicial!T81</f>
        <v>0</v>
      </c>
      <c r="U81" s="8">
        <f>Renta_Alta!U81+Masivo!U81+Consumo_Inicial!U81</f>
        <v>0</v>
      </c>
      <c r="V81" s="8">
        <f>Renta_Alta!V81+Masivo!V81+Consumo_Inicial!V81</f>
        <v>0</v>
      </c>
      <c r="W81" s="8">
        <f>Renta_Alta!W81+Masivo!W81+Consumo_Inicial!W81</f>
        <v>0</v>
      </c>
      <c r="X81" s="8">
        <f>Renta_Alta!X81+Masivo!X81+Consumo_Inicial!X81</f>
        <v>0</v>
      </c>
      <c r="Y81" s="8">
        <f>Renta_Alta!Y81+Masivo!Y81+Consumo_Inicial!Y81</f>
        <v>0</v>
      </c>
      <c r="Z81" s="8">
        <f>Renta_Alta!Z81+Masivo!Z81+Consumo_Inicial!Z81</f>
        <v>0</v>
      </c>
      <c r="AA81" s="8">
        <f>Renta_Alta!AA81+Masivo!AA81+Consumo_Inicial!AA81</f>
        <v>0</v>
      </c>
      <c r="AB81" s="8">
        <f>Renta_Alta!AB81+Masivo!AB81+Consumo_Inicial!AB81</f>
        <v>0</v>
      </c>
      <c r="AC81" s="8">
        <f>Renta_Alta!AC81+Masivo!AC81+Consumo_Inicial!AC81</f>
        <v>0</v>
      </c>
      <c r="AD81" s="8">
        <f>Renta_Alta!AD81+Masivo!AD81+Consumo_Inicial!AD81</f>
        <v>0</v>
      </c>
      <c r="AE81" s="8">
        <f>Renta_Alta!AE81+Masivo!AE81+Consumo_Inicial!AE81</f>
        <v>0</v>
      </c>
      <c r="AF81" s="8">
        <f>Renta_Alta!AF81+Masivo!AF81+Consumo_Inicial!AF81</f>
        <v>0</v>
      </c>
      <c r="AG81" s="8">
        <f>Renta_Alta!AG81+Masivo!AG81+Consumo_Inicial!AG81</f>
        <v>0</v>
      </c>
      <c r="AH81" s="8">
        <f>Renta_Alta!AH81+Masivo!AH81+Consumo_Inicial!AH81</f>
        <v>0</v>
      </c>
      <c r="AI81" s="8">
        <f>Renta_Alta!AI81+Masivo!AI81+Consumo_Inicial!AI81</f>
        <v>0</v>
      </c>
      <c r="AJ81" s="8">
        <f>Renta_Alta!AJ81+Masivo!AJ81+Consumo_Inicial!AJ81</f>
        <v>0</v>
      </c>
      <c r="AK81" s="8">
        <f>Renta_Alta!AK81+Masivo!AK81+Consumo_Inicial!AK81</f>
        <v>0</v>
      </c>
      <c r="AL81" s="8">
        <f>Renta_Alta!AL81+Masivo!AL81+Consumo_Inicial!AL81</f>
        <v>0</v>
      </c>
      <c r="AM81" s="8">
        <f>Renta_Alta!AM81+Masivo!AM81+Consumo_Inicial!AM81</f>
        <v>0</v>
      </c>
      <c r="AN81" s="8">
        <f>Renta_Alta!AN81+Masivo!AN81+Consumo_Inicial!AN81</f>
        <v>0</v>
      </c>
      <c r="AO81" s="8">
        <f>Renta_Alta!AO81+Masivo!AO81+Consumo_Inicial!AO81</f>
        <v>0</v>
      </c>
      <c r="AP81" s="8">
        <f>Renta_Alta!AP81+Masivo!AP81+Consumo_Inicial!AP81</f>
        <v>0</v>
      </c>
      <c r="AQ81" s="8">
        <f>Renta_Alta!AQ81+Masivo!AQ81+Consumo_Inicial!AQ81</f>
        <v>0</v>
      </c>
      <c r="AR81" s="8">
        <f>Renta_Alta!AR81+Masivo!AR81+Consumo_Inicial!AR81</f>
        <v>0</v>
      </c>
      <c r="AS81" s="8">
        <f>Renta_Alta!AS81+Masivo!AS81+Consumo_Inicial!AS81</f>
        <v>0</v>
      </c>
      <c r="AT81" s="8">
        <f>Renta_Alta!AT81+Masivo!AT81+Consumo_Inicial!AT81</f>
        <v>0</v>
      </c>
      <c r="AU81" s="8">
        <f>Renta_Alta!AU81+Masivo!AU81+Consumo_Inicial!AU81</f>
        <v>0</v>
      </c>
      <c r="AV81" s="8">
        <f>Renta_Alta!AV81+Masivo!AV81+Consumo_Inicial!AV81</f>
        <v>0</v>
      </c>
      <c r="AW81" s="8">
        <f>Renta_Alta!AW81+Masivo!AW81+Consumo_Inicial!AW81</f>
        <v>0</v>
      </c>
      <c r="AX81" s="8">
        <f>Renta_Alta!AX81+Masivo!AX81+Consumo_Inicial!AX81</f>
        <v>0</v>
      </c>
      <c r="AY81" s="8">
        <f>Renta_Alta!AY81+Masivo!AY81+Consumo_Inicial!AY81</f>
        <v>0</v>
      </c>
      <c r="AZ81" s="8">
        <f>Renta_Alta!AZ81+Masivo!AZ81+Consumo_Inicial!AZ81</f>
        <v>0</v>
      </c>
      <c r="BA81" s="8">
        <f>Renta_Alta!BA81+Masivo!BA81+Consumo_Inicial!BA81</f>
        <v>0</v>
      </c>
      <c r="BB81" s="8">
        <f>Renta_Alta!BB81+Masivo!BB81+Consumo_Inicial!BB81</f>
        <v>0</v>
      </c>
      <c r="BC81" s="8">
        <f>Renta_Alta!BC81+Masivo!BC81+Consumo_Inicial!BC81</f>
        <v>0</v>
      </c>
      <c r="BD81" s="8">
        <f>Renta_Alta!BD81+Masivo!BD81+Consumo_Inicial!BD81</f>
        <v>0</v>
      </c>
      <c r="BE81" s="8">
        <f>Renta_Alta!BE81+Masivo!BE81+Consumo_Inicial!BE81</f>
        <v>0</v>
      </c>
      <c r="BF81" s="8">
        <f>Renta_Alta!BF81+Masivo!BF81+Consumo_Inicial!BF81</f>
        <v>0</v>
      </c>
      <c r="BG81" s="8">
        <f>Renta_Alta!BG81+Masivo!BG81+Consumo_Inicial!BG81</f>
        <v>0</v>
      </c>
      <c r="BH81" s="8">
        <f>Renta_Alta!BH81+Masivo!BH81+Consumo_Inicial!BH81</f>
        <v>0</v>
      </c>
      <c r="BI81" s="8">
        <f>Renta_Alta!BI81+Masivo!BI81+Consumo_Inicial!BI81</f>
        <v>0</v>
      </c>
      <c r="BJ81" s="8">
        <f>Renta_Alta!BJ81+Masivo!BJ81+Consumo_Inicial!BJ81</f>
        <v>0</v>
      </c>
      <c r="BK81" s="8">
        <f>Renta_Alta!BK81+Masivo!BK81+Consumo_Inicial!BK81</f>
        <v>0</v>
      </c>
      <c r="BO81" s="24">
        <f t="shared" si="244"/>
        <v>0</v>
      </c>
      <c r="BP81" s="24">
        <f t="shared" si="244"/>
        <v>0</v>
      </c>
      <c r="BQ81" s="24">
        <f t="shared" si="244"/>
        <v>0</v>
      </c>
      <c r="BR81" s="24">
        <f t="shared" si="244"/>
        <v>0</v>
      </c>
      <c r="BS81" s="24">
        <f t="shared" si="244"/>
        <v>0</v>
      </c>
      <c r="BT81" s="24">
        <f t="shared" si="244"/>
        <v>0</v>
      </c>
    </row>
    <row r="82" spans="1:72" outlineLevel="1" x14ac:dyDescent="0.25">
      <c r="A82" s="11" t="s">
        <v>71</v>
      </c>
      <c r="C82" s="2"/>
      <c r="D82" s="8">
        <f>Renta_Alta!D82+Masivo!D82+Consumo_Inicial!D82</f>
        <v>0</v>
      </c>
      <c r="E82" s="8">
        <f>Renta_Alta!E82+Masivo!E82+Consumo_Inicial!E82</f>
        <v>0</v>
      </c>
      <c r="F82" s="8">
        <f>Renta_Alta!F82+Masivo!F82+Consumo_Inicial!F82</f>
        <v>0</v>
      </c>
      <c r="G82" s="8">
        <f>Renta_Alta!G82+Masivo!G82+Consumo_Inicial!G82</f>
        <v>0</v>
      </c>
      <c r="H82" s="8">
        <f>Renta_Alta!H82+Masivo!H82+Consumo_Inicial!H82</f>
        <v>0</v>
      </c>
      <c r="I82" s="8">
        <f>Renta_Alta!I82+Masivo!I82+Consumo_Inicial!I82</f>
        <v>0</v>
      </c>
      <c r="J82" s="8">
        <f>Renta_Alta!J82+Masivo!J82+Consumo_Inicial!J82</f>
        <v>0</v>
      </c>
      <c r="K82" s="8">
        <f>Renta_Alta!K82+Masivo!K82+Consumo_Inicial!K82</f>
        <v>0</v>
      </c>
      <c r="L82" s="8">
        <f>Renta_Alta!L82+Masivo!L82+Consumo_Inicial!L82</f>
        <v>0</v>
      </c>
      <c r="M82" s="8">
        <f>Renta_Alta!M82+Masivo!M82+Consumo_Inicial!M82</f>
        <v>0</v>
      </c>
      <c r="N82" s="8">
        <f>Renta_Alta!N82+Masivo!N82+Consumo_Inicial!N82</f>
        <v>0</v>
      </c>
      <c r="O82" s="8">
        <f>Renta_Alta!O82+Masivo!O82+Consumo_Inicial!O82</f>
        <v>0</v>
      </c>
      <c r="P82" s="8">
        <f>Renta_Alta!P82+Masivo!P82+Consumo_Inicial!P82</f>
        <v>0</v>
      </c>
      <c r="Q82" s="8">
        <f>Renta_Alta!Q82+Masivo!Q82+Consumo_Inicial!Q82</f>
        <v>0</v>
      </c>
      <c r="R82" s="8">
        <f>Renta_Alta!R82+Masivo!R82+Consumo_Inicial!R82</f>
        <v>0</v>
      </c>
      <c r="S82" s="8">
        <f>Renta_Alta!S82+Masivo!S82+Consumo_Inicial!S82</f>
        <v>0</v>
      </c>
      <c r="T82" s="8">
        <f>Renta_Alta!T82+Masivo!T82+Consumo_Inicial!T82</f>
        <v>0</v>
      </c>
      <c r="U82" s="8">
        <f>Renta_Alta!U82+Masivo!U82+Consumo_Inicial!U82</f>
        <v>0</v>
      </c>
      <c r="V82" s="8">
        <f>Renta_Alta!V82+Masivo!V82+Consumo_Inicial!V82</f>
        <v>0</v>
      </c>
      <c r="W82" s="8">
        <f>Renta_Alta!W82+Masivo!W82+Consumo_Inicial!W82</f>
        <v>0</v>
      </c>
      <c r="X82" s="8">
        <f>Renta_Alta!X82+Masivo!X82+Consumo_Inicial!X82</f>
        <v>0</v>
      </c>
      <c r="Y82" s="8">
        <f>Renta_Alta!Y82+Masivo!Y82+Consumo_Inicial!Y82</f>
        <v>0</v>
      </c>
      <c r="Z82" s="8">
        <f>Renta_Alta!Z82+Masivo!Z82+Consumo_Inicial!Z82</f>
        <v>0</v>
      </c>
      <c r="AA82" s="8">
        <f>Renta_Alta!AA82+Masivo!AA82+Consumo_Inicial!AA82</f>
        <v>0</v>
      </c>
      <c r="AB82" s="8">
        <f>Renta_Alta!AB82+Masivo!AB82+Consumo_Inicial!AB82</f>
        <v>0</v>
      </c>
      <c r="AC82" s="8">
        <f>Renta_Alta!AC82+Masivo!AC82+Consumo_Inicial!AC82</f>
        <v>0</v>
      </c>
      <c r="AD82" s="8">
        <f>Renta_Alta!AD82+Masivo!AD82+Consumo_Inicial!AD82</f>
        <v>0</v>
      </c>
      <c r="AE82" s="8">
        <f>Renta_Alta!AE82+Masivo!AE82+Consumo_Inicial!AE82</f>
        <v>0</v>
      </c>
      <c r="AF82" s="8">
        <f>Renta_Alta!AF82+Masivo!AF82+Consumo_Inicial!AF82</f>
        <v>0</v>
      </c>
      <c r="AG82" s="8">
        <f>Renta_Alta!AG82+Masivo!AG82+Consumo_Inicial!AG82</f>
        <v>0</v>
      </c>
      <c r="AH82" s="8">
        <f>Renta_Alta!AH82+Masivo!AH82+Consumo_Inicial!AH82</f>
        <v>0</v>
      </c>
      <c r="AI82" s="8">
        <f>Renta_Alta!AI82+Masivo!AI82+Consumo_Inicial!AI82</f>
        <v>0</v>
      </c>
      <c r="AJ82" s="8">
        <f>Renta_Alta!AJ82+Masivo!AJ82+Consumo_Inicial!AJ82</f>
        <v>0</v>
      </c>
      <c r="AK82" s="8">
        <f>Renta_Alta!AK82+Masivo!AK82+Consumo_Inicial!AK82</f>
        <v>0</v>
      </c>
      <c r="AL82" s="8">
        <f>Renta_Alta!AL82+Masivo!AL82+Consumo_Inicial!AL82</f>
        <v>0</v>
      </c>
      <c r="AM82" s="8">
        <f>Renta_Alta!AM82+Masivo!AM82+Consumo_Inicial!AM82</f>
        <v>0</v>
      </c>
      <c r="AN82" s="8">
        <f>Renta_Alta!AN82+Masivo!AN82+Consumo_Inicial!AN82</f>
        <v>0</v>
      </c>
      <c r="AO82" s="8">
        <f>Renta_Alta!AO82+Masivo!AO82+Consumo_Inicial!AO82</f>
        <v>0</v>
      </c>
      <c r="AP82" s="8">
        <f>Renta_Alta!AP82+Masivo!AP82+Consumo_Inicial!AP82</f>
        <v>0</v>
      </c>
      <c r="AQ82" s="8">
        <f>Renta_Alta!AQ82+Masivo!AQ82+Consumo_Inicial!AQ82</f>
        <v>0</v>
      </c>
      <c r="AR82" s="8">
        <f>Renta_Alta!AR82+Masivo!AR82+Consumo_Inicial!AR82</f>
        <v>0</v>
      </c>
      <c r="AS82" s="8">
        <f>Renta_Alta!AS82+Masivo!AS82+Consumo_Inicial!AS82</f>
        <v>0</v>
      </c>
      <c r="AT82" s="8">
        <f>Renta_Alta!AT82+Masivo!AT82+Consumo_Inicial!AT82</f>
        <v>0</v>
      </c>
      <c r="AU82" s="8">
        <f>Renta_Alta!AU82+Masivo!AU82+Consumo_Inicial!AU82</f>
        <v>0</v>
      </c>
      <c r="AV82" s="8">
        <f>Renta_Alta!AV82+Masivo!AV82+Consumo_Inicial!AV82</f>
        <v>0</v>
      </c>
      <c r="AW82" s="8">
        <f>Renta_Alta!AW82+Masivo!AW82+Consumo_Inicial!AW82</f>
        <v>0</v>
      </c>
      <c r="AX82" s="8">
        <f>Renta_Alta!AX82+Masivo!AX82+Consumo_Inicial!AX82</f>
        <v>0</v>
      </c>
      <c r="AY82" s="8">
        <f>Renta_Alta!AY82+Masivo!AY82+Consumo_Inicial!AY82</f>
        <v>0</v>
      </c>
      <c r="AZ82" s="8">
        <f>Renta_Alta!AZ82+Masivo!AZ82+Consumo_Inicial!AZ82</f>
        <v>0</v>
      </c>
      <c r="BA82" s="8">
        <f>Renta_Alta!BA82+Masivo!BA82+Consumo_Inicial!BA82</f>
        <v>0</v>
      </c>
      <c r="BB82" s="8">
        <f>Renta_Alta!BB82+Masivo!BB82+Consumo_Inicial!BB82</f>
        <v>0</v>
      </c>
      <c r="BC82" s="8">
        <f>Renta_Alta!BC82+Masivo!BC82+Consumo_Inicial!BC82</f>
        <v>0</v>
      </c>
      <c r="BD82" s="8">
        <f>Renta_Alta!BD82+Masivo!BD82+Consumo_Inicial!BD82</f>
        <v>0</v>
      </c>
      <c r="BE82" s="8">
        <f>Renta_Alta!BE82+Masivo!BE82+Consumo_Inicial!BE82</f>
        <v>0</v>
      </c>
      <c r="BF82" s="8">
        <f>Renta_Alta!BF82+Masivo!BF82+Consumo_Inicial!BF82</f>
        <v>0</v>
      </c>
      <c r="BG82" s="8">
        <f>Renta_Alta!BG82+Masivo!BG82+Consumo_Inicial!BG82</f>
        <v>0</v>
      </c>
      <c r="BH82" s="8">
        <f>Renta_Alta!BH82+Masivo!BH82+Consumo_Inicial!BH82</f>
        <v>0</v>
      </c>
      <c r="BI82" s="8">
        <f>Renta_Alta!BI82+Masivo!BI82+Consumo_Inicial!BI82</f>
        <v>0</v>
      </c>
      <c r="BJ82" s="8">
        <f>Renta_Alta!BJ82+Masivo!BJ82+Consumo_Inicial!BJ82</f>
        <v>0</v>
      </c>
      <c r="BK82" s="8">
        <f>Renta_Alta!BK82+Masivo!BK82+Consumo_Inicial!BK82</f>
        <v>0</v>
      </c>
      <c r="BO82" s="24">
        <f t="shared" si="244"/>
        <v>0</v>
      </c>
      <c r="BP82" s="24">
        <f t="shared" si="244"/>
        <v>0</v>
      </c>
      <c r="BQ82" s="24">
        <f t="shared" si="244"/>
        <v>0</v>
      </c>
      <c r="BR82" s="24">
        <f t="shared" si="244"/>
        <v>0</v>
      </c>
      <c r="BS82" s="24">
        <f t="shared" si="244"/>
        <v>0</v>
      </c>
      <c r="BT82" s="24">
        <f t="shared" si="244"/>
        <v>0</v>
      </c>
    </row>
    <row r="83" spans="1:72" x14ac:dyDescent="0.25">
      <c r="C83" s="3" t="s">
        <v>71</v>
      </c>
      <c r="D83" s="10">
        <f t="shared" ref="D83:BK83" si="245">SUM(D63:D82)</f>
        <v>693.83755990869997</v>
      </c>
      <c r="E83" s="10">
        <f t="shared" si="245"/>
        <v>621.05294003870006</v>
      </c>
      <c r="F83" s="10">
        <f t="shared" si="245"/>
        <v>604.42505005020007</v>
      </c>
      <c r="G83" s="10">
        <f t="shared" si="245"/>
        <v>686.51324004499997</v>
      </c>
      <c r="H83" s="10">
        <f t="shared" si="245"/>
        <v>593.60269993200018</v>
      </c>
      <c r="I83" s="10">
        <f t="shared" si="245"/>
        <v>657.13667993799993</v>
      </c>
      <c r="J83" s="10">
        <f t="shared" si="245"/>
        <v>568.07662998800015</v>
      </c>
      <c r="K83" s="10">
        <f t="shared" si="245"/>
        <v>570.07960997499993</v>
      </c>
      <c r="L83" s="10">
        <f t="shared" si="245"/>
        <v>584.46370999099986</v>
      </c>
      <c r="M83" s="10">
        <f t="shared" si="245"/>
        <v>484.25041006599986</v>
      </c>
      <c r="N83" s="10">
        <f t="shared" si="245"/>
        <v>697.65016999919999</v>
      </c>
      <c r="O83" s="10">
        <f t="shared" si="245"/>
        <v>273.41408007999985</v>
      </c>
      <c r="P83" s="10">
        <f t="shared" si="245"/>
        <v>553.55836001260013</v>
      </c>
      <c r="Q83" s="10">
        <f t="shared" si="245"/>
        <v>629.54748998700018</v>
      </c>
      <c r="R83" s="10">
        <f t="shared" si="245"/>
        <v>625.52076001400007</v>
      </c>
      <c r="S83" s="10">
        <f t="shared" si="245"/>
        <v>597.16027999399967</v>
      </c>
      <c r="T83" s="10">
        <f t="shared" si="245"/>
        <v>497.48324997799989</v>
      </c>
      <c r="U83" s="10">
        <f t="shared" si="245"/>
        <v>699.33687998900007</v>
      </c>
      <c r="V83" s="10">
        <f t="shared" si="245"/>
        <v>716.23316993030016</v>
      </c>
      <c r="W83" s="10">
        <f t="shared" si="245"/>
        <v>538.69935001900012</v>
      </c>
      <c r="X83" s="10">
        <f t="shared" si="245"/>
        <v>1238.1083600910001</v>
      </c>
      <c r="Y83" s="10">
        <f t="shared" si="245"/>
        <v>87.126240064599983</v>
      </c>
      <c r="Z83" s="10">
        <f t="shared" si="245"/>
        <v>219.03946992799979</v>
      </c>
      <c r="AA83" s="10">
        <f t="shared" si="245"/>
        <v>1234.669199974915</v>
      </c>
      <c r="AB83" s="10">
        <f t="shared" si="245"/>
        <v>462.85814000000005</v>
      </c>
      <c r="AC83" s="10">
        <f t="shared" si="245"/>
        <v>523.99708001400006</v>
      </c>
      <c r="AD83" s="10">
        <f t="shared" si="245"/>
        <v>627.37881998999978</v>
      </c>
      <c r="AE83" s="10">
        <f t="shared" si="245"/>
        <v>485.03440007799998</v>
      </c>
      <c r="AF83" s="10">
        <f t="shared" si="245"/>
        <v>1069.2660899636001</v>
      </c>
      <c r="AG83" s="10">
        <f t="shared" si="245"/>
        <v>1030.9755899955001</v>
      </c>
      <c r="AH83" s="10">
        <f t="shared" si="245"/>
        <v>1061.8890500002997</v>
      </c>
      <c r="AI83" s="10">
        <f t="shared" si="245"/>
        <v>1113.602209956</v>
      </c>
      <c r="AJ83" s="10">
        <f t="shared" si="245"/>
        <v>1650.7727699871998</v>
      </c>
      <c r="AK83" s="10">
        <f t="shared" si="245"/>
        <v>1097.9251500150501</v>
      </c>
      <c r="AL83" s="10">
        <f t="shared" si="245"/>
        <v>1096.6556800629999</v>
      </c>
      <c r="AM83" s="10">
        <f t="shared" si="245"/>
        <v>1072.4761999299999</v>
      </c>
      <c r="AN83" s="10">
        <f t="shared" si="245"/>
        <v>949.52129000000014</v>
      </c>
      <c r="AO83" s="10">
        <f t="shared" si="245"/>
        <v>1141.2393100000002</v>
      </c>
      <c r="AP83" s="10">
        <f t="shared" si="245"/>
        <v>828.25944999999956</v>
      </c>
      <c r="AQ83" s="10">
        <f t="shared" si="245"/>
        <v>1222.06061</v>
      </c>
      <c r="AR83" s="10">
        <f t="shared" si="245"/>
        <v>914.4463999999997</v>
      </c>
      <c r="AS83" s="10">
        <f t="shared" si="245"/>
        <v>1104.4057700000003</v>
      </c>
      <c r="AT83" s="10">
        <f t="shared" si="245"/>
        <v>0</v>
      </c>
      <c r="AU83" s="10">
        <f t="shared" si="245"/>
        <v>0</v>
      </c>
      <c r="AV83" s="10">
        <f t="shared" si="245"/>
        <v>0</v>
      </c>
      <c r="AW83" s="10">
        <f t="shared" si="245"/>
        <v>0</v>
      </c>
      <c r="AX83" s="10">
        <f t="shared" si="245"/>
        <v>0</v>
      </c>
      <c r="AY83" s="10">
        <f t="shared" si="245"/>
        <v>0</v>
      </c>
      <c r="AZ83" s="10">
        <f t="shared" si="245"/>
        <v>905.24732674400002</v>
      </c>
      <c r="BA83" s="10">
        <f t="shared" si="245"/>
        <v>900.21465348799984</v>
      </c>
      <c r="BB83" s="10">
        <f t="shared" si="245"/>
        <v>895.09198023199997</v>
      </c>
      <c r="BC83" s="10">
        <f t="shared" si="245"/>
        <v>890.41930697599992</v>
      </c>
      <c r="BD83" s="10">
        <f t="shared" si="245"/>
        <v>734.86663372000021</v>
      </c>
      <c r="BE83" s="10">
        <f t="shared" si="245"/>
        <v>729.92396046399983</v>
      </c>
      <c r="BF83" s="10">
        <f t="shared" si="245"/>
        <v>674.98128720799969</v>
      </c>
      <c r="BG83" s="10">
        <f t="shared" si="245"/>
        <v>669.98861395199992</v>
      </c>
      <c r="BH83" s="10">
        <f t="shared" si="245"/>
        <v>614.63594069599992</v>
      </c>
      <c r="BI83" s="10">
        <f t="shared" si="245"/>
        <v>609.50326743999995</v>
      </c>
      <c r="BJ83" s="10">
        <f t="shared" si="245"/>
        <v>504.37059418399986</v>
      </c>
      <c r="BK83" s="10">
        <f t="shared" si="245"/>
        <v>499.46792092799978</v>
      </c>
      <c r="BO83" s="23">
        <f>SUM(BO63:BO82)</f>
        <v>5055.5270599999994</v>
      </c>
      <c r="BP83" s="23">
        <f t="shared" ref="BP83:BT83" si="246">SUM(BP63:BP82)</f>
        <v>4325.8399011599995</v>
      </c>
      <c r="BQ83" s="23">
        <f t="shared" si="246"/>
        <v>4141.0806599999996</v>
      </c>
      <c r="BR83" s="23">
        <f t="shared" si="246"/>
        <v>3168.5345300455992</v>
      </c>
      <c r="BS83" s="23">
        <f t="shared" si="246"/>
        <v>2903.2701399856005</v>
      </c>
      <c r="BT83" s="23">
        <f t="shared" si="246"/>
        <v>3199.4314899746005</v>
      </c>
    </row>
    <row r="86" spans="1:72" outlineLevel="1" x14ac:dyDescent="0.25">
      <c r="A86" s="11" t="s">
        <v>75</v>
      </c>
      <c r="C86" s="2" t="s">
        <v>78</v>
      </c>
      <c r="D86" s="8">
        <f>Renta_Alta!D86+Masivo!D86+Consumo_Inicial!D86</f>
        <v>-4676.1752929789</v>
      </c>
      <c r="E86" s="8">
        <f>Renta_Alta!E86+Masivo!E86+Consumo_Inicial!E86</f>
        <v>-5038.1345488614006</v>
      </c>
      <c r="F86" s="8">
        <f>Renta_Alta!F86+Masivo!F86+Consumo_Inicial!F86</f>
        <v>-4773.6624781597002</v>
      </c>
      <c r="G86" s="8">
        <f>Renta_Alta!G86+Masivo!G86+Consumo_Inicial!G86</f>
        <v>-5260.42224059</v>
      </c>
      <c r="H86" s="8">
        <f>Renta_Alta!H86+Masivo!H86+Consumo_Inicial!H86</f>
        <v>-4543.2276056738001</v>
      </c>
      <c r="I86" s="8">
        <f>Renta_Alta!I86+Masivo!I86+Consumo_Inicial!I86</f>
        <v>-4541.3323994538005</v>
      </c>
      <c r="J86" s="8">
        <f>Renta_Alta!J86+Masivo!J86+Consumo_Inicial!J86</f>
        <v>-4717.3214684968007</v>
      </c>
      <c r="K86" s="8">
        <f>Renta_Alta!K86+Masivo!K86+Consumo_Inicial!K86</f>
        <v>-4056.0219902288</v>
      </c>
      <c r="L86" s="8">
        <f>Renta_Alta!L86+Masivo!L86+Consumo_Inicial!L86</f>
        <v>-4331.6393526230995</v>
      </c>
      <c r="M86" s="8">
        <f>Renta_Alta!M86+Masivo!M86+Consumo_Inicial!M86</f>
        <v>-4285.8541100247003</v>
      </c>
      <c r="N86" s="8">
        <f>Renta_Alta!N86+Masivo!N86+Consumo_Inicial!N86</f>
        <v>-3936.7423239911004</v>
      </c>
      <c r="O86" s="8">
        <f>Renta_Alta!O86+Masivo!O86+Consumo_Inicial!O86</f>
        <v>-3697.6770135044999</v>
      </c>
      <c r="P86" s="8">
        <f>Renta_Alta!P86+Masivo!P86+Consumo_Inicial!P86</f>
        <v>-3856.3200729866003</v>
      </c>
      <c r="Q86" s="8">
        <f>Renta_Alta!Q86+Masivo!Q86+Consumo_Inicial!Q86</f>
        <v>-4785.8767321603</v>
      </c>
      <c r="R86" s="8">
        <f>Renta_Alta!R86+Masivo!R86+Consumo_Inicial!R86</f>
        <v>-4438.9709245925997</v>
      </c>
      <c r="S86" s="8">
        <f>Renta_Alta!S86+Masivo!S86+Consumo_Inicial!S86</f>
        <v>-4259.1707231980999</v>
      </c>
      <c r="T86" s="8">
        <f>Renta_Alta!T86+Masivo!T86+Consumo_Inicial!T86</f>
        <v>-4658.4689754195006</v>
      </c>
      <c r="U86" s="8">
        <f>Renta_Alta!U86+Masivo!U86+Consumo_Inicial!U86</f>
        <v>-4105.5753475923002</v>
      </c>
      <c r="V86" s="8">
        <f>Renta_Alta!V86+Masivo!V86+Consumo_Inicial!V86</f>
        <v>-4638.0069596879994</v>
      </c>
      <c r="W86" s="8">
        <f>Renta_Alta!W86+Masivo!W86+Consumo_Inicial!W86</f>
        <v>-4254.5946030281002</v>
      </c>
      <c r="X86" s="8">
        <f>Renta_Alta!X86+Masivo!X86+Consumo_Inicial!X86</f>
        <v>-4386.1229455133998</v>
      </c>
      <c r="Y86" s="8">
        <f>Renta_Alta!Y86+Masivo!Y86+Consumo_Inicial!Y86</f>
        <v>-4346.1349949604992</v>
      </c>
      <c r="Z86" s="8">
        <f>Renta_Alta!Z86+Masivo!Z86+Consumo_Inicial!Z86</f>
        <v>-4315.1550768436009</v>
      </c>
      <c r="AA86" s="8">
        <f>Renta_Alta!AA86+Masivo!AA86+Consumo_Inicial!AA86</f>
        <v>-4158.3175415313999</v>
      </c>
      <c r="AB86" s="8">
        <f>Renta_Alta!AB86+Masivo!AB86+Consumo_Inicial!AB86</f>
        <v>-4550.7593511629002</v>
      </c>
      <c r="AC86" s="8">
        <f>Renta_Alta!AC86+Masivo!AC86+Consumo_Inicial!AC86</f>
        <v>-4538.9845269889001</v>
      </c>
      <c r="AD86" s="8">
        <f>Renta_Alta!AD86+Masivo!AD86+Consumo_Inicial!AD86</f>
        <v>-4816.7567921197997</v>
      </c>
      <c r="AE86" s="8">
        <f>Renta_Alta!AE86+Masivo!AE86+Consumo_Inicial!AE86</f>
        <v>-5098.961504311299</v>
      </c>
      <c r="AF86" s="8">
        <f>Renta_Alta!AF86+Masivo!AF86+Consumo_Inicial!AF86</f>
        <v>-5118.6389976617002</v>
      </c>
      <c r="AG86" s="8">
        <f>Renta_Alta!AG86+Masivo!AG86+Consumo_Inicial!AG86</f>
        <v>-5145.2159552989997</v>
      </c>
      <c r="AH86" s="8">
        <f>Renta_Alta!AH86+Masivo!AH86+Consumo_Inicial!AH86</f>
        <v>-5213.7274857524999</v>
      </c>
      <c r="AI86" s="8">
        <f>Renta_Alta!AI86+Masivo!AI86+Consumo_Inicial!AI86</f>
        <v>-5632.4414981495993</v>
      </c>
      <c r="AJ86" s="8">
        <f>Renta_Alta!AJ86+Masivo!AJ86+Consumo_Inicial!AJ86</f>
        <v>-5079.1420323250004</v>
      </c>
      <c r="AK86" s="8">
        <f>Renta_Alta!AK86+Masivo!AK86+Consumo_Inicial!AK86</f>
        <v>-5001.5629675604996</v>
      </c>
      <c r="AL86" s="8">
        <f>Renta_Alta!AL86+Masivo!AL86+Consumo_Inicial!AL86</f>
        <v>-5122.3857944453002</v>
      </c>
      <c r="AM86" s="8">
        <f>Renta_Alta!AM86+Masivo!AM86+Consumo_Inicial!AM86</f>
        <v>-5702.7198060000001</v>
      </c>
      <c r="AN86" s="8">
        <f>Renta_Alta!AN86+Masivo!AN86+Consumo_Inicial!AN86</f>
        <v>-5027.2327989708992</v>
      </c>
      <c r="AO86" s="8">
        <f>Renta_Alta!AO86+Masivo!AO86+Consumo_Inicial!AO86</f>
        <v>-4832.2444049840997</v>
      </c>
      <c r="AP86" s="8">
        <f>Renta_Alta!AP86+Masivo!AP86+Consumo_Inicial!AP86</f>
        <v>-5209.5612670116006</v>
      </c>
      <c r="AQ86" s="8">
        <f>Renta_Alta!AQ86+Masivo!AQ86+Consumo_Inicial!AQ86</f>
        <v>-5070.3116497235005</v>
      </c>
      <c r="AR86" s="8">
        <f>Renta_Alta!AR86+Masivo!AR86+Consumo_Inicial!AR86</f>
        <v>-5887.2054644342006</v>
      </c>
      <c r="AS86" s="8">
        <f>Renta_Alta!AS86+Masivo!AS86+Consumo_Inicial!AS86</f>
        <v>-5255.6101237291987</v>
      </c>
      <c r="AT86" s="8">
        <f>Renta_Alta!AT86+Masivo!AT86+Consumo_Inicial!AT86</f>
        <v>0</v>
      </c>
      <c r="AU86" s="8">
        <f>Renta_Alta!AU86+Masivo!AU86+Consumo_Inicial!AU86</f>
        <v>0</v>
      </c>
      <c r="AV86" s="8">
        <f>Renta_Alta!AV86+Masivo!AV86+Consumo_Inicial!AV86</f>
        <v>0</v>
      </c>
      <c r="AW86" s="8">
        <f>Renta_Alta!AW86+Masivo!AW86+Consumo_Inicial!AW86</f>
        <v>0</v>
      </c>
      <c r="AX86" s="8">
        <f>Renta_Alta!AX86+Masivo!AX86+Consumo_Inicial!AX86</f>
        <v>0</v>
      </c>
      <c r="AY86" s="8">
        <f>Renta_Alta!AY86+Masivo!AY86+Consumo_Inicial!AY86</f>
        <v>0</v>
      </c>
      <c r="AZ86" s="8">
        <f>Renta_Alta!AZ86+Masivo!AZ86+Consumo_Inicial!AZ86</f>
        <v>-4956.9410090880001</v>
      </c>
      <c r="BA86" s="8">
        <f>Renta_Alta!BA86+Masivo!BA86+Consumo_Inicial!BA86</f>
        <v>-4880.2560488055997</v>
      </c>
      <c r="BB86" s="8">
        <f>Renta_Alta!BB86+Masivo!BB86+Consumo_Inicial!BB86</f>
        <v>-5081.5387205000998</v>
      </c>
      <c r="BC86" s="8">
        <f>Renta_Alta!BC86+Masivo!BC86+Consumo_Inicial!BC86</f>
        <v>-4990.0392857861998</v>
      </c>
      <c r="BD86" s="8">
        <f>Renta_Alta!BD86+Masivo!BD86+Consumo_Inicial!BD86</f>
        <v>-5189.8369057573</v>
      </c>
      <c r="BE86" s="8">
        <f>Renta_Alta!BE86+Masivo!BE86+Consumo_Inicial!BE86</f>
        <v>-5253.0438818026996</v>
      </c>
      <c r="BF86" s="8">
        <f>Renta_Alta!BF86+Masivo!BF86+Consumo_Inicial!BF86</f>
        <v>-5045.3214284575997</v>
      </c>
      <c r="BG86" s="8">
        <f>Renta_Alta!BG86+Masivo!BG86+Consumo_Inicial!BG86</f>
        <v>-5119.5852548997</v>
      </c>
      <c r="BH86" s="8">
        <f>Renta_Alta!BH86+Masivo!BH86+Consumo_Inicial!BH86</f>
        <v>-5280.7742997425994</v>
      </c>
      <c r="BI86" s="8">
        <f>Renta_Alta!BI86+Masivo!BI86+Consumo_Inicial!BI86</f>
        <v>-5102.3093282415994</v>
      </c>
      <c r="BJ86" s="8">
        <f>Renta_Alta!BJ86+Masivo!BJ86+Consumo_Inicial!BJ86</f>
        <v>-5184.8885132422993</v>
      </c>
      <c r="BK86" s="8">
        <f>Renta_Alta!BK86+Masivo!BK86+Consumo_Inicial!BK86</f>
        <v>-5284.7887638795</v>
      </c>
      <c r="BO86" s="24">
        <f t="shared" ref="BO86:BT88" si="247">SUMIFS($D86:$BM86,$D$6:$BM$6,"&gt;="&amp;BO$2,$D$6:$BM$6,"&lt;="&amp;BO$6,$D$5:$BM$5,BO$5)</f>
        <v>-26026.555585124297</v>
      </c>
      <c r="BP86" s="24">
        <f t="shared" si="247"/>
        <v>-25098.611969937199</v>
      </c>
      <c r="BQ86" s="24">
        <f t="shared" si="247"/>
        <v>-20139.350120690098</v>
      </c>
      <c r="BR86" s="24">
        <f t="shared" si="247"/>
        <v>-24124.101172244598</v>
      </c>
      <c r="BS86" s="24">
        <f t="shared" si="247"/>
        <v>-21998.807428357097</v>
      </c>
      <c r="BT86" s="24">
        <f t="shared" si="247"/>
        <v>-24291.622166263802</v>
      </c>
    </row>
    <row r="87" spans="1:72" outlineLevel="1" x14ac:dyDescent="0.25">
      <c r="A87" s="11" t="s">
        <v>75</v>
      </c>
      <c r="C87" s="2" t="s">
        <v>77</v>
      </c>
      <c r="D87" s="8">
        <f>Renta_Alta!D87+Masivo!D87+Consumo_Inicial!D87</f>
        <v>-282.85583375459998</v>
      </c>
      <c r="E87" s="8">
        <f>Renta_Alta!E87+Masivo!E87+Consumo_Inicial!E87</f>
        <v>-276.60548539590002</v>
      </c>
      <c r="F87" s="8">
        <f>Renta_Alta!F87+Masivo!F87+Consumo_Inicial!F87</f>
        <v>-304.13448062480001</v>
      </c>
      <c r="G87" s="8">
        <f>Renta_Alta!G87+Masivo!G87+Consumo_Inicial!G87</f>
        <v>-272.04203993069996</v>
      </c>
      <c r="H87" s="8">
        <f>Renta_Alta!H87+Masivo!H87+Consumo_Inicial!H87</f>
        <v>-295.87896928570001</v>
      </c>
      <c r="I87" s="8">
        <f>Renta_Alta!I87+Masivo!I87+Consumo_Inicial!I87</f>
        <v>-287.05405467629998</v>
      </c>
      <c r="J87" s="8">
        <f>Renta_Alta!J87+Masivo!J87+Consumo_Inicial!J87</f>
        <v>-326.0603955501</v>
      </c>
      <c r="K87" s="8">
        <f>Renta_Alta!K87+Masivo!K87+Consumo_Inicial!K87</f>
        <v>-349.38903648410002</v>
      </c>
      <c r="L87" s="8">
        <f>Renta_Alta!L87+Masivo!L87+Consumo_Inicial!L87</f>
        <v>-356.3735598646</v>
      </c>
      <c r="M87" s="8">
        <f>Renta_Alta!M87+Masivo!M87+Consumo_Inicial!M87</f>
        <v>-359.23646838779996</v>
      </c>
      <c r="N87" s="8">
        <f>Renta_Alta!N87+Masivo!N87+Consumo_Inicial!N87</f>
        <v>-339.75963925049996</v>
      </c>
      <c r="O87" s="8">
        <f>Renta_Alta!O87+Masivo!O87+Consumo_Inicial!O87</f>
        <v>-347.48449654579997</v>
      </c>
      <c r="P87" s="8">
        <f>Renta_Alta!P87+Masivo!P87+Consumo_Inicial!P87</f>
        <v>-365.89180533159998</v>
      </c>
      <c r="Q87" s="8">
        <f>Renta_Alta!Q87+Masivo!Q87+Consumo_Inicial!Q87</f>
        <v>-358.09789252420001</v>
      </c>
      <c r="R87" s="8">
        <f>Renta_Alta!R87+Masivo!R87+Consumo_Inicial!R87</f>
        <v>-389.53362656999997</v>
      </c>
      <c r="S87" s="8">
        <f>Renta_Alta!S87+Masivo!S87+Consumo_Inicial!S87</f>
        <v>-374.49195357269997</v>
      </c>
      <c r="T87" s="8">
        <f>Renta_Alta!T87+Masivo!T87+Consumo_Inicial!T87</f>
        <v>-362.46590123100003</v>
      </c>
      <c r="U87" s="8">
        <f>Renta_Alta!U87+Masivo!U87+Consumo_Inicial!U87</f>
        <v>-349.3675960759</v>
      </c>
      <c r="V87" s="8">
        <f>Renta_Alta!V87+Masivo!V87+Consumo_Inicial!V87</f>
        <v>-333.05747082950001</v>
      </c>
      <c r="W87" s="8">
        <f>Renta_Alta!W87+Masivo!W87+Consumo_Inicial!W87</f>
        <v>-336.55034051360002</v>
      </c>
      <c r="X87" s="8">
        <f>Renta_Alta!X87+Masivo!X87+Consumo_Inicial!X87</f>
        <v>-333.56939042730005</v>
      </c>
      <c r="Y87" s="8">
        <f>Renta_Alta!Y87+Masivo!Y87+Consumo_Inicial!Y87</f>
        <v>-313.56891122670004</v>
      </c>
      <c r="Z87" s="8">
        <f>Renta_Alta!Z87+Masivo!Z87+Consumo_Inicial!Z87</f>
        <v>-294.55648865059999</v>
      </c>
      <c r="AA87" s="8">
        <f>Renta_Alta!AA87+Masivo!AA87+Consumo_Inicial!AA87</f>
        <v>-283.77060668839999</v>
      </c>
      <c r="AB87" s="8">
        <f>Renta_Alta!AB87+Masivo!AB87+Consumo_Inicial!AB87</f>
        <v>-336.28043935229994</v>
      </c>
      <c r="AC87" s="8">
        <f>Renta_Alta!AC87+Masivo!AC87+Consumo_Inicial!AC87</f>
        <v>-312.20733744299997</v>
      </c>
      <c r="AD87" s="8">
        <f>Renta_Alta!AD87+Masivo!AD87+Consumo_Inicial!AD87</f>
        <v>-327.32539328809997</v>
      </c>
      <c r="AE87" s="8">
        <f>Renta_Alta!AE87+Masivo!AE87+Consumo_Inicial!AE87</f>
        <v>-309.33827675839996</v>
      </c>
      <c r="AF87" s="8">
        <f>Renta_Alta!AF87+Masivo!AF87+Consumo_Inicial!AF87</f>
        <v>-333.19079717299996</v>
      </c>
      <c r="AG87" s="8">
        <f>Renta_Alta!AG87+Masivo!AG87+Consumo_Inicial!AG87</f>
        <v>-310.08989313069998</v>
      </c>
      <c r="AH87" s="8">
        <f>Renta_Alta!AH87+Masivo!AH87+Consumo_Inicial!AH87</f>
        <v>-309.32196241230002</v>
      </c>
      <c r="AI87" s="8">
        <f>Renta_Alta!AI87+Masivo!AI87+Consumo_Inicial!AI87</f>
        <v>-296.8751875817</v>
      </c>
      <c r="AJ87" s="8">
        <f>Renta_Alta!AJ87+Masivo!AJ87+Consumo_Inicial!AJ87</f>
        <v>-272.61953152840005</v>
      </c>
      <c r="AK87" s="8">
        <f>Renta_Alta!AK87+Masivo!AK87+Consumo_Inicial!AK87</f>
        <v>-287.36120516259996</v>
      </c>
      <c r="AL87" s="8">
        <f>Renta_Alta!AL87+Masivo!AL87+Consumo_Inicial!AL87</f>
        <v>-283.11748566129995</v>
      </c>
      <c r="AM87" s="8">
        <f>Renta_Alta!AM87+Masivo!AM87+Consumo_Inicial!AM87</f>
        <v>-268.47808281770006</v>
      </c>
      <c r="AN87" s="8">
        <f>Renta_Alta!AN87+Masivo!AN87+Consumo_Inicial!AN87</f>
        <v>-255.08603130789999</v>
      </c>
      <c r="AO87" s="8">
        <f>Renta_Alta!AO87+Masivo!AO87+Consumo_Inicial!AO87</f>
        <v>-286.18661646339996</v>
      </c>
      <c r="AP87" s="8">
        <f>Renta_Alta!AP87+Masivo!AP87+Consumo_Inicial!AP87</f>
        <v>-299.57861100500003</v>
      </c>
      <c r="AQ87" s="8">
        <f>Renta_Alta!AQ87+Masivo!AQ87+Consumo_Inicial!AQ87</f>
        <v>-297.51288944700002</v>
      </c>
      <c r="AR87" s="8">
        <f>Renta_Alta!AR87+Masivo!AR87+Consumo_Inicial!AR87</f>
        <v>-296.93512462699999</v>
      </c>
      <c r="AS87" s="8">
        <f>Renta_Alta!AS87+Masivo!AS87+Consumo_Inicial!AS87</f>
        <v>-290.25065921390006</v>
      </c>
      <c r="AT87" s="8">
        <f>Renta_Alta!AT87+Masivo!AT87+Consumo_Inicial!AT87</f>
        <v>0</v>
      </c>
      <c r="AU87" s="8">
        <f>Renta_Alta!AU87+Masivo!AU87+Consumo_Inicial!AU87</f>
        <v>0</v>
      </c>
      <c r="AV87" s="8">
        <f>Renta_Alta!AV87+Masivo!AV87+Consumo_Inicial!AV87</f>
        <v>0</v>
      </c>
      <c r="AW87" s="8">
        <f>Renta_Alta!AW87+Masivo!AW87+Consumo_Inicial!AW87</f>
        <v>0</v>
      </c>
      <c r="AX87" s="8">
        <f>Renta_Alta!AX87+Masivo!AX87+Consumo_Inicial!AX87</f>
        <v>0</v>
      </c>
      <c r="AY87" s="8">
        <f>Renta_Alta!AY87+Masivo!AY87+Consumo_Inicial!AY87</f>
        <v>0</v>
      </c>
      <c r="AZ87" s="8">
        <f>Renta_Alta!AZ87+Masivo!AZ87+Consumo_Inicial!AZ87</f>
        <v>-357.90397266350004</v>
      </c>
      <c r="BA87" s="8">
        <f>Renta_Alta!BA87+Masivo!BA87+Consumo_Inicial!BA87</f>
        <v>-352.0850849885</v>
      </c>
      <c r="BB87" s="8">
        <f>Renta_Alta!BB87+Masivo!BB87+Consumo_Inicial!BB87</f>
        <v>-380.81204874889994</v>
      </c>
      <c r="BC87" s="8">
        <f>Renta_Alta!BC87+Masivo!BC87+Consumo_Inicial!BC87</f>
        <v>-373.83150265300003</v>
      </c>
      <c r="BD87" s="8">
        <f>Renta_Alta!BD87+Masivo!BD87+Consumo_Inicial!BD87</f>
        <v>-374.04955765649999</v>
      </c>
      <c r="BE87" s="8">
        <f>Renta_Alta!BE87+Masivo!BE87+Consumo_Inicial!BE87</f>
        <v>-356.63179997739996</v>
      </c>
      <c r="BF87" s="8">
        <f>Renta_Alta!BF87+Masivo!BF87+Consumo_Inicial!BF87</f>
        <v>-340.94551622300003</v>
      </c>
      <c r="BG87" s="8">
        <f>Renta_Alta!BG87+Masivo!BG87+Consumo_Inicial!BG87</f>
        <v>-339.89826999040002</v>
      </c>
      <c r="BH87" s="8">
        <f>Renta_Alta!BH87+Masivo!BH87+Consumo_Inicial!BH87</f>
        <v>-343.59278333840001</v>
      </c>
      <c r="BI87" s="8">
        <f>Renta_Alta!BI87+Masivo!BI87+Consumo_Inicial!BI87</f>
        <v>-343.33475411509994</v>
      </c>
      <c r="BJ87" s="8">
        <f>Renta_Alta!BJ87+Masivo!BJ87+Consumo_Inicial!BJ87</f>
        <v>-337.10479954859994</v>
      </c>
      <c r="BK87" s="8">
        <f>Renta_Alta!BK87+Masivo!BK87+Consumo_Inicial!BK87</f>
        <v>-335.75245883470006</v>
      </c>
      <c r="BO87" s="24">
        <f t="shared" si="247"/>
        <v>-1435.2992728503002</v>
      </c>
      <c r="BP87" s="24">
        <f t="shared" si="247"/>
        <v>-1838.6821667104</v>
      </c>
      <c r="BQ87" s="24">
        <f t="shared" si="247"/>
        <v>-1138.3641482233002</v>
      </c>
      <c r="BR87" s="24">
        <f t="shared" si="247"/>
        <v>-1618.3422440147999</v>
      </c>
      <c r="BS87" s="24">
        <f t="shared" si="247"/>
        <v>-1850.4811792295</v>
      </c>
      <c r="BT87" s="24">
        <f t="shared" si="247"/>
        <v>-1431.5168089917001</v>
      </c>
    </row>
    <row r="88" spans="1:72" outlineLevel="1" x14ac:dyDescent="0.25">
      <c r="A88" s="11" t="s">
        <v>75</v>
      </c>
      <c r="C88" s="2" t="s">
        <v>79</v>
      </c>
      <c r="D88" s="8">
        <f>Renta_Alta!D88+Masivo!D88+Consumo_Inicial!D88</f>
        <v>-1684.7350027038997</v>
      </c>
      <c r="E88" s="8">
        <f>Renta_Alta!E88+Masivo!E88+Consumo_Inicial!E88</f>
        <v>-1732.4410872716999</v>
      </c>
      <c r="F88" s="8">
        <f>Renta_Alta!F88+Masivo!F88+Consumo_Inicial!F88</f>
        <v>-1683.9125605325999</v>
      </c>
      <c r="G88" s="8">
        <f>Renta_Alta!G88+Masivo!G88+Consumo_Inicial!G88</f>
        <v>-1809.1650044977998</v>
      </c>
      <c r="H88" s="8">
        <f>Renta_Alta!H88+Masivo!H88+Consumo_Inicial!H88</f>
        <v>-1682.6984251561</v>
      </c>
      <c r="I88" s="8">
        <f>Renta_Alta!I88+Masivo!I88+Consumo_Inicial!I88</f>
        <v>-1594.053160383</v>
      </c>
      <c r="J88" s="8">
        <f>Renta_Alta!J88+Masivo!J88+Consumo_Inicial!J88</f>
        <v>-1716.0143878170002</v>
      </c>
      <c r="K88" s="8">
        <f>Renta_Alta!K88+Masivo!K88+Consumo_Inicial!K88</f>
        <v>-1589.3739195049998</v>
      </c>
      <c r="L88" s="8">
        <f>Renta_Alta!L88+Masivo!L88+Consumo_Inicial!L88</f>
        <v>-1719.1236309017002</v>
      </c>
      <c r="M88" s="8">
        <f>Renta_Alta!M88+Masivo!M88+Consumo_Inicial!M88</f>
        <v>-1666.6164970969999</v>
      </c>
      <c r="N88" s="8">
        <f>Renta_Alta!N88+Masivo!N88+Consumo_Inicial!N88</f>
        <v>-1856.2139896676999</v>
      </c>
      <c r="O88" s="8">
        <f>Renta_Alta!O88+Masivo!O88+Consumo_Inicial!O88</f>
        <v>-1578.0295406056002</v>
      </c>
      <c r="P88" s="8">
        <f>Renta_Alta!P88+Masivo!P88+Consumo_Inicial!P88</f>
        <v>-1771.0097704333</v>
      </c>
      <c r="Q88" s="8">
        <f>Renta_Alta!Q88+Masivo!Q88+Consumo_Inicial!Q88</f>
        <v>-1891.6714766580999</v>
      </c>
      <c r="R88" s="8">
        <f>Renta_Alta!R88+Masivo!R88+Consumo_Inicial!R88</f>
        <v>-1677.9304250482999</v>
      </c>
      <c r="S88" s="8">
        <f>Renta_Alta!S88+Masivo!S88+Consumo_Inicial!S88</f>
        <v>-1887.5497391514</v>
      </c>
      <c r="T88" s="8">
        <f>Renta_Alta!T88+Masivo!T88+Consumo_Inicial!T88</f>
        <v>-2085.0672102997996</v>
      </c>
      <c r="U88" s="8">
        <f>Renta_Alta!U88+Masivo!U88+Consumo_Inicial!U88</f>
        <v>-3188.0158104534003</v>
      </c>
      <c r="V88" s="8">
        <f>Renta_Alta!V88+Masivo!V88+Consumo_Inicial!V88</f>
        <v>-2606.8376397633997</v>
      </c>
      <c r="W88" s="8">
        <f>Renta_Alta!W88+Masivo!W88+Consumo_Inicial!W88</f>
        <v>-2255.1581545204003</v>
      </c>
      <c r="X88" s="8">
        <f>Renta_Alta!X88+Masivo!X88+Consumo_Inicial!X88</f>
        <v>-2060.3181894167997</v>
      </c>
      <c r="Y88" s="8">
        <f>Renta_Alta!Y88+Masivo!Y88+Consumo_Inicial!Y88</f>
        <v>-2072.3688373433997</v>
      </c>
      <c r="Z88" s="8">
        <f>Renta_Alta!Z88+Masivo!Z88+Consumo_Inicial!Z88</f>
        <v>-2016.5124682778003</v>
      </c>
      <c r="AA88" s="8">
        <f>Renta_Alta!AA88+Masivo!AA88+Consumo_Inicial!AA88</f>
        <v>-2026.3451694424002</v>
      </c>
      <c r="AB88" s="8">
        <f>Renta_Alta!AB88+Masivo!AB88+Consumo_Inicial!AB88</f>
        <v>-2345.1090573846004</v>
      </c>
      <c r="AC88" s="8">
        <f>Renta_Alta!AC88+Masivo!AC88+Consumo_Inicial!AC88</f>
        <v>-2017.6414912045998</v>
      </c>
      <c r="AD88" s="8">
        <f>Renta_Alta!AD88+Masivo!AD88+Consumo_Inicial!AD88</f>
        <v>-2064.4122026373998</v>
      </c>
      <c r="AE88" s="8">
        <f>Renta_Alta!AE88+Masivo!AE88+Consumo_Inicial!AE88</f>
        <v>-1942.4616704396001</v>
      </c>
      <c r="AF88" s="8">
        <f>Renta_Alta!AF88+Masivo!AF88+Consumo_Inicial!AF88</f>
        <v>-2223.5883464040999</v>
      </c>
      <c r="AG88" s="8">
        <f>Renta_Alta!AG88+Masivo!AG88+Consumo_Inicial!AG88</f>
        <v>-2264.0685763656998</v>
      </c>
      <c r="AH88" s="8">
        <f>Renta_Alta!AH88+Masivo!AH88+Consumo_Inicial!AH88</f>
        <v>-2157.4719287616999</v>
      </c>
      <c r="AI88" s="8">
        <f>Renta_Alta!AI88+Masivo!AI88+Consumo_Inicial!AI88</f>
        <v>-2148.2276350703</v>
      </c>
      <c r="AJ88" s="8">
        <f>Renta_Alta!AJ88+Masivo!AJ88+Consumo_Inicial!AJ88</f>
        <v>-2170.1554415538999</v>
      </c>
      <c r="AK88" s="8">
        <f>Renta_Alta!AK88+Masivo!AK88+Consumo_Inicial!AK88</f>
        <v>-2062.9895872986003</v>
      </c>
      <c r="AL88" s="8">
        <f>Renta_Alta!AL88+Masivo!AL88+Consumo_Inicial!AL88</f>
        <v>-2472.2634086509997</v>
      </c>
      <c r="AM88" s="8">
        <f>Renta_Alta!AM88+Masivo!AM88+Consumo_Inicial!AM88</f>
        <v>-2172.9452013732002</v>
      </c>
      <c r="AN88" s="8">
        <f>Renta_Alta!AN88+Masivo!AN88+Consumo_Inicial!AN88</f>
        <v>-2516.8023275709002</v>
      </c>
      <c r="AO88" s="8">
        <f>Renta_Alta!AO88+Masivo!AO88+Consumo_Inicial!AO88</f>
        <v>-2296.4511073973003</v>
      </c>
      <c r="AP88" s="8">
        <f>Renta_Alta!AP88+Masivo!AP88+Consumo_Inicial!AP88</f>
        <v>-2479.4151673657002</v>
      </c>
      <c r="AQ88" s="8">
        <f>Renta_Alta!AQ88+Masivo!AQ88+Consumo_Inicial!AQ88</f>
        <v>-2533.4181528792001</v>
      </c>
      <c r="AR88" s="8">
        <f>Renta_Alta!AR88+Masivo!AR88+Consumo_Inicial!AR88</f>
        <v>-2296.5994761680995</v>
      </c>
      <c r="AS88" s="8">
        <f>Renta_Alta!AS88+Masivo!AS88+Consumo_Inicial!AS88</f>
        <v>-2447.1420796927</v>
      </c>
      <c r="AT88" s="8">
        <f>Renta_Alta!AT88+Masivo!AT88+Consumo_Inicial!AT88</f>
        <v>0</v>
      </c>
      <c r="AU88" s="8">
        <f>Renta_Alta!AU88+Masivo!AU88+Consumo_Inicial!AU88</f>
        <v>0</v>
      </c>
      <c r="AV88" s="8">
        <f>Renta_Alta!AV88+Masivo!AV88+Consumo_Inicial!AV88</f>
        <v>0</v>
      </c>
      <c r="AW88" s="8">
        <f>Renta_Alta!AW88+Masivo!AW88+Consumo_Inicial!AW88</f>
        <v>0</v>
      </c>
      <c r="AX88" s="8">
        <f>Renta_Alta!AX88+Masivo!AX88+Consumo_Inicial!AX88</f>
        <v>0</v>
      </c>
      <c r="AY88" s="8">
        <f>Renta_Alta!AY88+Masivo!AY88+Consumo_Inicial!AY88</f>
        <v>0</v>
      </c>
      <c r="AZ88" s="8">
        <f>Renta_Alta!AZ88+Masivo!AZ88+Consumo_Inicial!AZ88</f>
        <v>-2231.8502825226997</v>
      </c>
      <c r="BA88" s="8">
        <f>Renta_Alta!BA88+Masivo!BA88+Consumo_Inicial!BA88</f>
        <v>-2368.0338989327001</v>
      </c>
      <c r="BB88" s="8">
        <f>Renta_Alta!BB88+Masivo!BB88+Consumo_Inicial!BB88</f>
        <v>-2254.4198358928002</v>
      </c>
      <c r="BC88" s="8">
        <f>Renta_Alta!BC88+Masivo!BC88+Consumo_Inicial!BC88</f>
        <v>-2266.8306396994999</v>
      </c>
      <c r="BD88" s="8">
        <f>Renta_Alta!BD88+Masivo!BD88+Consumo_Inicial!BD88</f>
        <v>-2282.2780248229997</v>
      </c>
      <c r="BE88" s="8">
        <f>Renta_Alta!BE88+Masivo!BE88+Consumo_Inicial!BE88</f>
        <v>-2349.2288687302998</v>
      </c>
      <c r="BF88" s="8">
        <f>Renta_Alta!BF88+Masivo!BF88+Consumo_Inicial!BF88</f>
        <v>-2283.0749730419998</v>
      </c>
      <c r="BG88" s="8">
        <f>Renta_Alta!BG88+Masivo!BG88+Consumo_Inicial!BG88</f>
        <v>-2273.4376964139001</v>
      </c>
      <c r="BH88" s="8">
        <f>Renta_Alta!BH88+Masivo!BH88+Consumo_Inicial!BH88</f>
        <v>-2399.0948098428003</v>
      </c>
      <c r="BI88" s="8">
        <f>Renta_Alta!BI88+Masivo!BI88+Consumo_Inicial!BI88</f>
        <v>-2313.8062616120997</v>
      </c>
      <c r="BJ88" s="8">
        <f>Renta_Alta!BJ88+Masivo!BJ88+Consumo_Inicial!BJ88</f>
        <v>-2327.9602592899</v>
      </c>
      <c r="BK88" s="8">
        <f>Renta_Alta!BK88+Masivo!BK88+Consumo_Inicial!BK88</f>
        <v>-2313.3861842328001</v>
      </c>
      <c r="BO88" s="24">
        <f t="shared" si="247"/>
        <v>-12122.6862313812</v>
      </c>
      <c r="BP88" s="24">
        <f t="shared" si="247"/>
        <v>-11403.412681870699</v>
      </c>
      <c r="BQ88" s="24">
        <f t="shared" si="247"/>
        <v>-9826.0867552131003</v>
      </c>
      <c r="BR88" s="24">
        <f t="shared" si="247"/>
        <v>-10593.2127680703</v>
      </c>
      <c r="BS88" s="24">
        <f t="shared" si="247"/>
        <v>-9313.2286215909007</v>
      </c>
      <c r="BT88" s="24">
        <f t="shared" si="247"/>
        <v>-8592.9520801621002</v>
      </c>
    </row>
    <row r="89" spans="1:72" x14ac:dyDescent="0.25">
      <c r="C89" s="3" t="s">
        <v>75</v>
      </c>
      <c r="D89" s="10">
        <f>SUM(D86:D88)</f>
        <v>-6643.7661294373993</v>
      </c>
      <c r="E89" s="10">
        <f t="shared" ref="E89:BK89" si="248">SUM(E86:E88)</f>
        <v>-7047.1811215290008</v>
      </c>
      <c r="F89" s="10">
        <f t="shared" si="248"/>
        <v>-6761.7095193170999</v>
      </c>
      <c r="G89" s="10">
        <f t="shared" si="248"/>
        <v>-7341.6292850185</v>
      </c>
      <c r="H89" s="10">
        <f t="shared" si="248"/>
        <v>-6521.8050001155998</v>
      </c>
      <c r="I89" s="10">
        <f t="shared" si="248"/>
        <v>-6422.4396145131013</v>
      </c>
      <c r="J89" s="10">
        <f t="shared" si="248"/>
        <v>-6759.3962518639009</v>
      </c>
      <c r="K89" s="10">
        <f t="shared" si="248"/>
        <v>-5994.7849462179001</v>
      </c>
      <c r="L89" s="10">
        <f t="shared" si="248"/>
        <v>-6407.1365433893998</v>
      </c>
      <c r="M89" s="10">
        <f t="shared" si="248"/>
        <v>-6311.707075509501</v>
      </c>
      <c r="N89" s="10">
        <f t="shared" si="248"/>
        <v>-6132.7159529093005</v>
      </c>
      <c r="O89" s="10">
        <f t="shared" si="248"/>
        <v>-5623.1910506558997</v>
      </c>
      <c r="P89" s="10">
        <f t="shared" si="248"/>
        <v>-5993.2216487515007</v>
      </c>
      <c r="Q89" s="10">
        <f t="shared" si="248"/>
        <v>-7035.6461013425996</v>
      </c>
      <c r="R89" s="10">
        <f t="shared" si="248"/>
        <v>-6506.4349762108995</v>
      </c>
      <c r="S89" s="10">
        <f t="shared" si="248"/>
        <v>-6521.2124159222003</v>
      </c>
      <c r="T89" s="10">
        <f t="shared" si="248"/>
        <v>-7106.0020869503005</v>
      </c>
      <c r="U89" s="10">
        <f t="shared" si="248"/>
        <v>-7642.9587541216006</v>
      </c>
      <c r="V89" s="10">
        <f t="shared" si="248"/>
        <v>-7577.9020702808994</v>
      </c>
      <c r="W89" s="10">
        <f t="shared" si="248"/>
        <v>-6846.3030980621006</v>
      </c>
      <c r="X89" s="10">
        <f t="shared" si="248"/>
        <v>-6780.0105253575002</v>
      </c>
      <c r="Y89" s="10">
        <f t="shared" si="248"/>
        <v>-6732.0727435305989</v>
      </c>
      <c r="Z89" s="10">
        <f t="shared" si="248"/>
        <v>-6626.2240337720013</v>
      </c>
      <c r="AA89" s="10">
        <f t="shared" si="248"/>
        <v>-6468.4333176622004</v>
      </c>
      <c r="AB89" s="10">
        <f t="shared" si="248"/>
        <v>-7232.1488478998008</v>
      </c>
      <c r="AC89" s="10">
        <f t="shared" si="248"/>
        <v>-6868.8333556364996</v>
      </c>
      <c r="AD89" s="10">
        <f t="shared" si="248"/>
        <v>-7208.4943880452993</v>
      </c>
      <c r="AE89" s="10">
        <f t="shared" si="248"/>
        <v>-7350.7614515092991</v>
      </c>
      <c r="AF89" s="10">
        <f t="shared" si="248"/>
        <v>-7675.4181412387998</v>
      </c>
      <c r="AG89" s="10">
        <f t="shared" si="248"/>
        <v>-7719.3744247954</v>
      </c>
      <c r="AH89" s="10">
        <f t="shared" si="248"/>
        <v>-7680.5213769265001</v>
      </c>
      <c r="AI89" s="10">
        <f t="shared" si="248"/>
        <v>-8077.5443208015986</v>
      </c>
      <c r="AJ89" s="10">
        <f t="shared" si="248"/>
        <v>-7521.9170054073002</v>
      </c>
      <c r="AK89" s="10">
        <f t="shared" si="248"/>
        <v>-7351.9137600217</v>
      </c>
      <c r="AL89" s="10">
        <f t="shared" si="248"/>
        <v>-7877.7666887575997</v>
      </c>
      <c r="AM89" s="10">
        <f t="shared" si="248"/>
        <v>-8144.1430901909007</v>
      </c>
      <c r="AN89" s="10">
        <f t="shared" si="248"/>
        <v>-7799.1211578496996</v>
      </c>
      <c r="AO89" s="10">
        <f t="shared" si="248"/>
        <v>-7414.8821288447998</v>
      </c>
      <c r="AP89" s="10">
        <f t="shared" si="248"/>
        <v>-7988.5550453823016</v>
      </c>
      <c r="AQ89" s="10">
        <f t="shared" si="248"/>
        <v>-7901.2426920497001</v>
      </c>
      <c r="AR89" s="10">
        <f t="shared" si="248"/>
        <v>-8480.7400652292999</v>
      </c>
      <c r="AS89" s="10">
        <f t="shared" si="248"/>
        <v>-7993.002862635798</v>
      </c>
      <c r="AT89" s="10">
        <f t="shared" si="248"/>
        <v>0</v>
      </c>
      <c r="AU89" s="10">
        <f t="shared" si="248"/>
        <v>0</v>
      </c>
      <c r="AV89" s="10">
        <f t="shared" si="248"/>
        <v>0</v>
      </c>
      <c r="AW89" s="10">
        <f t="shared" si="248"/>
        <v>0</v>
      </c>
      <c r="AX89" s="10">
        <f t="shared" si="248"/>
        <v>0</v>
      </c>
      <c r="AY89" s="10">
        <f t="shared" si="248"/>
        <v>0</v>
      </c>
      <c r="AZ89" s="10">
        <f t="shared" si="248"/>
        <v>-7546.6952642741999</v>
      </c>
      <c r="BA89" s="10">
        <f t="shared" si="248"/>
        <v>-7600.3750327267999</v>
      </c>
      <c r="BB89" s="10">
        <f t="shared" si="248"/>
        <v>-7716.770605141799</v>
      </c>
      <c r="BC89" s="10">
        <f t="shared" si="248"/>
        <v>-7630.7014281387001</v>
      </c>
      <c r="BD89" s="10">
        <f t="shared" si="248"/>
        <v>-7846.1644882368</v>
      </c>
      <c r="BE89" s="10">
        <f t="shared" si="248"/>
        <v>-7958.9045505103995</v>
      </c>
      <c r="BF89" s="10">
        <f t="shared" si="248"/>
        <v>-7669.3419177225987</v>
      </c>
      <c r="BG89" s="10">
        <f t="shared" si="248"/>
        <v>-7732.921221304</v>
      </c>
      <c r="BH89" s="10">
        <f t="shared" si="248"/>
        <v>-8023.4618929238004</v>
      </c>
      <c r="BI89" s="10">
        <f t="shared" si="248"/>
        <v>-7759.4503439687987</v>
      </c>
      <c r="BJ89" s="10">
        <f t="shared" si="248"/>
        <v>-7849.9535720807989</v>
      </c>
      <c r="BK89" s="10">
        <f t="shared" si="248"/>
        <v>-7933.9274069470011</v>
      </c>
      <c r="BO89" s="23">
        <f t="shared" ref="BO89:BT89" si="249">SUM(BO86:BO88)</f>
        <v>-39584.5410893558</v>
      </c>
      <c r="BP89" s="23">
        <f t="shared" si="249"/>
        <v>-38340.706818518302</v>
      </c>
      <c r="BQ89" s="23">
        <f t="shared" si="249"/>
        <v>-31103.8010241265</v>
      </c>
      <c r="BR89" s="23">
        <f t="shared" si="249"/>
        <v>-36335.656184329695</v>
      </c>
      <c r="BS89" s="23">
        <f t="shared" si="249"/>
        <v>-33162.517229177494</v>
      </c>
      <c r="BT89" s="23">
        <f t="shared" si="249"/>
        <v>-34316.091055417601</v>
      </c>
    </row>
    <row r="91" spans="1:72" outlineLevel="1" x14ac:dyDescent="0.25">
      <c r="A91" s="11" t="s">
        <v>80</v>
      </c>
      <c r="C91" s="2" t="s">
        <v>84</v>
      </c>
      <c r="D91" s="8">
        <f>Renta_Alta!D91+Masivo!D91+Consumo_Inicial!D91</f>
        <v>-166.66641999999999</v>
      </c>
      <c r="E91" s="8">
        <f>Renta_Alta!E91+Masivo!E91+Consumo_Inicial!E91</f>
        <v>-166.66666983333334</v>
      </c>
      <c r="F91" s="8">
        <f>Renta_Alta!F91+Masivo!F91+Consumo_Inicial!F91</f>
        <v>-215.09117000000001</v>
      </c>
      <c r="G91" s="8">
        <f>Renta_Alta!G91+Masivo!G91+Consumo_Inicial!G91</f>
        <v>-185.34895</v>
      </c>
      <c r="H91" s="8">
        <f>Renta_Alta!H91+Masivo!H91+Consumo_Inicial!H91</f>
        <v>-257.16411999999997</v>
      </c>
      <c r="I91" s="8">
        <f>Renta_Alta!I91+Masivo!I91+Consumo_Inicial!I91</f>
        <v>-177.76667000000003</v>
      </c>
      <c r="J91" s="8">
        <f>Renta_Alta!J91+Masivo!J91+Consumo_Inicial!J91</f>
        <v>-208.94747000000001</v>
      </c>
      <c r="K91" s="8">
        <f>Renta_Alta!K91+Masivo!K91+Consumo_Inicial!K91</f>
        <v>-180.31667000000004</v>
      </c>
      <c r="L91" s="8">
        <f>Renta_Alta!L91+Masivo!L91+Consumo_Inicial!L91</f>
        <v>-166.66667000000001</v>
      </c>
      <c r="M91" s="8">
        <f>Renta_Alta!M91+Masivo!M91+Consumo_Inicial!M91</f>
        <v>-227.43368000000001</v>
      </c>
      <c r="N91" s="8">
        <f>Renta_Alta!N91+Masivo!N91+Consumo_Inicial!N91</f>
        <v>-235.68482</v>
      </c>
      <c r="O91" s="8">
        <f>Renta_Alta!O91+Masivo!O91+Consumo_Inicial!O91</f>
        <v>-185.4682199999998</v>
      </c>
      <c r="P91" s="8">
        <f>Renta_Alta!P91+Masivo!P91+Consumo_Inicial!P91</f>
        <v>-166.66667000000004</v>
      </c>
      <c r="Q91" s="8">
        <f>Renta_Alta!Q91+Masivo!Q91+Consumo_Inicial!Q91</f>
        <v>-166.66667016666671</v>
      </c>
      <c r="R91" s="8">
        <f>Renta_Alta!R91+Masivo!R91+Consumo_Inicial!R91</f>
        <v>-166.66666999999998</v>
      </c>
      <c r="S91" s="8">
        <f>Renta_Alta!S91+Masivo!S91+Consumo_Inicial!S91</f>
        <v>-177.67720000000003</v>
      </c>
      <c r="T91" s="8">
        <f>Renta_Alta!T91+Masivo!T91+Consumo_Inicial!T91</f>
        <v>-248.79139000000004</v>
      </c>
      <c r="U91" s="8">
        <f>Renta_Alta!U91+Masivo!U91+Consumo_Inicial!U91</f>
        <v>-179.31917000000004</v>
      </c>
      <c r="V91" s="8">
        <f>Renta_Alta!V91+Masivo!V91+Consumo_Inicial!V91</f>
        <v>-233.59029000000001</v>
      </c>
      <c r="W91" s="8">
        <f>Renta_Alta!W91+Masivo!W91+Consumo_Inicial!W91</f>
        <v>-161.15613999999999</v>
      </c>
      <c r="X91" s="8">
        <f>Renta_Alta!X91+Masivo!X91+Consumo_Inicial!X91</f>
        <v>-166.66666983333334</v>
      </c>
      <c r="Y91" s="8">
        <f>Renta_Alta!Y91+Masivo!Y91+Consumo_Inicial!Y91</f>
        <v>-170.26667</v>
      </c>
      <c r="Z91" s="8">
        <f>Renta_Alta!Z91+Masivo!Z91+Consumo_Inicial!Z91</f>
        <v>-219.90917000000002</v>
      </c>
      <c r="AA91" s="8">
        <f>Renta_Alta!AA91+Masivo!AA91+Consumo_Inicial!AA91</f>
        <v>-231.54087999999922</v>
      </c>
      <c r="AB91" s="8">
        <f>Renta_Alta!AB91+Masivo!AB91+Consumo_Inicial!AB91</f>
        <v>-166.66667000000007</v>
      </c>
      <c r="AC91" s="8">
        <f>Renta_Alta!AC91+Masivo!AC91+Consumo_Inicial!AC91</f>
        <v>-181.79117018179113</v>
      </c>
      <c r="AD91" s="8">
        <f>Renta_Alta!AD91+Masivo!AD91+Consumo_Inicial!AD91</f>
        <v>-166.66666983333334</v>
      </c>
      <c r="AE91" s="8">
        <f>Renta_Alta!AE91+Masivo!AE91+Consumo_Inicial!AE91</f>
        <v>-166.66666983333334</v>
      </c>
      <c r="AF91" s="8">
        <f>Renta_Alta!AF91+Masivo!AF91+Consumo_Inicial!AF91</f>
        <v>-221.46730000000002</v>
      </c>
      <c r="AG91" s="8">
        <f>Renta_Alta!AG91+Masivo!AG91+Consumo_Inicial!AG91</f>
        <v>-166.66667000000004</v>
      </c>
      <c r="AH91" s="8">
        <f>Renta_Alta!AH91+Masivo!AH91+Consumo_Inicial!AH91</f>
        <v>-211.95917</v>
      </c>
      <c r="AI91" s="8">
        <f>Renta_Alta!AI91+Masivo!AI91+Consumo_Inicial!AI91</f>
        <v>-193.06666980693336</v>
      </c>
      <c r="AJ91" s="8">
        <f>Renta_Alta!AJ91+Masivo!AJ91+Consumo_Inicial!AJ91</f>
        <v>-161.56666983843331</v>
      </c>
      <c r="AK91" s="8">
        <f>Renta_Alta!AK91+Masivo!AK91+Consumo_Inicial!AK91</f>
        <v>-180.86666999999997</v>
      </c>
      <c r="AL91" s="8">
        <f>Renta_Alta!AL91+Masivo!AL91+Consumo_Inicial!AL91</f>
        <v>-202.86667000000003</v>
      </c>
      <c r="AM91" s="8">
        <f>Renta_Alta!AM91+Masivo!AM91+Consumo_Inicial!AM91</f>
        <v>-342.48899965751042</v>
      </c>
      <c r="AN91" s="8">
        <f>Renta_Alta!AN91+Masivo!AN91+Consumo_Inicial!AN91</f>
        <v>-167.91667000000001</v>
      </c>
      <c r="AO91" s="8">
        <f>Renta_Alta!AO91+Masivo!AO91+Consumo_Inicial!AO91</f>
        <v>-201.66667000000007</v>
      </c>
      <c r="AP91" s="8">
        <f>Renta_Alta!AP91+Masivo!AP91+Consumo_Inicial!AP91</f>
        <v>-201.66666999999998</v>
      </c>
      <c r="AQ91" s="8">
        <f>Renta_Alta!AQ91+Masivo!AQ91+Consumo_Inicial!AQ91</f>
        <v>-216.74167000000006</v>
      </c>
      <c r="AR91" s="8">
        <f>Renta_Alta!AR91+Masivo!AR91+Consumo_Inicial!AR91</f>
        <v>-207.32067000000004</v>
      </c>
      <c r="AS91" s="8">
        <f>Renta_Alta!AS91+Masivo!AS91+Consumo_Inicial!AS91</f>
        <v>-169.16667000000004</v>
      </c>
      <c r="AT91" s="8">
        <f>Renta_Alta!AT91+Masivo!AT91+Consumo_Inicial!AT91</f>
        <v>0</v>
      </c>
      <c r="AU91" s="8">
        <f>Renta_Alta!AU91+Masivo!AU91+Consumo_Inicial!AU91</f>
        <v>0</v>
      </c>
      <c r="AV91" s="8">
        <f>Renta_Alta!AV91+Masivo!AV91+Consumo_Inicial!AV91</f>
        <v>0</v>
      </c>
      <c r="AW91" s="8">
        <f>Renta_Alta!AW91+Masivo!AW91+Consumo_Inicial!AW91</f>
        <v>0</v>
      </c>
      <c r="AX91" s="8">
        <f>Renta_Alta!AX91+Masivo!AX91+Consumo_Inicial!AX91</f>
        <v>0</v>
      </c>
      <c r="AY91" s="8">
        <f>Renta_Alta!AY91+Masivo!AY91+Consumo_Inicial!AY91</f>
        <v>0</v>
      </c>
      <c r="AZ91" s="8">
        <f>Renta_Alta!AZ91+Masivo!AZ91+Consumo_Inicial!AZ91</f>
        <v>0</v>
      </c>
      <c r="BA91" s="8">
        <f>Renta_Alta!BA91+Masivo!BA91+Consumo_Inicial!BA91</f>
        <v>0</v>
      </c>
      <c r="BB91" s="8">
        <f>Renta_Alta!BB91+Masivo!BB91+Consumo_Inicial!BB91</f>
        <v>0</v>
      </c>
      <c r="BC91" s="8">
        <f>Renta_Alta!BC91+Masivo!BC91+Consumo_Inicial!BC91</f>
        <v>0</v>
      </c>
      <c r="BD91" s="8">
        <f>Renta_Alta!BD91+Masivo!BD91+Consumo_Inicial!BD91</f>
        <v>0</v>
      </c>
      <c r="BE91" s="8">
        <f>Renta_Alta!BE91+Masivo!BE91+Consumo_Inicial!BE91</f>
        <v>0</v>
      </c>
      <c r="BF91" s="8">
        <f>Renta_Alta!BF91+Masivo!BF91+Consumo_Inicial!BF91</f>
        <v>0</v>
      </c>
      <c r="BG91" s="8">
        <f>Renta_Alta!BG91+Masivo!BG91+Consumo_Inicial!BG91</f>
        <v>0</v>
      </c>
      <c r="BH91" s="8">
        <f>Renta_Alta!BH91+Masivo!BH91+Consumo_Inicial!BH91</f>
        <v>0</v>
      </c>
      <c r="BI91" s="8">
        <f>Renta_Alta!BI91+Masivo!BI91+Consumo_Inicial!BI91</f>
        <v>0</v>
      </c>
      <c r="BJ91" s="8">
        <f>Renta_Alta!BJ91+Masivo!BJ91+Consumo_Inicial!BJ91</f>
        <v>0</v>
      </c>
      <c r="BK91" s="8">
        <f>Renta_Alta!BK91+Masivo!BK91+Consumo_Inicial!BK91</f>
        <v>0</v>
      </c>
      <c r="BO91" s="24">
        <f t="shared" ref="BO91:BT92" si="250">SUMIFS($D91:$BM91,$D$6:$BM$6,"&gt;="&amp;BO$2,$D$6:$BM$6,"&lt;="&amp;BO$6,$D$5:$BM$5,BO$5)</f>
        <v>-995.31235000000015</v>
      </c>
      <c r="BP91" s="24">
        <f t="shared" si="250"/>
        <v>0</v>
      </c>
      <c r="BQ91" s="24">
        <f t="shared" si="250"/>
        <v>-787.99168000000009</v>
      </c>
      <c r="BR91" s="24">
        <f t="shared" si="250"/>
        <v>-903.25847984845791</v>
      </c>
      <c r="BS91" s="24">
        <f t="shared" si="250"/>
        <v>-926.46860016666687</v>
      </c>
      <c r="BT91" s="24">
        <f t="shared" si="250"/>
        <v>-990.93732983333325</v>
      </c>
    </row>
    <row r="92" spans="1:72" outlineLevel="1" x14ac:dyDescent="0.25">
      <c r="A92" s="11" t="s">
        <v>80</v>
      </c>
      <c r="C92" s="2" t="s">
        <v>48</v>
      </c>
      <c r="D92" s="8">
        <f>Renta_Alta!D92+Masivo!D92+Consumo_Inicial!D92</f>
        <v>-120.97200000000002</v>
      </c>
      <c r="E92" s="8">
        <f>Renta_Alta!E92+Masivo!E92+Consumo_Inicial!E92</f>
        <v>-150.7029600159637</v>
      </c>
      <c r="F92" s="8">
        <f>Renta_Alta!F92+Masivo!F92+Consumo_Inicial!F92</f>
        <v>-244.0290599999999</v>
      </c>
      <c r="G92" s="8">
        <f>Renta_Alta!G92+Masivo!G92+Consumo_Inicial!G92</f>
        <v>-160.8027699999999</v>
      </c>
      <c r="H92" s="8">
        <f>Renta_Alta!H92+Masivo!H92+Consumo_Inicial!H92</f>
        <v>-142.99597000000006</v>
      </c>
      <c r="I92" s="8">
        <f>Renta_Alta!I92+Masivo!I92+Consumo_Inicial!I92</f>
        <v>-179.98640999999998</v>
      </c>
      <c r="J92" s="8">
        <f>Renta_Alta!J92+Masivo!J92+Consumo_Inicial!J92</f>
        <v>-275.61607999999995</v>
      </c>
      <c r="K92" s="8">
        <f>Renta_Alta!K92+Masivo!K92+Consumo_Inicial!K92</f>
        <v>-98.489959999999996</v>
      </c>
      <c r="L92" s="8">
        <f>Renta_Alta!L92+Masivo!L92+Consumo_Inicial!L92</f>
        <v>-181.62215999999995</v>
      </c>
      <c r="M92" s="8">
        <f>Renta_Alta!M92+Masivo!M92+Consumo_Inicial!M92</f>
        <v>-167.80723999999995</v>
      </c>
      <c r="N92" s="8">
        <f>Renta_Alta!N92+Masivo!N92+Consumo_Inicial!N92</f>
        <v>-142.64864</v>
      </c>
      <c r="O92" s="8">
        <f>Renta_Alta!O92+Masivo!O92+Consumo_Inicial!O92</f>
        <v>-401.6118400000002</v>
      </c>
      <c r="P92" s="8">
        <f>Renta_Alta!P92+Masivo!P92+Consumo_Inicial!P92</f>
        <v>-334.88375999999994</v>
      </c>
      <c r="Q92" s="8">
        <f>Renta_Alta!Q92+Masivo!Q92+Consumo_Inicial!Q92</f>
        <v>-498.71194005320064</v>
      </c>
      <c r="R92" s="8">
        <f>Renta_Alta!R92+Masivo!R92+Consumo_Inicial!R92</f>
        <v>-778.00309000000004</v>
      </c>
      <c r="S92" s="8">
        <f>Renta_Alta!S92+Masivo!S92+Consumo_Inicial!S92</f>
        <v>-418.75341999999989</v>
      </c>
      <c r="T92" s="8">
        <f>Renta_Alta!T92+Masivo!T92+Consumo_Inicial!T92</f>
        <v>-596.85921000000008</v>
      </c>
      <c r="U92" s="8">
        <f>Renta_Alta!U92+Masivo!U92+Consumo_Inicial!U92</f>
        <v>-550.82462999999984</v>
      </c>
      <c r="V92" s="8">
        <f>Renta_Alta!V92+Masivo!V92+Consumo_Inicial!V92</f>
        <v>-262.92437000000001</v>
      </c>
      <c r="W92" s="8">
        <f>Renta_Alta!W92+Masivo!W92+Consumo_Inicial!W92</f>
        <v>-400.87706999999989</v>
      </c>
      <c r="X92" s="8">
        <f>Renta_Alta!X92+Masivo!X92+Consumo_Inicial!X92</f>
        <v>-442.49249993000006</v>
      </c>
      <c r="Y92" s="8">
        <f>Renta_Alta!Y92+Masivo!Y92+Consumo_Inicial!Y92</f>
        <v>-279.33168000000001</v>
      </c>
      <c r="Z92" s="8">
        <f>Renta_Alta!Z92+Masivo!Z92+Consumo_Inicial!Z92</f>
        <v>-505.5880048457434</v>
      </c>
      <c r="AA92" s="8">
        <f>Renta_Alta!AA92+Masivo!AA92+Consumo_Inicial!AA92</f>
        <v>-156.04636143155159</v>
      </c>
      <c r="AB92" s="8">
        <f>Renta_Alta!AB92+Masivo!AB92+Consumo_Inicial!AB92</f>
        <v>-222.52661000000001</v>
      </c>
      <c r="AC92" s="8">
        <f>Renta_Alta!AC92+Masivo!AC92+Consumo_Inicial!AC92</f>
        <v>-312.44366031244357</v>
      </c>
      <c r="AD92" s="8">
        <f>Renta_Alta!AD92+Masivo!AD92+Consumo_Inicial!AD92</f>
        <v>-180.16365981983634</v>
      </c>
      <c r="AE92" s="8">
        <f>Renta_Alta!AE92+Masivo!AE92+Consumo_Inicial!AE92</f>
        <v>-226.53792720528025</v>
      </c>
      <c r="AF92" s="8">
        <f>Renta_Alta!AF92+Masivo!AF92+Consumo_Inicial!AF92</f>
        <v>-311.59607312052509</v>
      </c>
      <c r="AG92" s="8">
        <f>Renta_Alta!AG92+Masivo!AG92+Consumo_Inicial!AG92</f>
        <v>-480.47671000000008</v>
      </c>
      <c r="AH92" s="8">
        <f>Renta_Alta!AH92+Masivo!AH92+Consumo_Inicial!AH92</f>
        <v>-377.16789</v>
      </c>
      <c r="AI92" s="8">
        <f>Renta_Alta!AI92+Masivo!AI92+Consumo_Inicial!AI92</f>
        <v>-226.1723197738277</v>
      </c>
      <c r="AJ92" s="8">
        <f>Renta_Alta!AJ92+Masivo!AJ92+Consumo_Inicial!AJ92</f>
        <v>-227.5459145415343</v>
      </c>
      <c r="AK92" s="8">
        <f>Renta_Alta!AK92+Masivo!AK92+Consumo_Inicial!AK92</f>
        <v>-236.6460568561422</v>
      </c>
      <c r="AL92" s="8">
        <f>Renta_Alta!AL92+Masivo!AL92+Consumo_Inicial!AL92</f>
        <v>-215.39908</v>
      </c>
      <c r="AM92" s="8">
        <f>Renta_Alta!AM92+Masivo!AM92+Consumo_Inicial!AM92</f>
        <v>-523.08840161907187</v>
      </c>
      <c r="AN92" s="8">
        <f>Renta_Alta!AN92+Masivo!AN92+Consumo_Inicial!AN92</f>
        <v>-220.87254000000004</v>
      </c>
      <c r="AO92" s="8">
        <f>Renta_Alta!AO92+Masivo!AO92+Consumo_Inicial!AO92</f>
        <v>-228.09293254408539</v>
      </c>
      <c r="AP92" s="8">
        <f>Renta_Alta!AP92+Masivo!AP92+Consumo_Inicial!AP92</f>
        <v>-153.79526981791022</v>
      </c>
      <c r="AQ92" s="8">
        <f>Renta_Alta!AQ92+Masivo!AQ92+Consumo_Inicial!AQ92</f>
        <v>-302.98367371280932</v>
      </c>
      <c r="AR92" s="8">
        <f>Renta_Alta!AR92+Masivo!AR92+Consumo_Inicial!AR92</f>
        <v>-227.41403000000003</v>
      </c>
      <c r="AS92" s="8">
        <f>Renta_Alta!AS92+Masivo!AS92+Consumo_Inicial!AS92</f>
        <v>-363.58930000000004</v>
      </c>
      <c r="AT92" s="8">
        <f>Renta_Alta!AT92+Masivo!AT92+Consumo_Inicial!AT92</f>
        <v>0</v>
      </c>
      <c r="AU92" s="8">
        <f>Renta_Alta!AU92+Masivo!AU92+Consumo_Inicial!AU92</f>
        <v>0</v>
      </c>
      <c r="AV92" s="8">
        <f>Renta_Alta!AV92+Masivo!AV92+Consumo_Inicial!AV92</f>
        <v>0</v>
      </c>
      <c r="AW92" s="8">
        <f>Renta_Alta!AW92+Masivo!AW92+Consumo_Inicial!AW92</f>
        <v>0</v>
      </c>
      <c r="AX92" s="8">
        <f>Renta_Alta!AX92+Masivo!AX92+Consumo_Inicial!AX92</f>
        <v>0</v>
      </c>
      <c r="AY92" s="8">
        <f>Renta_Alta!AY92+Masivo!AY92+Consumo_Inicial!AY92</f>
        <v>0</v>
      </c>
      <c r="AZ92" s="8">
        <f>Renta_Alta!AZ92+Masivo!AZ92+Consumo_Inicial!AZ92</f>
        <v>-320.30573872994393</v>
      </c>
      <c r="BA92" s="8">
        <f>Renta_Alta!BA92+Masivo!BA92+Consumo_Inicial!BA92</f>
        <v>-260.03023872994396</v>
      </c>
      <c r="BB92" s="8">
        <f>Renta_Alta!BB92+Masivo!BB92+Consumo_Inicial!BB92</f>
        <v>-270.05214275331065</v>
      </c>
      <c r="BC92" s="8">
        <f>Renta_Alta!BC92+Masivo!BC92+Consumo_Inicial!BC92</f>
        <v>-266.91146813453588</v>
      </c>
      <c r="BD92" s="8">
        <f>Renta_Alta!BD92+Masivo!BD92+Consumo_Inicial!BD92</f>
        <v>-446.71209813453589</v>
      </c>
      <c r="BE92" s="8">
        <f>Renta_Alta!BE92+Masivo!BE92+Consumo_Inicial!BE92</f>
        <v>-294.00787215790263</v>
      </c>
      <c r="BF92" s="8">
        <f>Renta_Alta!BF92+Masivo!BF92+Consumo_Inicial!BF92</f>
        <v>-519.11791561459131</v>
      </c>
      <c r="BG92" s="8">
        <f>Renta_Alta!BG92+Masivo!BG92+Consumo_Inicial!BG92</f>
        <v>-237.25179561459129</v>
      </c>
      <c r="BH92" s="8">
        <f>Renta_Alta!BH92+Masivo!BH92+Consumo_Inicial!BH92</f>
        <v>-244.890089449767</v>
      </c>
      <c r="BI92" s="8">
        <f>Renta_Alta!BI92+Masivo!BI92+Consumo_Inicial!BI92</f>
        <v>-238.59159625843319</v>
      </c>
      <c r="BJ92" s="8">
        <f>Renta_Alta!BJ92+Masivo!BJ92+Consumo_Inicial!BJ92</f>
        <v>-232.4815962584332</v>
      </c>
      <c r="BK92" s="8">
        <f>Renta_Alta!BK92+Masivo!BK92+Consumo_Inicial!BK92</f>
        <v>-466.11071355240296</v>
      </c>
      <c r="BO92" s="24">
        <f t="shared" si="250"/>
        <v>-1133.1584460748049</v>
      </c>
      <c r="BP92" s="24">
        <f t="shared" si="250"/>
        <v>-1564.0116864822703</v>
      </c>
      <c r="BQ92" s="24">
        <f t="shared" si="250"/>
        <v>-905.74441607480503</v>
      </c>
      <c r="BR92" s="24">
        <f t="shared" si="250"/>
        <v>-1253.2679304580852</v>
      </c>
      <c r="BS92" s="24">
        <f t="shared" si="250"/>
        <v>-2627.2114200532005</v>
      </c>
      <c r="BT92" s="24">
        <f t="shared" si="250"/>
        <v>-819.50276001596353</v>
      </c>
    </row>
    <row r="93" spans="1:72" x14ac:dyDescent="0.25">
      <c r="C93" s="3" t="s">
        <v>80</v>
      </c>
      <c r="D93" s="10">
        <f>SUM(D91:D92)</f>
        <v>-287.63842</v>
      </c>
      <c r="E93" s="10">
        <f t="shared" ref="E93:BK93" si="251">SUM(E91:E92)</f>
        <v>-317.36962984929704</v>
      </c>
      <c r="F93" s="10">
        <f t="shared" si="251"/>
        <v>-459.12022999999988</v>
      </c>
      <c r="G93" s="10">
        <f t="shared" si="251"/>
        <v>-346.1517199999999</v>
      </c>
      <c r="H93" s="10">
        <f t="shared" si="251"/>
        <v>-400.16009000000003</v>
      </c>
      <c r="I93" s="10">
        <f t="shared" si="251"/>
        <v>-357.75308000000001</v>
      </c>
      <c r="J93" s="10">
        <f t="shared" si="251"/>
        <v>-484.56354999999996</v>
      </c>
      <c r="K93" s="10">
        <f t="shared" si="251"/>
        <v>-278.80663000000004</v>
      </c>
      <c r="L93" s="10">
        <f t="shared" si="251"/>
        <v>-348.28882999999996</v>
      </c>
      <c r="M93" s="10">
        <f t="shared" si="251"/>
        <v>-395.24091999999996</v>
      </c>
      <c r="N93" s="10">
        <f t="shared" si="251"/>
        <v>-378.33346</v>
      </c>
      <c r="O93" s="10">
        <f t="shared" si="251"/>
        <v>-587.08006</v>
      </c>
      <c r="P93" s="10">
        <f t="shared" si="251"/>
        <v>-501.55043000000001</v>
      </c>
      <c r="Q93" s="10">
        <f t="shared" si="251"/>
        <v>-665.37861021986737</v>
      </c>
      <c r="R93" s="10">
        <f t="shared" si="251"/>
        <v>-944.66976</v>
      </c>
      <c r="S93" s="10">
        <f t="shared" si="251"/>
        <v>-596.43061999999986</v>
      </c>
      <c r="T93" s="10">
        <f t="shared" si="251"/>
        <v>-845.65060000000017</v>
      </c>
      <c r="U93" s="10">
        <f t="shared" si="251"/>
        <v>-730.14379999999983</v>
      </c>
      <c r="V93" s="10">
        <f t="shared" si="251"/>
        <v>-496.51466000000005</v>
      </c>
      <c r="W93" s="10">
        <f t="shared" si="251"/>
        <v>-562.03320999999983</v>
      </c>
      <c r="X93" s="10">
        <f t="shared" si="251"/>
        <v>-609.15916976333347</v>
      </c>
      <c r="Y93" s="10">
        <f t="shared" si="251"/>
        <v>-449.59834999999998</v>
      </c>
      <c r="Z93" s="10">
        <f t="shared" si="251"/>
        <v>-725.49717484574342</v>
      </c>
      <c r="AA93" s="10">
        <f t="shared" si="251"/>
        <v>-387.58724143155081</v>
      </c>
      <c r="AB93" s="10">
        <f t="shared" si="251"/>
        <v>-389.19328000000007</v>
      </c>
      <c r="AC93" s="10">
        <f t="shared" si="251"/>
        <v>-494.2348304942347</v>
      </c>
      <c r="AD93" s="10">
        <f t="shared" si="251"/>
        <v>-346.83032965316966</v>
      </c>
      <c r="AE93" s="10">
        <f t="shared" si="251"/>
        <v>-393.2045970386136</v>
      </c>
      <c r="AF93" s="10">
        <f t="shared" si="251"/>
        <v>-533.06337312052506</v>
      </c>
      <c r="AG93" s="10">
        <f t="shared" si="251"/>
        <v>-647.14338000000009</v>
      </c>
      <c r="AH93" s="10">
        <f t="shared" si="251"/>
        <v>-589.12706000000003</v>
      </c>
      <c r="AI93" s="10">
        <f t="shared" si="251"/>
        <v>-419.23898958076109</v>
      </c>
      <c r="AJ93" s="10">
        <f t="shared" si="251"/>
        <v>-389.11258437996764</v>
      </c>
      <c r="AK93" s="10">
        <f t="shared" si="251"/>
        <v>-417.51272685614219</v>
      </c>
      <c r="AL93" s="10">
        <f t="shared" si="251"/>
        <v>-418.26575000000003</v>
      </c>
      <c r="AM93" s="10">
        <f t="shared" si="251"/>
        <v>-865.57740127658235</v>
      </c>
      <c r="AN93" s="10">
        <f t="shared" si="251"/>
        <v>-388.78921000000003</v>
      </c>
      <c r="AO93" s="10">
        <f t="shared" si="251"/>
        <v>-429.75960254408545</v>
      </c>
      <c r="AP93" s="10">
        <f t="shared" si="251"/>
        <v>-355.46193981791021</v>
      </c>
      <c r="AQ93" s="10">
        <f t="shared" si="251"/>
        <v>-519.72534371280938</v>
      </c>
      <c r="AR93" s="10">
        <f t="shared" si="251"/>
        <v>-434.73470000000009</v>
      </c>
      <c r="AS93" s="10">
        <f t="shared" si="251"/>
        <v>-532.75597000000005</v>
      </c>
      <c r="AT93" s="10">
        <f t="shared" si="251"/>
        <v>0</v>
      </c>
      <c r="AU93" s="10">
        <f t="shared" si="251"/>
        <v>0</v>
      </c>
      <c r="AV93" s="10">
        <f t="shared" si="251"/>
        <v>0</v>
      </c>
      <c r="AW93" s="10">
        <f t="shared" si="251"/>
        <v>0</v>
      </c>
      <c r="AX93" s="10">
        <f t="shared" si="251"/>
        <v>0</v>
      </c>
      <c r="AY93" s="10">
        <f t="shared" si="251"/>
        <v>0</v>
      </c>
      <c r="AZ93" s="10">
        <f t="shared" si="251"/>
        <v>-320.30573872994393</v>
      </c>
      <c r="BA93" s="10">
        <f t="shared" si="251"/>
        <v>-260.03023872994396</v>
      </c>
      <c r="BB93" s="10">
        <f t="shared" si="251"/>
        <v>-270.05214275331065</v>
      </c>
      <c r="BC93" s="10">
        <f t="shared" si="251"/>
        <v>-266.91146813453588</v>
      </c>
      <c r="BD93" s="10">
        <f t="shared" si="251"/>
        <v>-446.71209813453589</v>
      </c>
      <c r="BE93" s="10">
        <f t="shared" si="251"/>
        <v>-294.00787215790263</v>
      </c>
      <c r="BF93" s="10">
        <f t="shared" si="251"/>
        <v>-519.11791561459131</v>
      </c>
      <c r="BG93" s="10">
        <f t="shared" si="251"/>
        <v>-237.25179561459129</v>
      </c>
      <c r="BH93" s="10">
        <f t="shared" si="251"/>
        <v>-244.890089449767</v>
      </c>
      <c r="BI93" s="10">
        <f t="shared" si="251"/>
        <v>-238.59159625843319</v>
      </c>
      <c r="BJ93" s="10">
        <f t="shared" si="251"/>
        <v>-232.4815962584332</v>
      </c>
      <c r="BK93" s="10">
        <f t="shared" si="251"/>
        <v>-466.11071355240296</v>
      </c>
      <c r="BO93" s="23">
        <f t="shared" ref="BO93:BT93" si="252">SUM(BO91:BO92)</f>
        <v>-2128.4707960748051</v>
      </c>
      <c r="BP93" s="23">
        <f t="shared" si="252"/>
        <v>-1564.0116864822703</v>
      </c>
      <c r="BQ93" s="23">
        <f t="shared" si="252"/>
        <v>-1693.7360960748051</v>
      </c>
      <c r="BR93" s="23">
        <f t="shared" si="252"/>
        <v>-2156.5264103065429</v>
      </c>
      <c r="BS93" s="23">
        <f t="shared" si="252"/>
        <v>-3553.6800202198674</v>
      </c>
      <c r="BT93" s="23">
        <f t="shared" si="252"/>
        <v>-1810.4400898492968</v>
      </c>
    </row>
    <row r="95" spans="1:72" outlineLevel="1" x14ac:dyDescent="0.25">
      <c r="A95" s="11" t="s">
        <v>81</v>
      </c>
      <c r="C95" s="2" t="s">
        <v>82</v>
      </c>
      <c r="D95" s="8">
        <f>Renta_Alta!D95+Masivo!D95+Consumo_Inicial!D95</f>
        <v>0</v>
      </c>
      <c r="E95" s="8">
        <f>Renta_Alta!E95+Masivo!E95+Consumo_Inicial!E95</f>
        <v>0</v>
      </c>
      <c r="F95" s="8">
        <f>Renta_Alta!F95+Masivo!F95+Consumo_Inicial!F95</f>
        <v>0</v>
      </c>
      <c r="G95" s="8">
        <f>Renta_Alta!G95+Masivo!G95+Consumo_Inicial!G95</f>
        <v>0</v>
      </c>
      <c r="H95" s="8">
        <f>Renta_Alta!H95+Masivo!H95+Consumo_Inicial!H95</f>
        <v>0</v>
      </c>
      <c r="I95" s="8">
        <f>Renta_Alta!I95+Masivo!I95+Consumo_Inicial!I95</f>
        <v>0</v>
      </c>
      <c r="J95" s="8">
        <f>Renta_Alta!J95+Masivo!J95+Consumo_Inicial!J95</f>
        <v>0</v>
      </c>
      <c r="K95" s="8">
        <f>Renta_Alta!K95+Masivo!K95+Consumo_Inicial!K95</f>
        <v>0</v>
      </c>
      <c r="L95" s="8">
        <f>Renta_Alta!L95+Masivo!L95+Consumo_Inicial!L95</f>
        <v>0</v>
      </c>
      <c r="M95" s="8">
        <f>Renta_Alta!M95+Masivo!M95+Consumo_Inicial!M95</f>
        <v>0</v>
      </c>
      <c r="N95" s="8">
        <f>Renta_Alta!N95+Masivo!N95+Consumo_Inicial!N95</f>
        <v>0</v>
      </c>
      <c r="O95" s="8">
        <f>Renta_Alta!O95+Masivo!O95+Consumo_Inicial!O95</f>
        <v>0</v>
      </c>
      <c r="P95" s="8">
        <f>Renta_Alta!P95+Masivo!P95+Consumo_Inicial!P95</f>
        <v>0</v>
      </c>
      <c r="Q95" s="8">
        <f>Renta_Alta!Q95+Masivo!Q95+Consumo_Inicial!Q95</f>
        <v>0</v>
      </c>
      <c r="R95" s="8">
        <f>Renta_Alta!R95+Masivo!R95+Consumo_Inicial!R95</f>
        <v>0</v>
      </c>
      <c r="S95" s="8">
        <f>Renta_Alta!S95+Masivo!S95+Consumo_Inicial!S95</f>
        <v>0</v>
      </c>
      <c r="T95" s="8">
        <f>Renta_Alta!T95+Masivo!T95+Consumo_Inicial!T95</f>
        <v>0</v>
      </c>
      <c r="U95" s="8">
        <f>Renta_Alta!U95+Masivo!U95+Consumo_Inicial!U95</f>
        <v>0</v>
      </c>
      <c r="V95" s="8">
        <f>Renta_Alta!V95+Masivo!V95+Consumo_Inicial!V95</f>
        <v>0</v>
      </c>
      <c r="W95" s="8">
        <f>Renta_Alta!W95+Masivo!W95+Consumo_Inicial!W95</f>
        <v>0</v>
      </c>
      <c r="X95" s="8">
        <f>Renta_Alta!X95+Masivo!X95+Consumo_Inicial!X95</f>
        <v>0</v>
      </c>
      <c r="Y95" s="8">
        <f>Renta_Alta!Y95+Masivo!Y95+Consumo_Inicial!Y95</f>
        <v>0</v>
      </c>
      <c r="Z95" s="8">
        <f>Renta_Alta!Z95+Masivo!Z95+Consumo_Inicial!Z95</f>
        <v>0</v>
      </c>
      <c r="AA95" s="8">
        <f>Renta_Alta!AA95+Masivo!AA95+Consumo_Inicial!AA95</f>
        <v>0</v>
      </c>
      <c r="AB95" s="8">
        <f>Renta_Alta!AB95+Masivo!AB95+Consumo_Inicial!AB95</f>
        <v>0</v>
      </c>
      <c r="AC95" s="8">
        <f>Renta_Alta!AC95+Masivo!AC95+Consumo_Inicial!AC95</f>
        <v>0</v>
      </c>
      <c r="AD95" s="8">
        <f>Renta_Alta!AD95+Masivo!AD95+Consumo_Inicial!AD95</f>
        <v>689.70102354869528</v>
      </c>
      <c r="AE95" s="8">
        <f>Renta_Alta!AE95+Masivo!AE95+Consumo_Inicial!AE95</f>
        <v>-6.5142345090487206</v>
      </c>
      <c r="AF95" s="8">
        <f>Renta_Alta!AF95+Masivo!AF95+Consumo_Inicial!AF95</f>
        <v>0</v>
      </c>
      <c r="AG95" s="8">
        <f>Renta_Alta!AG95+Masivo!AG95+Consumo_Inicial!AG95</f>
        <v>0</v>
      </c>
      <c r="AH95" s="8">
        <f>Renta_Alta!AH95+Masivo!AH95+Consumo_Inicial!AH95</f>
        <v>0</v>
      </c>
      <c r="AI95" s="8">
        <f>Renta_Alta!AI95+Masivo!AI95+Consumo_Inicial!AI95</f>
        <v>0</v>
      </c>
      <c r="AJ95" s="8">
        <f>Renta_Alta!AJ95+Masivo!AJ95+Consumo_Inicial!AJ95</f>
        <v>0</v>
      </c>
      <c r="AK95" s="8">
        <f>Renta_Alta!AK95+Masivo!AK95+Consumo_Inicial!AK95</f>
        <v>765.04398000000003</v>
      </c>
      <c r="AL95" s="8">
        <f>Renta_Alta!AL95+Masivo!AL95+Consumo_Inicial!AL95</f>
        <v>0</v>
      </c>
      <c r="AM95" s="8">
        <f>Renta_Alta!AM95+Masivo!AM95+Consumo_Inicial!AM95</f>
        <v>0</v>
      </c>
      <c r="AN95" s="8">
        <f>Renta_Alta!AN95+Masivo!AN95+Consumo_Inicial!AN95</f>
        <v>0</v>
      </c>
      <c r="AO95" s="8">
        <f>Renta_Alta!AO95+Masivo!AO95+Consumo_Inicial!AO95</f>
        <v>0</v>
      </c>
      <c r="AP95" s="8">
        <f>Renta_Alta!AP95+Masivo!AP95+Consumo_Inicial!AP95</f>
        <v>0</v>
      </c>
      <c r="AQ95" s="8">
        <f>Renta_Alta!AQ95+Masivo!AQ95+Consumo_Inicial!AQ95</f>
        <v>0</v>
      </c>
      <c r="AR95" s="8">
        <f>Renta_Alta!AR95+Masivo!AR95+Consumo_Inicial!AR95</f>
        <v>0</v>
      </c>
      <c r="AS95" s="8">
        <f>Renta_Alta!AS95+Masivo!AS95+Consumo_Inicial!AS95</f>
        <v>0</v>
      </c>
      <c r="AT95" s="8">
        <f>Renta_Alta!AT95+Masivo!AT95+Consumo_Inicial!AT95</f>
        <v>0</v>
      </c>
      <c r="AU95" s="8">
        <f>Renta_Alta!AU95+Masivo!AU95+Consumo_Inicial!AU95</f>
        <v>0</v>
      </c>
      <c r="AV95" s="8">
        <f>Renta_Alta!AV95+Masivo!AV95+Consumo_Inicial!AV95</f>
        <v>0</v>
      </c>
      <c r="AW95" s="8">
        <f>Renta_Alta!AW95+Masivo!AW95+Consumo_Inicial!AW95</f>
        <v>0</v>
      </c>
      <c r="AX95" s="8">
        <f>Renta_Alta!AX95+Masivo!AX95+Consumo_Inicial!AX95</f>
        <v>0</v>
      </c>
      <c r="AY95" s="8">
        <f>Renta_Alta!AY95+Masivo!AY95+Consumo_Inicial!AY95</f>
        <v>0</v>
      </c>
      <c r="AZ95" s="8">
        <f>Renta_Alta!AZ95+Masivo!AZ95+Consumo_Inicial!AZ95</f>
        <v>0</v>
      </c>
      <c r="BA95" s="8">
        <f>Renta_Alta!BA95+Masivo!BA95+Consumo_Inicial!BA95</f>
        <v>0</v>
      </c>
      <c r="BB95" s="8">
        <f>Renta_Alta!BB95+Masivo!BB95+Consumo_Inicial!BB95</f>
        <v>0</v>
      </c>
      <c r="BC95" s="8">
        <f>Renta_Alta!BC95+Masivo!BC95+Consumo_Inicial!BC95</f>
        <v>0</v>
      </c>
      <c r="BD95" s="8">
        <f>Renta_Alta!BD95+Masivo!BD95+Consumo_Inicial!BD95</f>
        <v>0</v>
      </c>
      <c r="BE95" s="8">
        <f>Renta_Alta!BE95+Masivo!BE95+Consumo_Inicial!BE95</f>
        <v>0</v>
      </c>
      <c r="BF95" s="8">
        <f>Renta_Alta!BF95+Masivo!BF95+Consumo_Inicial!BF95</f>
        <v>0</v>
      </c>
      <c r="BG95" s="8">
        <f>Renta_Alta!BG95+Masivo!BG95+Consumo_Inicial!BG95</f>
        <v>0</v>
      </c>
      <c r="BH95" s="8">
        <f>Renta_Alta!BH95+Masivo!BH95+Consumo_Inicial!BH95</f>
        <v>1258.1848623198405</v>
      </c>
      <c r="BI95" s="8">
        <f>Renta_Alta!BI95+Masivo!BI95+Consumo_Inicial!BI95</f>
        <v>0</v>
      </c>
      <c r="BJ95" s="8">
        <f>Renta_Alta!BJ95+Masivo!BJ95+Consumo_Inicial!BJ95</f>
        <v>0</v>
      </c>
      <c r="BK95" s="8">
        <f>Renta_Alta!BK95+Masivo!BK95+Consumo_Inicial!BK95</f>
        <v>0</v>
      </c>
      <c r="BO95" s="24">
        <f t="shared" ref="BO95:BT95" si="253">SUMIFS($D95:$BM95,$D$6:$BM$6,"&gt;="&amp;BO$2,$D$6:$BM$6,"&lt;="&amp;BO$6,$D$5:$BM$5,BO$5)</f>
        <v>0</v>
      </c>
      <c r="BP95" s="24">
        <f t="shared" si="253"/>
        <v>0</v>
      </c>
      <c r="BQ95" s="24">
        <f t="shared" si="253"/>
        <v>0</v>
      </c>
      <c r="BR95" s="24">
        <f t="shared" si="253"/>
        <v>683.18678903964656</v>
      </c>
      <c r="BS95" s="24">
        <f t="shared" si="253"/>
        <v>0</v>
      </c>
      <c r="BT95" s="24">
        <f t="shared" si="253"/>
        <v>0</v>
      </c>
    </row>
    <row r="96" spans="1:72" x14ac:dyDescent="0.25">
      <c r="C96" s="3" t="s">
        <v>81</v>
      </c>
      <c r="D96" s="10">
        <f>SUM(D95:D95)</f>
        <v>0</v>
      </c>
      <c r="E96" s="10">
        <f t="shared" ref="E96:AY96" si="254">SUM(E95:E95)</f>
        <v>0</v>
      </c>
      <c r="F96" s="10">
        <f t="shared" si="254"/>
        <v>0</v>
      </c>
      <c r="G96" s="10">
        <f t="shared" si="254"/>
        <v>0</v>
      </c>
      <c r="H96" s="10">
        <f t="shared" si="254"/>
        <v>0</v>
      </c>
      <c r="I96" s="10">
        <f t="shared" si="254"/>
        <v>0</v>
      </c>
      <c r="J96" s="10">
        <f t="shared" si="254"/>
        <v>0</v>
      </c>
      <c r="K96" s="10">
        <f t="shared" si="254"/>
        <v>0</v>
      </c>
      <c r="L96" s="10">
        <f t="shared" si="254"/>
        <v>0</v>
      </c>
      <c r="M96" s="10">
        <f t="shared" si="254"/>
        <v>0</v>
      </c>
      <c r="N96" s="10">
        <f t="shared" si="254"/>
        <v>0</v>
      </c>
      <c r="O96" s="10">
        <f t="shared" si="254"/>
        <v>0</v>
      </c>
      <c r="P96" s="10">
        <f t="shared" si="254"/>
        <v>0</v>
      </c>
      <c r="Q96" s="10">
        <f t="shared" si="254"/>
        <v>0</v>
      </c>
      <c r="R96" s="10">
        <f t="shared" si="254"/>
        <v>0</v>
      </c>
      <c r="S96" s="10">
        <f t="shared" si="254"/>
        <v>0</v>
      </c>
      <c r="T96" s="10">
        <f t="shared" si="254"/>
        <v>0</v>
      </c>
      <c r="U96" s="10">
        <f t="shared" si="254"/>
        <v>0</v>
      </c>
      <c r="V96" s="10">
        <f t="shared" si="254"/>
        <v>0</v>
      </c>
      <c r="W96" s="10">
        <f t="shared" si="254"/>
        <v>0</v>
      </c>
      <c r="X96" s="10">
        <f t="shared" si="254"/>
        <v>0</v>
      </c>
      <c r="Y96" s="10">
        <f t="shared" si="254"/>
        <v>0</v>
      </c>
      <c r="Z96" s="10">
        <f t="shared" si="254"/>
        <v>0</v>
      </c>
      <c r="AA96" s="10">
        <f t="shared" si="254"/>
        <v>0</v>
      </c>
      <c r="AB96" s="10">
        <f t="shared" si="254"/>
        <v>0</v>
      </c>
      <c r="AC96" s="10">
        <f t="shared" si="254"/>
        <v>0</v>
      </c>
      <c r="AD96" s="10">
        <f t="shared" si="254"/>
        <v>689.70102354869528</v>
      </c>
      <c r="AE96" s="10">
        <f t="shared" si="254"/>
        <v>-6.5142345090487206</v>
      </c>
      <c r="AF96" s="10">
        <f t="shared" si="254"/>
        <v>0</v>
      </c>
      <c r="AG96" s="10">
        <f t="shared" si="254"/>
        <v>0</v>
      </c>
      <c r="AH96" s="10">
        <f t="shared" si="254"/>
        <v>0</v>
      </c>
      <c r="AI96" s="10">
        <f t="shared" si="254"/>
        <v>0</v>
      </c>
      <c r="AJ96" s="10">
        <f t="shared" si="254"/>
        <v>0</v>
      </c>
      <c r="AK96" s="10">
        <f t="shared" si="254"/>
        <v>765.04398000000003</v>
      </c>
      <c r="AL96" s="10">
        <f t="shared" si="254"/>
        <v>0</v>
      </c>
      <c r="AM96" s="10">
        <f t="shared" si="254"/>
        <v>0</v>
      </c>
      <c r="AN96" s="10">
        <f t="shared" si="254"/>
        <v>0</v>
      </c>
      <c r="AO96" s="10">
        <f t="shared" si="254"/>
        <v>0</v>
      </c>
      <c r="AP96" s="10">
        <f t="shared" si="254"/>
        <v>0</v>
      </c>
      <c r="AQ96" s="10">
        <f t="shared" si="254"/>
        <v>0</v>
      </c>
      <c r="AR96" s="10">
        <f t="shared" si="254"/>
        <v>0</v>
      </c>
      <c r="AS96" s="10">
        <f t="shared" si="254"/>
        <v>0</v>
      </c>
      <c r="AT96" s="10">
        <f t="shared" si="254"/>
        <v>0</v>
      </c>
      <c r="AU96" s="10">
        <f t="shared" si="254"/>
        <v>0</v>
      </c>
      <c r="AV96" s="10">
        <f t="shared" si="254"/>
        <v>0</v>
      </c>
      <c r="AW96" s="10">
        <f t="shared" si="254"/>
        <v>0</v>
      </c>
      <c r="AX96" s="10">
        <f t="shared" si="254"/>
        <v>0</v>
      </c>
      <c r="AY96" s="10">
        <f t="shared" si="254"/>
        <v>0</v>
      </c>
      <c r="AZ96" s="10">
        <f t="shared" ref="AZ96:BK96" si="255">SUM(AZ95:AZ95)</f>
        <v>0</v>
      </c>
      <c r="BA96" s="10">
        <f t="shared" si="255"/>
        <v>0</v>
      </c>
      <c r="BB96" s="10">
        <f t="shared" si="255"/>
        <v>0</v>
      </c>
      <c r="BC96" s="10">
        <f t="shared" si="255"/>
        <v>0</v>
      </c>
      <c r="BD96" s="10">
        <f t="shared" si="255"/>
        <v>0</v>
      </c>
      <c r="BE96" s="10">
        <f t="shared" si="255"/>
        <v>0</v>
      </c>
      <c r="BF96" s="10">
        <f t="shared" si="255"/>
        <v>0</v>
      </c>
      <c r="BG96" s="10">
        <f t="shared" si="255"/>
        <v>0</v>
      </c>
      <c r="BH96" s="10">
        <f t="shared" si="255"/>
        <v>1258.1848623198405</v>
      </c>
      <c r="BI96" s="10">
        <f t="shared" si="255"/>
        <v>0</v>
      </c>
      <c r="BJ96" s="10">
        <f t="shared" si="255"/>
        <v>0</v>
      </c>
      <c r="BK96" s="10">
        <f t="shared" si="255"/>
        <v>0</v>
      </c>
      <c r="BO96" s="23">
        <f>SUM(BO95)</f>
        <v>0</v>
      </c>
      <c r="BP96" s="23">
        <f t="shared" ref="BP96:BT96" si="256">SUM(BP95)</f>
        <v>0</v>
      </c>
      <c r="BQ96" s="23">
        <f t="shared" si="256"/>
        <v>0</v>
      </c>
      <c r="BR96" s="23">
        <f t="shared" si="256"/>
        <v>683.18678903964656</v>
      </c>
      <c r="BS96" s="23">
        <f t="shared" si="256"/>
        <v>0</v>
      </c>
      <c r="BT96" s="23">
        <f t="shared" si="256"/>
        <v>0</v>
      </c>
    </row>
    <row r="98" spans="3:72" x14ac:dyDescent="0.25">
      <c r="C98" s="3" t="s">
        <v>83</v>
      </c>
      <c r="D98" s="10">
        <f t="shared" ref="D98:AY98" si="257">D60+D83+D89+D93+D96</f>
        <v>5991.8418288920357</v>
      </c>
      <c r="E98" s="10">
        <f t="shared" si="257"/>
        <v>14557.850053966198</v>
      </c>
      <c r="F98" s="10">
        <f t="shared" si="257"/>
        <v>6921.9348652121589</v>
      </c>
      <c r="G98" s="10">
        <f t="shared" si="257"/>
        <v>7466.3121029987724</v>
      </c>
      <c r="H98" s="10">
        <f t="shared" si="257"/>
        <v>6922.917851349499</v>
      </c>
      <c r="I98" s="10">
        <f t="shared" si="257"/>
        <v>8568.9746547059058</v>
      </c>
      <c r="J98" s="10">
        <f t="shared" si="257"/>
        <v>6550.1650773003112</v>
      </c>
      <c r="K98" s="10">
        <f t="shared" si="257"/>
        <v>4451.5729480121781</v>
      </c>
      <c r="L98" s="10">
        <f t="shared" si="257"/>
        <v>8320.9864870719484</v>
      </c>
      <c r="M98" s="10">
        <f t="shared" si="257"/>
        <v>-32.133350226934226</v>
      </c>
      <c r="N98" s="10">
        <f t="shared" si="257"/>
        <v>6001.3770026125767</v>
      </c>
      <c r="O98" s="10">
        <f t="shared" si="257"/>
        <v>4721.0178525884621</v>
      </c>
      <c r="P98" s="10">
        <f t="shared" si="257"/>
        <v>167.77517194250618</v>
      </c>
      <c r="Q98" s="10">
        <f t="shared" si="257"/>
        <v>7859.6510951513783</v>
      </c>
      <c r="R98" s="10">
        <f t="shared" si="257"/>
        <v>2339.746295528822</v>
      </c>
      <c r="S98" s="10">
        <f t="shared" si="257"/>
        <v>1647.7396241267827</v>
      </c>
      <c r="T98" s="10">
        <f t="shared" si="257"/>
        <v>3758.1008137991275</v>
      </c>
      <c r="U98" s="10">
        <f t="shared" si="257"/>
        <v>3607.0053083801504</v>
      </c>
      <c r="V98" s="10">
        <f t="shared" si="257"/>
        <v>3201.8186223034818</v>
      </c>
      <c r="W98" s="10">
        <f t="shared" si="257"/>
        <v>4578.2134149373178</v>
      </c>
      <c r="X98" s="10">
        <f t="shared" si="257"/>
        <v>6969.6437763524536</v>
      </c>
      <c r="Y98" s="10">
        <f t="shared" si="257"/>
        <v>1953.4018219511647</v>
      </c>
      <c r="Z98" s="10">
        <f t="shared" si="257"/>
        <v>7847.7735410014384</v>
      </c>
      <c r="AA98" s="10">
        <f t="shared" si="257"/>
        <v>7124.706354406957</v>
      </c>
      <c r="AB98" s="10">
        <f t="shared" si="257"/>
        <v>1315.1872895964557</v>
      </c>
      <c r="AC98" s="10">
        <f t="shared" si="257"/>
        <v>10818.341723844856</v>
      </c>
      <c r="AD98" s="10">
        <f t="shared" si="257"/>
        <v>8472.0530812230936</v>
      </c>
      <c r="AE98" s="10">
        <f t="shared" si="257"/>
        <v>4903.4762357595037</v>
      </c>
      <c r="AF98" s="10">
        <f t="shared" si="257"/>
        <v>5666.1699784358307</v>
      </c>
      <c r="AG98" s="10">
        <f t="shared" si="257"/>
        <v>4396.4478171753553</v>
      </c>
      <c r="AH98" s="10">
        <f t="shared" si="257"/>
        <v>4441.9864833353258</v>
      </c>
      <c r="AI98" s="10">
        <f t="shared" si="257"/>
        <v>2877.127320375801</v>
      </c>
      <c r="AJ98" s="10">
        <f t="shared" si="257"/>
        <v>6944.8864747472853</v>
      </c>
      <c r="AK98" s="10">
        <f t="shared" si="257"/>
        <v>2034.8079149782352</v>
      </c>
      <c r="AL98" s="10">
        <f t="shared" si="257"/>
        <v>6885.6794772168632</v>
      </c>
      <c r="AM98" s="10">
        <f t="shared" si="257"/>
        <v>3511.1487743853113</v>
      </c>
      <c r="AN98" s="10">
        <f t="shared" si="257"/>
        <v>5972.0188072785459</v>
      </c>
      <c r="AO98" s="10">
        <f t="shared" si="257"/>
        <v>8728.421188985958</v>
      </c>
      <c r="AP98" s="10">
        <f t="shared" si="257"/>
        <v>5821.3456452765176</v>
      </c>
      <c r="AQ98" s="10">
        <f t="shared" si="257"/>
        <v>5543.2615992451956</v>
      </c>
      <c r="AR98" s="10">
        <f t="shared" si="257"/>
        <v>4624.902995386009</v>
      </c>
      <c r="AS98" s="10">
        <f t="shared" si="257"/>
        <v>4859.6079665244943</v>
      </c>
      <c r="AT98" s="10">
        <f t="shared" si="257"/>
        <v>0</v>
      </c>
      <c r="AU98" s="10">
        <f t="shared" si="257"/>
        <v>0</v>
      </c>
      <c r="AV98" s="10">
        <f t="shared" si="257"/>
        <v>0</v>
      </c>
      <c r="AW98" s="10">
        <f t="shared" si="257"/>
        <v>0</v>
      </c>
      <c r="AX98" s="10">
        <f t="shared" si="257"/>
        <v>0</v>
      </c>
      <c r="AY98" s="10">
        <f t="shared" si="257"/>
        <v>0</v>
      </c>
      <c r="AZ98" s="10">
        <f t="shared" ref="AZ98:BK98" si="258">AZ60+AZ83+AZ89+AZ93+AZ96</f>
        <v>5594.7756564812944</v>
      </c>
      <c r="BA98" s="10">
        <f t="shared" si="258"/>
        <v>9505.2933345711881</v>
      </c>
      <c r="BB98" s="10">
        <f t="shared" si="258"/>
        <v>5842.2761765344321</v>
      </c>
      <c r="BC98" s="10">
        <f t="shared" si="258"/>
        <v>8447.5809398625061</v>
      </c>
      <c r="BD98" s="10">
        <f t="shared" si="258"/>
        <v>7435.5955904180755</v>
      </c>
      <c r="BE98" s="10">
        <f t="shared" si="258"/>
        <v>8321.7489856184748</v>
      </c>
      <c r="BF98" s="10">
        <f t="shared" si="258"/>
        <v>8025.9133954235713</v>
      </c>
      <c r="BG98" s="10">
        <f t="shared" si="258"/>
        <v>5638.4901238087123</v>
      </c>
      <c r="BH98" s="10">
        <f t="shared" si="258"/>
        <v>12084.395879644329</v>
      </c>
      <c r="BI98" s="10">
        <f t="shared" si="258"/>
        <v>9972.6262815554801</v>
      </c>
      <c r="BJ98" s="10">
        <f t="shared" si="258"/>
        <v>10255.64405091614</v>
      </c>
      <c r="BK98" s="10">
        <f t="shared" si="258"/>
        <v>10265.277685166227</v>
      </c>
      <c r="BO98" s="23">
        <f>BO60+BO83+BO89+BO93+BO96</f>
        <v>30689.950236172182</v>
      </c>
      <c r="BP98" s="23">
        <f t="shared" ref="BP98:BT98" si="259">BP60+BP83+BP89+BP93+BP96</f>
        <v>36825.52169786748</v>
      </c>
      <c r="BQ98" s="23">
        <f t="shared" si="259"/>
        <v>26065.047240786211</v>
      </c>
      <c r="BR98" s="23">
        <f t="shared" si="259"/>
        <v>31175.22830885974</v>
      </c>
      <c r="BS98" s="23">
        <f t="shared" si="259"/>
        <v>15773.013000548595</v>
      </c>
      <c r="BT98" s="23">
        <f t="shared" si="259"/>
        <v>41860.856702418678</v>
      </c>
    </row>
    <row r="102" spans="3:72" s="48" customFormat="1" x14ac:dyDescent="0.25">
      <c r="C102" s="46" t="s">
        <v>110</v>
      </c>
      <c r="D102" s="47">
        <f>D11</f>
        <v>4780954.0761279985</v>
      </c>
      <c r="E102" s="47">
        <f>IFERROR(AVERAGE(D11:E11),0)</f>
        <v>4815958.2661821293</v>
      </c>
      <c r="F102" s="47">
        <f t="shared" ref="F102:BK102" si="260">IFERROR(AVERAGE(E11:F11),0)</f>
        <v>4890986.4306652397</v>
      </c>
      <c r="G102" s="47">
        <f t="shared" si="260"/>
        <v>4953918.2643071096</v>
      </c>
      <c r="H102" s="47">
        <f t="shared" si="260"/>
        <v>5006463.0029549999</v>
      </c>
      <c r="I102" s="47">
        <f t="shared" si="260"/>
        <v>5065757.7581441998</v>
      </c>
      <c r="J102" s="48">
        <f t="shared" si="260"/>
        <v>5118555.53610464</v>
      </c>
      <c r="K102" s="48">
        <f t="shared" si="260"/>
        <v>5177882.9050175641</v>
      </c>
      <c r="L102" s="48">
        <f t="shared" si="260"/>
        <v>5237560.5515756141</v>
      </c>
      <c r="M102" s="48">
        <f t="shared" si="260"/>
        <v>5290865.8648530804</v>
      </c>
      <c r="N102" s="48">
        <f t="shared" si="260"/>
        <v>5348440.5213668309</v>
      </c>
      <c r="O102" s="48">
        <f t="shared" si="260"/>
        <v>5385929.9515931001</v>
      </c>
      <c r="P102" s="48">
        <f t="shared" si="260"/>
        <v>5422374.7905288395</v>
      </c>
      <c r="Q102" s="48">
        <f t="shared" si="260"/>
        <v>5481823.0526397787</v>
      </c>
      <c r="R102" s="48">
        <f t="shared" si="260"/>
        <v>5549818.3172837086</v>
      </c>
      <c r="S102" s="48">
        <f t="shared" si="260"/>
        <v>5633256.2015591199</v>
      </c>
      <c r="T102" s="48">
        <f t="shared" si="260"/>
        <v>5727513.5959274098</v>
      </c>
      <c r="U102" s="48">
        <f t="shared" si="260"/>
        <v>5808295.6763509493</v>
      </c>
      <c r="V102" s="48">
        <f t="shared" si="260"/>
        <v>5882218.1273897495</v>
      </c>
      <c r="W102" s="47">
        <f t="shared" si="260"/>
        <v>5938492.123566499</v>
      </c>
      <c r="X102" s="47">
        <f t="shared" si="260"/>
        <v>5958496.5496712001</v>
      </c>
      <c r="Y102" s="47">
        <f t="shared" si="260"/>
        <v>5949522.1077068504</v>
      </c>
      <c r="Z102" s="47">
        <f t="shared" si="260"/>
        <v>5901421.4639386348</v>
      </c>
      <c r="AA102" s="47">
        <f t="shared" si="260"/>
        <v>5833128.7236750359</v>
      </c>
      <c r="AB102" s="47">
        <f t="shared" si="260"/>
        <v>5782559.95990685</v>
      </c>
      <c r="AC102" s="48">
        <f t="shared" si="260"/>
        <v>5757347.7515697498</v>
      </c>
      <c r="AD102" s="48">
        <f t="shared" si="260"/>
        <v>5745776.0480384491</v>
      </c>
      <c r="AE102" s="48">
        <f t="shared" si="260"/>
        <v>5746219.8119946495</v>
      </c>
      <c r="AF102" s="48">
        <f t="shared" si="260"/>
        <v>5757635.794794051</v>
      </c>
      <c r="AG102" s="48">
        <f t="shared" si="260"/>
        <v>5772788.6914757509</v>
      </c>
      <c r="AH102" s="48">
        <f t="shared" si="260"/>
        <v>5795196.6148122959</v>
      </c>
      <c r="AI102" s="48">
        <f t="shared" si="260"/>
        <v>5827679.739468595</v>
      </c>
      <c r="AJ102" s="48">
        <f t="shared" si="260"/>
        <v>5853804.9012991004</v>
      </c>
      <c r="AK102" s="48">
        <f t="shared" si="260"/>
        <v>5844188.4436150007</v>
      </c>
      <c r="AL102" s="48">
        <f t="shared" si="260"/>
        <v>5803394.7495515998</v>
      </c>
      <c r="AM102" s="48">
        <f t="shared" si="260"/>
        <v>5752299.4615212996</v>
      </c>
      <c r="AN102" s="48">
        <f t="shared" si="260"/>
        <v>5715206.2113672495</v>
      </c>
      <c r="AO102" s="48">
        <f t="shared" si="260"/>
        <v>5682266.1799999997</v>
      </c>
      <c r="AP102" s="48">
        <f t="shared" si="260"/>
        <v>5666506.5</v>
      </c>
      <c r="AQ102" s="48">
        <f t="shared" si="260"/>
        <v>5684672.0008901004</v>
      </c>
      <c r="AR102" s="48">
        <f t="shared" si="260"/>
        <v>5702269.847506471</v>
      </c>
      <c r="AS102" s="48">
        <f t="shared" si="260"/>
        <v>5719361.1047205683</v>
      </c>
      <c r="AT102" s="48">
        <f t="shared" si="260"/>
        <v>2864977.5281041986</v>
      </c>
      <c r="AU102" s="48">
        <f t="shared" si="260"/>
        <v>0</v>
      </c>
      <c r="AV102" s="48">
        <f t="shared" si="260"/>
        <v>0</v>
      </c>
      <c r="AW102" s="48">
        <f t="shared" si="260"/>
        <v>0</v>
      </c>
      <c r="AX102" s="48">
        <f t="shared" si="260"/>
        <v>0</v>
      </c>
      <c r="AY102" s="48">
        <f t="shared" si="260"/>
        <v>0</v>
      </c>
      <c r="AZ102" s="48">
        <f>AZ11</f>
        <v>5946181.5927359192</v>
      </c>
      <c r="BA102" s="48">
        <f t="shared" si="260"/>
        <v>5955233.2010309938</v>
      </c>
      <c r="BB102" s="48">
        <f t="shared" si="260"/>
        <v>5981941.923242799</v>
      </c>
      <c r="BC102" s="48">
        <f t="shared" si="260"/>
        <v>6010589.9233756252</v>
      </c>
      <c r="BD102" s="48">
        <f t="shared" si="260"/>
        <v>6032743.9861387853</v>
      </c>
      <c r="BE102" s="48">
        <f t="shared" si="260"/>
        <v>6058815.83207261</v>
      </c>
      <c r="BF102" s="48">
        <f t="shared" si="260"/>
        <v>6088664.5388457384</v>
      </c>
      <c r="BG102" s="48">
        <f t="shared" si="260"/>
        <v>6118212.9139983561</v>
      </c>
      <c r="BH102" s="48">
        <f t="shared" si="260"/>
        <v>6152648.9291974157</v>
      </c>
      <c r="BI102" s="48">
        <f t="shared" si="260"/>
        <v>6186981.3489808971</v>
      </c>
      <c r="BJ102" s="48">
        <f t="shared" si="260"/>
        <v>6215780.3894543182</v>
      </c>
      <c r="BK102" s="48">
        <f t="shared" si="260"/>
        <v>6240933.6913501993</v>
      </c>
      <c r="BO102" s="48">
        <f>IFERROR(AVERAGEIFS($D11:$BM11,$D$6:$BM$6,"&gt;="&amp;EOMONTH(BO$2,-1),$D$6:$BM$6,"&lt;="&amp;BO$6,$D$5:$BM$5,BO$5,$D11:$BM11,"&lt;&gt;0"),0)</f>
        <v>5694660.8529579071</v>
      </c>
      <c r="BP102" s="48">
        <f>IFERROR(AVERAGEIFS($D11:$BM11,$D$6:$BM$6,"&gt;="&amp;EOMONTH(BP$2,-1),$D$6:$BM$6,"&lt;="&amp;BP$6,$D$5:$BM$5,BP$5,$D11:$BM11,"&lt;&gt;0"),0)</f>
        <v>5995110.682299817</v>
      </c>
      <c r="BQ102" s="48">
        <f>IFERROR(AVERAGEIFS($D11:$BM11,$D$6:$BM$6,"&gt;="&amp;EOMONTH(BQ$2,-1),$D$6:$BM$6,"&lt;="&amp;BQ$6,$D$5:$BM$5,BQ$5,$D11:$BM11,"&lt;&gt;0"),0)</f>
        <v>5691839.5929029398</v>
      </c>
      <c r="BR102" s="48">
        <f>IFERROR(AVERAGEIFS($D11:$BM11,$D$6:$BM$6,"&gt;="&amp;EOMONTH(BR$2,-1),$D$6:$BM$6,"&lt;="&amp;BR$6,$D$5:$BM$5,BR$5,$D11:$BM11,"&lt;&gt;0"),0)</f>
        <v>5761990.6009131158</v>
      </c>
      <c r="BS102" s="48">
        <f t="shared" ref="BS102:BT102" si="261">IFERROR(AVERAGEIFS($D11:$BM11,$D$6:$BM$6,"&gt;="&amp;EOMONTH(BS$2,-1),$D$6:$BM$6,"&lt;="&amp;BS$6,$D$5:$BM$5,BS$5,$D11:$BM11,"&lt;&gt;0"),0)</f>
        <v>5566568.9012466529</v>
      </c>
      <c r="BT102" s="48">
        <f t="shared" si="261"/>
        <v>4915170.5886736959</v>
      </c>
    </row>
  </sheetData>
  <mergeCells count="4">
    <mergeCell ref="BO1:BT1"/>
    <mergeCell ref="BW1:CB1"/>
    <mergeCell ref="D1:AY1"/>
    <mergeCell ref="AZ1:B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5D81-59C3-41AE-8F5F-B922789C8D26}">
  <sheetPr codeName="Hoja7"/>
  <dimension ref="A1:CC104"/>
  <sheetViews>
    <sheetView showGridLines="0" zoomScale="80" zoomScaleNormal="80" workbookViewId="0">
      <pane xSplit="3" ySplit="6" topLeftCell="D7" activePane="bottomRight" state="frozen"/>
      <selection activeCell="AO57" sqref="AO57"/>
      <selection pane="topRight" activeCell="AO57" sqref="AO57"/>
      <selection pane="bottomLeft" activeCell="AO57" sqref="AO57"/>
      <selection pane="bottomRight" activeCell="D8" sqref="D8"/>
    </sheetView>
  </sheetViews>
  <sheetFormatPr baseColWidth="10" defaultRowHeight="15" outlineLevelRow="1" outlineLevelCol="1" x14ac:dyDescent="0.25"/>
  <cols>
    <col min="1" max="1" width="7.140625" customWidth="1"/>
    <col min="2" max="2" width="6.28515625" customWidth="1"/>
    <col min="3" max="3" width="22.85546875" bestFit="1" customWidth="1"/>
    <col min="4" max="14" width="11.28515625" customWidth="1" outlineLevel="1"/>
    <col min="15" max="15" width="11.28515625" bestFit="1" customWidth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63" width="10.5703125" customWidth="1"/>
  </cols>
  <sheetData>
    <row r="1" spans="1:81" ht="15.75" x14ac:dyDescent="0.25">
      <c r="D1" s="55" t="s">
        <v>92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6" t="s">
        <v>93</v>
      </c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O1" s="54" t="s">
        <v>89</v>
      </c>
      <c r="BP1" s="54"/>
      <c r="BQ1" s="54"/>
      <c r="BR1" s="54"/>
      <c r="BS1" s="54"/>
      <c r="BT1" s="54"/>
      <c r="BW1" s="54" t="s">
        <v>90</v>
      </c>
      <c r="BX1" s="54"/>
      <c r="BY1" s="54"/>
      <c r="BZ1" s="54"/>
      <c r="CA1" s="54"/>
      <c r="CB1" s="54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5">
        <f t="shared" ref="BO2:BT2" si="0">DATE(YEAR(BO6),1,1)</f>
        <v>46023</v>
      </c>
      <c r="BP2" s="25">
        <f t="shared" si="0"/>
        <v>46023</v>
      </c>
      <c r="BQ2" s="25">
        <f t="shared" si="0"/>
        <v>46023</v>
      </c>
      <c r="BR2" s="25">
        <f t="shared" si="0"/>
        <v>45658</v>
      </c>
      <c r="BS2" s="25">
        <f t="shared" si="0"/>
        <v>45292</v>
      </c>
      <c r="BT2" s="25">
        <f t="shared" si="0"/>
        <v>44927</v>
      </c>
    </row>
    <row r="3" spans="1:81" x14ac:dyDescent="0.25">
      <c r="C3" s="13" t="s">
        <v>61</v>
      </c>
      <c r="D3" s="12">
        <v>30</v>
      </c>
      <c r="E3" s="12">
        <v>30</v>
      </c>
      <c r="F3" s="12">
        <v>30</v>
      </c>
      <c r="G3" s="12">
        <v>30</v>
      </c>
      <c r="H3" s="12">
        <v>30</v>
      </c>
      <c r="I3" s="12">
        <v>30</v>
      </c>
      <c r="J3" s="12">
        <v>30</v>
      </c>
      <c r="K3" s="12">
        <v>30</v>
      </c>
      <c r="L3" s="12">
        <v>30</v>
      </c>
      <c r="M3" s="12">
        <v>30</v>
      </c>
      <c r="N3" s="12">
        <v>30</v>
      </c>
      <c r="O3" s="12">
        <v>30</v>
      </c>
      <c r="P3" s="12">
        <v>30</v>
      </c>
      <c r="Q3" s="12">
        <v>30</v>
      </c>
      <c r="R3" s="12">
        <v>30</v>
      </c>
      <c r="S3" s="12">
        <v>30</v>
      </c>
      <c r="T3" s="12">
        <v>30</v>
      </c>
      <c r="U3" s="12">
        <v>30</v>
      </c>
      <c r="V3" s="12">
        <v>30</v>
      </c>
      <c r="W3" s="12">
        <v>30</v>
      </c>
      <c r="X3" s="12">
        <v>30</v>
      </c>
      <c r="Y3" s="12">
        <v>30</v>
      </c>
      <c r="Z3" s="12">
        <v>30</v>
      </c>
      <c r="AA3" s="12">
        <v>30</v>
      </c>
      <c r="AB3" s="12">
        <v>30</v>
      </c>
      <c r="AC3" s="12">
        <v>30</v>
      </c>
      <c r="AD3" s="12">
        <v>30</v>
      </c>
      <c r="AE3" s="12">
        <v>30</v>
      </c>
      <c r="AF3" s="12">
        <v>30</v>
      </c>
      <c r="AG3" s="12">
        <v>30</v>
      </c>
      <c r="AH3" s="12">
        <v>30</v>
      </c>
      <c r="AI3" s="12">
        <v>30</v>
      </c>
      <c r="AJ3" s="12">
        <v>30</v>
      </c>
      <c r="AK3" s="12">
        <v>30</v>
      </c>
      <c r="AL3" s="12">
        <v>30</v>
      </c>
      <c r="AM3" s="12">
        <v>30</v>
      </c>
      <c r="AN3" s="12">
        <v>30</v>
      </c>
      <c r="AO3" s="12">
        <v>30</v>
      </c>
      <c r="AP3" s="12">
        <v>30</v>
      </c>
      <c r="AQ3" s="12">
        <v>30</v>
      </c>
      <c r="AR3" s="12">
        <v>30</v>
      </c>
      <c r="AS3" s="12">
        <v>30</v>
      </c>
      <c r="AT3" s="12">
        <v>30</v>
      </c>
      <c r="AU3" s="12">
        <v>30</v>
      </c>
      <c r="AV3" s="12">
        <v>30</v>
      </c>
      <c r="AW3" s="12">
        <v>30</v>
      </c>
      <c r="AX3" s="12">
        <v>30</v>
      </c>
      <c r="AY3" s="12">
        <v>30</v>
      </c>
      <c r="AZ3" s="12">
        <v>30</v>
      </c>
      <c r="BA3" s="12">
        <v>30</v>
      </c>
      <c r="BB3" s="12">
        <v>30</v>
      </c>
      <c r="BC3" s="12">
        <v>30</v>
      </c>
      <c r="BD3" s="12">
        <v>30</v>
      </c>
      <c r="BE3" s="12">
        <v>30</v>
      </c>
      <c r="BF3" s="12">
        <v>30</v>
      </c>
      <c r="BG3" s="12">
        <v>30</v>
      </c>
      <c r="BH3" s="12">
        <v>30</v>
      </c>
      <c r="BI3" s="12">
        <v>30</v>
      </c>
      <c r="BJ3" s="12">
        <v>30</v>
      </c>
      <c r="BK3" s="12">
        <v>30</v>
      </c>
      <c r="BO3" s="12">
        <f>AVERAGEIFS($D3:$BM3,$D$6:$BM$6,"&gt;="&amp;BO$2,$D$6:$BM$6,"&lt;="&amp;BO$6,$D$5:$BM$5,BO$5)</f>
        <v>30</v>
      </c>
      <c r="BP3" s="12">
        <f t="shared" ref="BP3:BT4" si="1">AVERAGEIFS($D3:$BM3,$D$6:$BM$6,"&gt;="&amp;BP$2,$D$6:$BM$6,"&lt;="&amp;BP$6,$D$5:$BM$5,BP$5)</f>
        <v>30</v>
      </c>
      <c r="BQ3" s="12">
        <f t="shared" si="1"/>
        <v>30</v>
      </c>
      <c r="BR3" s="12">
        <f t="shared" si="1"/>
        <v>30</v>
      </c>
      <c r="BS3" s="12">
        <f t="shared" si="1"/>
        <v>30</v>
      </c>
      <c r="BT3" s="12">
        <f t="shared" si="1"/>
        <v>30</v>
      </c>
    </row>
    <row r="4" spans="1:81" x14ac:dyDescent="0.25">
      <c r="C4" s="13" t="s">
        <v>62</v>
      </c>
      <c r="D4" s="12">
        <f>DAY(D6)</f>
        <v>31</v>
      </c>
      <c r="E4" s="12">
        <f t="shared" ref="E4:BK4" si="2">DAY(E6)</f>
        <v>28</v>
      </c>
      <c r="F4" s="12">
        <f t="shared" si="2"/>
        <v>31</v>
      </c>
      <c r="G4" s="12">
        <f t="shared" si="2"/>
        <v>30</v>
      </c>
      <c r="H4" s="12">
        <f t="shared" si="2"/>
        <v>31</v>
      </c>
      <c r="I4" s="12">
        <f t="shared" si="2"/>
        <v>30</v>
      </c>
      <c r="J4" s="12">
        <f t="shared" si="2"/>
        <v>31</v>
      </c>
      <c r="K4" s="12">
        <f t="shared" si="2"/>
        <v>31</v>
      </c>
      <c r="L4" s="12">
        <f t="shared" si="2"/>
        <v>30</v>
      </c>
      <c r="M4" s="12">
        <f t="shared" si="2"/>
        <v>31</v>
      </c>
      <c r="N4" s="12">
        <f t="shared" si="2"/>
        <v>30</v>
      </c>
      <c r="O4" s="12">
        <f t="shared" si="2"/>
        <v>31</v>
      </c>
      <c r="P4" s="12">
        <f t="shared" si="2"/>
        <v>31</v>
      </c>
      <c r="Q4" s="12">
        <f t="shared" si="2"/>
        <v>29</v>
      </c>
      <c r="R4" s="12">
        <f t="shared" si="2"/>
        <v>31</v>
      </c>
      <c r="S4" s="12">
        <f t="shared" si="2"/>
        <v>30</v>
      </c>
      <c r="T4" s="12">
        <f t="shared" si="2"/>
        <v>31</v>
      </c>
      <c r="U4" s="12">
        <f t="shared" si="2"/>
        <v>30</v>
      </c>
      <c r="V4" s="12">
        <f t="shared" si="2"/>
        <v>31</v>
      </c>
      <c r="W4" s="12">
        <f t="shared" si="2"/>
        <v>31</v>
      </c>
      <c r="X4" s="12">
        <f t="shared" si="2"/>
        <v>30</v>
      </c>
      <c r="Y4" s="12">
        <f t="shared" si="2"/>
        <v>31</v>
      </c>
      <c r="Z4" s="12">
        <f t="shared" si="2"/>
        <v>30</v>
      </c>
      <c r="AA4" s="12">
        <f t="shared" si="2"/>
        <v>31</v>
      </c>
      <c r="AB4" s="12">
        <f t="shared" si="2"/>
        <v>31</v>
      </c>
      <c r="AC4" s="12">
        <f t="shared" si="2"/>
        <v>28</v>
      </c>
      <c r="AD4" s="12">
        <f t="shared" si="2"/>
        <v>31</v>
      </c>
      <c r="AE4" s="12">
        <f t="shared" si="2"/>
        <v>30</v>
      </c>
      <c r="AF4" s="12">
        <f t="shared" si="2"/>
        <v>31</v>
      </c>
      <c r="AG4" s="12">
        <f t="shared" si="2"/>
        <v>30</v>
      </c>
      <c r="AH4" s="12">
        <f t="shared" si="2"/>
        <v>31</v>
      </c>
      <c r="AI4" s="12">
        <f t="shared" si="2"/>
        <v>31</v>
      </c>
      <c r="AJ4" s="12">
        <f t="shared" si="2"/>
        <v>30</v>
      </c>
      <c r="AK4" s="12">
        <f t="shared" si="2"/>
        <v>31</v>
      </c>
      <c r="AL4" s="12">
        <f t="shared" si="2"/>
        <v>30</v>
      </c>
      <c r="AM4" s="12">
        <f t="shared" si="2"/>
        <v>31</v>
      </c>
      <c r="AN4" s="12">
        <f t="shared" si="2"/>
        <v>31</v>
      </c>
      <c r="AO4" s="12">
        <f t="shared" si="2"/>
        <v>28</v>
      </c>
      <c r="AP4" s="12">
        <f t="shared" si="2"/>
        <v>31</v>
      </c>
      <c r="AQ4" s="12">
        <f t="shared" si="2"/>
        <v>30</v>
      </c>
      <c r="AR4" s="12">
        <f t="shared" si="2"/>
        <v>31</v>
      </c>
      <c r="AS4" s="12">
        <f t="shared" si="2"/>
        <v>30</v>
      </c>
      <c r="AT4" s="12">
        <f t="shared" si="2"/>
        <v>31</v>
      </c>
      <c r="AU4" s="12">
        <f t="shared" si="2"/>
        <v>31</v>
      </c>
      <c r="AV4" s="12">
        <f t="shared" si="2"/>
        <v>30</v>
      </c>
      <c r="AW4" s="12">
        <f t="shared" si="2"/>
        <v>31</v>
      </c>
      <c r="AX4" s="12">
        <f t="shared" si="2"/>
        <v>30</v>
      </c>
      <c r="AY4" s="12">
        <f t="shared" si="2"/>
        <v>31</v>
      </c>
      <c r="AZ4" s="12">
        <f t="shared" si="2"/>
        <v>31</v>
      </c>
      <c r="BA4" s="12">
        <f t="shared" si="2"/>
        <v>28</v>
      </c>
      <c r="BB4" s="12">
        <f t="shared" si="2"/>
        <v>31</v>
      </c>
      <c r="BC4" s="12">
        <f t="shared" si="2"/>
        <v>30</v>
      </c>
      <c r="BD4" s="12">
        <f t="shared" si="2"/>
        <v>31</v>
      </c>
      <c r="BE4" s="12">
        <f t="shared" si="2"/>
        <v>30</v>
      </c>
      <c r="BF4" s="12">
        <f t="shared" si="2"/>
        <v>31</v>
      </c>
      <c r="BG4" s="12">
        <f t="shared" si="2"/>
        <v>31</v>
      </c>
      <c r="BH4" s="12">
        <f t="shared" si="2"/>
        <v>30</v>
      </c>
      <c r="BI4" s="12">
        <f t="shared" si="2"/>
        <v>31</v>
      </c>
      <c r="BJ4" s="12">
        <f t="shared" si="2"/>
        <v>30</v>
      </c>
      <c r="BK4" s="12">
        <f t="shared" si="2"/>
        <v>31</v>
      </c>
      <c r="BO4" s="27">
        <f>AVERAGEIFS($D4:$BM4,$D$6:$BM$6,"&gt;="&amp;BO$2,$D$6:$BM$6,"&lt;="&amp;BO$6,$D$5:$BM$5,BO$5)</f>
        <v>30.2</v>
      </c>
      <c r="BP4" s="27">
        <f t="shared" si="1"/>
        <v>30.2</v>
      </c>
      <c r="BQ4" s="27">
        <f t="shared" si="1"/>
        <v>30</v>
      </c>
      <c r="BR4" s="27">
        <f t="shared" si="1"/>
        <v>30.2</v>
      </c>
      <c r="BS4" s="27">
        <f t="shared" si="1"/>
        <v>30.4</v>
      </c>
      <c r="BT4" s="27">
        <f t="shared" si="1"/>
        <v>30.2</v>
      </c>
    </row>
    <row r="5" spans="1:81" ht="15.75" thickBot="1" x14ac:dyDescent="0.3">
      <c r="C5" s="13" t="s">
        <v>85</v>
      </c>
      <c r="D5" s="12" t="s">
        <v>86</v>
      </c>
      <c r="E5" s="12" t="s">
        <v>86</v>
      </c>
      <c r="F5" s="12" t="s">
        <v>86</v>
      </c>
      <c r="G5" s="12" t="s">
        <v>86</v>
      </c>
      <c r="H5" s="12" t="s">
        <v>86</v>
      </c>
      <c r="I5" s="12" t="s">
        <v>86</v>
      </c>
      <c r="J5" s="12" t="s">
        <v>86</v>
      </c>
      <c r="K5" s="12" t="s">
        <v>86</v>
      </c>
      <c r="L5" s="12" t="s">
        <v>86</v>
      </c>
      <c r="M5" s="12" t="s">
        <v>86</v>
      </c>
      <c r="N5" s="12" t="s">
        <v>86</v>
      </c>
      <c r="O5" s="12" t="s">
        <v>86</v>
      </c>
      <c r="P5" s="12" t="s">
        <v>86</v>
      </c>
      <c r="Q5" s="12" t="s">
        <v>86</v>
      </c>
      <c r="R5" s="12" t="s">
        <v>86</v>
      </c>
      <c r="S5" s="12" t="s">
        <v>86</v>
      </c>
      <c r="T5" s="12" t="s">
        <v>86</v>
      </c>
      <c r="U5" s="12" t="s">
        <v>86</v>
      </c>
      <c r="V5" s="12" t="s">
        <v>86</v>
      </c>
      <c r="W5" s="12" t="s">
        <v>86</v>
      </c>
      <c r="X5" s="12" t="s">
        <v>86</v>
      </c>
      <c r="Y5" s="12" t="s">
        <v>86</v>
      </c>
      <c r="Z5" s="12" t="s">
        <v>86</v>
      </c>
      <c r="AA5" s="12" t="s">
        <v>86</v>
      </c>
      <c r="AB5" s="12" t="s">
        <v>86</v>
      </c>
      <c r="AC5" s="12" t="s">
        <v>86</v>
      </c>
      <c r="AD5" s="12" t="s">
        <v>86</v>
      </c>
      <c r="AE5" s="12" t="s">
        <v>86</v>
      </c>
      <c r="AF5" s="12" t="s">
        <v>86</v>
      </c>
      <c r="AG5" s="12" t="s">
        <v>86</v>
      </c>
      <c r="AH5" s="12" t="s">
        <v>86</v>
      </c>
      <c r="AI5" s="12" t="s">
        <v>86</v>
      </c>
      <c r="AJ5" s="12" t="s">
        <v>86</v>
      </c>
      <c r="AK5" s="12" t="s">
        <v>86</v>
      </c>
      <c r="AL5" s="12" t="s">
        <v>86</v>
      </c>
      <c r="AM5" s="12" t="s">
        <v>86</v>
      </c>
      <c r="AN5" s="12" t="s">
        <v>86</v>
      </c>
      <c r="AO5" s="12" t="s">
        <v>86</v>
      </c>
      <c r="AP5" s="12" t="s">
        <v>86</v>
      </c>
      <c r="AQ5" s="12" t="s">
        <v>86</v>
      </c>
      <c r="AR5" s="12" t="s">
        <v>86</v>
      </c>
      <c r="AS5" s="12" t="s">
        <v>86</v>
      </c>
      <c r="AT5" s="12" t="s">
        <v>86</v>
      </c>
      <c r="AU5" s="12" t="s">
        <v>86</v>
      </c>
      <c r="AV5" s="12" t="s">
        <v>86</v>
      </c>
      <c r="AW5" s="12" t="s">
        <v>86</v>
      </c>
      <c r="AX5" s="12" t="s">
        <v>86</v>
      </c>
      <c r="AY5" s="12" t="s">
        <v>86</v>
      </c>
      <c r="AZ5" s="12" t="s">
        <v>87</v>
      </c>
      <c r="BA5" s="12" t="s">
        <v>87</v>
      </c>
      <c r="BB5" s="12" t="s">
        <v>87</v>
      </c>
      <c r="BC5" s="12" t="s">
        <v>87</v>
      </c>
      <c r="BD5" s="12" t="s">
        <v>87</v>
      </c>
      <c r="BE5" s="12" t="s">
        <v>87</v>
      </c>
      <c r="BF5" s="12" t="s">
        <v>87</v>
      </c>
      <c r="BG5" s="12" t="s">
        <v>87</v>
      </c>
      <c r="BH5" s="12" t="s">
        <v>87</v>
      </c>
      <c r="BI5" s="12" t="s">
        <v>87</v>
      </c>
      <c r="BJ5" s="12" t="s">
        <v>87</v>
      </c>
      <c r="BK5" s="12" t="s">
        <v>87</v>
      </c>
      <c r="BO5" s="12" t="s">
        <v>86</v>
      </c>
      <c r="BP5" s="12" t="s">
        <v>87</v>
      </c>
      <c r="BQ5" s="12" t="s">
        <v>86</v>
      </c>
      <c r="BR5" s="12" t="s">
        <v>86</v>
      </c>
      <c r="BS5" s="12" t="s">
        <v>86</v>
      </c>
      <c r="BT5" s="12" t="s">
        <v>86</v>
      </c>
    </row>
    <row r="6" spans="1:81" ht="16.5" thickTop="1" thickBot="1" x14ac:dyDescent="0.3">
      <c r="C6" s="45" t="s">
        <v>49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30">
        <v>46053</v>
      </c>
      <c r="BA6" s="30">
        <v>46081</v>
      </c>
      <c r="BB6" s="30">
        <v>46112</v>
      </c>
      <c r="BC6" s="30">
        <v>46142</v>
      </c>
      <c r="BD6" s="30">
        <v>46173</v>
      </c>
      <c r="BE6" s="30">
        <v>46203</v>
      </c>
      <c r="BF6" s="30">
        <v>46234</v>
      </c>
      <c r="BG6" s="30">
        <v>46265</v>
      </c>
      <c r="BH6" s="30">
        <v>46295</v>
      </c>
      <c r="BI6" s="30">
        <v>46326</v>
      </c>
      <c r="BJ6" s="30">
        <v>46356</v>
      </c>
      <c r="BK6" s="30">
        <v>46387</v>
      </c>
      <c r="BO6" s="1">
        <f>Desempeño_Financiero!$B$1</f>
        <v>46173</v>
      </c>
      <c r="BP6" s="22">
        <f>BO6</f>
        <v>46173</v>
      </c>
      <c r="BQ6" s="1">
        <f>EOMONTH(BO6,-1)</f>
        <v>46142</v>
      </c>
      <c r="BR6" s="1">
        <f>EOMONTH(BO6,-12)</f>
        <v>45808</v>
      </c>
      <c r="BS6" s="1">
        <f>EOMONTH(BO6,-24)</f>
        <v>45443</v>
      </c>
      <c r="BT6" s="1">
        <f>EOMONTH(BO6,-36)</f>
        <v>45077</v>
      </c>
      <c r="BW6" s="1">
        <f>BO6</f>
        <v>46173</v>
      </c>
      <c r="BX6" s="22">
        <f t="shared" ref="BX6:CB6" si="3">BP6</f>
        <v>46173</v>
      </c>
      <c r="BY6" s="1">
        <f t="shared" si="3"/>
        <v>46142</v>
      </c>
      <c r="BZ6" s="1">
        <f t="shared" si="3"/>
        <v>45808</v>
      </c>
      <c r="CA6" s="1">
        <f t="shared" si="3"/>
        <v>45443</v>
      </c>
      <c r="CB6" s="1">
        <f t="shared" si="3"/>
        <v>45077</v>
      </c>
      <c r="CC6" s="26"/>
    </row>
    <row r="7" spans="1:81" ht="15.75" thickTop="1" x14ac:dyDescent="0.25"/>
    <row r="8" spans="1:81" outlineLevel="1" x14ac:dyDescent="0.25">
      <c r="A8" s="11" t="s">
        <v>51</v>
      </c>
      <c r="C8" s="2" t="s">
        <v>0</v>
      </c>
      <c r="D8" s="8">
        <f>IFERROR(
GETPIVOTDATA(
"[Base].[Importe]",
TDinamica_R!$A$5,
"[Calendario].[AñoMes]",
"[Calendario].[AñoMes].&amp;[" &amp; TEXT(D$6,"yyyymm") &amp; "]",
"[Base].[Metrica]",
"[Base].[Metrica].&amp;[" &amp; $A8 &amp; "]",
"[Base].[SEGMENTO_DESCRIP]",
"[Base].[SEGMENTO_DESCRIP].&amp;[" &amp; $C$6 &amp; "]",
"[Base].[SITUACION]",
"[Base].[SITUACION].&amp;[" &amp; $C8 &amp; "]"
),0)/1000</f>
        <v>74923.532179999995</v>
      </c>
      <c r="E8" s="8">
        <f>IFERROR(
GETPIVOTDATA(
"[Base].[Importe]",
TDinamica_R!$A$5,
"[Calendario].[AñoMes]",
"[Calendario].[AñoMes].&amp;[" &amp; TEXT(E$6,"yyyymm") &amp; "]",
"[Base].[Metrica]",
"[Base].[Metrica].&amp;[" &amp; $A8 &amp; "]",
"[Base].[SEGMENTO_DESCRIP]",
"[Base].[SEGMENTO_DESCRIP].&amp;[" &amp; $C$6 &amp; "]",
"[Base].[SITUACION]",
"[Base].[SITUACION].&amp;[" &amp; $C8 &amp; "]"
),0)/1000</f>
        <v>75321.79363</v>
      </c>
      <c r="F8" s="8">
        <f>IFERROR(
GETPIVOTDATA(
"[Base].[Importe]",
TDinamica_R!$A$5,
"[Calendario].[AñoMes]",
"[Calendario].[AñoMes].&amp;[" &amp; TEXT(F$6,"yyyymm") &amp; "]",
"[Base].[Metrica]",
"[Base].[Metrica].&amp;[" &amp; $A8 &amp; "]",
"[Base].[SEGMENTO_DESCRIP]",
"[Base].[SEGMENTO_DESCRIP].&amp;[" &amp; $C$6 &amp; "]",
"[Base].[SITUACION]",
"[Base].[SITUACION].&amp;[" &amp; $C8 &amp; "]"
),0)/1000</f>
        <v>76311.656620000009</v>
      </c>
      <c r="G8" s="8">
        <f>IFERROR(
GETPIVOTDATA(
"[Base].[Importe]",
TDinamica_R!$A$5,
"[Calendario].[AñoMes]",
"[Calendario].[AñoMes].&amp;[" &amp; TEXT(G$6,"yyyymm") &amp; "]",
"[Base].[Metrica]",
"[Base].[Metrica].&amp;[" &amp; $A8 &amp; "]",
"[Base].[SEGMENTO_DESCRIP]",
"[Base].[SEGMENTO_DESCRIP].&amp;[" &amp; $C$6 &amp; "]",
"[Base].[SITUACION]",
"[Base].[SITUACION].&amp;[" &amp; $C8 &amp; "]"
),0)/1000</f>
        <v>77004.742989999999</v>
      </c>
      <c r="H8" s="8">
        <f>IFERROR(
GETPIVOTDATA(
"[Base].[Importe]",
TDinamica_R!$A$5,
"[Calendario].[AñoMes]",
"[Calendario].[AñoMes].&amp;[" &amp; TEXT(H$6,"yyyymm") &amp; "]",
"[Base].[Metrica]",
"[Base].[Metrica].&amp;[" &amp; $A8 &amp; "]",
"[Base].[SEGMENTO_DESCRIP]",
"[Base].[SEGMENTO_DESCRIP].&amp;[" &amp; $C$6 &amp; "]",
"[Base].[SITUACION]",
"[Base].[SITUACION].&amp;[" &amp; $C8 &amp; "]"
),0)/1000</f>
        <v>77612.013729999991</v>
      </c>
      <c r="I8" s="8">
        <f>IFERROR(
GETPIVOTDATA(
"[Base].[Importe]",
TDinamica_R!$A$5,
"[Calendario].[AñoMes]",
"[Calendario].[AñoMes].&amp;[" &amp; TEXT(I$6,"yyyymm") &amp; "]",
"[Base].[Metrica]",
"[Base].[Metrica].&amp;[" &amp; $A8 &amp; "]",
"[Base].[SEGMENTO_DESCRIP]",
"[Base].[SEGMENTO_DESCRIP].&amp;[" &amp; $C$6 &amp; "]",
"[Base].[SITUACION]",
"[Base].[SITUACION].&amp;[" &amp; $C8 &amp; "]"
),0)/1000</f>
        <v>79662.122140000007</v>
      </c>
      <c r="J8" s="8">
        <f>IFERROR(
GETPIVOTDATA(
"[Base].[Importe]",
TDinamica_R!$A$5,
"[Calendario].[AñoMes]",
"[Calendario].[AñoMes].&amp;[" &amp; TEXT(J$6,"yyyymm") &amp; "]",
"[Base].[Metrica]",
"[Base].[Metrica].&amp;[" &amp; $A8 &amp; "]",
"[Base].[SEGMENTO_DESCRIP]",
"[Base].[SEGMENTO_DESCRIP].&amp;[" &amp; $C$6 &amp; "]",
"[Base].[SITUACION]",
"[Base].[SITUACION].&amp;[" &amp; $C8 &amp; "]"
),0)/1000</f>
        <v>80613.15284000001</v>
      </c>
      <c r="K8" s="8">
        <f>IFERROR(
GETPIVOTDATA(
"[Base].[Importe]",
TDinamica_R!$A$5,
"[Calendario].[AñoMes]",
"[Calendario].[AñoMes].&amp;[" &amp; TEXT(K$6,"yyyymm") &amp; "]",
"[Base].[Metrica]",
"[Base].[Metrica].&amp;[" &amp; $A8 &amp; "]",
"[Base].[SEGMENTO_DESCRIP]",
"[Base].[SEGMENTO_DESCRIP].&amp;[" &amp; $C$6 &amp; "]",
"[Base].[SITUACION]",
"[Base].[SITUACION].&amp;[" &amp; $C8 &amp; "]"
),0)/1000</f>
        <v>80979.645782699998</v>
      </c>
      <c r="L8" s="8">
        <f>IFERROR(
GETPIVOTDATA(
"[Base].[Importe]",
TDinamica_R!$A$5,
"[Calendario].[AñoMes]",
"[Calendario].[AñoMes].&amp;[" &amp; TEXT(L$6,"yyyymm") &amp; "]",
"[Base].[Metrica]",
"[Base].[Metrica].&amp;[" &amp; $A8 &amp; "]",
"[Base].[SEGMENTO_DESCRIP]",
"[Base].[SEGMENTO_DESCRIP].&amp;[" &amp; $C$6 &amp; "]",
"[Base].[SITUACION]",
"[Base].[SITUACION].&amp;[" &amp; $C8 &amp; "]"
),0)/1000</f>
        <v>81442.128693780003</v>
      </c>
      <c r="M8" s="8">
        <f>IFERROR(
GETPIVOTDATA(
"[Base].[Importe]",
TDinamica_R!$A$5,
"[Calendario].[AñoMes]",
"[Calendario].[AñoMes].&amp;[" &amp; TEXT(M$6,"yyyymm") &amp; "]",
"[Base].[Metrica]",
"[Base].[Metrica].&amp;[" &amp; $A8 &amp; "]",
"[Base].[SEGMENTO_DESCRIP]",
"[Base].[SEGMENTO_DESCRIP].&amp;[" &amp; $C$6 &amp; "]",
"[Base].[SITUACION]",
"[Base].[SITUACION].&amp;[" &amp; $C8 &amp; "]"
),0)/1000</f>
        <v>80879.649300480014</v>
      </c>
      <c r="N8" s="8">
        <f>IFERROR(
GETPIVOTDATA(
"[Base].[Importe]",
TDinamica_R!$A$5,
"[Calendario].[AñoMes]",
"[Calendario].[AñoMes].&amp;[" &amp; TEXT(N$6,"yyyymm") &amp; "]",
"[Base].[Metrica]",
"[Base].[Metrica].&amp;[" &amp; $A8 &amp; "]",
"[Base].[SEGMENTO_DESCRIP]",
"[Base].[SEGMENTO_DESCRIP].&amp;[" &amp; $C$6 &amp; "]",
"[Base].[SITUACION]",
"[Base].[SITUACION].&amp;[" &amp; $C8 &amp; "]"
),0)/1000</f>
        <v>80443.833831199998</v>
      </c>
      <c r="O8" s="8">
        <f>IFERROR(
GETPIVOTDATA(
"[Base].[Importe]",
TDinamica_R!$A$5,
"[Calendario].[AñoMes]",
"[Calendario].[AñoMes].&amp;[" &amp; TEXT(O$6,"yyyymm") &amp; "]",
"[Base].[Metrica]",
"[Base].[Metrica].&amp;[" &amp; $A8 &amp; "]",
"[Base].[SEGMENTO_DESCRIP]",
"[Base].[SEGMENTO_DESCRIP].&amp;[" &amp; $C$6 &amp; "]",
"[Base].[SITUACION]",
"[Base].[SITUACION].&amp;[" &amp; $C8 &amp; "]"
),0)/1000</f>
        <v>79882.472722919993</v>
      </c>
      <c r="P8" s="8">
        <f>IFERROR(
GETPIVOTDATA(
"[Base].[Importe]",
TDinamica_R!$A$5,
"[Calendario].[AñoMes]",
"[Calendario].[AñoMes].&amp;[" &amp; TEXT(P$6,"yyyymm") &amp; "]",
"[Base].[Metrica]",
"[Base].[Metrica].&amp;[" &amp; $A8 &amp; "]",
"[Base].[SEGMENTO_DESCRIP]",
"[Base].[SEGMENTO_DESCRIP].&amp;[" &amp; $C$6 &amp; "]",
"[Base].[SITUACION]",
"[Base].[SITUACION].&amp;[" &amp; $C8 &amp; "]"
),0)/1000</f>
        <v>79932.97874359999</v>
      </c>
      <c r="Q8" s="8">
        <f>IFERROR(
GETPIVOTDATA(
"[Base].[Importe]",
TDinamica_R!$A$5,
"[Calendario].[AñoMes]",
"[Calendario].[AñoMes].&amp;[" &amp; TEXT(Q$6,"yyyymm") &amp; "]",
"[Base].[Metrica]",
"[Base].[Metrica].&amp;[" &amp; $A8 &amp; "]",
"[Base].[SEGMENTO_DESCRIP]",
"[Base].[SEGMENTO_DESCRIP].&amp;[" &amp; $C$6 &amp; "]",
"[Base].[SITUACION]",
"[Base].[SITUACION].&amp;[" &amp; $C8 &amp; "]"
),0)/1000</f>
        <v>80704.187474199993</v>
      </c>
      <c r="R8" s="8">
        <f>IFERROR(
GETPIVOTDATA(
"[Base].[Importe]",
TDinamica_R!$A$5,
"[Calendario].[AñoMes]",
"[Calendario].[AñoMes].&amp;[" &amp; TEXT(R$6,"yyyymm") &amp; "]",
"[Base].[Metrica]",
"[Base].[Metrica].&amp;[" &amp; $A8 &amp; "]",
"[Base].[SEGMENTO_DESCRIP]",
"[Base].[SEGMENTO_DESCRIP].&amp;[" &amp; $C$6 &amp; "]",
"[Base].[SITUACION]",
"[Base].[SITUACION].&amp;[" &amp; $C8 &amp; "]"
),0)/1000</f>
        <v>81352.284215320004</v>
      </c>
      <c r="S8" s="8">
        <f>IFERROR(
GETPIVOTDATA(
"[Base].[Importe]",
TDinamica_R!$A$5,
"[Calendario].[AñoMes]",
"[Calendario].[AñoMes].&amp;[" &amp; TEXT(S$6,"yyyymm") &amp; "]",
"[Base].[Metrica]",
"[Base].[Metrica].&amp;[" &amp; $A8 &amp; "]",
"[Base].[SEGMENTO_DESCRIP]",
"[Base].[SEGMENTO_DESCRIP].&amp;[" &amp; $C$6 &amp; "]",
"[Base].[SITUACION]",
"[Base].[SITUACION].&amp;[" &amp; $C8 &amp; "]"
),0)/1000</f>
        <v>80333.071339720002</v>
      </c>
      <c r="T8" s="8">
        <f>IFERROR(
GETPIVOTDATA(
"[Base].[Importe]",
TDinamica_R!$A$5,
"[Calendario].[AñoMes]",
"[Calendario].[AñoMes].&amp;[" &amp; TEXT(T$6,"yyyymm") &amp; "]",
"[Base].[Metrica]",
"[Base].[Metrica].&amp;[" &amp; $A8 &amp; "]",
"[Base].[SEGMENTO_DESCRIP]",
"[Base].[SEGMENTO_DESCRIP].&amp;[" &amp; $C$6 &amp; "]",
"[Base].[SITUACION]",
"[Base].[SITUACION].&amp;[" &amp; $C8 &amp; "]"
),0)/1000</f>
        <v>80695.427319999988</v>
      </c>
      <c r="U8" s="8">
        <f>IFERROR(
GETPIVOTDATA(
"[Base].[Importe]",
TDinamica_R!$A$5,
"[Calendario].[AñoMes]",
"[Calendario].[AñoMes].&amp;[" &amp; TEXT(U$6,"yyyymm") &amp; "]",
"[Base].[Metrica]",
"[Base].[Metrica].&amp;[" &amp; $A8 &amp; "]",
"[Base].[SEGMENTO_DESCRIP]",
"[Base].[SEGMENTO_DESCRIP].&amp;[" &amp; $C$6 &amp; "]",
"[Base].[SITUACION]",
"[Base].[SITUACION].&amp;[" &amp; $C8 &amp; "]"
),0)/1000</f>
        <v>80095.532800000001</v>
      </c>
      <c r="V8" s="8">
        <f>IFERROR(
GETPIVOTDATA(
"[Base].[Importe]",
TDinamica_R!$A$5,
"[Calendario].[AñoMes]",
"[Calendario].[AñoMes].&amp;[" &amp; TEXT(V$6,"yyyymm") &amp; "]",
"[Base].[Metrica]",
"[Base].[Metrica].&amp;[" &amp; $A8 &amp; "]",
"[Base].[SEGMENTO_DESCRIP]",
"[Base].[SEGMENTO_DESCRIP].&amp;[" &amp; $C$6 &amp; "]",
"[Base].[SITUACION]",
"[Base].[SITUACION].&amp;[" &amp; $C8 &amp; "]"
),0)/1000</f>
        <v>82537.040061499996</v>
      </c>
      <c r="W8" s="8">
        <f>IFERROR(
GETPIVOTDATA(
"[Base].[Importe]",
TDinamica_R!$A$5,
"[Calendario].[AñoMes]",
"[Calendario].[AñoMes].&amp;[" &amp; TEXT(W$6,"yyyymm") &amp; "]",
"[Base].[Metrica]",
"[Base].[Metrica].&amp;[" &amp; $A8 &amp; "]",
"[Base].[SEGMENTO_DESCRIP]",
"[Base].[SEGMENTO_DESCRIP].&amp;[" &amp; $C$6 &amp; "]",
"[Base].[SITUACION]",
"[Base].[SITUACION].&amp;[" &amp; $C8 &amp; "]"
),0)/1000</f>
        <v>83531.354023999986</v>
      </c>
      <c r="X8" s="8">
        <f>IFERROR(
GETPIVOTDATA(
"[Base].[Importe]",
TDinamica_R!$A$5,
"[Calendario].[AñoMes]",
"[Calendario].[AñoMes].&amp;[" &amp; TEXT(X$6,"yyyymm") &amp; "]",
"[Base].[Metrica]",
"[Base].[Metrica].&amp;[" &amp; $A8 &amp; "]",
"[Base].[SEGMENTO_DESCRIP]",
"[Base].[SEGMENTO_DESCRIP].&amp;[" &amp; $C$6 &amp; "]",
"[Base].[SITUACION]",
"[Base].[SITUACION].&amp;[" &amp; $C8 &amp; "]"
),0)/1000</f>
        <v>85622.870939100001</v>
      </c>
      <c r="Y8" s="8">
        <f>IFERROR(
GETPIVOTDATA(
"[Base].[Importe]",
TDinamica_R!$A$5,
"[Calendario].[AñoMes]",
"[Calendario].[AñoMes].&amp;[" &amp; TEXT(Y$6,"yyyymm") &amp; "]",
"[Base].[Metrica]",
"[Base].[Metrica].&amp;[" &amp; $A8 &amp; "]",
"[Base].[SEGMENTO_DESCRIP]",
"[Base].[SEGMENTO_DESCRIP].&amp;[" &amp; $C$6 &amp; "]",
"[Base].[SITUACION]",
"[Base].[SITUACION].&amp;[" &amp; $C8 &amp; "]"
),0)/1000</f>
        <v>86548.652166899992</v>
      </c>
      <c r="Z8" s="8">
        <f>IFERROR(
GETPIVOTDATA(
"[Base].[Importe]",
TDinamica_R!$A$5,
"[Calendario].[AñoMes]",
"[Calendario].[AñoMes].&amp;[" &amp; TEXT(Z$6,"yyyymm") &amp; "]",
"[Base].[Metrica]",
"[Base].[Metrica].&amp;[" &amp; $A8 &amp; "]",
"[Base].[SEGMENTO_DESCRIP]",
"[Base].[SEGMENTO_DESCRIP].&amp;[" &amp; $C$6 &amp; "]",
"[Base].[SITUACION]",
"[Base].[SITUACION].&amp;[" &amp; $C8 &amp; "]"
),0)/1000</f>
        <v>83837.579678540002</v>
      </c>
      <c r="AA8" s="8">
        <f>IFERROR(
GETPIVOTDATA(
"[Base].[Importe]",
TDinamica_R!$A$5,
"[Calendario].[AñoMes]",
"[Calendario].[AñoMes].&amp;[" &amp; TEXT(AA$6,"yyyymm") &amp; "]",
"[Base].[Metrica]",
"[Base].[Metrica].&amp;[" &amp; $A8 &amp; "]",
"[Base].[SEGMENTO_DESCRIP]",
"[Base].[SEGMENTO_DESCRIP].&amp;[" &amp; $C$6 &amp; "]",
"[Base].[SITUACION]",
"[Base].[SITUACION].&amp;[" &amp; $C8 &amp; "]"
),0)/1000</f>
        <v>83034.340192399992</v>
      </c>
      <c r="AB8" s="8">
        <f>IFERROR(
GETPIVOTDATA(
"[Base].[Importe]",
TDinamica_R!$A$5,
"[Calendario].[AñoMes]",
"[Calendario].[AñoMes].&amp;[" &amp; TEXT(AB$6,"yyyymm") &amp; "]",
"[Base].[Metrica]",
"[Base].[Metrica].&amp;[" &amp; $A8 &amp; "]",
"[Base].[SEGMENTO_DESCRIP]",
"[Base].[SEGMENTO_DESCRIP].&amp;[" &amp; $C$6 &amp; "]",
"[Base].[SITUACION]",
"[Base].[SITUACION].&amp;[" &amp; $C8 &amp; "]"
),0)/1000</f>
        <v>82896.616451499998</v>
      </c>
      <c r="AC8" s="8">
        <f>IFERROR(
GETPIVOTDATA(
"[Base].[Importe]",
TDinamica_R!$A$5,
"[Calendario].[AñoMes]",
"[Calendario].[AñoMes].&amp;[" &amp; TEXT(AC$6,"yyyymm") &amp; "]",
"[Base].[Metrica]",
"[Base].[Metrica].&amp;[" &amp; $A8 &amp; "]",
"[Base].[SEGMENTO_DESCRIP]",
"[Base].[SEGMENTO_DESCRIP].&amp;[" &amp; $C$6 &amp; "]",
"[Base].[SITUACION]",
"[Base].[SITUACION].&amp;[" &amp; $C8 &amp; "]"
),0)/1000</f>
        <v>83565.441443399992</v>
      </c>
      <c r="AD8" s="8">
        <f>IFERROR(
GETPIVOTDATA(
"[Base].[Importe]",
TDinamica_R!$A$5,
"[Calendario].[AñoMes]",
"[Calendario].[AñoMes].&amp;[" &amp; TEXT(AD$6,"yyyymm") &amp; "]",
"[Base].[Metrica]",
"[Base].[Metrica].&amp;[" &amp; $A8 &amp; "]",
"[Base].[SEGMENTO_DESCRIP]",
"[Base].[SEGMENTO_DESCRIP].&amp;[" &amp; $C$6 &amp; "]",
"[Base].[SITUACION]",
"[Base].[SITUACION].&amp;[" &amp; $C8 &amp; "]"
),0)/1000</f>
        <v>85422.793203599998</v>
      </c>
      <c r="AE8" s="8">
        <f>IFERROR(
GETPIVOTDATA(
"[Base].[Importe]",
TDinamica_R!$A$5,
"[Calendario].[AñoMes]",
"[Calendario].[AñoMes].&amp;[" &amp; TEXT(AE$6,"yyyymm") &amp; "]",
"[Base].[Metrica]",
"[Base].[Metrica].&amp;[" &amp; $A8 &amp; "]",
"[Base].[SEGMENTO_DESCRIP]",
"[Base].[SEGMENTO_DESCRIP].&amp;[" &amp; $C$6 &amp; "]",
"[Base].[SITUACION]",
"[Base].[SITUACION].&amp;[" &amp; $C8 &amp; "]"
),0)/1000</f>
        <v>83124.252455499998</v>
      </c>
      <c r="AF8" s="8">
        <f>IFERROR(
GETPIVOTDATA(
"[Base].[Importe]",
TDinamica_R!$A$5,
"[Calendario].[AñoMes]",
"[Calendario].[AñoMes].&amp;[" &amp; TEXT(AF$6,"yyyymm") &amp; "]",
"[Base].[Metrica]",
"[Base].[Metrica].&amp;[" &amp; $A8 &amp; "]",
"[Base].[SEGMENTO_DESCRIP]",
"[Base].[SEGMENTO_DESCRIP].&amp;[" &amp; $C$6 &amp; "]",
"[Base].[SITUACION]",
"[Base].[SITUACION].&amp;[" &amp; $C8 &amp; "]"
),0)/1000</f>
        <v>83198.040873999998</v>
      </c>
      <c r="AG8" s="8">
        <f>IFERROR(
GETPIVOTDATA(
"[Base].[Importe]",
TDinamica_R!$A$5,
"[Calendario].[AñoMes]",
"[Calendario].[AñoMes].&amp;[" &amp; TEXT(AG$6,"yyyymm") &amp; "]",
"[Base].[Metrica]",
"[Base].[Metrica].&amp;[" &amp; $A8 &amp; "]",
"[Base].[SEGMENTO_DESCRIP]",
"[Base].[SEGMENTO_DESCRIP].&amp;[" &amp; $C$6 &amp; "]",
"[Base].[SITUACION]",
"[Base].[SITUACION].&amp;[" &amp; $C8 &amp; "]"
),0)/1000</f>
        <v>84900.913146400009</v>
      </c>
      <c r="AH8" s="8">
        <f>IFERROR(
GETPIVOTDATA(
"[Base].[Importe]",
TDinamica_R!$A$5,
"[Calendario].[AñoMes]",
"[Calendario].[AñoMes].&amp;[" &amp; TEXT(AH$6,"yyyymm") &amp; "]",
"[Base].[Metrica]",
"[Base].[Metrica].&amp;[" &amp; $A8 &amp; "]",
"[Base].[SEGMENTO_DESCRIP]",
"[Base].[SEGMENTO_DESCRIP].&amp;[" &amp; $C$6 &amp; "]",
"[Base].[SITUACION]",
"[Base].[SITUACION].&amp;[" &amp; $C8 &amp; "]"
),0)/1000</f>
        <v>83806.246668500011</v>
      </c>
      <c r="AI8" s="8">
        <f>IFERROR(
GETPIVOTDATA(
"[Base].[Importe]",
TDinamica_R!$A$5,
"[Calendario].[AñoMes]",
"[Calendario].[AñoMes].&amp;[" &amp; TEXT(AI$6,"yyyymm") &amp; "]",
"[Base].[Metrica]",
"[Base].[Metrica].&amp;[" &amp; $A8 &amp; "]",
"[Base].[SEGMENTO_DESCRIP]",
"[Base].[SEGMENTO_DESCRIP].&amp;[" &amp; $C$6 &amp; "]",
"[Base].[SITUACION]",
"[Base].[SITUACION].&amp;[" &amp; $C8 &amp; "]"
),0)/1000</f>
        <v>83244.190291000006</v>
      </c>
      <c r="AJ8" s="8">
        <f>IFERROR(
GETPIVOTDATA(
"[Base].[Importe]",
TDinamica_R!$A$5,
"[Calendario].[AñoMes]",
"[Calendario].[AñoMes].&amp;[" &amp; TEXT(AJ$6,"yyyymm") &amp; "]",
"[Base].[Metrica]",
"[Base].[Metrica].&amp;[" &amp; $A8 &amp; "]",
"[Base].[SEGMENTO_DESCRIP]",
"[Base].[SEGMENTO_DESCRIP].&amp;[" &amp; $C$6 &amp; "]",
"[Base].[SITUACION]",
"[Base].[SITUACION].&amp;[" &amp; $C8 &amp; "]"
),0)/1000</f>
        <v>82216.341921400002</v>
      </c>
      <c r="AK8" s="8">
        <f>IFERROR(
GETPIVOTDATA(
"[Base].[Importe]",
TDinamica_R!$A$5,
"[Calendario].[AñoMes]",
"[Calendario].[AñoMes].&amp;[" &amp; TEXT(AK$6,"yyyymm") &amp; "]",
"[Base].[Metrica]",
"[Base].[Metrica].&amp;[" &amp; $A8 &amp; "]",
"[Base].[SEGMENTO_DESCRIP]",
"[Base].[SEGMENTO_DESCRIP].&amp;[" &amp; $C$6 &amp; "]",
"[Base].[SITUACION]",
"[Base].[SITUACION].&amp;[" &amp; $C8 &amp; "]"
),0)/1000</f>
        <v>82399.034023800006</v>
      </c>
      <c r="AL8" s="8">
        <f>IFERROR(
GETPIVOTDATA(
"[Base].[Importe]",
TDinamica_R!$A$5,
"[Calendario].[AñoMes]",
"[Calendario].[AñoMes].&amp;[" &amp; TEXT(AL$6,"yyyymm") &amp; "]",
"[Base].[Metrica]",
"[Base].[Metrica].&amp;[" &amp; $A8 &amp; "]",
"[Base].[SEGMENTO_DESCRIP]",
"[Base].[SEGMENTO_DESCRIP].&amp;[" &amp; $C$6 &amp; "]",
"[Base].[SITUACION]",
"[Base].[SITUACION].&amp;[" &amp; $C8 &amp; "]"
),0)/1000</f>
        <v>81790.204317600001</v>
      </c>
      <c r="AM8" s="8">
        <f>IFERROR(
GETPIVOTDATA(
"[Base].[Importe]",
TDinamica_R!$A$5,
"[Calendario].[AñoMes]",
"[Calendario].[AñoMes].&amp;[" &amp; TEXT(AM$6,"yyyymm") &amp; "]",
"[Base].[Metrica]",
"[Base].[Metrica].&amp;[" &amp; $A8 &amp; "]",
"[Base].[SEGMENTO_DESCRIP]",
"[Base].[SEGMENTO_DESCRIP].&amp;[" &amp; $C$6 &amp; "]",
"[Base].[SITUACION]",
"[Base].[SITUACION].&amp;[" &amp; $C8 &amp; "]"
),0)/1000</f>
        <v>81397.338183</v>
      </c>
      <c r="AN8" s="8">
        <f>IFERROR(
GETPIVOTDATA(
"[Base].[Importe]",
TDinamica_R!$A$5,
"[Calendario].[AñoMes]",
"[Calendario].[AñoMes].&amp;[" &amp; TEXT(AN$6,"yyyymm") &amp; "]",
"[Base].[Metrica]",
"[Base].[Metrica].&amp;[" &amp; $A8 &amp; "]",
"[Base].[SEGMENTO_DESCRIP]",
"[Base].[SEGMENTO_DESCRIP].&amp;[" &amp; $C$6 &amp; "]",
"[Base].[SITUACION]",
"[Base].[SITUACION].&amp;[" &amp; $C8 &amp; "]"
),0)/1000</f>
        <v>81945.19</v>
      </c>
      <c r="AO8" s="8">
        <f>IFERROR(
GETPIVOTDATA(
"[Base].[Importe]",
TDinamica_R!$A$5,
"[Calendario].[AñoMes]",
"[Calendario].[AñoMes].&amp;[" &amp; TEXT(AO$6,"yyyymm") &amp; "]",
"[Base].[Metrica]",
"[Base].[Metrica].&amp;[" &amp; $A8 &amp; "]",
"[Base].[SEGMENTO_DESCRIP]",
"[Base].[SEGMENTO_DESCRIP].&amp;[" &amp; $C$6 &amp; "]",
"[Base].[SITUACION]",
"[Base].[SITUACION].&amp;[" &amp; $C8 &amp; "]"
),0)/1000</f>
        <v>82735.759999999995</v>
      </c>
      <c r="AP8" s="8">
        <f>IFERROR(
GETPIVOTDATA(
"[Base].[Importe]",
TDinamica_R!$A$5,
"[Calendario].[AñoMes]",
"[Calendario].[AñoMes].&amp;[" &amp; TEXT(AP$6,"yyyymm") &amp; "]",
"[Base].[Metrica]",
"[Base].[Metrica].&amp;[" &amp; $A8 &amp; "]",
"[Base].[SEGMENTO_DESCRIP]",
"[Base].[SEGMENTO_DESCRIP].&amp;[" &amp; $C$6 &amp; "]",
"[Base].[SITUACION]",
"[Base].[SITUACION].&amp;[" &amp; $C8 &amp; "]"
),0)/1000</f>
        <v>83370.240000000005</v>
      </c>
      <c r="AQ8" s="8">
        <f>IFERROR(
GETPIVOTDATA(
"[Base].[Importe]",
TDinamica_R!$A$5,
"[Calendario].[AñoMes]",
"[Calendario].[AñoMes].&amp;[" &amp; TEXT(AQ$6,"yyyymm") &amp; "]",
"[Base].[Metrica]",
"[Base].[Metrica].&amp;[" &amp; $A8 &amp; "]",
"[Base].[SEGMENTO_DESCRIP]",
"[Base].[SEGMENTO_DESCRIP].&amp;[" &amp; $C$6 &amp; "]",
"[Base].[SITUACION]",
"[Base].[SITUACION].&amp;[" &amp; $C8 &amp; "]"
),0)/1000</f>
        <v>83636.9743208</v>
      </c>
      <c r="AR8" s="8">
        <f>IFERROR(
GETPIVOTDATA(
"[Base].[Importe]",
TDinamica_R!$A$5,
"[Calendario].[AñoMes]",
"[Calendario].[AñoMes].&amp;[" &amp; TEXT(AR$6,"yyyymm") &amp; "]",
"[Base].[Metrica]",
"[Base].[Metrica].&amp;[" &amp; $A8 &amp; "]",
"[Base].[SEGMENTO_DESCRIP]",
"[Base].[SEGMENTO_DESCRIP].&amp;[" &amp; $C$6 &amp; "]",
"[Base].[SITUACION]",
"[Base].[SITUACION].&amp;[" &amp; $C8 &amp; "]"
),0)/1000</f>
        <v>85289.818515659979</v>
      </c>
      <c r="AS8" s="8">
        <f>IFERROR(
GETPIVOTDATA(
"[Base].[Importe]",
TDinamica_R!$A$5,
"[Calendario].[AñoMes]",
"[Calendario].[AñoMes].&amp;[" &amp; TEXT(AS$6,"yyyymm") &amp; "]",
"[Base].[Metrica]",
"[Base].[Metrica].&amp;[" &amp; $A8 &amp; "]",
"[Base].[SEGMENTO_DESCRIP]",
"[Base].[SEGMENTO_DESCRIP].&amp;[" &amp; $C$6 &amp; "]",
"[Base].[SITUACION]",
"[Base].[SITUACION].&amp;[" &amp; $C8 &amp; "]"
),0)/1000</f>
        <v>88563.948317500035</v>
      </c>
      <c r="AT8" s="8">
        <f>IFERROR(
GETPIVOTDATA(
"[Base].[Importe]",
TDinamica_R!$A$5,
"[Calendario].[AñoMes]",
"[Calendario].[AñoMes].&amp;[" &amp; TEXT(AT$6,"yyyymm")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U8" s="8">
        <f>IFERROR(
GETPIVOTDATA(
"[Base].[Importe]",
TDinamica_R!$A$5,
"[Calendario].[AñoMes]",
"[Calendario].[AñoMes].&amp;[" &amp; TEXT(AU$6,"yyyymm")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V8" s="8">
        <f>IFERROR(
GETPIVOTDATA(
"[Base].[Importe]",
TDinamica_R!$A$5,
"[Calendario].[AñoMes]",
"[Calendario].[AñoMes].&amp;[" &amp; TEXT(AV$6,"yyyymm")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W8" s="8">
        <f>IFERROR(
GETPIVOTDATA(
"[Base].[Importe]",
TDinamica_R!$A$5,
"[Calendario].[AñoMes]",
"[Calendario].[AñoMes].&amp;[" &amp; TEXT(AW$6,"yyyymm")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X8" s="8">
        <f>IFERROR(
GETPIVOTDATA(
"[Base].[Importe]",
TDinamica_R!$A$5,
"[Calendario].[AñoMes]",
"[Calendario].[AñoMes].&amp;[" &amp; TEXT(AX$6,"yyyymm")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Y8" s="8">
        <f>IFERROR(
GETPIVOTDATA(
"[Base].[Importe]",
TDinamica_R!$A$5,
"[Calendario].[AñoMes]",
"[Calendario].[AñoMes].&amp;[" &amp; TEXT(AY$6,"yyyymm")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Z8" s="8">
        <f>IFERROR(
GETPIVOTDATA(
"[BASE_CONVE_PPTO].[Importe]",
TDinamica_P!$A$5,
"[BASE_CONVE_PPTO].[Periodo]",
"[BASE_CONVE_PPTO].[Periodo].&amp;[" &amp; TEXT(AZ$6,"yyyymm")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87158.051497206368</v>
      </c>
      <c r="BA8" s="8">
        <f>IFERROR(
GETPIVOTDATA(
"[BASE_CONVE_PPTO].[Importe]",
TDinamica_P!$A$5,
"[BASE_CONVE_PPTO].[Periodo]",
"[BASE_CONVE_PPTO].[Periodo].&amp;[" &amp; TEXT(BA$6,"yyyymm")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88807.920600257858</v>
      </c>
      <c r="BB8" s="8">
        <f>IFERROR(
GETPIVOTDATA(
"[BASE_CONVE_PPTO].[Importe]",
TDinamica_P!$A$5,
"[BASE_CONVE_PPTO].[Periodo]",
"[BASE_CONVE_PPTO].[Periodo].&amp;[" &amp; TEXT(BB$6,"yyyymm")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90913.976544652964</v>
      </c>
      <c r="BC8" s="8">
        <f>IFERROR(
GETPIVOTDATA(
"[BASE_CONVE_PPTO].[Importe]",
TDinamica_P!$A$5,
"[BASE_CONVE_PPTO].[Periodo]",
"[BASE_CONVE_PPTO].[Periodo].&amp;[" &amp; TEXT(BC$6,"yyyymm")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92529.421192774622</v>
      </c>
      <c r="BD8" s="8">
        <f>IFERROR(
GETPIVOTDATA(
"[BASE_CONVE_PPTO].[Importe]",
TDinamica_P!$A$5,
"[BASE_CONVE_PPTO].[Periodo]",
"[BASE_CONVE_PPTO].[Periodo].&amp;[" &amp; TEXT(BD$6,"yyyymm")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95059.645185662361</v>
      </c>
      <c r="BE8" s="8">
        <f>IFERROR(
GETPIVOTDATA(
"[BASE_CONVE_PPTO].[Importe]",
TDinamica_P!$A$5,
"[BASE_CONVE_PPTO].[Periodo]",
"[BASE_CONVE_PPTO].[Periodo].&amp;[" &amp; TEXT(BE$6,"yyyymm")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97729.104937161101</v>
      </c>
      <c r="BF8" s="8">
        <f>IFERROR(
GETPIVOTDATA(
"[BASE_CONVE_PPTO].[Importe]",
TDinamica_P!$A$5,
"[BASE_CONVE_PPTO].[Periodo]",
"[BASE_CONVE_PPTO].[Periodo].&amp;[" &amp; TEXT(BF$6,"yyyymm")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100423.09238732366</v>
      </c>
      <c r="BG8" s="8">
        <f>IFERROR(
GETPIVOTDATA(
"[BASE_CONVE_PPTO].[Importe]",
TDinamica_P!$A$5,
"[BASE_CONVE_PPTO].[Periodo]",
"[BASE_CONVE_PPTO].[Periodo].&amp;[" &amp; TEXT(BG$6,"yyyymm")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103126.29521002123</v>
      </c>
      <c r="BH8" s="8">
        <f>IFERROR(
GETPIVOTDATA(
"[BASE_CONVE_PPTO].[Importe]",
TDinamica_P!$A$5,
"[BASE_CONVE_PPTO].[Periodo]",
"[BASE_CONVE_PPTO].[Periodo].&amp;[" &amp; TEXT(BH$6,"yyyymm")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108503.48300945798</v>
      </c>
      <c r="BI8" s="8">
        <f>IFERROR(
GETPIVOTDATA(
"[BASE_CONVE_PPTO].[Importe]",
TDinamica_P!$A$5,
"[BASE_CONVE_PPTO].[Periodo]",
"[BASE_CONVE_PPTO].[Periodo].&amp;[" &amp; TEXT(BI$6,"yyyymm")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113428.13370578703</v>
      </c>
      <c r="BJ8" s="8">
        <f>IFERROR(
GETPIVOTDATA(
"[BASE_CONVE_PPTO].[Importe]",
TDinamica_P!$A$5,
"[BASE_CONVE_PPTO].[Periodo]",
"[BASE_CONVE_PPTO].[Periodo].&amp;[" &amp; TEXT(BJ$6,"yyyymm")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118381.04422963518</v>
      </c>
      <c r="BK8" s="8">
        <f>IFERROR(
GETPIVOTDATA(
"[BASE_CONVE_PPTO].[Importe]",
TDinamica_P!$A$5,
"[BASE_CONVE_PPTO].[Periodo]",
"[BASE_CONVE_PPTO].[Periodo].&amp;[" &amp; TEXT(BK$6,"yyyymm")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122731.45292079706</v>
      </c>
      <c r="BO8" s="24">
        <f t="shared" ref="BO8:BO10" si="4">_xlfn.XLOOKUP(BO$6,$D$6:$BM$6,$D8:$BM8,,0,1)</f>
        <v>85289.818515659979</v>
      </c>
      <c r="BP8" s="24">
        <f>_xlfn.XLOOKUP(BP$6,$D$6:$BM$6,$D8:$BM8,,0,-1)</f>
        <v>95059.645185662361</v>
      </c>
      <c r="BQ8" s="24">
        <f t="shared" ref="BQ8:BT10" si="5">_xlfn.XLOOKUP(BQ$6,$D$6:$BM$6,$D8:$BM8,,0,1)</f>
        <v>83636.9743208</v>
      </c>
      <c r="BR8" s="24">
        <f t="shared" si="5"/>
        <v>83198.040873999998</v>
      </c>
      <c r="BS8" s="24">
        <f t="shared" si="5"/>
        <v>80695.427319999988</v>
      </c>
      <c r="BT8" s="24">
        <f t="shared" si="5"/>
        <v>77612.013729999991</v>
      </c>
    </row>
    <row r="9" spans="1:81" outlineLevel="1" x14ac:dyDescent="0.25">
      <c r="A9" s="11" t="s">
        <v>51</v>
      </c>
      <c r="C9" s="2" t="s">
        <v>1</v>
      </c>
      <c r="D9" s="8">
        <f>IFERROR(
GETPIVOTDATA(
"[Base].[Importe]",
TDinamica_R!$A$5,
"[Calendario].[AñoMes]",
"[Calendario].[AñoMes].&amp;[" &amp; TEXT(D$6,"yyyymm") &amp; "]",
"[Base].[Metrica]",
"[Base].[Metrica].&amp;[" &amp; $A9 &amp; "]",
"[Base].[SEGMENTO_DESCRIP]",
"[Base].[SEGMENTO_DESCRIP].&amp;[" &amp; $C$6 &amp; "]",
"[Base].[SITUACION]",
"[Base].[SITUACION].&amp;[" &amp; $C9 &amp; "]"
),0)/1000</f>
        <v>44.321190000000001</v>
      </c>
      <c r="E9" s="8">
        <f>IFERROR(
GETPIVOTDATA(
"[Base].[Importe]",
TDinamica_R!$A$5,
"[Calendario].[AñoMes]",
"[Calendario].[AñoMes].&amp;[" &amp; TEXT(E$6,"yyyymm") &amp; "]",
"[Base].[Metrica]",
"[Base].[Metrica].&amp;[" &amp; $A9 &amp; "]",
"[Base].[SEGMENTO_DESCRIP]",
"[Base].[SEGMENTO_DESCRIP].&amp;[" &amp; $C$6 &amp; "]",
"[Base].[SITUACION]",
"[Base].[SITUACION].&amp;[" &amp; $C9 &amp; "]"
),0)/1000</f>
        <v>43.554190000000006</v>
      </c>
      <c r="F9" s="8">
        <f>IFERROR(
GETPIVOTDATA(
"[Base].[Importe]",
TDinamica_R!$A$5,
"[Calendario].[AñoMes]",
"[Calendario].[AñoMes].&amp;[" &amp; TEXT(F$6,"yyyymm") &amp; "]",
"[Base].[Metrica]",
"[Base].[Metrica].&amp;[" &amp; $A9 &amp; "]",
"[Base].[SEGMENTO_DESCRIP]",
"[Base].[SEGMENTO_DESCRIP].&amp;[" &amp; $C$6 &amp; "]",
"[Base].[SITUACION]",
"[Base].[SITUACION].&amp;[" &amp; $C9 &amp; "]"
),0)/1000</f>
        <v>12.09023</v>
      </c>
      <c r="G9" s="8">
        <f>IFERROR(
GETPIVOTDATA(
"[Base].[Importe]",
TDinamica_R!$A$5,
"[Calendario].[AñoMes]",
"[Calendario].[AñoMes].&amp;[" &amp; TEXT(G$6,"yyyymm") &amp; "]",
"[Base].[Metrica]",
"[Base].[Metrica].&amp;[" &amp; $A9 &amp; "]",
"[Base].[SEGMENTO_DESCRIP]",
"[Base].[SEGMENTO_DESCRIP].&amp;[" &amp; $C$6 &amp; "]",
"[Base].[SITUACION]",
"[Base].[SITUACION].&amp;[" &amp; $C9 &amp; "]"
),0)/1000</f>
        <v>11.697329999999999</v>
      </c>
      <c r="H9" s="8">
        <f>IFERROR(
GETPIVOTDATA(
"[Base].[Importe]",
TDinamica_R!$A$5,
"[Calendario].[AñoMes]",
"[Calendario].[AñoMes].&amp;[" &amp; TEXT(H$6,"yyyymm") &amp; "]",
"[Base].[Metrica]",
"[Base].[Metrica].&amp;[" &amp; $A9 &amp; "]",
"[Base].[SEGMENTO_DESCRIP]",
"[Base].[SEGMENTO_DESCRIP].&amp;[" &amp; $C$6 &amp; "]",
"[Base].[SITUACION]",
"[Base].[SITUACION].&amp;[" &amp; $C9 &amp; "]"
),0)/1000</f>
        <v>11.26127</v>
      </c>
      <c r="I9" s="8">
        <f>IFERROR(
GETPIVOTDATA(
"[Base].[Importe]",
TDinamica_R!$A$5,
"[Calendario].[AñoMes]",
"[Calendario].[AñoMes].&amp;[" &amp; TEXT(I$6,"yyyymm") &amp; "]",
"[Base].[Metrica]",
"[Base].[Metrica].&amp;[" &amp; $A9 &amp; "]",
"[Base].[SEGMENTO_DESCRIP]",
"[Base].[SEGMENTO_DESCRIP].&amp;[" &amp; $C$6 &amp; "]",
"[Base].[SITUACION]",
"[Base].[SITUACION].&amp;[" &amp; $C9 &amp; "]"
),0)/1000</f>
        <v>10.848319999999999</v>
      </c>
      <c r="J9" s="8">
        <f>IFERROR(
GETPIVOTDATA(
"[Base].[Importe]",
TDinamica_R!$A$5,
"[Calendario].[AñoMes]",
"[Calendario].[AñoMes].&amp;[" &amp; TEXT(J$6,"yyyymm") &amp; "]",
"[Base].[Metrica]",
"[Base].[Metrica].&amp;[" &amp; $A9 &amp; "]",
"[Base].[SEGMENTO_DESCRIP]",
"[Base].[SEGMENTO_DESCRIP].&amp;[" &amp; $C$6 &amp; "]",
"[Base].[SITUACION]",
"[Base].[SITUACION].&amp;[" &amp; $C9 &amp; "]"
),0)/1000</f>
        <v>10.4346</v>
      </c>
      <c r="K9" s="8">
        <f>IFERROR(
GETPIVOTDATA(
"[Base].[Importe]",
TDinamica_R!$A$5,
"[Calendario].[AñoMes]",
"[Calendario].[AñoMes].&amp;[" &amp; TEXT(K$6,"yyyymm") &amp; "]",
"[Base].[Metrica]",
"[Base].[Metrica].&amp;[" &amp; $A9 &amp; "]",
"[Base].[SEGMENTO_DESCRIP]",
"[Base].[SEGMENTO_DESCRIP].&amp;[" &amp; $C$6 &amp; "]",
"[Base].[SITUACION]",
"[Base].[SITUACION].&amp;[" &amp; $C9 &amp; "]"
),0)/1000</f>
        <v>10.015540000000001</v>
      </c>
      <c r="L9" s="8">
        <f>IFERROR(
GETPIVOTDATA(
"[Base].[Importe]",
TDinamica_R!$A$5,
"[Calendario].[AñoMes]",
"[Calendario].[AñoMes].&amp;[" &amp; TEXT(L$6,"yyyymm") &amp; "]",
"[Base].[Metrica]",
"[Base].[Metrica].&amp;[" &amp; $A9 &amp; "]",
"[Base].[SEGMENTO_DESCRIP]",
"[Base].[SEGMENTO_DESCRIP].&amp;[" &amp; $C$6 &amp; "]",
"[Base].[SITUACION]",
"[Base].[SITUACION].&amp;[" &amp; $C9 &amp; "]"
),0)/1000</f>
        <v>9.5870300000000004</v>
      </c>
      <c r="M9" s="8">
        <f>IFERROR(
GETPIVOTDATA(
"[Base].[Importe]",
TDinamica_R!$A$5,
"[Calendario].[AñoMes]",
"[Calendario].[AñoMes].&amp;[" &amp; TEXT(M$6,"yyyymm") &amp; "]",
"[Base].[Metrica]",
"[Base].[Metrica].&amp;[" &amp; $A9 &amp; "]",
"[Base].[SEGMENTO_DESCRIP]",
"[Base].[SEGMENTO_DESCRIP].&amp;[" &amp; $C$6 &amp; "]",
"[Base].[SITUACION]",
"[Base].[SITUACION].&amp;[" &amp; $C9 &amp; "]"
),0)/1000</f>
        <v>9.157020000000001</v>
      </c>
      <c r="N9" s="8">
        <f>IFERROR(
GETPIVOTDATA(
"[Base].[Importe]",
TDinamica_R!$A$5,
"[Calendario].[AñoMes]",
"[Calendario].[AñoMes].&amp;[" &amp; TEXT(N$6,"yyyymm") &amp; "]",
"[Base].[Metrica]",
"[Base].[Metrica].&amp;[" &amp; $A9 &amp; "]",
"[Base].[SEGMENTO_DESCRIP]",
"[Base].[SEGMENTO_DESCRIP].&amp;[" &amp; $C$6 &amp; "]",
"[Base].[SITUACION]",
"[Base].[SITUACION].&amp;[" &amp; $C9 &amp; "]"
),0)/1000</f>
        <v>8.7177699999999998</v>
      </c>
      <c r="O9" s="8">
        <f>IFERROR(
GETPIVOTDATA(
"[Base].[Importe]",
TDinamica_R!$A$5,
"[Calendario].[AñoMes]",
"[Calendario].[AñoMes].&amp;[" &amp; TEXT(O$6,"yyyymm") &amp; "]",
"[Base].[Metrica]",
"[Base].[Metrica].&amp;[" &amp; $A9 &amp; "]",
"[Base].[SEGMENTO_DESCRIP]",
"[Base].[SEGMENTO_DESCRIP].&amp;[" &amp; $C$6 &amp; "]",
"[Base].[SITUACION]",
"[Base].[SITUACION].&amp;[" &amp; $C9 &amp; "]"
),0)/1000</f>
        <v>8.2765300000000011</v>
      </c>
      <c r="P9" s="8">
        <f>IFERROR(
GETPIVOTDATA(
"[Base].[Importe]",
TDinamica_R!$A$5,
"[Calendario].[AñoMes]",
"[Calendario].[AñoMes].&amp;[" &amp; TEXT(P$6,"yyyymm") &amp; "]",
"[Base].[Metrica]",
"[Base].[Metrica].&amp;[" &amp; $A9 &amp; "]",
"[Base].[SEGMENTO_DESCRIP]",
"[Base].[SEGMENTO_DESCRIP].&amp;[" &amp; $C$6 &amp; "]",
"[Base].[SITUACION]",
"[Base].[SITUACION].&amp;[" &amp; $C9 &amp; "]"
),0)/1000</f>
        <v>7.8295900000000005</v>
      </c>
      <c r="Q9" s="8">
        <f>IFERROR(
GETPIVOTDATA(
"[Base].[Importe]",
TDinamica_R!$A$5,
"[Calendario].[AñoMes]",
"[Calendario].[AñoMes].&amp;[" &amp; TEXT(Q$6,"yyyymm") &amp; "]",
"[Base].[Metrica]",
"[Base].[Metrica].&amp;[" &amp; $A9 &amp; "]",
"[Base].[SEGMENTO_DESCRIP]",
"[Base].[SEGMENTO_DESCRIP].&amp;[" &amp; $C$6 &amp; "]",
"[Base].[SITUACION]",
"[Base].[SITUACION].&amp;[" &amp; $C9 &amp; "]"
),0)/1000</f>
        <v>7.3706199999999997</v>
      </c>
      <c r="R9" s="8">
        <f>IFERROR(
GETPIVOTDATA(
"[Base].[Importe]",
TDinamica_R!$A$5,
"[Calendario].[AñoMes]",
"[Calendario].[AñoMes].&amp;[" &amp; TEXT(R$6,"yyyymm") &amp; "]",
"[Base].[Metrica]",
"[Base].[Metrica].&amp;[" &amp; $A9 &amp; "]",
"[Base].[SEGMENTO_DESCRIP]",
"[Base].[SEGMENTO_DESCRIP].&amp;[" &amp; $C$6 &amp; "]",
"[Base].[SITUACION]",
"[Base].[SITUACION].&amp;[" &amp; $C9 &amp; "]"
),0)/1000</f>
        <v>6.9119799999999998</v>
      </c>
      <c r="S9" s="8">
        <f>IFERROR(
GETPIVOTDATA(
"[Base].[Importe]",
TDinamica_R!$A$5,
"[Calendario].[AñoMes]",
"[Calendario].[AñoMes].&amp;[" &amp; TEXT(S$6,"yyyymm") &amp; "]",
"[Base].[Metrica]",
"[Base].[Metrica].&amp;[" &amp; $A9 &amp; "]",
"[Base].[SEGMENTO_DESCRIP]",
"[Base].[SEGMENTO_DESCRIP].&amp;[" &amp; $C$6 &amp; "]",
"[Base].[SITUACION]",
"[Base].[SITUACION].&amp;[" &amp; $C9 &amp; "]"
),0)/1000</f>
        <v>6.4446599999999998</v>
      </c>
      <c r="T9" s="8">
        <f>IFERROR(
GETPIVOTDATA(
"[Base].[Importe]",
TDinamica_R!$A$5,
"[Calendario].[AñoMes]",
"[Calendario].[AñoMes].&amp;[" &amp; TEXT(T$6,"yyyymm") &amp; "]",
"[Base].[Metrica]",
"[Base].[Metrica].&amp;[" &amp; $A9 &amp; "]",
"[Base].[SEGMENTO_DESCRIP]",
"[Base].[SEGMENTO_DESCRIP].&amp;[" &amp; $C$6 &amp; "]",
"[Base].[SITUACION]",
"[Base].[SITUACION].&amp;[" &amp; $C9 &amp; "]"
),0)/1000</f>
        <v>5.9740500000000001</v>
      </c>
      <c r="U9" s="8">
        <f>IFERROR(
GETPIVOTDATA(
"[Base].[Importe]",
TDinamica_R!$A$5,
"[Calendario].[AñoMes]",
"[Calendario].[AñoMes].&amp;[" &amp; TEXT(U$6,"yyyymm") &amp; "]",
"[Base].[Metrica]",
"[Base].[Metrica].&amp;[" &amp; $A9 &amp; "]",
"[Base].[SEGMENTO_DESCRIP]",
"[Base].[SEGMENTO_DESCRIP].&amp;[" &amp; $C$6 &amp; "]",
"[Base].[SITUACION]",
"[Base].[SITUACION].&amp;[" &amp; $C9 &amp; "]"
),0)/1000</f>
        <v>5.4950100000000006</v>
      </c>
      <c r="V9" s="8">
        <f>IFERROR(
GETPIVOTDATA(
"[Base].[Importe]",
TDinamica_R!$A$5,
"[Calendario].[AñoMes]",
"[Calendario].[AñoMes].&amp;[" &amp; TEXT(V$6,"yyyymm") &amp; "]",
"[Base].[Metrica]",
"[Base].[Metrica].&amp;[" &amp; $A9 &amp; "]",
"[Base].[SEGMENTO_DESCRIP]",
"[Base].[SEGMENTO_DESCRIP].&amp;[" &amp; $C$6 &amp; "]",
"[Base].[SITUACION]",
"[Base].[SITUACION].&amp;[" &amp; $C9 &amp; "]"
),0)/1000</f>
        <v>5.01213</v>
      </c>
      <c r="W9" s="8">
        <f>IFERROR(
GETPIVOTDATA(
"[Base].[Importe]",
TDinamica_R!$A$5,
"[Calendario].[AñoMes]",
"[Calendario].[AñoMes].&amp;[" &amp; TEXT(W$6,"yyyymm") &amp; "]",
"[Base].[Metrica]",
"[Base].[Metrica].&amp;[" &amp; $A9 &amp; "]",
"[Base].[SEGMENTO_DESCRIP]",
"[Base].[SEGMENTO_DESCRIP].&amp;[" &amp; $C$6 &amp; "]",
"[Base].[SITUACION]",
"[Base].[SITUACION].&amp;[" &amp; $C9 &amp; "]"
),0)/1000</f>
        <v>4.5230200000000007</v>
      </c>
      <c r="X9" s="8">
        <f>IFERROR(
GETPIVOTDATA(
"[Base].[Importe]",
TDinamica_R!$A$5,
"[Calendario].[AñoMes]",
"[Calendario].[AñoMes].&amp;[" &amp; TEXT(X$6,"yyyymm") &amp; "]",
"[Base].[Metrica]",
"[Base].[Metrica].&amp;[" &amp; $A9 &amp; "]",
"[Base].[SEGMENTO_DESCRIP]",
"[Base].[SEGMENTO_DESCRIP].&amp;[" &amp; $C$6 &amp; "]",
"[Base].[SITUACION]",
"[Base].[SITUACION].&amp;[" &amp; $C9 &amp; "]"
),0)/1000</f>
        <v>4.0258400000000005</v>
      </c>
      <c r="Y9" s="8">
        <f>IFERROR(
GETPIVOTDATA(
"[Base].[Importe]",
TDinamica_R!$A$5,
"[Calendario].[AñoMes]",
"[Calendario].[AñoMes].&amp;[" &amp; TEXT(Y$6,"yyyymm") &amp; "]",
"[Base].[Metrica]",
"[Base].[Metrica].&amp;[" &amp; $A9 &amp; "]",
"[Base].[SEGMENTO_DESCRIP]",
"[Base].[SEGMENTO_DESCRIP].&amp;[" &amp; $C$6 &amp; "]",
"[Base].[SITUACION]",
"[Base].[SITUACION].&amp;[" &amp; $C9 &amp; "]"
),0)/1000</f>
        <v>3.5239799999999999</v>
      </c>
      <c r="Z9" s="8">
        <f>IFERROR(
GETPIVOTDATA(
"[Base].[Importe]",
TDinamica_R!$A$5,
"[Calendario].[AñoMes]",
"[Calendario].[AñoMes].&amp;[" &amp; TEXT(Z$6,"yyyymm") &amp; "]",
"[Base].[Metrica]",
"[Base].[Metrica].&amp;[" &amp; $A9 &amp; "]",
"[Base].[SEGMENTO_DESCRIP]",
"[Base].[SEGMENTO_DESCRIP].&amp;[" &amp; $C$6 &amp; "]",
"[Base].[SITUACION]",
"[Base].[SITUACION].&amp;[" &amp; $C9 &amp; "]"
),0)/1000</f>
        <v>3.01431</v>
      </c>
      <c r="AA9" s="8">
        <f>IFERROR(
GETPIVOTDATA(
"[Base].[Importe]",
TDinamica_R!$A$5,
"[Calendario].[AñoMes]",
"[Calendario].[AñoMes].&amp;[" &amp; TEXT(AA$6,"yyyymm")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B9" s="8">
        <f>IFERROR(
GETPIVOTDATA(
"[Base].[Importe]",
TDinamica_R!$A$5,
"[Calendario].[AñoMes]",
"[Calendario].[AñoMes].&amp;[" &amp; TEXT(AB$6,"yyyymm")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C9" s="8">
        <f>IFERROR(
GETPIVOTDATA(
"[Base].[Importe]",
TDinamica_R!$A$5,
"[Calendario].[AñoMes]",
"[Calendario].[AñoMes].&amp;[" &amp; TEXT(AC$6,"yyyymm")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D9" s="8">
        <f>IFERROR(
GETPIVOTDATA(
"[Base].[Importe]",
TDinamica_R!$A$5,
"[Calendario].[AñoMes]",
"[Calendario].[AñoMes].&amp;[" &amp; TEXT(AD$6,"yyyymm")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E9" s="8">
        <f>IFERROR(
GETPIVOTDATA(
"[Base].[Importe]",
TDinamica_R!$A$5,
"[Calendario].[AñoMes]",
"[Calendario].[AñoMes].&amp;[" &amp; TEXT(AE$6,"yyyymm")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F9" s="8">
        <f>IFERROR(
GETPIVOTDATA(
"[Base].[Importe]",
TDinamica_R!$A$5,
"[Calendario].[AñoMes]",
"[Calendario].[AñoMes].&amp;[" &amp; TEXT(AF$6,"yyyymm")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G9" s="8">
        <f>IFERROR(
GETPIVOTDATA(
"[Base].[Importe]",
TDinamica_R!$A$5,
"[Calendario].[AñoMes]",
"[Calendario].[AñoMes].&amp;[" &amp; TEXT(AG$6,"yyyymm")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H9" s="8">
        <f>IFERROR(
GETPIVOTDATA(
"[Base].[Importe]",
TDinamica_R!$A$5,
"[Calendario].[AñoMes]",
"[Calendario].[AñoMes].&amp;[" &amp; TEXT(AH$6,"yyyymm")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I9" s="8">
        <f>IFERROR(
GETPIVOTDATA(
"[Base].[Importe]",
TDinamica_R!$A$5,
"[Calendario].[AñoMes]",
"[Calendario].[AñoMes].&amp;[" &amp; TEXT(AI$6,"yyyymm")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J9" s="8">
        <f>IFERROR(
GETPIVOTDATA(
"[Base].[Importe]",
TDinamica_R!$A$5,
"[Calendario].[AñoMes]",
"[Calendario].[AñoMes].&amp;[" &amp; TEXT(AJ$6,"yyyymm")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K9" s="8">
        <f>IFERROR(
GETPIVOTDATA(
"[Base].[Importe]",
TDinamica_R!$A$5,
"[Calendario].[AñoMes]",
"[Calendario].[AñoMes].&amp;[" &amp; TEXT(AK$6,"yyyymm")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L9" s="8">
        <f>IFERROR(
GETPIVOTDATA(
"[Base].[Importe]",
TDinamica_R!$A$5,
"[Calendario].[AñoMes]",
"[Calendario].[AñoMes].&amp;[" &amp; TEXT(AL$6,"yyyymm")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M9" s="8">
        <f>IFERROR(
GETPIVOTDATA(
"[Base].[Importe]",
TDinamica_R!$A$5,
"[Calendario].[AñoMes]",
"[Calendario].[AñoMes].&amp;[" &amp; TEXT(AM$6,"yyyymm")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N9" s="8">
        <f>IFERROR(
GETPIVOTDATA(
"[Base].[Importe]",
TDinamica_R!$A$5,
"[Calendario].[AñoMes]",
"[Calendario].[AñoMes].&amp;[" &amp; TEXT(AN$6,"yyyymm")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O9" s="8">
        <f>IFERROR(
GETPIVOTDATA(
"[Base].[Importe]",
TDinamica_R!$A$5,
"[Calendario].[AñoMes]",
"[Calendario].[AñoMes].&amp;[" &amp; TEXT(AO$6,"yyyymm")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P9" s="8">
        <f>IFERROR(
GETPIVOTDATA(
"[Base].[Importe]",
TDinamica_R!$A$5,
"[Calendario].[AñoMes]",
"[Calendario].[AñoMes].&amp;[" &amp; TEXT(AP$6,"yyyymm")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Q9" s="8">
        <f>IFERROR(
GETPIVOTDATA(
"[Base].[Importe]",
TDinamica_R!$A$5,
"[Calendario].[AñoMes]",
"[Calendario].[AñoMes].&amp;[" &amp; TEXT(AQ$6,"yyyymm")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R9" s="8">
        <f>IFERROR(
GETPIVOTDATA(
"[Base].[Importe]",
TDinamica_R!$A$5,
"[Calendario].[AñoMes]",
"[Calendario].[AñoMes].&amp;[" &amp; TEXT(AR$6,"yyyymm")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S9" s="8">
        <f>IFERROR(
GETPIVOTDATA(
"[Base].[Importe]",
TDinamica_R!$A$5,
"[Calendario].[AñoMes]",
"[Calendario].[AñoMes].&amp;[" &amp; TEXT(AS$6,"yyyymm")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T9" s="8">
        <f>IFERROR(
GETPIVOTDATA(
"[Base].[Importe]",
TDinamica_R!$A$5,
"[Calendario].[AñoMes]",
"[Calendario].[AñoMes].&amp;[" &amp; TEXT(AT$6,"yyyymm")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U9" s="8">
        <f>IFERROR(
GETPIVOTDATA(
"[Base].[Importe]",
TDinamica_R!$A$5,
"[Calendario].[AñoMes]",
"[Calendario].[AñoMes].&amp;[" &amp; TEXT(AU$6,"yyyymm")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V9" s="8">
        <f>IFERROR(
GETPIVOTDATA(
"[Base].[Importe]",
TDinamica_R!$A$5,
"[Calendario].[AñoMes]",
"[Calendario].[AñoMes].&amp;[" &amp; TEXT(AV$6,"yyyymm")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W9" s="8">
        <f>IFERROR(
GETPIVOTDATA(
"[Base].[Importe]",
TDinamica_R!$A$5,
"[Calendario].[AñoMes]",
"[Calendario].[AñoMes].&amp;[" &amp; TEXT(AW$6,"yyyymm")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X9" s="8">
        <f>IFERROR(
GETPIVOTDATA(
"[Base].[Importe]",
TDinamica_R!$A$5,
"[Calendario].[AñoMes]",
"[Calendario].[AñoMes].&amp;[" &amp; TEXT(AX$6,"yyyymm")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Y9" s="8">
        <f>IFERROR(
GETPIVOTDATA(
"[Base].[Importe]",
TDinamica_R!$A$5,
"[Calendario].[AñoMes]",
"[Calendario].[AñoMes].&amp;[" &amp; TEXT(AY$6,"yyyymm")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Z9" s="8">
        <f>IFERROR(
GETPIVOTDATA(
"[BASE_CONVE_PPTO].[Importe]",
TDinamica_P!$A$5,
"[BASE_CONVE_PPTO].[Periodo]",
"[BASE_CONVE_PPTO].[Periodo].&amp;[" &amp; TEXT(AZ$6,"yyyymm")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0</v>
      </c>
      <c r="BA9" s="8">
        <f>IFERROR(
GETPIVOTDATA(
"[BASE_CONVE_PPTO].[Importe]",
TDinamica_P!$A$5,
"[BASE_CONVE_PPTO].[Periodo]",
"[BASE_CONVE_PPTO].[Periodo].&amp;[" &amp; TEXT(BA$6,"yyyymm")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0</v>
      </c>
      <c r="BB9" s="8">
        <f>IFERROR(
GETPIVOTDATA(
"[BASE_CONVE_PPTO].[Importe]",
TDinamica_P!$A$5,
"[BASE_CONVE_PPTO].[Periodo]",
"[BASE_CONVE_PPTO].[Periodo].&amp;[" &amp; TEXT(BB$6,"yyyymm")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0</v>
      </c>
      <c r="BC9" s="8">
        <f>IFERROR(
GETPIVOTDATA(
"[BASE_CONVE_PPTO].[Importe]",
TDinamica_P!$A$5,
"[BASE_CONVE_PPTO].[Periodo]",
"[BASE_CONVE_PPTO].[Periodo].&amp;[" &amp; TEXT(BC$6,"yyyymm")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0</v>
      </c>
      <c r="BD9" s="8">
        <f>IFERROR(
GETPIVOTDATA(
"[BASE_CONVE_PPTO].[Importe]",
TDinamica_P!$A$5,
"[BASE_CONVE_PPTO].[Periodo]",
"[BASE_CONVE_PPTO].[Periodo].&amp;[" &amp; TEXT(BD$6,"yyyymm")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0</v>
      </c>
      <c r="BE9" s="8">
        <f>IFERROR(
GETPIVOTDATA(
"[BASE_CONVE_PPTO].[Importe]",
TDinamica_P!$A$5,
"[BASE_CONVE_PPTO].[Periodo]",
"[BASE_CONVE_PPTO].[Periodo].&amp;[" &amp; TEXT(BE$6,"yyyymm")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0</v>
      </c>
      <c r="BF9" s="8">
        <f>IFERROR(
GETPIVOTDATA(
"[BASE_CONVE_PPTO].[Importe]",
TDinamica_P!$A$5,
"[BASE_CONVE_PPTO].[Periodo]",
"[BASE_CONVE_PPTO].[Periodo].&amp;[" &amp; TEXT(BF$6,"yyyymm")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0</v>
      </c>
      <c r="BG9" s="8">
        <f>IFERROR(
GETPIVOTDATA(
"[BASE_CONVE_PPTO].[Importe]",
TDinamica_P!$A$5,
"[BASE_CONVE_PPTO].[Periodo]",
"[BASE_CONVE_PPTO].[Periodo].&amp;[" &amp; TEXT(BG$6,"yyyymm")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0</v>
      </c>
      <c r="BH9" s="8">
        <f>IFERROR(
GETPIVOTDATA(
"[BASE_CONVE_PPTO].[Importe]",
TDinamica_P!$A$5,
"[BASE_CONVE_PPTO].[Periodo]",
"[BASE_CONVE_PPTO].[Periodo].&amp;[" &amp; TEXT(BH$6,"yyyymm")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0</v>
      </c>
      <c r="BI9" s="8">
        <f>IFERROR(
GETPIVOTDATA(
"[BASE_CONVE_PPTO].[Importe]",
TDinamica_P!$A$5,
"[BASE_CONVE_PPTO].[Periodo]",
"[BASE_CONVE_PPTO].[Periodo].&amp;[" &amp; TEXT(BI$6,"yyyymm")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0</v>
      </c>
      <c r="BJ9" s="8">
        <f>IFERROR(
GETPIVOTDATA(
"[BASE_CONVE_PPTO].[Importe]",
TDinamica_P!$A$5,
"[BASE_CONVE_PPTO].[Periodo]",
"[BASE_CONVE_PPTO].[Periodo].&amp;[" &amp; TEXT(BJ$6,"yyyymm")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0</v>
      </c>
      <c r="BK9" s="8">
        <f>IFERROR(
GETPIVOTDATA(
"[BASE_CONVE_PPTO].[Importe]",
TDinamica_P!$A$5,
"[BASE_CONVE_PPTO].[Periodo]",
"[BASE_CONVE_PPTO].[Periodo].&amp;[" &amp; TEXT(BK$6,"yyyymm")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0</v>
      </c>
      <c r="BO9" s="24">
        <f t="shared" si="4"/>
        <v>0</v>
      </c>
      <c r="BP9" s="24">
        <f t="shared" ref="BP9:BP10" si="6">_xlfn.XLOOKUP(BP$6,$D$6:$BM$6,$D9:$BM9,,0,-1)</f>
        <v>0</v>
      </c>
      <c r="BQ9" s="24">
        <f t="shared" si="5"/>
        <v>0</v>
      </c>
      <c r="BR9" s="24">
        <f t="shared" si="5"/>
        <v>0</v>
      </c>
      <c r="BS9" s="24">
        <f t="shared" si="5"/>
        <v>5.9740500000000001</v>
      </c>
      <c r="BT9" s="24">
        <f t="shared" si="5"/>
        <v>11.26127</v>
      </c>
    </row>
    <row r="10" spans="1:81" ht="14.45" customHeight="1" outlineLevel="1" x14ac:dyDescent="0.25">
      <c r="A10" s="11" t="s">
        <v>51</v>
      </c>
      <c r="C10" s="2" t="s">
        <v>45</v>
      </c>
      <c r="D10" s="8">
        <f>IFERROR(
GETPIVOTDATA(
"[Base].[Importe]",
TDinamica_R!$A$5,
"[Calendario].[AñoMes]",
"[Calendario].[AñoMes].&amp;[" &amp; TEXT(D$6,"yyyymm") &amp; "]",
"[Base].[Metrica]",
"[Base].[Metrica].&amp;[" &amp; $A10 &amp; "]",
"[Base].[SEGMENTO_DESCRIP]",
"[Base].[SEGMENTO_DESCRIP].&amp;[" &amp; $C$6 &amp; "]",
"[Base].[SITUACION]",
"[Base].[SITUACION].&amp;[" &amp; $C10 &amp; "]"
),0)/1000</f>
        <v>95.458559999999991</v>
      </c>
      <c r="E10" s="8">
        <f>IFERROR(
GETPIVOTDATA(
"[Base].[Importe]",
TDinamica_R!$A$5,
"[Calendario].[AñoMes]",
"[Calendario].[AñoMes].&amp;[" &amp; TEXT(E$6,"yyyymm") &amp; "]",
"[Base].[Metrica]",
"[Base].[Metrica].&amp;[" &amp; $A10 &amp; "]",
"[Base].[SEGMENTO_DESCRIP]",
"[Base].[SEGMENTO_DESCRIP].&amp;[" &amp; $C$6 &amp; "]",
"[Base].[SITUACION]",
"[Base].[SITUACION].&amp;[" &amp; $C10 &amp; "]"
),0)/1000</f>
        <v>76.892589999999998</v>
      </c>
      <c r="F10" s="8">
        <f>IFERROR(
GETPIVOTDATA(
"[Base].[Importe]",
TDinamica_R!$A$5,
"[Calendario].[AñoMes]",
"[Calendario].[AñoMes].&amp;[" &amp; TEXT(F$6,"yyyymm") &amp; "]",
"[Base].[Metrica]",
"[Base].[Metrica].&amp;[" &amp; $A10 &amp; "]",
"[Base].[SEGMENTO_DESCRIP]",
"[Base].[SEGMENTO_DESCRIP].&amp;[" &amp; $C$6 &amp; "]",
"[Base].[SITUACION]",
"[Base].[SITUACION].&amp;[" &amp; $C10 &amp; "]"
),0)/1000</f>
        <v>87.653480000000016</v>
      </c>
      <c r="G10" s="8">
        <f>IFERROR(
GETPIVOTDATA(
"[Base].[Importe]",
TDinamica_R!$A$5,
"[Calendario].[AñoMes]",
"[Calendario].[AñoMes].&amp;[" &amp; TEXT(G$6,"yyyymm") &amp; "]",
"[Base].[Metrica]",
"[Base].[Metrica].&amp;[" &amp; $A10 &amp; "]",
"[Base].[SEGMENTO_DESCRIP]",
"[Base].[SEGMENTO_DESCRIP].&amp;[" &amp; $C$6 &amp; "]",
"[Base].[SITUACION]",
"[Base].[SITUACION].&amp;[" &amp; $C10 &amp; "]"
),0)/1000</f>
        <v>69.845660000000009</v>
      </c>
      <c r="H10" s="8">
        <f>IFERROR(
GETPIVOTDATA(
"[Base].[Importe]",
TDinamica_R!$A$5,
"[Calendario].[AñoMes]",
"[Calendario].[AñoMes].&amp;[" &amp; TEXT(H$6,"yyyymm") &amp; "]",
"[Base].[Metrica]",
"[Base].[Metrica].&amp;[" &amp; $A10 &amp; "]",
"[Base].[SEGMENTO_DESCRIP]",
"[Base].[SEGMENTO_DESCRIP].&amp;[" &amp; $C$6 &amp; "]",
"[Base].[SITUACION]",
"[Base].[SITUACION].&amp;[" &amp; $C10 &amp; "]"
),0)/1000</f>
        <v>70.163790000000006</v>
      </c>
      <c r="I10" s="8">
        <f>IFERROR(
GETPIVOTDATA(
"[Base].[Importe]",
TDinamica_R!$A$5,
"[Calendario].[AñoMes]",
"[Calendario].[AñoMes].&amp;[" &amp; TEXT(I$6,"yyyymm") &amp; "]",
"[Base].[Metrica]",
"[Base].[Metrica].&amp;[" &amp; $A10 &amp; "]",
"[Base].[SEGMENTO_DESCRIP]",
"[Base].[SEGMENTO_DESCRIP].&amp;[" &amp; $C$6 &amp; "]",
"[Base].[SITUACION]",
"[Base].[SITUACION].&amp;[" &amp; $C10 &amp; "]"
),0)/1000</f>
        <v>64.803370000000001</v>
      </c>
      <c r="J10" s="8">
        <f>IFERROR(
GETPIVOTDATA(
"[Base].[Importe]",
TDinamica_R!$A$5,
"[Calendario].[AñoMes]",
"[Calendario].[AñoMes].&amp;[" &amp; TEXT(J$6,"yyyymm") &amp; "]",
"[Base].[Metrica]",
"[Base].[Metrica].&amp;[" &amp; $A10 &amp; "]",
"[Base].[SEGMENTO_DESCRIP]",
"[Base].[SEGMENTO_DESCRIP].&amp;[" &amp; $C$6 &amp; "]",
"[Base].[SITUACION]",
"[Base].[SITUACION].&amp;[" &amp; $C10 &amp; "]"
),0)/1000</f>
        <v>63.821949999999994</v>
      </c>
      <c r="K10" s="8">
        <f>IFERROR(
GETPIVOTDATA(
"[Base].[Importe]",
TDinamica_R!$A$5,
"[Calendario].[AñoMes]",
"[Calendario].[AñoMes].&amp;[" &amp; TEXT(K$6,"yyyymm") &amp; "]",
"[Base].[Metrica]",
"[Base].[Metrica].&amp;[" &amp; $A10 &amp; "]",
"[Base].[SEGMENTO_DESCRIP]",
"[Base].[SEGMENTO_DESCRIP].&amp;[" &amp; $C$6 &amp; "]",
"[Base].[SITUACION]",
"[Base].[SITUACION].&amp;[" &amp; $C10 &amp; "]"
),0)/1000</f>
        <v>67.345939999999999</v>
      </c>
      <c r="L10" s="8">
        <f>IFERROR(
GETPIVOTDATA(
"[Base].[Importe]",
TDinamica_R!$A$5,
"[Calendario].[AñoMes]",
"[Calendario].[AñoMes].&amp;[" &amp; TEXT(L$6,"yyyymm") &amp; "]",
"[Base].[Metrica]",
"[Base].[Metrica].&amp;[" &amp; $A10 &amp; "]",
"[Base].[SEGMENTO_DESCRIP]",
"[Base].[SEGMENTO_DESCRIP].&amp;[" &amp; $C$6 &amp; "]",
"[Base].[SITUACION]",
"[Base].[SITUACION].&amp;[" &amp; $C10 &amp; "]"
),0)/1000</f>
        <v>69.671109999999999</v>
      </c>
      <c r="M10" s="8">
        <f>IFERROR(
GETPIVOTDATA(
"[Base].[Importe]",
TDinamica_R!$A$5,
"[Calendario].[AñoMes]",
"[Calendario].[AñoMes].&amp;[" &amp; TEXT(M$6,"yyyymm") &amp; "]",
"[Base].[Metrica]",
"[Base].[Metrica].&amp;[" &amp; $A10 &amp; "]",
"[Base].[SEGMENTO_DESCRIP]",
"[Base].[SEGMENTO_DESCRIP].&amp;[" &amp; $C$6 &amp; "]",
"[Base].[SITUACION]",
"[Base].[SITUACION].&amp;[" &amp; $C10 &amp; "]"
),0)/1000</f>
        <v>96.466610000000003</v>
      </c>
      <c r="N10" s="8">
        <f>IFERROR(
GETPIVOTDATA(
"[Base].[Importe]",
TDinamica_R!$A$5,
"[Calendario].[AñoMes]",
"[Calendario].[AñoMes].&amp;[" &amp; TEXT(N$6,"yyyymm") &amp; "]",
"[Base].[Metrica]",
"[Base].[Metrica].&amp;[" &amp; $A10 &amp; "]",
"[Base].[SEGMENTO_DESCRIP]",
"[Base].[SEGMENTO_DESCRIP].&amp;[" &amp; $C$6 &amp; "]",
"[Base].[SITUACION]",
"[Base].[SITUACION].&amp;[" &amp; $C10 &amp; "]"
),0)/1000</f>
        <v>140.81572</v>
      </c>
      <c r="O10" s="8">
        <f>IFERROR(
GETPIVOTDATA(
"[Base].[Importe]",
TDinamica_R!$A$5,
"[Calendario].[AñoMes]",
"[Calendario].[AñoMes].&amp;[" &amp; TEXT(O$6,"yyyymm") &amp; "]",
"[Base].[Metrica]",
"[Base].[Metrica].&amp;[" &amp; $A10 &amp; "]",
"[Base].[SEGMENTO_DESCRIP]",
"[Base].[SEGMENTO_DESCRIP].&amp;[" &amp; $C$6 &amp; "]",
"[Base].[SITUACION]",
"[Base].[SITUACION].&amp;[" &amp; $C10 &amp; "]"
),0)/1000</f>
        <v>138.10717</v>
      </c>
      <c r="P10" s="8">
        <f>IFERROR(
GETPIVOTDATA(
"[Base].[Importe]",
TDinamica_R!$A$5,
"[Calendario].[AñoMes]",
"[Calendario].[AñoMes].&amp;[" &amp; TEXT(P$6,"yyyymm") &amp; "]",
"[Base].[Metrica]",
"[Base].[Metrica].&amp;[" &amp; $A10 &amp; "]",
"[Base].[SEGMENTO_DESCRIP]",
"[Base].[SEGMENTO_DESCRIP].&amp;[" &amp; $C$6 &amp; "]",
"[Base].[SITUACION]",
"[Base].[SITUACION].&amp;[" &amp; $C10 &amp; "]"
),0)/1000</f>
        <v>143.49898999999999</v>
      </c>
      <c r="Q10" s="8">
        <f>IFERROR(
GETPIVOTDATA(
"[Base].[Importe]",
TDinamica_R!$A$5,
"[Calendario].[AñoMes]",
"[Calendario].[AñoMes].&amp;[" &amp; TEXT(Q$6,"yyyymm") &amp; "]",
"[Base].[Metrica]",
"[Base].[Metrica].&amp;[" &amp; $A10 &amp; "]",
"[Base].[SEGMENTO_DESCRIP]",
"[Base].[SEGMENTO_DESCRIP].&amp;[" &amp; $C$6 &amp; "]",
"[Base].[SITUACION]",
"[Base].[SITUACION].&amp;[" &amp; $C10 &amp; "]"
),0)/1000</f>
        <v>146.63608000000002</v>
      </c>
      <c r="R10" s="8">
        <f>IFERROR(
GETPIVOTDATA(
"[Base].[Importe]",
TDinamica_R!$A$5,
"[Calendario].[AñoMes]",
"[Calendario].[AñoMes].&amp;[" &amp; TEXT(R$6,"yyyymm") &amp; "]",
"[Base].[Metrica]",
"[Base].[Metrica].&amp;[" &amp; $A10 &amp; "]",
"[Base].[SEGMENTO_DESCRIP]",
"[Base].[SEGMENTO_DESCRIP].&amp;[" &amp; $C$6 &amp; "]",
"[Base].[SITUACION]",
"[Base].[SITUACION].&amp;[" &amp; $C10 &amp; "]"
),0)/1000</f>
        <v>202.03797</v>
      </c>
      <c r="S10" s="8">
        <f>IFERROR(
GETPIVOTDATA(
"[Base].[Importe]",
TDinamica_R!$A$5,
"[Calendario].[AñoMes]",
"[Calendario].[AñoMes].&amp;[" &amp; TEXT(S$6,"yyyymm") &amp; "]",
"[Base].[Metrica]",
"[Base].[Metrica].&amp;[" &amp; $A10 &amp; "]",
"[Base].[SEGMENTO_DESCRIP]",
"[Base].[SEGMENTO_DESCRIP].&amp;[" &amp; $C$6 &amp; "]",
"[Base].[SITUACION]",
"[Base].[SITUACION].&amp;[" &amp; $C10 &amp; "]"
),0)/1000</f>
        <v>312.755</v>
      </c>
      <c r="T10" s="8">
        <f>IFERROR(
GETPIVOTDATA(
"[Base].[Importe]",
TDinamica_R!$A$5,
"[Calendario].[AñoMes]",
"[Calendario].[AñoMes].&amp;[" &amp; TEXT(T$6,"yyyymm") &amp; "]",
"[Base].[Metrica]",
"[Base].[Metrica].&amp;[" &amp; $A10 &amp; "]",
"[Base].[SEGMENTO_DESCRIP]",
"[Base].[SEGMENTO_DESCRIP].&amp;[" &amp; $C$6 &amp; "]",
"[Base].[SITUACION]",
"[Base].[SITUACION].&amp;[" &amp; $C10 &amp; "]"
),0)/1000</f>
        <v>245.5966</v>
      </c>
      <c r="U10" s="8">
        <f>IFERROR(
GETPIVOTDATA(
"[Base].[Importe]",
TDinamica_R!$A$5,
"[Calendario].[AñoMes]",
"[Calendario].[AñoMes].&amp;[" &amp; TEXT(U$6,"yyyymm") &amp; "]",
"[Base].[Metrica]",
"[Base].[Metrica].&amp;[" &amp; $A10 &amp; "]",
"[Base].[SEGMENTO_DESCRIP]",
"[Base].[SEGMENTO_DESCRIP].&amp;[" &amp; $C$6 &amp; "]",
"[Base].[SITUACION]",
"[Base].[SITUACION].&amp;[" &amp; $C10 &amp; "]"
),0)/1000</f>
        <v>431.83821999999998</v>
      </c>
      <c r="V10" s="8">
        <f>IFERROR(
GETPIVOTDATA(
"[Base].[Importe]",
TDinamica_R!$A$5,
"[Calendario].[AñoMes]",
"[Calendario].[AñoMes].&amp;[" &amp; TEXT(V$6,"yyyymm") &amp; "]",
"[Base].[Metrica]",
"[Base].[Metrica].&amp;[" &amp; $A10 &amp; "]",
"[Base].[SEGMENTO_DESCRIP]",
"[Base].[SEGMENTO_DESCRIP].&amp;[" &amp; $C$6 &amp; "]",
"[Base].[SITUACION]",
"[Base].[SITUACION].&amp;[" &amp; $C10 &amp; "]"
),0)/1000</f>
        <v>278.51127000000002</v>
      </c>
      <c r="W10" s="8">
        <f>IFERROR(
GETPIVOTDATA(
"[Base].[Importe]",
TDinamica_R!$A$5,
"[Calendario].[AñoMes]",
"[Calendario].[AñoMes].&amp;[" &amp; TEXT(W$6,"yyyymm") &amp; "]",
"[Base].[Metrica]",
"[Base].[Metrica].&amp;[" &amp; $A10 &amp; "]",
"[Base].[SEGMENTO_DESCRIP]",
"[Base].[SEGMENTO_DESCRIP].&amp;[" &amp; $C$6 &amp; "]",
"[Base].[SITUACION]",
"[Base].[SITUACION].&amp;[" &amp; $C10 &amp; "]"
),0)/1000</f>
        <v>299.40848999999997</v>
      </c>
      <c r="X10" s="8">
        <f>IFERROR(
GETPIVOTDATA(
"[Base].[Importe]",
TDinamica_R!$A$5,
"[Calendario].[AñoMes]",
"[Calendario].[AñoMes].&amp;[" &amp; TEXT(X$6,"yyyymm") &amp; "]",
"[Base].[Metrica]",
"[Base].[Metrica].&amp;[" &amp; $A10 &amp; "]",
"[Base].[SEGMENTO_DESCRIP]",
"[Base].[SEGMENTO_DESCRIP].&amp;[" &amp; $C$6 &amp; "]",
"[Base].[SITUACION]",
"[Base].[SITUACION].&amp;[" &amp; $C10 &amp; "]"
),0)/1000</f>
        <v>146.72432999999998</v>
      </c>
      <c r="Y10" s="8">
        <f>IFERROR(
GETPIVOTDATA(
"[Base].[Importe]",
TDinamica_R!$A$5,
"[Calendario].[AñoMes]",
"[Calendario].[AñoMes].&amp;[" &amp; TEXT(Y$6,"yyyymm") &amp; "]",
"[Base].[Metrica]",
"[Base].[Metrica].&amp;[" &amp; $A10 &amp; "]",
"[Base].[SEGMENTO_DESCRIP]",
"[Base].[SEGMENTO_DESCRIP].&amp;[" &amp; $C$6 &amp; "]",
"[Base].[SITUACION]",
"[Base].[SITUACION].&amp;[" &amp; $C10 &amp; "]"
),0)/1000</f>
        <v>463.75334000000004</v>
      </c>
      <c r="Z10" s="8">
        <f>IFERROR(
GETPIVOTDATA(
"[Base].[Importe]",
TDinamica_R!$A$5,
"[Calendario].[AñoMes]",
"[Calendario].[AñoMes].&amp;[" &amp; TEXT(Z$6,"yyyymm") &amp; "]",
"[Base].[Metrica]",
"[Base].[Metrica].&amp;[" &amp; $A10 &amp; "]",
"[Base].[SEGMENTO_DESCRIP]",
"[Base].[SEGMENTO_DESCRIP].&amp;[" &amp; $C$6 &amp; "]",
"[Base].[SITUACION]",
"[Base].[SITUACION].&amp;[" &amp; $C10 &amp; "]"
),0)/1000</f>
        <v>361.79053000000005</v>
      </c>
      <c r="AA10" s="8">
        <f>IFERROR(
GETPIVOTDATA(
"[Base].[Importe]",
TDinamica_R!$A$5,
"[Calendario].[AñoMes]",
"[Calendario].[AñoMes].&amp;[" &amp; TEXT(AA$6,"yyyymm") &amp; "]",
"[Base].[Metrica]",
"[Base].[Metrica].&amp;[" &amp; $A10 &amp; "]",
"[Base].[SEGMENTO_DESCRIP]",
"[Base].[SEGMENTO_DESCRIP].&amp;[" &amp; $C$6 &amp; "]",
"[Base].[SITUACION]",
"[Base].[SITUACION].&amp;[" &amp; $C10 &amp; "]"
),0)/1000</f>
        <v>757.04087000000004</v>
      </c>
      <c r="AB10" s="8">
        <f>IFERROR(
GETPIVOTDATA(
"[Base].[Importe]",
TDinamica_R!$A$5,
"[Calendario].[AñoMes]",
"[Calendario].[AñoMes].&amp;[" &amp; TEXT(AB$6,"yyyymm") &amp; "]",
"[Base].[Metrica]",
"[Base].[Metrica].&amp;[" &amp; $A10 &amp; "]",
"[Base].[SEGMENTO_DESCRIP]",
"[Base].[SEGMENTO_DESCRIP].&amp;[" &amp; $C$6 &amp; "]",
"[Base].[SITUACION]",
"[Base].[SITUACION].&amp;[" &amp; $C10 &amp; "]"
),0)/1000</f>
        <v>381.50503000000003</v>
      </c>
      <c r="AC10" s="8">
        <f>IFERROR(
GETPIVOTDATA(
"[Base].[Importe]",
TDinamica_R!$A$5,
"[Calendario].[AñoMes]",
"[Calendario].[AñoMes].&amp;[" &amp; TEXT(AC$6,"yyyymm") &amp; "]",
"[Base].[Metrica]",
"[Base].[Metrica].&amp;[" &amp; $A10 &amp; "]",
"[Base].[SEGMENTO_DESCRIP]",
"[Base].[SEGMENTO_DESCRIP].&amp;[" &amp; $C$6 &amp; "]",
"[Base].[SITUACION]",
"[Base].[SITUACION].&amp;[" &amp; $C10 &amp; "]"
),0)/1000</f>
        <v>219.93289999999999</v>
      </c>
      <c r="AD10" s="8">
        <f>IFERROR(
GETPIVOTDATA(
"[Base].[Importe]",
TDinamica_R!$A$5,
"[Calendario].[AñoMes]",
"[Calendario].[AñoMes].&amp;[" &amp; TEXT(AD$6,"yyyymm") &amp; "]",
"[Base].[Metrica]",
"[Base].[Metrica].&amp;[" &amp; $A10 &amp; "]",
"[Base].[SEGMENTO_DESCRIP]",
"[Base].[SEGMENTO_DESCRIP].&amp;[" &amp; $C$6 &amp; "]",
"[Base].[SITUACION]",
"[Base].[SITUACION].&amp;[" &amp; $C10 &amp; "]"
),0)/1000</f>
        <v>137.58560999999997</v>
      </c>
      <c r="AE10" s="8">
        <f>IFERROR(
GETPIVOTDATA(
"[Base].[Importe]",
TDinamica_R!$A$5,
"[Calendario].[AñoMes]",
"[Calendario].[AñoMes].&amp;[" &amp; TEXT(AE$6,"yyyymm") &amp; "]",
"[Base].[Metrica]",
"[Base].[Metrica].&amp;[" &amp; $A10 &amp; "]",
"[Base].[SEGMENTO_DESCRIP]",
"[Base].[SEGMENTO_DESCRIP].&amp;[" &amp; $C$6 &amp; "]",
"[Base].[SITUACION]",
"[Base].[SITUACION].&amp;[" &amp; $C10 &amp; "]"
),0)/1000</f>
        <v>217.74439999999998</v>
      </c>
      <c r="AF10" s="8">
        <f>IFERROR(
GETPIVOTDATA(
"[Base].[Importe]",
TDinamica_R!$A$5,
"[Calendario].[AñoMes]",
"[Calendario].[AñoMes].&amp;[" &amp; TEXT(AF$6,"yyyymm") &amp; "]",
"[Base].[Metrica]",
"[Base].[Metrica].&amp;[" &amp; $A10 &amp; "]",
"[Base].[SEGMENTO_DESCRIP]",
"[Base].[SEGMENTO_DESCRIP].&amp;[" &amp; $C$6 &amp; "]",
"[Base].[SITUACION]",
"[Base].[SITUACION].&amp;[" &amp; $C10 &amp; "]"
),0)/1000</f>
        <v>217.92704000000001</v>
      </c>
      <c r="AG10" s="8">
        <f>IFERROR(
GETPIVOTDATA(
"[Base].[Importe]",
TDinamica_R!$A$5,
"[Calendario].[AñoMes]",
"[Calendario].[AñoMes].&amp;[" &amp; TEXT(AG$6,"yyyymm") &amp; "]",
"[Base].[Metrica]",
"[Base].[Metrica].&amp;[" &amp; $A10 &amp; "]",
"[Base].[SEGMENTO_DESCRIP]",
"[Base].[SEGMENTO_DESCRIP].&amp;[" &amp; $C$6 &amp; "]",
"[Base].[SITUACION]",
"[Base].[SITUACION].&amp;[" &amp; $C10 &amp; "]"
),0)/1000</f>
        <v>177.98304999999999</v>
      </c>
      <c r="AH10" s="8">
        <f>IFERROR(
GETPIVOTDATA(
"[Base].[Importe]",
TDinamica_R!$A$5,
"[Calendario].[AñoMes]",
"[Calendario].[AñoMes].&amp;[" &amp; TEXT(AH$6,"yyyymm") &amp; "]",
"[Base].[Metrica]",
"[Base].[Metrica].&amp;[" &amp; $A10 &amp; "]",
"[Base].[SEGMENTO_DESCRIP]",
"[Base].[SEGMENTO_DESCRIP].&amp;[" &amp; $C$6 &amp; "]",
"[Base].[SITUACION]",
"[Base].[SITUACION].&amp;[" &amp; $C10 &amp; "]"
),0)/1000</f>
        <v>180.78144</v>
      </c>
      <c r="AI10" s="8">
        <f>IFERROR(
GETPIVOTDATA(
"[Base].[Importe]",
TDinamica_R!$A$5,
"[Calendario].[AñoMes]",
"[Calendario].[AñoMes].&amp;[" &amp; TEXT(AI$6,"yyyymm") &amp; "]",
"[Base].[Metrica]",
"[Base].[Metrica].&amp;[" &amp; $A10 &amp; "]",
"[Base].[SEGMENTO_DESCRIP]",
"[Base].[SEGMENTO_DESCRIP].&amp;[" &amp; $C$6 &amp; "]",
"[Base].[SITUACION]",
"[Base].[SITUACION].&amp;[" &amp; $C10 &amp; "]"
),0)/1000</f>
        <v>188.17410000000001</v>
      </c>
      <c r="AJ10" s="8">
        <f>IFERROR(
GETPIVOTDATA(
"[Base].[Importe]",
TDinamica_R!$A$5,
"[Calendario].[AñoMes]",
"[Calendario].[AñoMes].&amp;[" &amp; TEXT(AJ$6,"yyyymm") &amp; "]",
"[Base].[Metrica]",
"[Base].[Metrica].&amp;[" &amp; $A10 &amp; "]",
"[Base].[SEGMENTO_DESCRIP]",
"[Base].[SEGMENTO_DESCRIP].&amp;[" &amp; $C$6 &amp; "]",
"[Base].[SITUACION]",
"[Base].[SITUACION].&amp;[" &amp; $C10 &amp; "]"
),0)/1000</f>
        <v>95.346740000000011</v>
      </c>
      <c r="AK10" s="8">
        <f>IFERROR(
GETPIVOTDATA(
"[Base].[Importe]",
TDinamica_R!$A$5,
"[Calendario].[AñoMes]",
"[Calendario].[AñoMes].&amp;[" &amp; TEXT(AK$6,"yyyymm") &amp; "]",
"[Base].[Metrica]",
"[Base].[Metrica].&amp;[" &amp; $A10 &amp; "]",
"[Base].[SEGMENTO_DESCRIP]",
"[Base].[SEGMENTO_DESCRIP].&amp;[" &amp; $C$6 &amp; "]",
"[Base].[SITUACION]",
"[Base].[SITUACION].&amp;[" &amp; $C10 &amp; "]"
),0)/1000</f>
        <v>97.90137</v>
      </c>
      <c r="AL10" s="8">
        <f>IFERROR(
GETPIVOTDATA(
"[Base].[Importe]",
TDinamica_R!$A$5,
"[Calendario].[AñoMes]",
"[Calendario].[AñoMes].&amp;[" &amp; TEXT(AL$6,"yyyymm") &amp; "]",
"[Base].[Metrica]",
"[Base].[Metrica].&amp;[" &amp; $A10 &amp; "]",
"[Base].[SEGMENTO_DESCRIP]",
"[Base].[SEGMENTO_DESCRIP].&amp;[" &amp; $C$6 &amp; "]",
"[Base].[SITUACION]",
"[Base].[SITUACION].&amp;[" &amp; $C10 &amp; "]"
),0)/1000</f>
        <v>100.47165</v>
      </c>
      <c r="AM10" s="8">
        <f>IFERROR(
GETPIVOTDATA(
"[Base].[Importe]",
TDinamica_R!$A$5,
"[Calendario].[AñoMes]",
"[Calendario].[AñoMes].&amp;[" &amp; TEXT(AM$6,"yyyymm") &amp; "]",
"[Base].[Metrica]",
"[Base].[Metrica].&amp;[" &amp; $A10 &amp; "]",
"[Base].[SEGMENTO_DESCRIP]",
"[Base].[SEGMENTO_DESCRIP].&amp;[" &amp; $C$6 &amp; "]",
"[Base].[SITUACION]",
"[Base].[SITUACION].&amp;[" &amp; $C10 &amp; "]"
),0)/1000</f>
        <v>161.36711</v>
      </c>
      <c r="AN10" s="8">
        <f>IFERROR(
GETPIVOTDATA(
"[Base].[Importe]",
TDinamica_R!$A$5,
"[Calendario].[AñoMes]",
"[Calendario].[AñoMes].&amp;[" &amp; TEXT(AN$6,"yyyymm") &amp; "]",
"[Base].[Metrica]",
"[Base].[Metrica].&amp;[" &amp; $A10 &amp; "]",
"[Base].[SEGMENTO_DESCRIP]",
"[Base].[SEGMENTO_DESCRIP].&amp;[" &amp; $C$6 &amp; "]",
"[Base].[SITUACION]",
"[Base].[SITUACION].&amp;[" &amp; $C10 &amp; "]"
),0)/1000</f>
        <v>230.32</v>
      </c>
      <c r="AO10" s="8">
        <f>IFERROR(
GETPIVOTDATA(
"[Base].[Importe]",
TDinamica_R!$A$5,
"[Calendario].[AñoMes]",
"[Calendario].[AñoMes].&amp;[" &amp; TEXT(AO$6,"yyyymm") &amp; "]",
"[Base].[Metrica]",
"[Base].[Metrica].&amp;[" &amp; $A10 &amp; "]",
"[Base].[SEGMENTO_DESCRIP]",
"[Base].[SEGMENTO_DESCRIP].&amp;[" &amp; $C$6 &amp; "]",
"[Base].[SITUACION]",
"[Base].[SITUACION].&amp;[" &amp; $C10 &amp; "]"
),0)/1000</f>
        <v>232.86</v>
      </c>
      <c r="AP10" s="8">
        <f>IFERROR(
GETPIVOTDATA(
"[Base].[Importe]",
TDinamica_R!$A$5,
"[Calendario].[AñoMes]",
"[Calendario].[AñoMes].&amp;[" &amp; TEXT(AP$6,"yyyymm") &amp; "]",
"[Base].[Metrica]",
"[Base].[Metrica].&amp;[" &amp; $A10 &amp; "]",
"[Base].[SEGMENTO_DESCRIP]",
"[Base].[SEGMENTO_DESCRIP].&amp;[" &amp; $C$6 &amp; "]",
"[Base].[SITUACION]",
"[Base].[SITUACION].&amp;[" &amp; $C10 &amp; "]"
),0)/1000</f>
        <v>177.62</v>
      </c>
      <c r="AQ10" s="8">
        <f>IFERROR(
GETPIVOTDATA(
"[Base].[Importe]",
TDinamica_R!$A$5,
"[Calendario].[AñoMes]",
"[Calendario].[AñoMes].&amp;[" &amp; TEXT(AQ$6,"yyyymm") &amp; "]",
"[Base].[Metrica]",
"[Base].[Metrica].&amp;[" &amp; $A10 &amp; "]",
"[Base].[SEGMENTO_DESCRIP]",
"[Base].[SEGMENTO_DESCRIP].&amp;[" &amp; $C$6 &amp; "]",
"[Base].[SITUACION]",
"[Base].[SITUACION].&amp;[" &amp; $C10 &amp; "]"
),0)/1000</f>
        <v>275.76607999999999</v>
      </c>
      <c r="AR10" s="8">
        <f>IFERROR(
GETPIVOTDATA(
"[Base].[Importe]",
TDinamica_R!$A$5,
"[Calendario].[AñoMes]",
"[Calendario].[AñoMes].&amp;[" &amp; TEXT(AR$6,"yyyymm") &amp; "]",
"[Base].[Metrica]",
"[Base].[Metrica].&amp;[" &amp; $A10 &amp; "]",
"[Base].[SEGMENTO_DESCRIP]",
"[Base].[SEGMENTO_DESCRIP].&amp;[" &amp; $C$6 &amp; "]",
"[Base].[SITUACION]",
"[Base].[SITUACION].&amp;[" &amp; $C10 &amp; "]"
),0)/1000</f>
        <v>599.24115000000006</v>
      </c>
      <c r="AS10" s="8">
        <f>IFERROR(
GETPIVOTDATA(
"[Base].[Importe]",
TDinamica_R!$A$5,
"[Calendario].[AñoMes]",
"[Calendario].[AñoMes].&amp;[" &amp; TEXT(AS$6,"yyyymm") &amp; "]",
"[Base].[Metrica]",
"[Base].[Metrica].&amp;[" &amp; $A10 &amp; "]",
"[Base].[SEGMENTO_DESCRIP]",
"[Base].[SEGMENTO_DESCRIP].&amp;[" &amp; $C$6 &amp; "]",
"[Base].[SITUACION]",
"[Base].[SITUACION].&amp;[" &amp; $C10 &amp; "]"
),0)/1000</f>
        <v>611.98257000000001</v>
      </c>
      <c r="AT10" s="8">
        <f>IFERROR(
GETPIVOTDATA(
"[Base].[Importe]",
TDinamica_R!$A$5,
"[Calendario].[AñoMes]",
"[Calendario].[AñoMes].&amp;[" &amp; TEXT(AT$6,"yyyymm")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U10" s="8">
        <f>IFERROR(
GETPIVOTDATA(
"[Base].[Importe]",
TDinamica_R!$A$5,
"[Calendario].[AñoMes]",
"[Calendario].[AñoMes].&amp;[" &amp; TEXT(AU$6,"yyyymm")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V10" s="8">
        <f>IFERROR(
GETPIVOTDATA(
"[Base].[Importe]",
TDinamica_R!$A$5,
"[Calendario].[AñoMes]",
"[Calendario].[AñoMes].&amp;[" &amp; TEXT(AV$6,"yyyymm")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W10" s="8">
        <f>IFERROR(
GETPIVOTDATA(
"[Base].[Importe]",
TDinamica_R!$A$5,
"[Calendario].[AñoMes]",
"[Calendario].[AñoMes].&amp;[" &amp; TEXT(AW$6,"yyyymm")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X10" s="8">
        <f>IFERROR(
GETPIVOTDATA(
"[Base].[Importe]",
TDinamica_R!$A$5,
"[Calendario].[AñoMes]",
"[Calendario].[AñoMes].&amp;[" &amp; TEXT(AX$6,"yyyymm")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Y10" s="8">
        <f>IFERROR(
GETPIVOTDATA(
"[Base].[Importe]",
TDinamica_R!$A$5,
"[Calendario].[AñoMes]",
"[Calendario].[AñoMes].&amp;[" &amp; TEXT(AY$6,"yyyymm")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Z10" s="8">
        <f>IFERROR(
GETPIVOTDATA(
"[BASE_CONVE_PPTO].[Importe]",
TDinamica_P!$A$5,
"[BASE_CONVE_PPTO].[Periodo]",
"[BASE_CONVE_PPTO].[Periodo].&amp;[" &amp; TEXT(AZ$6,"yyyymm")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221.64219010257784</v>
      </c>
      <c r="BA10" s="8">
        <f>IFERROR(
GETPIVOTDATA(
"[BASE_CONVE_PPTO].[Importe]",
TDinamica_P!$A$5,
"[BASE_CONVE_PPTO].[Periodo]",
"[BASE_CONVE_PPTO].[Periodo].&amp;[" &amp; TEXT(BA$6,"yyyymm")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217.06919974466527</v>
      </c>
      <c r="BB10" s="8">
        <f>IFERROR(
GETPIVOTDATA(
"[BASE_CONVE_PPTO].[Importe]",
TDinamica_P!$A$5,
"[BASE_CONVE_PPTO].[Periodo]",
"[BASE_CONVE_PPTO].[Periodo].&amp;[" &amp; TEXT(BB$6,"yyyymm")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213.54690024862052</v>
      </c>
      <c r="BC10" s="8">
        <f>IFERROR(
GETPIVOTDATA(
"[BASE_CONVE_PPTO].[Importe]",
TDinamica_P!$A$5,
"[BASE_CONVE_PPTO].[Periodo]",
"[BASE_CONVE_PPTO].[Periodo].&amp;[" &amp; TEXT(BC$6,"yyyymm")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208.38282373651046</v>
      </c>
      <c r="BD10" s="8">
        <f>IFERROR(
GETPIVOTDATA(
"[BASE_CONVE_PPTO].[Importe]",
TDinamica_P!$A$5,
"[BASE_CONVE_PPTO].[Periodo]",
"[BASE_CONVE_PPTO].[Periodo].&amp;[" &amp; TEXT(BD$6,"yyyymm")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206.87891616881004</v>
      </c>
      <c r="BE10" s="8">
        <f>IFERROR(
GETPIVOTDATA(
"[BASE_CONVE_PPTO].[Importe]",
TDinamica_P!$A$5,
"[BASE_CONVE_PPTO].[Periodo]",
"[BASE_CONVE_PPTO].[Periodo].&amp;[" &amp; TEXT(BE$6,"yyyymm")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205.4378879027594</v>
      </c>
      <c r="BF10" s="8">
        <f>IFERROR(
GETPIVOTDATA(
"[BASE_CONVE_PPTO].[Importe]",
TDinamica_P!$A$5,
"[BASE_CONVE_PPTO].[Periodo]",
"[BASE_CONVE_PPTO].[Periodo].&amp;[" &amp; TEXT(BF$6,"yyyymm")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203.1630624249826</v>
      </c>
      <c r="BG10" s="8">
        <f>IFERROR(
GETPIVOTDATA(
"[BASE_CONVE_PPTO].[Importe]",
TDinamica_P!$A$5,
"[BASE_CONVE_PPTO].[Periodo]",
"[BASE_CONVE_PPTO].[Periodo].&amp;[" &amp; TEXT(BG$6,"yyyymm")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204.26734585135716</v>
      </c>
      <c r="BH10" s="8">
        <f>IFERROR(
GETPIVOTDATA(
"[BASE_CONVE_PPTO].[Importe]",
TDinamica_P!$A$5,
"[BASE_CONVE_PPTO].[Periodo]",
"[BASE_CONVE_PPTO].[Periodo].&amp;[" &amp; TEXT(BH$6,"yyyymm")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202.51222502238409</v>
      </c>
      <c r="BI10" s="8">
        <f>IFERROR(
GETPIVOTDATA(
"[BASE_CONVE_PPTO].[Importe]",
TDinamica_P!$A$5,
"[BASE_CONVE_PPTO].[Periodo]",
"[BASE_CONVE_PPTO].[Periodo].&amp;[" &amp; TEXT(BI$6,"yyyymm")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201.98784379423708</v>
      </c>
      <c r="BJ10" s="8">
        <f>IFERROR(
GETPIVOTDATA(
"[BASE_CONVE_PPTO].[Importe]",
TDinamica_P!$A$5,
"[BASE_CONVE_PPTO].[Periodo]",
"[BASE_CONVE_PPTO].[Periodo].&amp;[" &amp; TEXT(BJ$6,"yyyymm")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202.0016626943696</v>
      </c>
      <c r="BK10" s="8">
        <f>IFERROR(
GETPIVOTDATA(
"[BASE_CONVE_PPTO].[Importe]",
TDinamica_P!$A$5,
"[BASE_CONVE_PPTO].[Periodo]",
"[BASE_CONVE_PPTO].[Periodo].&amp;[" &amp; TEXT(BK$6,"yyyymm")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202.33174558250272</v>
      </c>
      <c r="BO10" s="24">
        <f t="shared" si="4"/>
        <v>599.24115000000006</v>
      </c>
      <c r="BP10" s="24">
        <f t="shared" si="6"/>
        <v>206.87891616881004</v>
      </c>
      <c r="BQ10" s="24">
        <f t="shared" si="5"/>
        <v>275.76607999999999</v>
      </c>
      <c r="BR10" s="24">
        <f t="shared" si="5"/>
        <v>217.92704000000001</v>
      </c>
      <c r="BS10" s="24">
        <f t="shared" si="5"/>
        <v>245.5966</v>
      </c>
      <c r="BT10" s="24">
        <f t="shared" si="5"/>
        <v>70.163790000000006</v>
      </c>
    </row>
    <row r="11" spans="1:81" x14ac:dyDescent="0.25">
      <c r="C11" s="3" t="s">
        <v>2</v>
      </c>
      <c r="D11" s="10">
        <f>SUM(D8:D10)</f>
        <v>75063.311929999996</v>
      </c>
      <c r="E11" s="10">
        <f t="shared" ref="E11:AY11" si="7">SUM(E8:E10)</f>
        <v>75442.240409999999</v>
      </c>
      <c r="F11" s="10">
        <f t="shared" si="7"/>
        <v>76411.400330000004</v>
      </c>
      <c r="G11" s="10">
        <f t="shared" si="7"/>
        <v>77086.285980000001</v>
      </c>
      <c r="H11" s="10">
        <f t="shared" si="7"/>
        <v>77693.43879</v>
      </c>
      <c r="I11" s="10">
        <f t="shared" si="7"/>
        <v>79737.773830000006</v>
      </c>
      <c r="J11" s="10">
        <f t="shared" si="7"/>
        <v>80687.409390000001</v>
      </c>
      <c r="K11" s="10">
        <f t="shared" si="7"/>
        <v>81057.00726269999</v>
      </c>
      <c r="L11" s="10">
        <f t="shared" si="7"/>
        <v>81521.386833779994</v>
      </c>
      <c r="M11" s="10">
        <f t="shared" si="7"/>
        <v>80985.272930480016</v>
      </c>
      <c r="N11" s="10">
        <f t="shared" si="7"/>
        <v>80593.367321199999</v>
      </c>
      <c r="O11" s="10">
        <f t="shared" si="7"/>
        <v>80028.856422919998</v>
      </c>
      <c r="P11" s="10">
        <f t="shared" si="7"/>
        <v>80084.307323599976</v>
      </c>
      <c r="Q11" s="10">
        <f t="shared" si="7"/>
        <v>80858.194174199991</v>
      </c>
      <c r="R11" s="10">
        <f t="shared" si="7"/>
        <v>81561.234165320013</v>
      </c>
      <c r="S11" s="10">
        <f t="shared" si="7"/>
        <v>80652.27099972</v>
      </c>
      <c r="T11" s="10">
        <f t="shared" si="7"/>
        <v>80946.997969999997</v>
      </c>
      <c r="U11" s="10">
        <f t="shared" si="7"/>
        <v>80532.866030000005</v>
      </c>
      <c r="V11" s="10">
        <f t="shared" si="7"/>
        <v>82820.563461500002</v>
      </c>
      <c r="W11" s="10">
        <f t="shared" si="7"/>
        <v>83835.285533999981</v>
      </c>
      <c r="X11" s="10">
        <f t="shared" si="7"/>
        <v>85773.6211091</v>
      </c>
      <c r="Y11" s="10">
        <f t="shared" si="7"/>
        <v>87015.929486899986</v>
      </c>
      <c r="Z11" s="10">
        <f t="shared" si="7"/>
        <v>84202.384518539999</v>
      </c>
      <c r="AA11" s="10">
        <f t="shared" si="7"/>
        <v>83791.381062399989</v>
      </c>
      <c r="AB11" s="10">
        <f t="shared" si="7"/>
        <v>83278.121481499998</v>
      </c>
      <c r="AC11" s="10">
        <f t="shared" si="7"/>
        <v>83785.374343399992</v>
      </c>
      <c r="AD11" s="10">
        <f t="shared" si="7"/>
        <v>85560.378813599993</v>
      </c>
      <c r="AE11" s="10">
        <f t="shared" si="7"/>
        <v>83341.996855499994</v>
      </c>
      <c r="AF11" s="10">
        <f t="shared" si="7"/>
        <v>83415.967913999993</v>
      </c>
      <c r="AG11" s="10">
        <f t="shared" si="7"/>
        <v>85078.896196400005</v>
      </c>
      <c r="AH11" s="10">
        <f t="shared" si="7"/>
        <v>83987.028108500017</v>
      </c>
      <c r="AI11" s="10">
        <f t="shared" si="7"/>
        <v>83432.36439100001</v>
      </c>
      <c r="AJ11" s="10">
        <f t="shared" si="7"/>
        <v>82311.688661399996</v>
      </c>
      <c r="AK11" s="10">
        <f t="shared" si="7"/>
        <v>82496.935393800013</v>
      </c>
      <c r="AL11" s="10">
        <f t="shared" si="7"/>
        <v>81890.675967600007</v>
      </c>
      <c r="AM11" s="10">
        <f t="shared" si="7"/>
        <v>81558.705293000006</v>
      </c>
      <c r="AN11" s="10">
        <f t="shared" si="7"/>
        <v>82175.510000000009</v>
      </c>
      <c r="AO11" s="10">
        <f t="shared" si="7"/>
        <v>82968.62</v>
      </c>
      <c r="AP11" s="10">
        <f t="shared" si="7"/>
        <v>83547.86</v>
      </c>
      <c r="AQ11" s="10">
        <f t="shared" si="7"/>
        <v>83912.740400800001</v>
      </c>
      <c r="AR11" s="10">
        <f t="shared" si="7"/>
        <v>85889.059665659981</v>
      </c>
      <c r="AS11" s="10">
        <f t="shared" si="7"/>
        <v>89175.930887500028</v>
      </c>
      <c r="AT11" s="10">
        <f t="shared" si="7"/>
        <v>0</v>
      </c>
      <c r="AU11" s="10">
        <f t="shared" si="7"/>
        <v>0</v>
      </c>
      <c r="AV11" s="10">
        <f t="shared" si="7"/>
        <v>0</v>
      </c>
      <c r="AW11" s="10">
        <f t="shared" si="7"/>
        <v>0</v>
      </c>
      <c r="AX11" s="10">
        <f t="shared" si="7"/>
        <v>0</v>
      </c>
      <c r="AY11" s="10">
        <f t="shared" si="7"/>
        <v>0</v>
      </c>
      <c r="AZ11" s="10">
        <f>SUM(AZ8:AZ10)</f>
        <v>87379.693687308943</v>
      </c>
      <c r="BA11" s="10">
        <f t="shared" ref="BA11:BK11" si="8">SUM(BA8:BA10)</f>
        <v>89024.989800002528</v>
      </c>
      <c r="BB11" s="10">
        <f t="shared" si="8"/>
        <v>91127.523444901584</v>
      </c>
      <c r="BC11" s="10">
        <f t="shared" si="8"/>
        <v>92737.804016511131</v>
      </c>
      <c r="BD11" s="10">
        <f t="shared" si="8"/>
        <v>95266.524101831164</v>
      </c>
      <c r="BE11" s="10">
        <f t="shared" si="8"/>
        <v>97934.542825063865</v>
      </c>
      <c r="BF11" s="10">
        <f t="shared" si="8"/>
        <v>100626.25544974864</v>
      </c>
      <c r="BG11" s="10">
        <f t="shared" si="8"/>
        <v>103330.56255587259</v>
      </c>
      <c r="BH11" s="10">
        <f t="shared" si="8"/>
        <v>108705.99523448036</v>
      </c>
      <c r="BI11" s="10">
        <f t="shared" si="8"/>
        <v>113630.12154958126</v>
      </c>
      <c r="BJ11" s="10">
        <f t="shared" si="8"/>
        <v>118583.04589232955</v>
      </c>
      <c r="BK11" s="10">
        <f t="shared" si="8"/>
        <v>122933.78466637956</v>
      </c>
      <c r="BO11" s="23">
        <f>SUM(BO8:BO10)</f>
        <v>85889.059665659981</v>
      </c>
      <c r="BP11" s="23">
        <f>SUM(BP8:BP10)</f>
        <v>95266.524101831164</v>
      </c>
      <c r="BQ11" s="23">
        <f t="shared" ref="BQ11:BT11" si="9">SUM(BQ8:BQ10)</f>
        <v>83912.740400800001</v>
      </c>
      <c r="BR11" s="23">
        <f t="shared" si="9"/>
        <v>83415.967913999993</v>
      </c>
      <c r="BS11" s="23">
        <f t="shared" si="9"/>
        <v>80946.997969999997</v>
      </c>
      <c r="BT11" s="23">
        <f t="shared" si="9"/>
        <v>77693.43879</v>
      </c>
    </row>
    <row r="14" spans="1:81" outlineLevel="1" x14ac:dyDescent="0.25">
      <c r="A14" s="11" t="s">
        <v>52</v>
      </c>
      <c r="C14" s="2" t="s">
        <v>0</v>
      </c>
      <c r="D14" s="8">
        <f>IFERROR(
GETPIVOTDATA(
"[Base].[Importe]",
TDinamica_R!$A$5,
"[Calendario].[AñoMes]",
"[Calendario].[AñoMes].&amp;[" &amp; TEXT(D$6,"yyyymm") &amp; "]",
"[Base].[Metrica]",
"[Base].[Metrica].&amp;[" &amp; $A14 &amp; "]",
"[Base].[SEGMENTO_DESCRIP]",
"[Base].[SEGMENTO_DESCRIP].&amp;[" &amp; $C$6 &amp; "]",
"[Base].[SITUACION]",
"[Base].[SITUACION].&amp;[" &amp; $C14 &amp; "]"
),0)/1000</f>
        <v>74267.65337</v>
      </c>
      <c r="E14" s="8">
        <f>IFERROR(
GETPIVOTDATA(
"[Base].[Importe]",
TDinamica_R!$A$5,
"[Calendario].[AñoMes]",
"[Calendario].[AñoMes].&amp;[" &amp; TEXT(E$6,"yyyymm") &amp; "]",
"[Base].[Metrica]",
"[Base].[Metrica].&amp;[" &amp; $A14 &amp; "]",
"[Base].[SEGMENTO_DESCRIP]",
"[Base].[SEGMENTO_DESCRIP].&amp;[" &amp; $C$6 &amp; "]",
"[Base].[SITUACION]",
"[Base].[SITUACION].&amp;[" &amp; $C14 &amp; "]"
),0)/1000</f>
        <v>75489.191529999996</v>
      </c>
      <c r="F14" s="8">
        <f>IFERROR(
GETPIVOTDATA(
"[Base].[Importe]",
TDinamica_R!$A$5,
"[Calendario].[AñoMes]",
"[Calendario].[AñoMes].&amp;[" &amp; TEXT(F$6,"yyyymm") &amp; "]",
"[Base].[Metrica]",
"[Base].[Metrica].&amp;[" &amp; $A14 &amp; "]",
"[Base].[SEGMENTO_DESCRIP]",
"[Base].[SEGMENTO_DESCRIP].&amp;[" &amp; $C$6 &amp; "]",
"[Base].[SITUACION]",
"[Base].[SITUACION].&amp;[" &amp; $C14 &amp; "]"
),0)/1000</f>
        <v>75667.410690000004</v>
      </c>
      <c r="G14" s="8">
        <f>IFERROR(
GETPIVOTDATA(
"[Base].[Importe]",
TDinamica_R!$A$5,
"[Calendario].[AñoMes]",
"[Calendario].[AñoMes].&amp;[" &amp; TEXT(G$6,"yyyymm") &amp; "]",
"[Base].[Metrica]",
"[Base].[Metrica].&amp;[" &amp; $A14 &amp; "]",
"[Base].[SEGMENTO_DESCRIP]",
"[Base].[SEGMENTO_DESCRIP].&amp;[" &amp; $C$6 &amp; "]",
"[Base].[SITUACION]",
"[Base].[SITUACION].&amp;[" &amp; $C14 &amp; "]"
),0)/1000</f>
        <v>76371.727299999999</v>
      </c>
      <c r="H14" s="8">
        <f>IFERROR(
GETPIVOTDATA(
"[Base].[Importe]",
TDinamica_R!$A$5,
"[Calendario].[AñoMes]",
"[Calendario].[AñoMes].&amp;[" &amp; TEXT(H$6,"yyyymm") &amp; "]",
"[Base].[Metrica]",
"[Base].[Metrica].&amp;[" &amp; $A14 &amp; "]",
"[Base].[SEGMENTO_DESCRIP]",
"[Base].[SEGMENTO_DESCRIP].&amp;[" &amp; $C$6 &amp; "]",
"[Base].[SITUACION]",
"[Base].[SITUACION].&amp;[" &amp; $C14 &amp; "]"
),0)/1000</f>
        <v>77219.628620000003</v>
      </c>
      <c r="I14" s="8">
        <f>IFERROR(
GETPIVOTDATA(
"[Base].[Importe]",
TDinamica_R!$A$5,
"[Calendario].[AñoMes]",
"[Calendario].[AñoMes].&amp;[" &amp; TEXT(I$6,"yyyymm") &amp; "]",
"[Base].[Metrica]",
"[Base].[Metrica].&amp;[" &amp; $A14 &amp; "]",
"[Base].[SEGMENTO_DESCRIP]",
"[Base].[SEGMENTO_DESCRIP].&amp;[" &amp; $C$6 &amp; "]",
"[Base].[SITUACION]",
"[Base].[SITUACION].&amp;[" &amp; $C14 &amp; "]"
),0)/1000</f>
        <v>78486.141589999999</v>
      </c>
      <c r="J14" s="8">
        <f>IFERROR(
GETPIVOTDATA(
"[Base].[Importe]",
TDinamica_R!$A$5,
"[Calendario].[AñoMes]",
"[Calendario].[AñoMes].&amp;[" &amp; TEXT(J$6,"yyyymm") &amp; "]",
"[Base].[Metrica]",
"[Base].[Metrica].&amp;[" &amp; $A14 &amp; "]",
"[Base].[SEGMENTO_DESCRIP]",
"[Base].[SEGMENTO_DESCRIP].&amp;[" &amp; $C$6 &amp; "]",
"[Base].[SITUACION]",
"[Base].[SITUACION].&amp;[" &amp; $C14 &amp; "]"
),0)/1000</f>
        <v>80171.570166399993</v>
      </c>
      <c r="K14" s="8">
        <f>IFERROR(
GETPIVOTDATA(
"[Base].[Importe]",
TDinamica_R!$A$5,
"[Calendario].[AñoMes]",
"[Calendario].[AñoMes].&amp;[" &amp; TEXT(K$6,"yyyymm") &amp; "]",
"[Base].[Metrica]",
"[Base].[Metrica].&amp;[" &amp; $A14 &amp; "]",
"[Base].[SEGMENTO_DESCRIP]",
"[Base].[SEGMENTO_DESCRIP].&amp;[" &amp; $C$6 &amp; "]",
"[Base].[SITUACION]",
"[Base].[SITUACION].&amp;[" &amp; $C14 &amp; "]"
),0)/1000</f>
        <v>80761.767186159996</v>
      </c>
      <c r="L14" s="8">
        <f>IFERROR(
GETPIVOTDATA(
"[Base].[Importe]",
TDinamica_R!$A$5,
"[Calendario].[AñoMes]",
"[Calendario].[AñoMes].&amp;[" &amp; TEXT(L$6,"yyyymm") &amp; "]",
"[Base].[Metrica]",
"[Base].[Metrica].&amp;[" &amp; $A14 &amp; "]",
"[Base].[SEGMENTO_DESCRIP]",
"[Base].[SEGMENTO_DESCRIP].&amp;[" &amp; $C$6 &amp; "]",
"[Base].[SITUACION]",
"[Base].[SITUACION].&amp;[" &amp; $C14 &amp; "]"
),0)/1000</f>
        <v>81007.18216389</v>
      </c>
      <c r="M14" s="8">
        <f>IFERROR(
GETPIVOTDATA(
"[Base].[Importe]",
TDinamica_R!$A$5,
"[Calendario].[AñoMes]",
"[Calendario].[AñoMes].&amp;[" &amp; TEXT(M$6,"yyyymm") &amp; "]",
"[Base].[Metrica]",
"[Base].[Metrica].&amp;[" &amp; $A14 &amp; "]",
"[Base].[SEGMENTO_DESCRIP]",
"[Base].[SEGMENTO_DESCRIP].&amp;[" &amp; $C$6 &amp; "]",
"[Base].[SITUACION]",
"[Base].[SITUACION].&amp;[" &amp; $C14 &amp; "]"
),0)/1000</f>
        <v>80964.622697000013</v>
      </c>
      <c r="N14" s="8">
        <f>IFERROR(
GETPIVOTDATA(
"[Base].[Importe]",
TDinamica_R!$A$5,
"[Calendario].[AñoMes]",
"[Calendario].[AñoMes].&amp;[" &amp; TEXT(N$6,"yyyymm") &amp; "]",
"[Base].[Metrica]",
"[Base].[Metrica].&amp;[" &amp; $A14 &amp; "]",
"[Base].[SEGMENTO_DESCRIP]",
"[Base].[SEGMENTO_DESCRIP].&amp;[" &amp; $C$6 &amp; "]",
"[Base].[SITUACION]",
"[Base].[SITUACION].&amp;[" &amp; $C14 &amp; "]"
),0)/1000</f>
        <v>80818.605156499994</v>
      </c>
      <c r="O14" s="8">
        <f>IFERROR(
GETPIVOTDATA(
"[Base].[Importe]",
TDinamica_R!$A$5,
"[Calendario].[AñoMes]",
"[Calendario].[AñoMes].&amp;[" &amp; TEXT(O$6,"yyyymm") &amp; "]",
"[Base].[Metrica]",
"[Base].[Metrica].&amp;[" &amp; $A14 &amp; "]",
"[Base].[SEGMENTO_DESCRIP]",
"[Base].[SEGMENTO_DESCRIP].&amp;[" &amp; $C$6 &amp; "]",
"[Base].[SITUACION]",
"[Base].[SITUACION].&amp;[" &amp; $C14 &amp; "]"
),0)/1000</f>
        <v>80373.270505939989</v>
      </c>
      <c r="P14" s="8">
        <f>IFERROR(
GETPIVOTDATA(
"[Base].[Importe]",
TDinamica_R!$A$5,
"[Calendario].[AñoMes]",
"[Calendario].[AñoMes].&amp;[" &amp; TEXT(P$6,"yyyymm") &amp; "]",
"[Base].[Metrica]",
"[Base].[Metrica].&amp;[" &amp; $A14 &amp; "]",
"[Base].[SEGMENTO_DESCRIP]",
"[Base].[SEGMENTO_DESCRIP].&amp;[" &amp; $C$6 &amp; "]",
"[Base].[SITUACION]",
"[Base].[SITUACION].&amp;[" &amp; $C14 &amp; "]"
),0)/1000</f>
        <v>79166.934746319996</v>
      </c>
      <c r="Q14" s="8">
        <f>IFERROR(
GETPIVOTDATA(
"[Base].[Importe]",
TDinamica_R!$A$5,
"[Calendario].[AñoMes]",
"[Calendario].[AñoMes].&amp;[" &amp; TEXT(Q$6,"yyyymm") &amp; "]",
"[Base].[Metrica]",
"[Base].[Metrica].&amp;[" &amp; $A14 &amp; "]",
"[Base].[SEGMENTO_DESCRIP]",
"[Base].[SEGMENTO_DESCRIP].&amp;[" &amp; $C$6 &amp; "]",
"[Base].[SITUACION]",
"[Base].[SITUACION].&amp;[" &amp; $C14 &amp; "]"
),0)/1000</f>
        <v>80338.24914592001</v>
      </c>
      <c r="R14" s="8">
        <f>IFERROR(
GETPIVOTDATA(
"[Base].[Importe]",
TDinamica_R!$A$5,
"[Calendario].[AñoMes]",
"[Calendario].[AñoMes].&amp;[" &amp; TEXT(R$6,"yyyymm") &amp; "]",
"[Base].[Metrica]",
"[Base].[Metrica].&amp;[" &amp; $A14 &amp; "]",
"[Base].[SEGMENTO_DESCRIP]",
"[Base].[SEGMENTO_DESCRIP].&amp;[" &amp; $C$6 &amp; "]",
"[Base].[SITUACION]",
"[Base].[SITUACION].&amp;[" &amp; $C14 &amp; "]"
),0)/1000</f>
        <v>80954.037250549998</v>
      </c>
      <c r="S14" s="8">
        <f>IFERROR(
GETPIVOTDATA(
"[Base].[Importe]",
TDinamica_R!$A$5,
"[Calendario].[AñoMes]",
"[Calendario].[AñoMes].&amp;[" &amp; TEXT(S$6,"yyyymm") &amp; "]",
"[Base].[Metrica]",
"[Base].[Metrica].&amp;[" &amp; $A14 &amp; "]",
"[Base].[SEGMENTO_DESCRIP]",
"[Base].[SEGMENTO_DESCRIP].&amp;[" &amp; $C$6 &amp; "]",
"[Base].[SITUACION]",
"[Base].[SITUACION].&amp;[" &amp; $C14 &amp; "]"
),0)/1000</f>
        <v>80006.153423120006</v>
      </c>
      <c r="T14" s="8">
        <f>IFERROR(
GETPIVOTDATA(
"[Base].[Importe]",
TDinamica_R!$A$5,
"[Calendario].[AñoMes]",
"[Calendario].[AñoMes].&amp;[" &amp; TEXT(T$6,"yyyymm") &amp; "]",
"[Base].[Metrica]",
"[Base].[Metrica].&amp;[" &amp; $A14 &amp; "]",
"[Base].[SEGMENTO_DESCRIP]",
"[Base].[SEGMENTO_DESCRIP].&amp;[" &amp; $C$6 &amp; "]",
"[Base].[SITUACION]",
"[Base].[SITUACION].&amp;[" &amp; $C14 &amp; "]"
),0)/1000</f>
        <v>79976.093500000003</v>
      </c>
      <c r="U14" s="8">
        <f>IFERROR(
GETPIVOTDATA(
"[Base].[Importe]",
TDinamica_R!$A$5,
"[Calendario].[AñoMes]",
"[Calendario].[AñoMes].&amp;[" &amp; TEXT(U$6,"yyyymm") &amp; "]",
"[Base].[Metrica]",
"[Base].[Metrica].&amp;[" &amp; $A14 &amp; "]",
"[Base].[SEGMENTO_DESCRIP]",
"[Base].[SEGMENTO_DESCRIP].&amp;[" &amp; $C$6 &amp; "]",
"[Base].[SITUACION]",
"[Base].[SITUACION].&amp;[" &amp; $C14 &amp; "]"
),0)/1000</f>
        <v>79577.675255110007</v>
      </c>
      <c r="V14" s="8">
        <f>IFERROR(
GETPIVOTDATA(
"[Base].[Importe]",
TDinamica_R!$A$5,
"[Calendario].[AñoMes]",
"[Calendario].[AñoMes].&amp;[" &amp; TEXT(V$6,"yyyymm") &amp; "]",
"[Base].[Metrica]",
"[Base].[Metrica].&amp;[" &amp; $A14 &amp; "]",
"[Base].[SEGMENTO_DESCRIP]",
"[Base].[SEGMENTO_DESCRIP].&amp;[" &amp; $C$6 &amp; "]",
"[Base].[SITUACION]",
"[Base].[SITUACION].&amp;[" &amp; $C14 &amp; "]"
),0)/1000</f>
        <v>80801.487652799988</v>
      </c>
      <c r="W14" s="8">
        <f>IFERROR(
GETPIVOTDATA(
"[Base].[Importe]",
TDinamica_R!$A$5,
"[Calendario].[AñoMes]",
"[Calendario].[AñoMes].&amp;[" &amp; TEXT(W$6,"yyyymm") &amp; "]",
"[Base].[Metrica]",
"[Base].[Metrica].&amp;[" &amp; $A14 &amp; "]",
"[Base].[SEGMENTO_DESCRIP]",
"[Base].[SEGMENTO_DESCRIP].&amp;[" &amp; $C$6 &amp; "]",
"[Base].[SITUACION]",
"[Base].[SITUACION].&amp;[" &amp; $C14 &amp; "]"
),0)/1000</f>
        <v>82249.726631099998</v>
      </c>
      <c r="X14" s="8">
        <f>IFERROR(
GETPIVOTDATA(
"[Base].[Importe]",
TDinamica_R!$A$5,
"[Calendario].[AñoMes]",
"[Calendario].[AñoMes].&amp;[" &amp; TEXT(X$6,"yyyymm") &amp; "]",
"[Base].[Metrica]",
"[Base].[Metrica].&amp;[" &amp; $A14 &amp; "]",
"[Base].[SEGMENTO_DESCRIP]",
"[Base].[SEGMENTO_DESCRIP].&amp;[" &amp; $C$6 &amp; "]",
"[Base].[SITUACION]",
"[Base].[SITUACION].&amp;[" &amp; $C14 &amp; "]"
),0)/1000</f>
        <v>83838.497150099996</v>
      </c>
      <c r="Y14" s="8">
        <f>IFERROR(
GETPIVOTDATA(
"[Base].[Importe]",
TDinamica_R!$A$5,
"[Calendario].[AñoMes]",
"[Calendario].[AñoMes].&amp;[" &amp; TEXT(Y$6,"yyyymm") &amp; "]",
"[Base].[Metrica]",
"[Base].[Metrica].&amp;[" &amp; $A14 &amp; "]",
"[Base].[SEGMENTO_DESCRIP]",
"[Base].[SEGMENTO_DESCRIP].&amp;[" &amp; $C$6 &amp; "]",
"[Base].[SITUACION]",
"[Base].[SITUACION].&amp;[" &amp; $C14 &amp; "]"
),0)/1000</f>
        <v>83370.936799599993</v>
      </c>
      <c r="Z14" s="8">
        <f>IFERROR(
GETPIVOTDATA(
"[Base].[Importe]",
TDinamica_R!$A$5,
"[Calendario].[AñoMes]",
"[Calendario].[AñoMes].&amp;[" &amp; TEXT(Z$6,"yyyymm") &amp; "]",
"[Base].[Metrica]",
"[Base].[Metrica].&amp;[" &amp; $A14 &amp; "]",
"[Base].[SEGMENTO_DESCRIP]",
"[Base].[SEGMENTO_DESCRIP].&amp;[" &amp; $C$6 &amp; "]",
"[Base].[SITUACION]",
"[Base].[SITUACION].&amp;[" &amp; $C14 &amp; "]"
),0)/1000</f>
        <v>84961.5650914</v>
      </c>
      <c r="AA14" s="8">
        <f>IFERROR(
GETPIVOTDATA(
"[Base].[Importe]",
TDinamica_R!$A$5,
"[Calendario].[AñoMes]",
"[Calendario].[AñoMes].&amp;[" &amp; TEXT(AA$6,"yyyymm") &amp; "]",
"[Base].[Metrica]",
"[Base].[Metrica].&amp;[" &amp; $A14 &amp; "]",
"[Base].[SEGMENTO_DESCRIP]",
"[Base].[SEGMENTO_DESCRIP].&amp;[" &amp; $C$6 &amp; "]",
"[Base].[SITUACION]",
"[Base].[SITUACION].&amp;[" &amp; $C14 &amp; "]"
),0)/1000</f>
        <v>83069.955994000004</v>
      </c>
      <c r="AB14" s="8">
        <f>IFERROR(
GETPIVOTDATA(
"[Base].[Importe]",
TDinamica_R!$A$5,
"[Calendario].[AñoMes]",
"[Calendario].[AñoMes].&amp;[" &amp; TEXT(AB$6,"yyyymm") &amp; "]",
"[Base].[Metrica]",
"[Base].[Metrica].&amp;[" &amp; $A14 &amp; "]",
"[Base].[SEGMENTO_DESCRIP]",
"[Base].[SEGMENTO_DESCRIP].&amp;[" &amp; $C$6 &amp; "]",
"[Base].[SITUACION]",
"[Base].[SITUACION].&amp;[" &amp; $C14 &amp; "]"
),0)/1000</f>
        <v>82409.962193200001</v>
      </c>
      <c r="AC14" s="8">
        <f>IFERROR(
GETPIVOTDATA(
"[Base].[Importe]",
TDinamica_R!$A$5,
"[Calendario].[AñoMes]",
"[Calendario].[AñoMes].&amp;[" &amp; TEXT(AC$6,"yyyymm") &amp; "]",
"[Base].[Metrica]",
"[Base].[Metrica].&amp;[" &amp; $A14 &amp; "]",
"[Base].[SEGMENTO_DESCRIP]",
"[Base].[SEGMENTO_DESCRIP].&amp;[" &amp; $C$6 &amp; "]",
"[Base].[SITUACION]",
"[Base].[SITUACION].&amp;[" &amp; $C14 &amp; "]"
),0)/1000</f>
        <v>82305.292056999999</v>
      </c>
      <c r="AD14" s="8">
        <f>IFERROR(
GETPIVOTDATA(
"[Base].[Importe]",
TDinamica_R!$A$5,
"[Calendario].[AñoMes]",
"[Calendario].[AñoMes].&amp;[" &amp; TEXT(AD$6,"yyyymm") &amp; "]",
"[Base].[Metrica]",
"[Base].[Metrica].&amp;[" &amp; $A14 &amp; "]",
"[Base].[SEGMENTO_DESCRIP]",
"[Base].[SEGMENTO_DESCRIP].&amp;[" &amp; $C$6 &amp; "]",
"[Base].[SITUACION]",
"[Base].[SITUACION].&amp;[" &amp; $C14 &amp; "]"
),0)/1000</f>
        <v>83984.983548199991</v>
      </c>
      <c r="AE14" s="8">
        <f>IFERROR(
GETPIVOTDATA(
"[Base].[Importe]",
TDinamica_R!$A$5,
"[Calendario].[AñoMes]",
"[Calendario].[AñoMes].&amp;[" &amp; TEXT(AE$6,"yyyymm") &amp; "]",
"[Base].[Metrica]",
"[Base].[Metrica].&amp;[" &amp; $A14 &amp; "]",
"[Base].[SEGMENTO_DESCRIP]",
"[Base].[SEGMENTO_DESCRIP].&amp;[" &amp; $C$6 &amp; "]",
"[Base].[SITUACION]",
"[Base].[SITUACION].&amp;[" &amp; $C14 &amp; "]"
),0)/1000</f>
        <v>83275.295746400006</v>
      </c>
      <c r="AF14" s="8">
        <f>IFERROR(
GETPIVOTDATA(
"[Base].[Importe]",
TDinamica_R!$A$5,
"[Calendario].[AñoMes]",
"[Calendario].[AñoMes].&amp;[" &amp; TEXT(AF$6,"yyyymm") &amp; "]",
"[Base].[Metrica]",
"[Base].[Metrica].&amp;[" &amp; $A14 &amp; "]",
"[Base].[SEGMENTO_DESCRIP]",
"[Base].[SEGMENTO_DESCRIP].&amp;[" &amp; $C$6 &amp; "]",
"[Base].[SITUACION]",
"[Base].[SITUACION].&amp;[" &amp; $C14 &amp; "]"
),0)/1000</f>
        <v>82657.548331600003</v>
      </c>
      <c r="AG14" s="8">
        <f>IFERROR(
GETPIVOTDATA(
"[Base].[Importe]",
TDinamica_R!$A$5,
"[Calendario].[AñoMes]",
"[Calendario].[AñoMes].&amp;[" &amp; TEXT(AG$6,"yyyymm") &amp; "]",
"[Base].[Metrica]",
"[Base].[Metrica].&amp;[" &amp; $A14 &amp; "]",
"[Base].[SEGMENTO_DESCRIP]",
"[Base].[SEGMENTO_DESCRIP].&amp;[" &amp; $C$6 &amp; "]",
"[Base].[SITUACION]",
"[Base].[SITUACION].&amp;[" &amp; $C14 &amp; "]"
),0)/1000</f>
        <v>83883.198189699993</v>
      </c>
      <c r="AH14" s="8">
        <f>IFERROR(
GETPIVOTDATA(
"[Base].[Importe]",
TDinamica_R!$A$5,
"[Calendario].[AñoMes]",
"[Calendario].[AñoMes].&amp;[" &amp; TEXT(AH$6,"yyyymm") &amp; "]",
"[Base].[Metrica]",
"[Base].[Metrica].&amp;[" &amp; $A14 &amp; "]",
"[Base].[SEGMENTO_DESCRIP]",
"[Base].[SEGMENTO_DESCRIP].&amp;[" &amp; $C$6 &amp; "]",
"[Base].[SITUACION]",
"[Base].[SITUACION].&amp;[" &amp; $C14 &amp; "]"
),0)/1000</f>
        <v>83883.793625899998</v>
      </c>
      <c r="AI14" s="8">
        <f>IFERROR(
GETPIVOTDATA(
"[Base].[Importe]",
TDinamica_R!$A$5,
"[Calendario].[AñoMes]",
"[Calendario].[AñoMes].&amp;[" &amp; TEXT(AI$6,"yyyymm") &amp; "]",
"[Base].[Metrica]",
"[Base].[Metrica].&amp;[" &amp; $A14 &amp; "]",
"[Base].[SEGMENTO_DESCRIP]",
"[Base].[SEGMENTO_DESCRIP].&amp;[" &amp; $C$6 &amp; "]",
"[Base].[SITUACION]",
"[Base].[SITUACION].&amp;[" &amp; $C14 &amp; "]"
),0)/1000</f>
        <v>83085.736663000003</v>
      </c>
      <c r="AJ14" s="8">
        <f>IFERROR(
GETPIVOTDATA(
"[Base].[Importe]",
TDinamica_R!$A$5,
"[Calendario].[AñoMes]",
"[Calendario].[AñoMes].&amp;[" &amp; TEXT(AJ$6,"yyyymm") &amp; "]",
"[Base].[Metrica]",
"[Base].[Metrica].&amp;[" &amp; $A14 &amp; "]",
"[Base].[SEGMENTO_DESCRIP]",
"[Base].[SEGMENTO_DESCRIP].&amp;[" &amp; $C$6 &amp; "]",
"[Base].[SITUACION]",
"[Base].[SITUACION].&amp;[" &amp; $C14 &amp; "]"
),0)/1000</f>
        <v>82104.843523699994</v>
      </c>
      <c r="AK14" s="8">
        <f>IFERROR(
GETPIVOTDATA(
"[Base].[Importe]",
TDinamica_R!$A$5,
"[Calendario].[AñoMes]",
"[Calendario].[AñoMes].&amp;[" &amp; TEXT(AK$6,"yyyymm") &amp; "]",
"[Base].[Metrica]",
"[Base].[Metrica].&amp;[" &amp; $A14 &amp; "]",
"[Base].[SEGMENTO_DESCRIP]",
"[Base].[SEGMENTO_DESCRIP].&amp;[" &amp; $C$6 &amp; "]",
"[Base].[SITUACION]",
"[Base].[SITUACION].&amp;[" &amp; $C14 &amp; "]"
),0)/1000</f>
        <v>81417.136944600003</v>
      </c>
      <c r="AL14" s="8">
        <f>IFERROR(
GETPIVOTDATA(
"[Base].[Importe]",
TDinamica_R!$A$5,
"[Calendario].[AñoMes]",
"[Calendario].[AñoMes].&amp;[" &amp; TEXT(AL$6,"yyyymm") &amp; "]",
"[Base].[Metrica]",
"[Base].[Metrica].&amp;[" &amp; $A14 &amp; "]",
"[Base].[SEGMENTO_DESCRIP]",
"[Base].[SEGMENTO_DESCRIP].&amp;[" &amp; $C$6 &amp; "]",
"[Base].[SITUACION]",
"[Base].[SITUACION].&amp;[" &amp; $C14 &amp; "]"
),0)/1000</f>
        <v>81582.598717000001</v>
      </c>
      <c r="AM14" s="8">
        <f>IFERROR(
GETPIVOTDATA(
"[Base].[Importe]",
TDinamica_R!$A$5,
"[Calendario].[AñoMes]",
"[Calendario].[AñoMes].&amp;[" &amp; TEXT(AM$6,"yyyymm") &amp; "]",
"[Base].[Metrica]",
"[Base].[Metrica].&amp;[" &amp; $A14 &amp; "]",
"[Base].[SEGMENTO_DESCRIP]",
"[Base].[SEGMENTO_DESCRIP].&amp;[" &amp; $C$6 &amp; "]",
"[Base].[SITUACION]",
"[Base].[SITUACION].&amp;[" &amp; $C14 &amp; "]"
),0)/1000</f>
        <v>81090.466592199999</v>
      </c>
      <c r="AN14" s="8">
        <f>IFERROR(
GETPIVOTDATA(
"[Base].[Importe]",
TDinamica_R!$A$5,
"[Calendario].[AñoMes]",
"[Calendario].[AñoMes].&amp;[" &amp; TEXT(AN$6,"yyyymm") &amp; "]",
"[Base].[Metrica]",
"[Base].[Metrica].&amp;[" &amp; $A14 &amp; "]",
"[Base].[SEGMENTO_DESCRIP]",
"[Base].[SEGMENTO_DESCRIP].&amp;[" &amp; $C$6 &amp; "]",
"[Base].[SITUACION]",
"[Base].[SITUACION].&amp;[" &amp; $C14 &amp; "]"
),0)/1000</f>
        <v>80825.06</v>
      </c>
      <c r="AO14" s="8">
        <f>IFERROR(
GETPIVOTDATA(
"[Base].[Importe]",
TDinamica_R!$A$5,
"[Calendario].[AñoMes]",
"[Calendario].[AñoMes].&amp;[" &amp; TEXT(AO$6,"yyyymm") &amp; "]",
"[Base].[Metrica]",
"[Base].[Metrica].&amp;[" &amp; $A14 &amp; "]",
"[Base].[SEGMENTO_DESCRIP]",
"[Base].[SEGMENTO_DESCRIP].&amp;[" &amp; $C$6 &amp; "]",
"[Base].[SITUACION]",
"[Base].[SITUACION].&amp;[" &amp; $C14 &amp; "]"
),0)/1000</f>
        <v>81378.91</v>
      </c>
      <c r="AP14" s="8">
        <f>IFERROR(
GETPIVOTDATA(
"[Base].[Importe]",
TDinamica_R!$A$5,
"[Calendario].[AñoMes]",
"[Calendario].[AñoMes].&amp;[" &amp; TEXT(AP$6,"yyyymm") &amp; "]",
"[Base].[Metrica]",
"[Base].[Metrica].&amp;[" &amp; $A14 &amp; "]",
"[Base].[SEGMENTO_DESCRIP]",
"[Base].[SEGMENTO_DESCRIP].&amp;[" &amp; $C$6 &amp; "]",
"[Base].[SITUACION]",
"[Base].[SITUACION].&amp;[" &amp; $C14 &amp; "]"
),0)/1000</f>
        <v>82644.11</v>
      </c>
      <c r="AQ14" s="8">
        <f>IFERROR(
GETPIVOTDATA(
"[Base].[Importe]",
TDinamica_R!$A$5,
"[Calendario].[AñoMes]",
"[Calendario].[AñoMes].&amp;[" &amp; TEXT(AQ$6,"yyyymm") &amp; "]",
"[Base].[Metrica]",
"[Base].[Metrica].&amp;[" &amp; $A14 &amp; "]",
"[Base].[SEGMENTO_DESCRIP]",
"[Base].[SEGMENTO_DESCRIP].&amp;[" &amp; $C$6 &amp; "]",
"[Base].[SITUACION]",
"[Base].[SITUACION].&amp;[" &amp; $C14 &amp; "]"
),0)/1000</f>
        <v>82538.35333381001</v>
      </c>
      <c r="AR14" s="8">
        <f>IFERROR(
GETPIVOTDATA(
"[Base].[Importe]",
TDinamica_R!$A$5,
"[Calendario].[AñoMes]",
"[Calendario].[AñoMes].&amp;[" &amp; TEXT(AR$6,"yyyymm") &amp; "]",
"[Base].[Metrica]",
"[Base].[Metrica].&amp;[" &amp; $A14 &amp; "]",
"[Base].[SEGMENTO_DESCRIP]",
"[Base].[SEGMENTO_DESCRIP].&amp;[" &amp; $C$6 &amp; "]",
"[Base].[SITUACION]",
"[Base].[SITUACION].&amp;[" &amp; $C14 &amp; "]"
),0)/1000</f>
        <v>83463.216448849984</v>
      </c>
      <c r="AS14" s="8">
        <f>IFERROR(
GETPIVOTDATA(
"[Base].[Importe]",
TDinamica_R!$A$5,
"[Calendario].[AñoMes]",
"[Calendario].[AñoMes].&amp;[" &amp; TEXT(AS$6,"yyyymm") &amp; "]",
"[Base].[Metrica]",
"[Base].[Metrica].&amp;[" &amp; $A14 &amp; "]",
"[Base].[SEGMENTO_DESCRIP]",
"[Base].[SEGMENTO_DESCRIP].&amp;[" &amp; $C$6 &amp; "]",
"[Base].[SITUACION]",
"[Base].[SITUACION].&amp;[" &amp; $C14 &amp; "]"
),0)/1000</f>
        <v>86629.489423350009</v>
      </c>
      <c r="AT14" s="8">
        <f>IFERROR(
GETPIVOTDATA(
"[Base].[Importe]",
TDinamica_R!$A$5,
"[Calendario].[AñoMes]",
"[Calendario].[AñoMes].&amp;[" &amp; TEXT(AT$6,"yyyymm")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U14" s="8">
        <f>IFERROR(
GETPIVOTDATA(
"[Base].[Importe]",
TDinamica_R!$A$5,
"[Calendario].[AñoMes]",
"[Calendario].[AñoMes].&amp;[" &amp; TEXT(AU$6,"yyyymm")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V14" s="8">
        <f>IFERROR(
GETPIVOTDATA(
"[Base].[Importe]",
TDinamica_R!$A$5,
"[Calendario].[AñoMes]",
"[Calendario].[AñoMes].&amp;[" &amp; TEXT(AV$6,"yyyymm")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W14" s="8">
        <f>IFERROR(
GETPIVOTDATA(
"[Base].[Importe]",
TDinamica_R!$A$5,
"[Calendario].[AñoMes]",
"[Calendario].[AñoMes].&amp;[" &amp; TEXT(AW$6,"yyyymm")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X14" s="8">
        <f>IFERROR(
GETPIVOTDATA(
"[Base].[Importe]",
TDinamica_R!$A$5,
"[Calendario].[AñoMes]",
"[Calendario].[AñoMes].&amp;[" &amp; TEXT(AX$6,"yyyymm")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Y14" s="8">
        <f>IFERROR(
GETPIVOTDATA(
"[Base].[Importe]",
TDinamica_R!$A$5,
"[Calendario].[AñoMes]",
"[Calendario].[AñoMes].&amp;[" &amp; TEXT(AY$6,"yyyymm")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Z14" s="8">
        <f>IFERROR(
GETPIVOTDATA(
"[BASE_CONVE_PPTO].[Importe]",
TDinamica_P!$A$5,
"[BASE_CONVE_PPTO].[Periodo]",
"[BASE_CONVE_PPTO].[Periodo].&amp;[" &amp; TEXT(AZ$6,"yyyymm")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86504.366110977309</v>
      </c>
      <c r="BA14" s="8">
        <f>IFERROR(
GETPIVOTDATA(
"[BASE_CONVE_PPTO].[Importe]",
TDinamica_P!$A$5,
"[BASE_CONVE_PPTO].[Periodo]",
"[BASE_CONVE_PPTO].[Periodo].&amp;[" &amp; TEXT(BA$6,"yyyymm")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88141.861195755933</v>
      </c>
      <c r="BB14" s="8">
        <f>IFERROR(
GETPIVOTDATA(
"[BASE_CONVE_PPTO].[Importe]",
TDinamica_P!$A$5,
"[BASE_CONVE_PPTO].[Periodo]",
"[BASE_CONVE_PPTO].[Periodo].&amp;[" &amp; TEXT(BB$6,"yyyymm")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90213.938925259135</v>
      </c>
      <c r="BC14" s="8">
        <f>IFERROR(
GETPIVOTDATA(
"[BASE_CONVE_PPTO].[Importe]",
TDinamica_P!$A$5,
"[BASE_CONVE_PPTO].[Periodo]",
"[BASE_CONVE_PPTO].[Periodo].&amp;[" &amp; TEXT(BC$6,"yyyymm")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91835.450533828815</v>
      </c>
      <c r="BD14" s="8">
        <f>IFERROR(
GETPIVOTDATA(
"[BASE_CONVE_PPTO].[Importe]",
TDinamica_P!$A$5,
"[BASE_CONVE_PPTO].[Periodo]",
"[BASE_CONVE_PPTO].[Periodo].&amp;[" &amp; TEXT(BD$6,"yyyymm")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94346.697846769894</v>
      </c>
      <c r="BE14" s="8">
        <f>IFERROR(
GETPIVOTDATA(
"[BASE_CONVE_PPTO].[Importe]",
TDinamica_P!$A$5,
"[BASE_CONVE_PPTO].[Periodo]",
"[BASE_CONVE_PPTO].[Periodo].&amp;[" &amp; TEXT(BE$6,"yyyymm")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96976.590829144945</v>
      </c>
      <c r="BF14" s="8">
        <f>IFERROR(
GETPIVOTDATA(
"[BASE_CONVE_PPTO].[Importe]",
TDinamica_P!$A$5,
"[BASE_CONVE_PPTO].[Periodo]",
"[BASE_CONVE_PPTO].[Periodo].&amp;[" &amp; TEXT(BF$6,"yyyymm")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99649.834575941277</v>
      </c>
      <c r="BG14" s="8">
        <f>IFERROR(
GETPIVOTDATA(
"[BASE_CONVE_PPTO].[Importe]",
TDinamica_P!$A$5,
"[BASE_CONVE_PPTO].[Periodo]",
"[BASE_CONVE_PPTO].[Periodo].&amp;[" &amp; TEXT(BG$6,"yyyymm")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102352.84799594608</v>
      </c>
      <c r="BH14" s="8">
        <f>IFERROR(
GETPIVOTDATA(
"[BASE_CONVE_PPTO].[Importe]",
TDinamica_P!$A$5,
"[BASE_CONVE_PPTO].[Periodo]",
"[BASE_CONVE_PPTO].[Periodo].&amp;[" &amp; TEXT(BH$6,"yyyymm")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107668.00619028513</v>
      </c>
      <c r="BI14" s="8">
        <f>IFERROR(
GETPIVOTDATA(
"[BASE_CONVE_PPTO].[Importe]",
TDinamica_P!$A$5,
"[BASE_CONVE_PPTO].[Periodo]",
"[BASE_CONVE_PPTO].[Periodo].&amp;[" &amp; TEXT(BI$6,"yyyymm")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112577.42270299363</v>
      </c>
      <c r="BJ14" s="8">
        <f>IFERROR(
GETPIVOTDATA(
"[BASE_CONVE_PPTO].[Importe]",
TDinamica_P!$A$5,
"[BASE_CONVE_PPTO].[Periodo]",
"[BASE_CONVE_PPTO].[Periodo].&amp;[" &amp; TEXT(BJ$6,"yyyymm")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117493.18639791291</v>
      </c>
      <c r="BK14" s="8">
        <f>IFERROR(
GETPIVOTDATA(
"[BASE_CONVE_PPTO].[Importe]",
TDinamica_P!$A$5,
"[BASE_CONVE_PPTO].[Periodo]",
"[BASE_CONVE_PPTO].[Periodo].&amp;[" &amp; TEXT(BK$6,"yyyymm")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121810.96702389108</v>
      </c>
      <c r="BO14" s="24">
        <f t="shared" ref="BO14:BT16" si="10">IFERROR(AVERAGEIFS($D14:$BM14,$D$6:$BM$6,"&gt;="&amp;BO$2,$D$6:$BM$6,"&lt;="&amp;BO$6,$D$5:$BM$5,BO$5,$D14:$BM14,"&lt;&gt;0"),0)</f>
        <v>82169.929956531996</v>
      </c>
      <c r="BP14" s="24">
        <f t="shared" si="10"/>
        <v>90208.462922518229</v>
      </c>
      <c r="BQ14" s="24">
        <f t="shared" si="10"/>
        <v>81846.608333452503</v>
      </c>
      <c r="BR14" s="24">
        <f t="shared" si="10"/>
        <v>82926.616375280006</v>
      </c>
      <c r="BS14" s="24">
        <f t="shared" si="10"/>
        <v>80088.293613182002</v>
      </c>
      <c r="BT14" s="24">
        <f t="shared" si="10"/>
        <v>75803.122301999989</v>
      </c>
      <c r="BW14" s="24">
        <f t="shared" ref="BW14:CB16" si="11">SUMIFS($D14:$BM14,$D$6:$BM$6,"&gt;="&amp;BO$2,$D$6:$BM$6,"&lt;="&amp;BO$6,$D$5:$BM$5,BO$5)</f>
        <v>410849.64978266001</v>
      </c>
      <c r="BX14" s="24">
        <f t="shared" si="11"/>
        <v>451042.31461259112</v>
      </c>
      <c r="BY14" s="24">
        <f t="shared" si="11"/>
        <v>327386.43333381001</v>
      </c>
      <c r="BZ14" s="24">
        <f t="shared" si="11"/>
        <v>414633.08187640004</v>
      </c>
      <c r="CA14" s="24">
        <f t="shared" si="11"/>
        <v>400441.46806590998</v>
      </c>
      <c r="CB14" s="24">
        <f t="shared" si="11"/>
        <v>379015.61150999996</v>
      </c>
    </row>
    <row r="15" spans="1:81" outlineLevel="1" x14ac:dyDescent="0.25">
      <c r="A15" s="11" t="s">
        <v>52</v>
      </c>
      <c r="C15" s="2" t="s">
        <v>1</v>
      </c>
      <c r="D15" s="8">
        <f>IFERROR(
GETPIVOTDATA(
"[Base].[Importe]",
TDinamica_R!$A$5,
"[Calendario].[AñoMes]",
"[Calendario].[AñoMes].&amp;[" &amp; TEXT(D$6,"yyyymm") &amp; "]",
"[Base].[Metrica]",
"[Base].[Metrica].&amp;[" &amp; $A15 &amp; "]",
"[Base].[SEGMENTO_DESCRIP]",
"[Base].[SEGMENTO_DESCRIP].&amp;[" &amp; $C$6 &amp; "]",
"[Base].[SITUACION]",
"[Base].[SITUACION].&amp;[" &amp; $C15 &amp; "]"
),0)/1000</f>
        <v>44.58822</v>
      </c>
      <c r="E15" s="8">
        <f>IFERROR(
GETPIVOTDATA(
"[Base].[Importe]",
TDinamica_R!$A$5,
"[Calendario].[AñoMes]",
"[Calendario].[AñoMes].&amp;[" &amp; TEXT(E$6,"yyyymm") &amp; "]",
"[Base].[Metrica]",
"[Base].[Metrica].&amp;[" &amp; $A15 &amp; "]",
"[Base].[SEGMENTO_DESCRIP]",
"[Base].[SEGMENTO_DESCRIP].&amp;[" &amp; $C$6 &amp; "]",
"[Base].[SITUACION]",
"[Base].[SITUACION].&amp;[" &amp; $C15 &amp; "]"
),0)/1000</f>
        <v>43.691069999999996</v>
      </c>
      <c r="F15" s="8">
        <f>IFERROR(
GETPIVOTDATA(
"[Base].[Importe]",
TDinamica_R!$A$5,
"[Calendario].[AñoMes]",
"[Calendario].[AñoMes].&amp;[" &amp; TEXT(F$6,"yyyymm") &amp; "]",
"[Base].[Metrica]",
"[Base].[Metrica].&amp;[" &amp; $A15 &amp; "]",
"[Base].[SEGMENTO_DESCRIP]",
"[Base].[SEGMENTO_DESCRIP].&amp;[" &amp; $C$6 &amp; "]",
"[Base].[SITUACION]",
"[Base].[SITUACION].&amp;[" &amp; $C15 &amp; "]"
),0)/1000</f>
        <v>41.632100000000001</v>
      </c>
      <c r="G15" s="8">
        <f>IFERROR(
GETPIVOTDATA(
"[Base].[Importe]",
TDinamica_R!$A$5,
"[Calendario].[AñoMes]",
"[Calendario].[AñoMes].&amp;[" &amp; TEXT(G$6,"yyyymm") &amp; "]",
"[Base].[Metrica]",
"[Base].[Metrica].&amp;[" &amp; $A15 &amp; "]",
"[Base].[SEGMENTO_DESCRIP]",
"[Base].[SEGMENTO_DESCRIP].&amp;[" &amp; $C$6 &amp; "]",
"[Base].[SITUACION]",
"[Base].[SITUACION].&amp;[" &amp; $C15 &amp; "]"
),0)/1000</f>
        <v>11.72349</v>
      </c>
      <c r="H15" s="8">
        <f>IFERROR(
GETPIVOTDATA(
"[Base].[Importe]",
TDinamica_R!$A$5,
"[Calendario].[AñoMes]",
"[Calendario].[AñoMes].&amp;[" &amp; TEXT(H$6,"yyyymm") &amp; "]",
"[Base].[Metrica]",
"[Base].[Metrica].&amp;[" &amp; $A15 &amp; "]",
"[Base].[SEGMENTO_DESCRIP]",
"[Base].[SEGMENTO_DESCRIP].&amp;[" &amp; $C$6 &amp; "]",
"[Base].[SITUACION]",
"[Base].[SITUACION].&amp;[" &amp; $C15 &amp; "]"
),0)/1000</f>
        <v>11.407450000000001</v>
      </c>
      <c r="I15" s="8">
        <f>IFERROR(
GETPIVOTDATA(
"[Base].[Importe]",
TDinamica_R!$A$5,
"[Calendario].[AñoMes]",
"[Calendario].[AñoMes].&amp;[" &amp; TEXT(I$6,"yyyymm") &amp; "]",
"[Base].[Metrica]",
"[Base].[Metrica].&amp;[" &amp; $A15 &amp; "]",
"[Base].[SEGMENTO_DESCRIP]",
"[Base].[SEGMENTO_DESCRIP].&amp;[" &amp; $C$6 &amp; "]",
"[Base].[SITUACION]",
"[Base].[SITUACION].&amp;[" &amp; $C15 &amp; "]"
),0)/1000</f>
        <v>10.958399999999999</v>
      </c>
      <c r="J15" s="8">
        <f>IFERROR(
GETPIVOTDATA(
"[Base].[Importe]",
TDinamica_R!$A$5,
"[Calendario].[AñoMes]",
"[Calendario].[AñoMes].&amp;[" &amp; TEXT(J$6,"yyyymm") &amp; "]",
"[Base].[Metrica]",
"[Base].[Metrica].&amp;[" &amp; $A15 &amp; "]",
"[Base].[SEGMENTO_DESCRIP]",
"[Base].[SEGMENTO_DESCRIP].&amp;[" &amp; $C$6 &amp; "]",
"[Base].[SITUACION]",
"[Base].[SITUACION].&amp;[" &amp; $C15 &amp; "]"
),0)/1000</f>
        <v>10.46125</v>
      </c>
      <c r="K15" s="8">
        <f>IFERROR(
GETPIVOTDATA(
"[Base].[Importe]",
TDinamica_R!$A$5,
"[Calendario].[AñoMes]",
"[Calendario].[AñoMes].&amp;[" &amp; TEXT(K$6,"yyyymm") &amp; "]",
"[Base].[Metrica]",
"[Base].[Metrica].&amp;[" &amp; $A15 &amp; "]",
"[Base].[SEGMENTO_DESCRIP]",
"[Base].[SEGMENTO_DESCRIP].&amp;[" &amp; $C$6 &amp; "]",
"[Base].[SITUACION]",
"[Base].[SITUACION].&amp;[" &amp; $C15 &amp; "]"
),0)/1000</f>
        <v>10.015540000000001</v>
      </c>
      <c r="L15" s="8">
        <f>IFERROR(
GETPIVOTDATA(
"[Base].[Importe]",
TDinamica_R!$A$5,
"[Calendario].[AñoMes]",
"[Calendario].[AñoMes].&amp;[" &amp; TEXT(L$6,"yyyymm") &amp; "]",
"[Base].[Metrica]",
"[Base].[Metrica].&amp;[" &amp; $A15 &amp; "]",
"[Base].[SEGMENTO_DESCRIP]",
"[Base].[SEGMENTO_DESCRIP].&amp;[" &amp; $C$6 &amp; "]",
"[Base].[SITUACION]",
"[Base].[SITUACION].&amp;[" &amp; $C15 &amp; "]"
),0)/1000</f>
        <v>9.7347400000000004</v>
      </c>
      <c r="M15" s="8">
        <f>IFERROR(
GETPIVOTDATA(
"[Base].[Importe]",
TDinamica_R!$A$5,
"[Calendario].[AñoMes]",
"[Calendario].[AñoMes].&amp;[" &amp; TEXT(M$6,"yyyymm") &amp; "]",
"[Base].[Metrica]",
"[Base].[Metrica].&amp;[" &amp; $A15 &amp; "]",
"[Base].[SEGMENTO_DESCRIP]",
"[Base].[SEGMENTO_DESCRIP].&amp;[" &amp; $C$6 &amp; "]",
"[Base].[SITUACION]",
"[Base].[SITUACION].&amp;[" &amp; $C15 &amp; "]"
),0)/1000</f>
        <v>9.1708400000000001</v>
      </c>
      <c r="N15" s="8">
        <f>IFERROR(
GETPIVOTDATA(
"[Base].[Importe]",
TDinamica_R!$A$5,
"[Calendario].[AñoMes]",
"[Calendario].[AñoMes].&amp;[" &amp; TEXT(N$6,"yyyymm") &amp; "]",
"[Base].[Metrica]",
"[Base].[Metrica].&amp;[" &amp; $A15 &amp; "]",
"[Base].[SEGMENTO_DESCRIP]",
"[Base].[SEGMENTO_DESCRIP].&amp;[" &amp; $C$6 &amp; "]",
"[Base].[SITUACION]",
"[Base].[SITUACION].&amp;[" &amp; $C15 &amp; "]"
),0)/1000</f>
        <v>8.7323700000000013</v>
      </c>
      <c r="O15" s="8">
        <f>IFERROR(
GETPIVOTDATA(
"[Base].[Importe]",
TDinamica_R!$A$5,
"[Calendario].[AñoMes]",
"[Calendario].[AñoMes].&amp;[" &amp; TEXT(O$6,"yyyymm") &amp; "]",
"[Base].[Metrica]",
"[Base].[Metrica].&amp;[" &amp; $A15 &amp; "]",
"[Base].[SEGMENTO_DESCRIP]",
"[Base].[SEGMENTO_DESCRIP].&amp;[" &amp; $C$6 &amp; "]",
"[Base].[SITUACION]",
"[Base].[SITUACION].&amp;[" &amp; $C15 &amp; "]"
),0)/1000</f>
        <v>8.2765300000000011</v>
      </c>
      <c r="P15" s="8">
        <f>IFERROR(
GETPIVOTDATA(
"[Base].[Importe]",
TDinamica_R!$A$5,
"[Calendario].[AñoMes]",
"[Calendario].[AñoMes].&amp;[" &amp; TEXT(P$6,"yyyymm") &amp; "]",
"[Base].[Metrica]",
"[Base].[Metrica].&amp;[" &amp; $A15 &amp; "]",
"[Base].[SEGMENTO_DESCRIP]",
"[Base].[SEGMENTO_DESCRIP].&amp;[" &amp; $C$6 &amp; "]",
"[Base].[SITUACION]",
"[Base].[SITUACION].&amp;[" &amp; $C15 &amp; "]"
),0)/1000</f>
        <v>7.8583699999999999</v>
      </c>
      <c r="Q15" s="8">
        <f>IFERROR(
GETPIVOTDATA(
"[Base].[Importe]",
TDinamica_R!$A$5,
"[Calendario].[AñoMes]",
"[Calendario].[AñoMes].&amp;[" &amp; TEXT(Q$6,"yyyymm") &amp; "]",
"[Base].[Metrica]",
"[Base].[Metrica].&amp;[" &amp; $A15 &amp; "]",
"[Base].[SEGMENTO_DESCRIP]",
"[Base].[SEGMENTO_DESCRIP].&amp;[" &amp; $C$6 &amp; "]",
"[Base].[SITUACION]",
"[Base].[SITUACION].&amp;[" &amp; $C15 &amp; "]"
),0)/1000</f>
        <v>7.3863799999999999</v>
      </c>
      <c r="R15" s="8">
        <f>IFERROR(
GETPIVOTDATA(
"[Base].[Importe]",
TDinamica_R!$A$5,
"[Calendario].[AñoMes]",
"[Calendario].[AñoMes].&amp;[" &amp; TEXT(R$6,"yyyymm") &amp; "]",
"[Base].[Metrica]",
"[Base].[Metrica].&amp;[" &amp; $A15 &amp; "]",
"[Base].[SEGMENTO_DESCRIP]",
"[Base].[SEGMENTO_DESCRIP].&amp;[" &amp; $C$6 &amp; "]",
"[Base].[SITUACION]",
"[Base].[SITUACION].&amp;[" &amp; $C15 &amp; "]"
),0)/1000</f>
        <v>6.9119799999999998</v>
      </c>
      <c r="S15" s="8">
        <f>IFERROR(
GETPIVOTDATA(
"[Base].[Importe]",
TDinamica_R!$A$5,
"[Calendario].[AñoMes]",
"[Calendario].[AñoMes].&amp;[" &amp; TEXT(S$6,"yyyymm") &amp; "]",
"[Base].[Metrica]",
"[Base].[Metrica].&amp;[" &amp; $A15 &amp; "]",
"[Base].[SEGMENTO_DESCRIP]",
"[Base].[SEGMENTO_DESCRIP].&amp;[" &amp; $C$6 &amp; "]",
"[Base].[SITUACION]",
"[Base].[SITUACION].&amp;[" &amp; $C15 &amp; "]"
),0)/1000</f>
        <v>6.4601899999999999</v>
      </c>
      <c r="T15" s="8">
        <f>IFERROR(
GETPIVOTDATA(
"[Base].[Importe]",
TDinamica_R!$A$5,
"[Calendario].[AñoMes]",
"[Calendario].[AñoMes].&amp;[" &amp; TEXT(T$6,"yyyymm") &amp; "]",
"[Base].[Metrica]",
"[Base].[Metrica].&amp;[" &amp; $A15 &amp; "]",
"[Base].[SEGMENTO_DESCRIP]",
"[Base].[SEGMENTO_DESCRIP].&amp;[" &amp; $C$6 &amp; "]",
"[Base].[SITUACION]",
"[Base].[SITUACION].&amp;[" &amp; $C15 &amp; "]"
),0)/1000</f>
        <v>5.9891899999999998</v>
      </c>
      <c r="U15" s="8">
        <f>IFERROR(
GETPIVOTDATA(
"[Base].[Importe]",
TDinamica_R!$A$5,
"[Calendario].[AñoMes]",
"[Calendario].[AñoMes].&amp;[" &amp; TEXT(U$6,"yyyymm") &amp; "]",
"[Base].[Metrica]",
"[Base].[Metrica].&amp;[" &amp; $A15 &amp; "]",
"[Base].[SEGMENTO_DESCRIP]",
"[Base].[SEGMENTO_DESCRIP].&amp;[" &amp; $C$6 &amp; "]",
"[Base].[SITUACION]",
"[Base].[SITUACION].&amp;[" &amp; $C15 &amp; "]"
),0)/1000</f>
        <v>5.5747999999999998</v>
      </c>
      <c r="V15" s="8">
        <f>IFERROR(
GETPIVOTDATA(
"[Base].[Importe]",
TDinamica_R!$A$5,
"[Calendario].[AñoMes]",
"[Calendario].[AñoMes].&amp;[" &amp; TEXT(V$6,"yyyymm") &amp; "]",
"[Base].[Metrica]",
"[Base].[Metrica].&amp;[" &amp; $A15 &amp; "]",
"[Base].[SEGMENTO_DESCRIP]",
"[Base].[SEGMENTO_DESCRIP].&amp;[" &amp; $C$6 &amp; "]",
"[Base].[SITUACION]",
"[Base].[SITUACION].&amp;[" &amp; $C15 &amp; "]"
),0)/1000</f>
        <v>5.01213</v>
      </c>
      <c r="W15" s="8">
        <f>IFERROR(
GETPIVOTDATA(
"[Base].[Importe]",
TDinamica_R!$A$5,
"[Calendario].[AñoMes]",
"[Calendario].[AñoMes].&amp;[" &amp; TEXT(W$6,"yyyymm") &amp; "]",
"[Base].[Metrica]",
"[Base].[Metrica].&amp;[" &amp; $A15 &amp; "]",
"[Base].[SEGMENTO_DESCRIP]",
"[Base].[SEGMENTO_DESCRIP].&amp;[" &amp; $C$6 &amp; "]",
"[Base].[SITUACION]",
"[Base].[SITUACION].&amp;[" &amp; $C15 &amp; "]"
),0)/1000</f>
        <v>4.5230200000000007</v>
      </c>
      <c r="X15" s="8">
        <f>IFERROR(
GETPIVOTDATA(
"[Base].[Importe]",
TDinamica_R!$A$5,
"[Calendario].[AñoMes]",
"[Calendario].[AñoMes].&amp;[" &amp; TEXT(X$6,"yyyymm") &amp; "]",
"[Base].[Metrica]",
"[Base].[Metrica].&amp;[" &amp; $A15 &amp; "]",
"[Base].[SEGMENTO_DESCRIP]",
"[Base].[SEGMENTO_DESCRIP].&amp;[" &amp; $C$6 &amp; "]",
"[Base].[SITUACION]",
"[Base].[SITUACION].&amp;[" &amp; $C15 &amp; "]"
),0)/1000</f>
        <v>4.04237</v>
      </c>
      <c r="Y15" s="8">
        <f>IFERROR(
GETPIVOTDATA(
"[Base].[Importe]",
TDinamica_R!$A$5,
"[Calendario].[AñoMes]",
"[Calendario].[AñoMes].&amp;[" &amp; TEXT(Y$6,"yyyymm") &amp; "]",
"[Base].[Metrica]",
"[Base].[Metrica].&amp;[" &amp; $A15 &amp; "]",
"[Base].[SEGMENTO_DESCRIP]",
"[Base].[SEGMENTO_DESCRIP].&amp;[" &amp; $C$6 &amp; "]",
"[Base].[SITUACION]",
"[Base].[SITUACION].&amp;[" &amp; $C15 &amp; "]"
),0)/1000</f>
        <v>3.5239799999999999</v>
      </c>
      <c r="Z15" s="8">
        <f>IFERROR(
GETPIVOTDATA(
"[Base].[Importe]",
TDinamica_R!$A$5,
"[Calendario].[AñoMes]",
"[Calendario].[AñoMes].&amp;[" &amp; TEXT(Z$6,"yyyymm") &amp; "]",
"[Base].[Metrica]",
"[Base].[Metrica].&amp;[" &amp; $A15 &amp; "]",
"[Base].[SEGMENTO_DESCRIP]",
"[Base].[SEGMENTO_DESCRIP].&amp;[" &amp; $C$6 &amp; "]",
"[Base].[SITUACION]",
"[Base].[SITUACION].&amp;[" &amp; $C15 &amp; "]"
),0)/1000</f>
        <v>3.0652199999999996</v>
      </c>
      <c r="AA15" s="8">
        <f>IFERROR(
GETPIVOTDATA(
"[Base].[Importe]",
TDinamica_R!$A$5,
"[Calendario].[AñoMes]",
"[Calendario].[AñoMes].&amp;[" &amp; TEXT(AA$6,"yyyymm") &amp; "]",
"[Base].[Metrica]",
"[Base].[Metrica].&amp;[" &amp; $A15 &amp; "]",
"[Base].[SEGMENTO_DESCRIP]",
"[Base].[SEGMENTO_DESCRIP].&amp;[" &amp; $C$6 &amp; "]",
"[Base].[SITUACION]",
"[Base].[SITUACION].&amp;[" &amp; $C15 &amp; "]"
),0)/1000</f>
        <v>0.17782000000000001</v>
      </c>
      <c r="AB15" s="8">
        <f>IFERROR(
GETPIVOTDATA(
"[Base].[Importe]",
TDinamica_R!$A$5,
"[Calendario].[AñoMes]",
"[Calendario].[AñoMes].&amp;[" &amp; TEXT(AB$6,"yyyymm")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C15" s="8">
        <f>IFERROR(
GETPIVOTDATA(
"[Base].[Importe]",
TDinamica_R!$A$5,
"[Calendario].[AñoMes]",
"[Calendario].[AñoMes].&amp;[" &amp; TEXT(AC$6,"yyyymm")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D15" s="8">
        <f>IFERROR(
GETPIVOTDATA(
"[Base].[Importe]",
TDinamica_R!$A$5,
"[Calendario].[AñoMes]",
"[Calendario].[AñoMes].&amp;[" &amp; TEXT(AD$6,"yyyymm")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E15" s="8">
        <f>IFERROR(
GETPIVOTDATA(
"[Base].[Importe]",
TDinamica_R!$A$5,
"[Calendario].[AñoMes]",
"[Calendario].[AñoMes].&amp;[" &amp; TEXT(AE$6,"yyyymm")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F15" s="8">
        <f>IFERROR(
GETPIVOTDATA(
"[Base].[Importe]",
TDinamica_R!$A$5,
"[Calendario].[AñoMes]",
"[Calendario].[AñoMes].&amp;[" &amp; TEXT(AF$6,"yyyymm")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G15" s="8">
        <f>IFERROR(
GETPIVOTDATA(
"[Base].[Importe]",
TDinamica_R!$A$5,
"[Calendario].[AñoMes]",
"[Calendario].[AñoMes].&amp;[" &amp; TEXT(AG$6,"yyyymm")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H15" s="8">
        <f>IFERROR(
GETPIVOTDATA(
"[Base].[Importe]",
TDinamica_R!$A$5,
"[Calendario].[AñoMes]",
"[Calendario].[AñoMes].&amp;[" &amp; TEXT(AH$6,"yyyymm")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I15" s="8">
        <f>IFERROR(
GETPIVOTDATA(
"[Base].[Importe]",
TDinamica_R!$A$5,
"[Calendario].[AñoMes]",
"[Calendario].[AñoMes].&amp;[" &amp; TEXT(AI$6,"yyyymm")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J15" s="8">
        <f>IFERROR(
GETPIVOTDATA(
"[Base].[Importe]",
TDinamica_R!$A$5,
"[Calendario].[AñoMes]",
"[Calendario].[AñoMes].&amp;[" &amp; TEXT(AJ$6,"yyyymm")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K15" s="8">
        <f>IFERROR(
GETPIVOTDATA(
"[Base].[Importe]",
TDinamica_R!$A$5,
"[Calendario].[AñoMes]",
"[Calendario].[AñoMes].&amp;[" &amp; TEXT(AK$6,"yyyymm")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L15" s="8">
        <f>IFERROR(
GETPIVOTDATA(
"[Base].[Importe]",
TDinamica_R!$A$5,
"[Calendario].[AñoMes]",
"[Calendario].[AñoMes].&amp;[" &amp; TEXT(AL$6,"yyyymm")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M15" s="8">
        <f>IFERROR(
GETPIVOTDATA(
"[Base].[Importe]",
TDinamica_R!$A$5,
"[Calendario].[AñoMes]",
"[Calendario].[AñoMes].&amp;[" &amp; TEXT(AM$6,"yyyymm")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N15" s="8">
        <f>IFERROR(
GETPIVOTDATA(
"[Base].[Importe]",
TDinamica_R!$A$5,
"[Calendario].[AñoMes]",
"[Calendario].[AñoMes].&amp;[" &amp; TEXT(AN$6,"yyyymm")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O15" s="8">
        <f>IFERROR(
GETPIVOTDATA(
"[Base].[Importe]",
TDinamica_R!$A$5,
"[Calendario].[AñoMes]",
"[Calendario].[AñoMes].&amp;[" &amp; TEXT(AO$6,"yyyymm")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P15" s="8">
        <f>IFERROR(
GETPIVOTDATA(
"[Base].[Importe]",
TDinamica_R!$A$5,
"[Calendario].[AñoMes]",
"[Calendario].[AñoMes].&amp;[" &amp; TEXT(AP$6,"yyyymm")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Q15" s="8">
        <f>IFERROR(
GETPIVOTDATA(
"[Base].[Importe]",
TDinamica_R!$A$5,
"[Calendario].[AñoMes]",
"[Calendario].[AñoMes].&amp;[" &amp; TEXT(AQ$6,"yyyymm")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R15" s="8">
        <f>IFERROR(
GETPIVOTDATA(
"[Base].[Importe]",
TDinamica_R!$A$5,
"[Calendario].[AñoMes]",
"[Calendario].[AñoMes].&amp;[" &amp; TEXT(AR$6,"yyyymm")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S15" s="8">
        <f>IFERROR(
GETPIVOTDATA(
"[Base].[Importe]",
TDinamica_R!$A$5,
"[Calendario].[AñoMes]",
"[Calendario].[AñoMes].&amp;[" &amp; TEXT(AS$6,"yyyymm")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T15" s="8">
        <f>IFERROR(
GETPIVOTDATA(
"[Base].[Importe]",
TDinamica_R!$A$5,
"[Calendario].[AñoMes]",
"[Calendario].[AñoMes].&amp;[" &amp; TEXT(AT$6,"yyyymm")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U15" s="8">
        <f>IFERROR(
GETPIVOTDATA(
"[Base].[Importe]",
TDinamica_R!$A$5,
"[Calendario].[AñoMes]",
"[Calendario].[AñoMes].&amp;[" &amp; TEXT(AU$6,"yyyymm")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V15" s="8">
        <f>IFERROR(
GETPIVOTDATA(
"[Base].[Importe]",
TDinamica_R!$A$5,
"[Calendario].[AñoMes]",
"[Calendario].[AñoMes].&amp;[" &amp; TEXT(AV$6,"yyyymm")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W15" s="8">
        <f>IFERROR(
GETPIVOTDATA(
"[Base].[Importe]",
TDinamica_R!$A$5,
"[Calendario].[AñoMes]",
"[Calendario].[AñoMes].&amp;[" &amp; TEXT(AW$6,"yyyymm")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X15" s="8">
        <f>IFERROR(
GETPIVOTDATA(
"[Base].[Importe]",
TDinamica_R!$A$5,
"[Calendario].[AñoMes]",
"[Calendario].[AñoMes].&amp;[" &amp; TEXT(AX$6,"yyyymm")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Y15" s="8">
        <f>IFERROR(
GETPIVOTDATA(
"[Base].[Importe]",
TDinamica_R!$A$5,
"[Calendario].[AñoMes]",
"[Calendario].[AñoMes].&amp;[" &amp; TEXT(AY$6,"yyyymm")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Z15" s="8">
        <f>IFERROR(
GETPIVOTDATA(
"[BASE_CONVE_PPTO].[Importe]",
TDinamica_P!$A$5,
"[BASE_CONVE_PPTO].[Periodo]",
"[BASE_CONVE_PPTO].[Periodo].&amp;[" &amp; TEXT(AZ$6,"yyyymm")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0</v>
      </c>
      <c r="BA15" s="8">
        <f>IFERROR(
GETPIVOTDATA(
"[BASE_CONVE_PPTO].[Importe]",
TDinamica_P!$A$5,
"[BASE_CONVE_PPTO].[Periodo]",
"[BASE_CONVE_PPTO].[Periodo].&amp;[" &amp; TEXT(BA$6,"yyyymm")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0</v>
      </c>
      <c r="BB15" s="8">
        <f>IFERROR(
GETPIVOTDATA(
"[BASE_CONVE_PPTO].[Importe]",
TDinamica_P!$A$5,
"[BASE_CONVE_PPTO].[Periodo]",
"[BASE_CONVE_PPTO].[Periodo].&amp;[" &amp; TEXT(BB$6,"yyyymm")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0</v>
      </c>
      <c r="BC15" s="8">
        <f>IFERROR(
GETPIVOTDATA(
"[BASE_CONVE_PPTO].[Importe]",
TDinamica_P!$A$5,
"[BASE_CONVE_PPTO].[Periodo]",
"[BASE_CONVE_PPTO].[Periodo].&amp;[" &amp; TEXT(BC$6,"yyyymm")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0</v>
      </c>
      <c r="BD15" s="8">
        <f>IFERROR(
GETPIVOTDATA(
"[BASE_CONVE_PPTO].[Importe]",
TDinamica_P!$A$5,
"[BASE_CONVE_PPTO].[Periodo]",
"[BASE_CONVE_PPTO].[Periodo].&amp;[" &amp; TEXT(BD$6,"yyyymm")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0</v>
      </c>
      <c r="BE15" s="8">
        <f>IFERROR(
GETPIVOTDATA(
"[BASE_CONVE_PPTO].[Importe]",
TDinamica_P!$A$5,
"[BASE_CONVE_PPTO].[Periodo]",
"[BASE_CONVE_PPTO].[Periodo].&amp;[" &amp; TEXT(BE$6,"yyyymm")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0</v>
      </c>
      <c r="BF15" s="8">
        <f>IFERROR(
GETPIVOTDATA(
"[BASE_CONVE_PPTO].[Importe]",
TDinamica_P!$A$5,
"[BASE_CONVE_PPTO].[Periodo]",
"[BASE_CONVE_PPTO].[Periodo].&amp;[" &amp; TEXT(BF$6,"yyyymm")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0</v>
      </c>
      <c r="BG15" s="8">
        <f>IFERROR(
GETPIVOTDATA(
"[BASE_CONVE_PPTO].[Importe]",
TDinamica_P!$A$5,
"[BASE_CONVE_PPTO].[Periodo]",
"[BASE_CONVE_PPTO].[Periodo].&amp;[" &amp; TEXT(BG$6,"yyyymm")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0</v>
      </c>
      <c r="BH15" s="8">
        <f>IFERROR(
GETPIVOTDATA(
"[BASE_CONVE_PPTO].[Importe]",
TDinamica_P!$A$5,
"[BASE_CONVE_PPTO].[Periodo]",
"[BASE_CONVE_PPTO].[Periodo].&amp;[" &amp; TEXT(BH$6,"yyyymm")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0</v>
      </c>
      <c r="BI15" s="8">
        <f>IFERROR(
GETPIVOTDATA(
"[BASE_CONVE_PPTO].[Importe]",
TDinamica_P!$A$5,
"[BASE_CONVE_PPTO].[Periodo]",
"[BASE_CONVE_PPTO].[Periodo].&amp;[" &amp; TEXT(BI$6,"yyyymm")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0</v>
      </c>
      <c r="BJ15" s="8">
        <f>IFERROR(
GETPIVOTDATA(
"[BASE_CONVE_PPTO].[Importe]",
TDinamica_P!$A$5,
"[BASE_CONVE_PPTO].[Periodo]",
"[BASE_CONVE_PPTO].[Periodo].&amp;[" &amp; TEXT(BJ$6,"yyyymm")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0</v>
      </c>
      <c r="BK15" s="8">
        <f>IFERROR(
GETPIVOTDATA(
"[BASE_CONVE_PPTO].[Importe]",
TDinamica_P!$A$5,
"[BASE_CONVE_PPTO].[Periodo]",
"[BASE_CONVE_PPTO].[Periodo].&amp;[" &amp; TEXT(BK$6,"yyyymm")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0</v>
      </c>
      <c r="BO15" s="24">
        <f t="shared" si="10"/>
        <v>0</v>
      </c>
      <c r="BP15" s="24">
        <f t="shared" si="10"/>
        <v>0</v>
      </c>
      <c r="BQ15" s="24">
        <f t="shared" si="10"/>
        <v>0</v>
      </c>
      <c r="BR15" s="24">
        <f t="shared" si="10"/>
        <v>0</v>
      </c>
      <c r="BS15" s="24">
        <f t="shared" si="10"/>
        <v>6.9212220000000002</v>
      </c>
      <c r="BT15" s="24">
        <f t="shared" si="10"/>
        <v>30.608466000000004</v>
      </c>
      <c r="BW15" s="24">
        <f t="shared" si="11"/>
        <v>0</v>
      </c>
      <c r="BX15" s="24">
        <f t="shared" si="11"/>
        <v>0</v>
      </c>
      <c r="BY15" s="24">
        <f t="shared" si="11"/>
        <v>0</v>
      </c>
      <c r="BZ15" s="24">
        <f t="shared" si="11"/>
        <v>0</v>
      </c>
      <c r="CA15" s="24">
        <f t="shared" si="11"/>
        <v>34.606110000000001</v>
      </c>
      <c r="CB15" s="24">
        <f t="shared" si="11"/>
        <v>153.04233000000002</v>
      </c>
    </row>
    <row r="16" spans="1:81" outlineLevel="1" x14ac:dyDescent="0.25">
      <c r="A16" s="11" t="s">
        <v>52</v>
      </c>
      <c r="C16" s="2" t="s">
        <v>45</v>
      </c>
      <c r="D16" s="8">
        <f>IFERROR(
GETPIVOTDATA(
"[Base].[Importe]",
TDinamica_R!$A$5,
"[Calendario].[AñoMes]",
"[Calendario].[AñoMes].&amp;[" &amp; TEXT(D$6,"yyyymm") &amp; "]",
"[Base].[Metrica]",
"[Base].[Metrica].&amp;[" &amp; $A16 &amp; "]",
"[Base].[SEGMENTO_DESCRIP]",
"[Base].[SEGMENTO_DESCRIP].&amp;[" &amp; $C$6 &amp; "]",
"[Base].[SITUACION]",
"[Base].[SITUACION].&amp;[" &amp; $C16 &amp; "]"
),0)/1000</f>
        <v>92.296779999999998</v>
      </c>
      <c r="E16" s="8">
        <f>IFERROR(
GETPIVOTDATA(
"[Base].[Importe]",
TDinamica_R!$A$5,
"[Calendario].[AñoMes]",
"[Calendario].[AñoMes].&amp;[" &amp; TEXT(E$6,"yyyymm") &amp; "]",
"[Base].[Metrica]",
"[Base].[Metrica].&amp;[" &amp; $A16 &amp; "]",
"[Base].[SEGMENTO_DESCRIP]",
"[Base].[SEGMENTO_DESCRIP].&amp;[" &amp; $C$6 &amp; "]",
"[Base].[SITUACION]",
"[Base].[SITUACION].&amp;[" &amp; $C16 &amp; "]"
),0)/1000</f>
        <v>87.911490000000001</v>
      </c>
      <c r="F16" s="8">
        <f>IFERROR(
GETPIVOTDATA(
"[Base].[Importe]",
TDinamica_R!$A$5,
"[Calendario].[AñoMes]",
"[Calendario].[AñoMes].&amp;[" &amp; TEXT(F$6,"yyyymm") &amp; "]",
"[Base].[Metrica]",
"[Base].[Metrica].&amp;[" &amp; $A16 &amp; "]",
"[Base].[SEGMENTO_DESCRIP]",
"[Base].[SEGMENTO_DESCRIP].&amp;[" &amp; $C$6 &amp; "]",
"[Base].[SITUACION]",
"[Base].[SITUACION].&amp;[" &amp; $C16 &amp; "]"
),0)/1000</f>
        <v>106.36869</v>
      </c>
      <c r="G16" s="8">
        <f>IFERROR(
GETPIVOTDATA(
"[Base].[Importe]",
TDinamica_R!$A$5,
"[Calendario].[AñoMes]",
"[Calendario].[AñoMes].&amp;[" &amp; TEXT(G$6,"yyyymm") &amp; "]",
"[Base].[Metrica]",
"[Base].[Metrica].&amp;[" &amp; $A16 &amp; "]",
"[Base].[SEGMENTO_DESCRIP]",
"[Base].[SEGMENTO_DESCRIP].&amp;[" &amp; $C$6 &amp; "]",
"[Base].[SITUACION]",
"[Base].[SITUACION].&amp;[" &amp; $C16 &amp; "]"
),0)/1000</f>
        <v>80.516449999999992</v>
      </c>
      <c r="H16" s="8">
        <f>IFERROR(
GETPIVOTDATA(
"[Base].[Importe]",
TDinamica_R!$A$5,
"[Calendario].[AñoMes]",
"[Calendario].[AñoMes].&amp;[" &amp; TEXT(H$6,"yyyymm") &amp; "]",
"[Base].[Metrica]",
"[Base].[Metrica].&amp;[" &amp; $A16 &amp; "]",
"[Base].[SEGMENTO_DESCRIP]",
"[Base].[SEGMENTO_DESCRIP].&amp;[" &amp; $C$6 &amp; "]",
"[Base].[SITUACION]",
"[Base].[SITUACION].&amp;[" &amp; $C16 &amp; "]"
),0)/1000</f>
        <v>84.145980000000009</v>
      </c>
      <c r="I16" s="8">
        <f>IFERROR(
GETPIVOTDATA(
"[Base].[Importe]",
TDinamica_R!$A$5,
"[Calendario].[AñoMes]",
"[Calendario].[AñoMes].&amp;[" &amp; TEXT(I$6,"yyyymm") &amp; "]",
"[Base].[Metrica]",
"[Base].[Metrica].&amp;[" &amp; $A16 &amp; "]",
"[Base].[SEGMENTO_DESCRIP]",
"[Base].[SEGMENTO_DESCRIP].&amp;[" &amp; $C$6 &amp; "]",
"[Base].[SITUACION]",
"[Base].[SITUACION].&amp;[" &amp; $C16 &amp; "]"
),0)/1000</f>
        <v>81.975549999999998</v>
      </c>
      <c r="J16" s="8">
        <f>IFERROR(
GETPIVOTDATA(
"[Base].[Importe]",
TDinamica_R!$A$5,
"[Calendario].[AñoMes]",
"[Calendario].[AñoMes].&amp;[" &amp; TEXT(J$6,"yyyymm") &amp; "]",
"[Base].[Metrica]",
"[Base].[Metrica].&amp;[" &amp; $A16 &amp; "]",
"[Base].[SEGMENTO_DESCRIP]",
"[Base].[SEGMENTO_DESCRIP].&amp;[" &amp; $C$6 &amp; "]",
"[Base].[SITUACION]",
"[Base].[SITUACION].&amp;[" &amp; $C16 &amp; "]"
),0)/1000</f>
        <v>64.733270000000005</v>
      </c>
      <c r="K16" s="8">
        <f>IFERROR(
GETPIVOTDATA(
"[Base].[Importe]",
TDinamica_R!$A$5,
"[Calendario].[AñoMes]",
"[Calendario].[AñoMes].&amp;[" &amp; TEXT(K$6,"yyyymm") &amp; "]",
"[Base].[Metrica]",
"[Base].[Metrica].&amp;[" &amp; $A16 &amp; "]",
"[Base].[SEGMENTO_DESCRIP]",
"[Base].[SEGMENTO_DESCRIP].&amp;[" &amp; $C$6 &amp; "]",
"[Base].[SITUACION]",
"[Base].[SITUACION].&amp;[" &amp; $C16 &amp; "]"
),0)/1000</f>
        <v>66.313919999999996</v>
      </c>
      <c r="L16" s="8">
        <f>IFERROR(
GETPIVOTDATA(
"[Base].[Importe]",
TDinamica_R!$A$5,
"[Calendario].[AñoMes]",
"[Calendario].[AñoMes].&amp;[" &amp; TEXT(L$6,"yyyymm") &amp; "]",
"[Base].[Metrica]",
"[Base].[Metrica].&amp;[" &amp; $A16 &amp; "]",
"[Base].[SEGMENTO_DESCRIP]",
"[Base].[SEGMENTO_DESCRIP].&amp;[" &amp; $C$6 &amp; "]",
"[Base].[SITUACION]",
"[Base].[SITUACION].&amp;[" &amp; $C16 &amp; "]"
),0)/1000</f>
        <v>70.27619</v>
      </c>
      <c r="M16" s="8">
        <f>IFERROR(
GETPIVOTDATA(
"[Base].[Importe]",
TDinamica_R!$A$5,
"[Calendario].[AñoMes]",
"[Calendario].[AñoMes].&amp;[" &amp; TEXT(M$6,"yyyymm") &amp; "]",
"[Base].[Metrica]",
"[Base].[Metrica].&amp;[" &amp; $A16 &amp; "]",
"[Base].[SEGMENTO_DESCRIP]",
"[Base].[SEGMENTO_DESCRIP].&amp;[" &amp; $C$6 &amp; "]",
"[Base].[SITUACION]",
"[Base].[SITUACION].&amp;[" &amp; $C16 &amp; "]"
),0)/1000</f>
        <v>91.096279999999993</v>
      </c>
      <c r="N16" s="8">
        <f>IFERROR(
GETPIVOTDATA(
"[Base].[Importe]",
TDinamica_R!$A$5,
"[Calendario].[AñoMes]",
"[Calendario].[AñoMes].&amp;[" &amp; TEXT(N$6,"yyyymm") &amp; "]",
"[Base].[Metrica]",
"[Base].[Metrica].&amp;[" &amp; $A16 &amp; "]",
"[Base].[SEGMENTO_DESCRIP]",
"[Base].[SEGMENTO_DESCRIP].&amp;[" &amp; $C$6 &amp; "]",
"[Base].[SITUACION]",
"[Base].[SITUACION].&amp;[" &amp; $C16 &amp; "]"
),0)/1000</f>
        <v>138.99163999999999</v>
      </c>
      <c r="O16" s="8">
        <f>IFERROR(
GETPIVOTDATA(
"[Base].[Importe]",
TDinamica_R!$A$5,
"[Calendario].[AñoMes]",
"[Calendario].[AñoMes].&amp;[" &amp; TEXT(O$6,"yyyymm") &amp; "]",
"[Base].[Metrica]",
"[Base].[Metrica].&amp;[" &amp; $A16 &amp; "]",
"[Base].[SEGMENTO_DESCRIP]",
"[Base].[SEGMENTO_DESCRIP].&amp;[" &amp; $C$6 &amp; "]",
"[Base].[SITUACION]",
"[Base].[SITUACION].&amp;[" &amp; $C16 &amp; "]"
),0)/1000</f>
        <v>152.63545999999999</v>
      </c>
      <c r="P16" s="8">
        <f>IFERROR(
GETPIVOTDATA(
"[Base].[Importe]",
TDinamica_R!$A$5,
"[Calendario].[AñoMes]",
"[Calendario].[AñoMes].&amp;[" &amp; TEXT(P$6,"yyyymm") &amp; "]",
"[Base].[Metrica]",
"[Base].[Metrica].&amp;[" &amp; $A16 &amp; "]",
"[Base].[SEGMENTO_DESCRIP]",
"[Base].[SEGMENTO_DESCRIP].&amp;[" &amp; $C$6 &amp; "]",
"[Base].[SITUACION]",
"[Base].[SITUACION].&amp;[" &amp; $C16 &amp; "]"
),0)/1000</f>
        <v>154.78279000000001</v>
      </c>
      <c r="Q16" s="8">
        <f>IFERROR(
GETPIVOTDATA(
"[Base].[Importe]",
TDinamica_R!$A$5,
"[Calendario].[AñoMes]",
"[Calendario].[AñoMes].&amp;[" &amp; TEXT(Q$6,"yyyymm") &amp; "]",
"[Base].[Metrica]",
"[Base].[Metrica].&amp;[" &amp; $A16 &amp; "]",
"[Base].[SEGMENTO_DESCRIP]",
"[Base].[SEGMENTO_DESCRIP].&amp;[" &amp; $C$6 &amp; "]",
"[Base].[SITUACION]",
"[Base].[SITUACION].&amp;[" &amp; $C16 &amp; "]"
),0)/1000</f>
        <v>148.07849999999999</v>
      </c>
      <c r="R16" s="8">
        <f>IFERROR(
GETPIVOTDATA(
"[Base].[Importe]",
TDinamica_R!$A$5,
"[Calendario].[AñoMes]",
"[Calendario].[AñoMes].&amp;[" &amp; TEXT(R$6,"yyyymm") &amp; "]",
"[Base].[Metrica]",
"[Base].[Metrica].&amp;[" &amp; $A16 &amp; "]",
"[Base].[SEGMENTO_DESCRIP]",
"[Base].[SEGMENTO_DESCRIP].&amp;[" &amp; $C$6 &amp; "]",
"[Base].[SITUACION]",
"[Base].[SITUACION].&amp;[" &amp; $C16 &amp; "]"
),0)/1000</f>
        <v>200.83107999999999</v>
      </c>
      <c r="S16" s="8">
        <f>IFERROR(
GETPIVOTDATA(
"[Base].[Importe]",
TDinamica_R!$A$5,
"[Calendario].[AñoMes]",
"[Calendario].[AñoMes].&amp;[" &amp; TEXT(S$6,"yyyymm") &amp; "]",
"[Base].[Metrica]",
"[Base].[Metrica].&amp;[" &amp; $A16 &amp; "]",
"[Base].[SEGMENTO_DESCRIP]",
"[Base].[SEGMENTO_DESCRIP].&amp;[" &amp; $C$6 &amp; "]",
"[Base].[SITUACION]",
"[Base].[SITUACION].&amp;[" &amp; $C16 &amp; "]"
),0)/1000</f>
        <v>344.06865999999997</v>
      </c>
      <c r="T16" s="8">
        <f>IFERROR(
GETPIVOTDATA(
"[Base].[Importe]",
TDinamica_R!$A$5,
"[Calendario].[AñoMes]",
"[Calendario].[AñoMes].&amp;[" &amp; TEXT(T$6,"yyyymm") &amp; "]",
"[Base].[Metrica]",
"[Base].[Metrica].&amp;[" &amp; $A16 &amp; "]",
"[Base].[SEGMENTO_DESCRIP]",
"[Base].[SEGMENTO_DESCRIP].&amp;[" &amp; $C$6 &amp; "]",
"[Base].[SITUACION]",
"[Base].[SITUACION].&amp;[" &amp; $C16 &amp; "]"
),0)/1000</f>
        <v>251.37873000000002</v>
      </c>
      <c r="U16" s="8">
        <f>IFERROR(
GETPIVOTDATA(
"[Base].[Importe]",
TDinamica_R!$A$5,
"[Calendario].[AñoMes]",
"[Calendario].[AñoMes].&amp;[" &amp; TEXT(U$6,"yyyymm") &amp; "]",
"[Base].[Metrica]",
"[Base].[Metrica].&amp;[" &amp; $A16 &amp; "]",
"[Base].[SEGMENTO_DESCRIP]",
"[Base].[SEGMENTO_DESCRIP].&amp;[" &amp; $C$6 &amp; "]",
"[Base].[SITUACION]",
"[Base].[SITUACION].&amp;[" &amp; $C16 &amp; "]"
),0)/1000</f>
        <v>425.55005999999997</v>
      </c>
      <c r="V16" s="8">
        <f>IFERROR(
GETPIVOTDATA(
"[Base].[Importe]",
TDinamica_R!$A$5,
"[Calendario].[AñoMes]",
"[Calendario].[AñoMes].&amp;[" &amp; TEXT(V$6,"yyyymm") &amp; "]",
"[Base].[Metrica]",
"[Base].[Metrica].&amp;[" &amp; $A16 &amp; "]",
"[Base].[SEGMENTO_DESCRIP]",
"[Base].[SEGMENTO_DESCRIP].&amp;[" &amp; $C$6 &amp; "]",
"[Base].[SITUACION]",
"[Base].[SITUACION].&amp;[" &amp; $C16 &amp; "]"
),0)/1000</f>
        <v>386.73557</v>
      </c>
      <c r="W16" s="8">
        <f>IFERROR(
GETPIVOTDATA(
"[Base].[Importe]",
TDinamica_R!$A$5,
"[Calendario].[AñoMes]",
"[Calendario].[AñoMes].&amp;[" &amp; TEXT(W$6,"yyyymm") &amp; "]",
"[Base].[Metrica]",
"[Base].[Metrica].&amp;[" &amp; $A16 &amp; "]",
"[Base].[SEGMENTO_DESCRIP]",
"[Base].[SEGMENTO_DESCRIP].&amp;[" &amp; $C$6 &amp; "]",
"[Base].[SITUACION]",
"[Base].[SITUACION].&amp;[" &amp; $C16 &amp; "]"
),0)/1000</f>
        <v>354.92115000000001</v>
      </c>
      <c r="X16" s="8">
        <f>IFERROR(
GETPIVOTDATA(
"[Base].[Importe]",
TDinamica_R!$A$5,
"[Calendario].[AñoMes]",
"[Calendario].[AñoMes].&amp;[" &amp; TEXT(X$6,"yyyymm") &amp; "]",
"[Base].[Metrica]",
"[Base].[Metrica].&amp;[" &amp; $A16 &amp; "]",
"[Base].[SEGMENTO_DESCRIP]",
"[Base].[SEGMENTO_DESCRIP].&amp;[" &amp; $C$6 &amp; "]",
"[Base].[SITUACION]",
"[Base].[SITUACION].&amp;[" &amp; $C16 &amp; "]"
),0)/1000</f>
        <v>283.05421999999999</v>
      </c>
      <c r="Y16" s="8">
        <f>IFERROR(
GETPIVOTDATA(
"[Base].[Importe]",
TDinamica_R!$A$5,
"[Calendario].[AñoMes]",
"[Calendario].[AñoMes].&amp;[" &amp; TEXT(Y$6,"yyyymm") &amp; "]",
"[Base].[Metrica]",
"[Base].[Metrica].&amp;[" &amp; $A16 &amp; "]",
"[Base].[SEGMENTO_DESCRIP]",
"[Base].[SEGMENTO_DESCRIP].&amp;[" &amp; $C$6 &amp; "]",
"[Base].[SITUACION]",
"[Base].[SITUACION].&amp;[" &amp; $C16 &amp; "]"
),0)/1000</f>
        <v>470.01736</v>
      </c>
      <c r="Z16" s="8">
        <f>IFERROR(
GETPIVOTDATA(
"[Base].[Importe]",
TDinamica_R!$A$5,
"[Calendario].[AñoMes]",
"[Calendario].[AñoMes].&amp;[" &amp; TEXT(Z$6,"yyyymm") &amp; "]",
"[Base].[Metrica]",
"[Base].[Metrica].&amp;[" &amp; $A16 &amp; "]",
"[Base].[SEGMENTO_DESCRIP]",
"[Base].[SEGMENTO_DESCRIP].&amp;[" &amp; $C$6 &amp; "]",
"[Base].[SITUACION]",
"[Base].[SITUACION].&amp;[" &amp; $C16 &amp; "]"
),0)/1000</f>
        <v>438.25910999999996</v>
      </c>
      <c r="AA16" s="8">
        <f>IFERROR(
GETPIVOTDATA(
"[Base].[Importe]",
TDinamica_R!$A$5,
"[Calendario].[AñoMes]",
"[Calendario].[AñoMes].&amp;[" &amp; TEXT(AA$6,"yyyymm") &amp; "]",
"[Base].[Metrica]",
"[Base].[Metrica].&amp;[" &amp; $A16 &amp; "]",
"[Base].[SEGMENTO_DESCRIP]",
"[Base].[SEGMENTO_DESCRIP].&amp;[" &amp; $C$6 &amp; "]",
"[Base].[SITUACION]",
"[Base].[SITUACION].&amp;[" &amp; $C16 &amp; "]"
),0)/1000</f>
        <v>705.05106000000001</v>
      </c>
      <c r="AB16" s="8">
        <f>IFERROR(
GETPIVOTDATA(
"[Base].[Importe]",
TDinamica_R!$A$5,
"[Calendario].[AñoMes]",
"[Calendario].[AñoMes].&amp;[" &amp; TEXT(AB$6,"yyyymm") &amp; "]",
"[Base].[Metrica]",
"[Base].[Metrica].&amp;[" &amp; $A16 &amp; "]",
"[Base].[SEGMENTO_DESCRIP]",
"[Base].[SEGMENTO_DESCRIP].&amp;[" &amp; $C$6 &amp; "]",
"[Base].[SITUACION]",
"[Base].[SITUACION].&amp;[" &amp; $C16 &amp; "]"
),0)/1000</f>
        <v>628.80313999999998</v>
      </c>
      <c r="AC16" s="8">
        <f>IFERROR(
GETPIVOTDATA(
"[Base].[Importe]",
TDinamica_R!$A$5,
"[Calendario].[AñoMes]",
"[Calendario].[AñoMes].&amp;[" &amp; TEXT(AC$6,"yyyymm") &amp; "]",
"[Base].[Metrica]",
"[Base].[Metrica].&amp;[" &amp; $A16 &amp; "]",
"[Base].[SEGMENTO_DESCRIP]",
"[Base].[SEGMENTO_DESCRIP].&amp;[" &amp; $C$6 &amp; "]",
"[Base].[SITUACION]",
"[Base].[SITUACION].&amp;[" &amp; $C16 &amp; "]"
),0)/1000</f>
        <v>278.49347999999998</v>
      </c>
      <c r="AD16" s="8">
        <f>IFERROR(
GETPIVOTDATA(
"[Base].[Importe]",
TDinamica_R!$A$5,
"[Calendario].[AñoMes]",
"[Calendario].[AñoMes].&amp;[" &amp; TEXT(AD$6,"yyyymm") &amp; "]",
"[Base].[Metrica]",
"[Base].[Metrica].&amp;[" &amp; $A16 &amp; "]",
"[Base].[SEGMENTO_DESCRIP]",
"[Base].[SEGMENTO_DESCRIP].&amp;[" &amp; $C$6 &amp; "]",
"[Base].[SITUACION]",
"[Base].[SITUACION].&amp;[" &amp; $C16 &amp; "]"
),0)/1000</f>
        <v>217.28560000000002</v>
      </c>
      <c r="AE16" s="8">
        <f>IFERROR(
GETPIVOTDATA(
"[Base].[Importe]",
TDinamica_R!$A$5,
"[Calendario].[AñoMes]",
"[Calendario].[AñoMes].&amp;[" &amp; TEXT(AE$6,"yyyymm") &amp; "]",
"[Base].[Metrica]",
"[Base].[Metrica].&amp;[" &amp; $A16 &amp; "]",
"[Base].[SEGMENTO_DESCRIP]",
"[Base].[SEGMENTO_DESCRIP].&amp;[" &amp; $C$6 &amp; "]",
"[Base].[SITUACION]",
"[Base].[SITUACION].&amp;[" &amp; $C16 &amp; "]"
),0)/1000</f>
        <v>212.61149</v>
      </c>
      <c r="AF16" s="8">
        <f>IFERROR(
GETPIVOTDATA(
"[Base].[Importe]",
TDinamica_R!$A$5,
"[Calendario].[AñoMes]",
"[Calendario].[AñoMes].&amp;[" &amp; TEXT(AF$6,"yyyymm") &amp; "]",
"[Base].[Metrica]",
"[Base].[Metrica].&amp;[" &amp; $A16 &amp; "]",
"[Base].[SEGMENTO_DESCRIP]",
"[Base].[SEGMENTO_DESCRIP].&amp;[" &amp; $C$6 &amp; "]",
"[Base].[SITUACION]",
"[Base].[SITUACION].&amp;[" &amp; $C16 &amp; "]"
),0)/1000</f>
        <v>218.94668999999999</v>
      </c>
      <c r="AG16" s="8">
        <f>IFERROR(
GETPIVOTDATA(
"[Base].[Importe]",
TDinamica_R!$A$5,
"[Calendario].[AñoMes]",
"[Calendario].[AñoMes].&amp;[" &amp; TEXT(AG$6,"yyyymm") &amp; "]",
"[Base].[Metrica]",
"[Base].[Metrica].&amp;[" &amp; $A16 &amp; "]",
"[Base].[SEGMENTO_DESCRIP]",
"[Base].[SEGMENTO_DESCRIP].&amp;[" &amp; $C$6 &amp; "]",
"[Base].[SITUACION]",
"[Base].[SITUACION].&amp;[" &amp; $C16 &amp; "]"
),0)/1000</f>
        <v>210.70347000000001</v>
      </c>
      <c r="AH16" s="8">
        <f>IFERROR(
GETPIVOTDATA(
"[Base].[Importe]",
TDinamica_R!$A$5,
"[Calendario].[AñoMes]",
"[Calendario].[AñoMes].&amp;[" &amp; TEXT(AH$6,"yyyymm") &amp; "]",
"[Base].[Metrica]",
"[Base].[Metrica].&amp;[" &amp; $A16 &amp; "]",
"[Base].[SEGMENTO_DESCRIP]",
"[Base].[SEGMENTO_DESCRIP].&amp;[" &amp; $C$6 &amp; "]",
"[Base].[SITUACION]",
"[Base].[SITUACION].&amp;[" &amp; $C16 &amp; "]"
),0)/1000</f>
        <v>181.83113</v>
      </c>
      <c r="AI16" s="8">
        <f>IFERROR(
GETPIVOTDATA(
"[Base].[Importe]",
TDinamica_R!$A$5,
"[Calendario].[AñoMes]",
"[Calendario].[AñoMes].&amp;[" &amp; TEXT(AI$6,"yyyymm") &amp; "]",
"[Base].[Metrica]",
"[Base].[Metrica].&amp;[" &amp; $A16 &amp; "]",
"[Base].[SEGMENTO_DESCRIP]",
"[Base].[SEGMENTO_DESCRIP].&amp;[" &amp; $C$6 &amp; "]",
"[Base].[SITUACION]",
"[Base].[SITUACION].&amp;[" &amp; $C16 &amp; "]"
),0)/1000</f>
        <v>190.16771</v>
      </c>
      <c r="AJ16" s="8">
        <f>IFERROR(
GETPIVOTDATA(
"[Base].[Importe]",
TDinamica_R!$A$5,
"[Calendario].[AñoMes]",
"[Calendario].[AñoMes].&amp;[" &amp; TEXT(AJ$6,"yyyymm") &amp; "]",
"[Base].[Metrica]",
"[Base].[Metrica].&amp;[" &amp; $A16 &amp; "]",
"[Base].[SEGMENTO_DESCRIP]",
"[Base].[SEGMENTO_DESCRIP].&amp;[" &amp; $C$6 &amp; "]",
"[Base].[SITUACION]",
"[Base].[SITUACION].&amp;[" &amp; $C16 &amp; "]"
),0)/1000</f>
        <v>161.25246999999999</v>
      </c>
      <c r="AK16" s="8">
        <f>IFERROR(
GETPIVOTDATA(
"[Base].[Importe]",
TDinamica_R!$A$5,
"[Calendario].[AñoMes]",
"[Calendario].[AñoMes].&amp;[" &amp; TEXT(AK$6,"yyyymm") &amp; "]",
"[Base].[Metrica]",
"[Base].[Metrica].&amp;[" &amp; $A16 &amp; "]",
"[Base].[SEGMENTO_DESCRIP]",
"[Base].[SEGMENTO_DESCRIP].&amp;[" &amp; $C$6 &amp; "]",
"[Base].[SITUACION]",
"[Base].[SITUACION].&amp;[" &amp; $C16 &amp; "]"
),0)/1000</f>
        <v>98.185399999999987</v>
      </c>
      <c r="AL16" s="8">
        <f>IFERROR(
GETPIVOTDATA(
"[Base].[Importe]",
TDinamica_R!$A$5,
"[Calendario].[AñoMes]",
"[Calendario].[AñoMes].&amp;[" &amp; TEXT(AL$6,"yyyymm") &amp; "]",
"[Base].[Metrica]",
"[Base].[Metrica].&amp;[" &amp; $A16 &amp; "]",
"[Base].[SEGMENTO_DESCRIP]",
"[Base].[SEGMENTO_DESCRIP].&amp;[" &amp; $C$6 &amp; "]",
"[Base].[SITUACION]",
"[Base].[SITUACION].&amp;[" &amp; $C16 &amp; "]"
),0)/1000</f>
        <v>108.28136000000001</v>
      </c>
      <c r="AM16" s="8">
        <f>IFERROR(
GETPIVOTDATA(
"[Base].[Importe]",
TDinamica_R!$A$5,
"[Calendario].[AñoMes]",
"[Calendario].[AñoMes].&amp;[" &amp; TEXT(AM$6,"yyyymm") &amp; "]",
"[Base].[Metrica]",
"[Base].[Metrica].&amp;[" &amp; $A16 &amp; "]",
"[Base].[SEGMENTO_DESCRIP]",
"[Base].[SEGMENTO_DESCRIP].&amp;[" &amp; $C$6 &amp; "]",
"[Base].[SITUACION]",
"[Base].[SITUACION].&amp;[" &amp; $C16 &amp; "]"
),0)/1000</f>
        <v>195.54104999999998</v>
      </c>
      <c r="AN16" s="8">
        <f>IFERROR(
GETPIVOTDATA(
"[Base].[Importe]",
TDinamica_R!$A$5,
"[Calendario].[AñoMes]",
"[Calendario].[AñoMes].&amp;[" &amp; TEXT(AN$6,"yyyymm") &amp; "]",
"[Base].[Metrica]",
"[Base].[Metrica].&amp;[" &amp; $A16 &amp; "]",
"[Base].[SEGMENTO_DESCRIP]",
"[Base].[SEGMENTO_DESCRIP].&amp;[" &amp; $C$6 &amp; "]",
"[Base].[SITUACION]",
"[Base].[SITUACION].&amp;[" &amp; $C16 &amp; "]"
),0)/1000</f>
        <v>226.22</v>
      </c>
      <c r="AO16" s="8">
        <f>IFERROR(
GETPIVOTDATA(
"[Base].[Importe]",
TDinamica_R!$A$5,
"[Calendario].[AñoMes]",
"[Calendario].[AñoMes].&amp;[" &amp; TEXT(AO$6,"yyyymm") &amp; "]",
"[Base].[Metrica]",
"[Base].[Metrica].&amp;[" &amp; $A16 &amp; "]",
"[Base].[SEGMENTO_DESCRIP]",
"[Base].[SEGMENTO_DESCRIP].&amp;[" &amp; $C$6 &amp; "]",
"[Base].[SITUACION]",
"[Base].[SITUACION].&amp;[" &amp; $C16 &amp; "]"
),0)/1000</f>
        <v>233.36</v>
      </c>
      <c r="AP16" s="8">
        <f>IFERROR(
GETPIVOTDATA(
"[Base].[Importe]",
TDinamica_R!$A$5,
"[Calendario].[AñoMes]",
"[Calendario].[AñoMes].&amp;[" &amp; TEXT(AP$6,"yyyymm") &amp; "]",
"[Base].[Metrica]",
"[Base].[Metrica].&amp;[" &amp; $A16 &amp; "]",
"[Base].[SEGMENTO_DESCRIP]",
"[Base].[SEGMENTO_DESCRIP].&amp;[" &amp; $C$6 &amp; "]",
"[Base].[SITUACION]",
"[Base].[SITUACION].&amp;[" &amp; $C16 &amp; "]"
),0)/1000</f>
        <v>243.79</v>
      </c>
      <c r="AQ16" s="8">
        <f>IFERROR(
GETPIVOTDATA(
"[Base].[Importe]",
TDinamica_R!$A$5,
"[Calendario].[AñoMes]",
"[Calendario].[AñoMes].&amp;[" &amp; TEXT(AQ$6,"yyyymm") &amp; "]",
"[Base].[Metrica]",
"[Base].[Metrica].&amp;[" &amp; $A16 &amp; "]",
"[Base].[SEGMENTO_DESCRIP]",
"[Base].[SEGMENTO_DESCRIP].&amp;[" &amp; $C$6 &amp; "]",
"[Base].[SITUACION]",
"[Base].[SITUACION].&amp;[" &amp; $C16 &amp; "]"
),0)/1000</f>
        <v>220.09931999999998</v>
      </c>
      <c r="AR16" s="8">
        <f>IFERROR(
GETPIVOTDATA(
"[Base].[Importe]",
TDinamica_R!$A$5,
"[Calendario].[AñoMes]",
"[Calendario].[AñoMes].&amp;[" &amp; TEXT(AR$6,"yyyymm") &amp; "]",
"[Base].[Metrica]",
"[Base].[Metrica].&amp;[" &amp; $A16 &amp; "]",
"[Base].[SEGMENTO_DESCRIP]",
"[Base].[SEGMENTO_DESCRIP].&amp;[" &amp; $C$6 &amp; "]",
"[Base].[SITUACION]",
"[Base].[SITUACION].&amp;[" &amp; $C16 &amp; "]"
),0)/1000</f>
        <v>561.03115000000014</v>
      </c>
      <c r="AS16" s="8">
        <f>IFERROR(
GETPIVOTDATA(
"[Base].[Importe]",
TDinamica_R!$A$5,
"[Calendario].[AñoMes]",
"[Calendario].[AñoMes].&amp;[" &amp; TEXT(AS$6,"yyyymm") &amp; "]",
"[Base].[Metrica]",
"[Base].[Metrica].&amp;[" &amp; $A16 &amp; "]",
"[Base].[SEGMENTO_DESCRIP]",
"[Base].[SEGMENTO_DESCRIP].&amp;[" &amp; $C$6 &amp; "]",
"[Base].[SITUACION]",
"[Base].[SITUACION].&amp;[" &amp; $C16 &amp; "]"
),0)/1000</f>
        <v>696.78565000000015</v>
      </c>
      <c r="AT16" s="8">
        <f>IFERROR(
GETPIVOTDATA(
"[Base].[Importe]",
TDinamica_R!$A$5,
"[Calendario].[AñoMes]",
"[Calendario].[AñoMes].&amp;[" &amp; TEXT(AT$6,"yyyymm")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U16" s="8">
        <f>IFERROR(
GETPIVOTDATA(
"[Base].[Importe]",
TDinamica_R!$A$5,
"[Calendario].[AñoMes]",
"[Calendario].[AñoMes].&amp;[" &amp; TEXT(AU$6,"yyyymm")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V16" s="8">
        <f>IFERROR(
GETPIVOTDATA(
"[Base].[Importe]",
TDinamica_R!$A$5,
"[Calendario].[AñoMes]",
"[Calendario].[AñoMes].&amp;[" &amp; TEXT(AV$6,"yyyymm")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W16" s="8">
        <f>IFERROR(
GETPIVOTDATA(
"[Base].[Importe]",
TDinamica_R!$A$5,
"[Calendario].[AñoMes]",
"[Calendario].[AñoMes].&amp;[" &amp; TEXT(AW$6,"yyyymm")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X16" s="8">
        <f>IFERROR(
GETPIVOTDATA(
"[Base].[Importe]",
TDinamica_R!$A$5,
"[Calendario].[AñoMes]",
"[Calendario].[AñoMes].&amp;[" &amp; TEXT(AX$6,"yyyymm")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Y16" s="8">
        <f>IFERROR(
GETPIVOTDATA(
"[Base].[Importe]",
TDinamica_R!$A$5,
"[Calendario].[AñoMes]",
"[Calendario].[AñoMes].&amp;[" &amp; TEXT(AY$6,"yyyymm")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Z16" s="8">
        <f>IFERROR(
GETPIVOTDATA(
"[BASE_CONVE_PPTO].[Importe]",
TDinamica_P!$A$5,
"[BASE_CONVE_PPTO].[Periodo]",
"[BASE_CONVE_PPTO].[Periodo].&amp;[" &amp; TEXT(AZ$6,"yyyymm")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219.9798736768085</v>
      </c>
      <c r="BA16" s="8">
        <f>IFERROR(
GETPIVOTDATA(
"[BASE_CONVE_PPTO].[Importe]",
TDinamica_P!$A$5,
"[BASE_CONVE_PPTO].[Periodo]",
"[BASE_CONVE_PPTO].[Periodo].&amp;[" &amp; TEXT(BA$6,"yyyymm")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215.4411807465803</v>
      </c>
      <c r="BB16" s="8">
        <f>IFERROR(
GETPIVOTDATA(
"[BASE_CONVE_PPTO].[Importe]",
TDinamica_P!$A$5,
"[BASE_CONVE_PPTO].[Periodo]",
"[BASE_CONVE_PPTO].[Periodo].&amp;[" &amp; TEXT(BB$6,"yyyymm")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211.90258911670614</v>
      </c>
      <c r="BC16" s="8">
        <f>IFERROR(
GETPIVOTDATA(
"[BASE_CONVE_PPTO].[Importe]",
TDinamica_P!$A$5,
"[BASE_CONVE_PPTO].[Periodo]",
"[BASE_CONVE_PPTO].[Periodo].&amp;[" &amp; TEXT(BC$6,"yyyymm")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206.81995255848665</v>
      </c>
      <c r="BD16" s="8">
        <f>IFERROR(
GETPIVOTDATA(
"[BASE_CONVE_PPTO].[Importe]",
TDinamica_P!$A$5,
"[BASE_CONVE_PPTO].[Periodo]",
"[BASE_CONVE_PPTO].[Periodo].&amp;[" &amp; TEXT(BD$6,"yyyymm")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205.32732429754398</v>
      </c>
      <c r="BE16" s="8">
        <f>IFERROR(
GETPIVOTDATA(
"[BASE_CONVE_PPTO].[Importe]",
TDinamica_P!$A$5,
"[BASE_CONVE_PPTO].[Periodo]",
"[BASE_CONVE_PPTO].[Periodo].&amp;[" &amp; TEXT(BE$6,"yyyymm")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203.8560161659081</v>
      </c>
      <c r="BF16" s="8">
        <f>IFERROR(
GETPIVOTDATA(
"[BASE_CONVE_PPTO].[Importe]",
TDinamica_P!$A$5,
"[BASE_CONVE_PPTO].[Periodo]",
"[BASE_CONVE_PPTO].[Periodo].&amp;[" &amp; TEXT(BF$6,"yyyymm")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201.59870684431024</v>
      </c>
      <c r="BG16" s="8">
        <f>IFERROR(
GETPIVOTDATA(
"[BASE_CONVE_PPTO].[Importe]",
TDinamica_P!$A$5,
"[BASE_CONVE_PPTO].[Periodo]",
"[BASE_CONVE_PPTO].[Periodo].&amp;[" &amp; TEXT(BG$6,"yyyymm")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202.73534075747202</v>
      </c>
      <c r="BH16" s="8">
        <f>IFERROR(
GETPIVOTDATA(
"[BASE_CONVE_PPTO].[Importe]",
TDinamica_P!$A$5,
"[BASE_CONVE_PPTO].[Periodo]",
"[BASE_CONVE_PPTO].[Periodo].&amp;[" &amp; TEXT(BH$6,"yyyymm")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200.95288088971171</v>
      </c>
      <c r="BI16" s="8">
        <f>IFERROR(
GETPIVOTDATA(
"[BASE_CONVE_PPTO].[Importe]",
TDinamica_P!$A$5,
"[BASE_CONVE_PPTO].[Periodo]",
"[BASE_CONVE_PPTO].[Periodo].&amp;[" &amp; TEXT(BI$6,"yyyymm")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200.47293496578033</v>
      </c>
      <c r="BJ16" s="8">
        <f>IFERROR(
GETPIVOTDATA(
"[BASE_CONVE_PPTO].[Importe]",
TDinamica_P!$A$5,
"[BASE_CONVE_PPTO].[Periodo]",
"[BASE_CONVE_PPTO].[Periodo].&amp;[" &amp; TEXT(BJ$6,"yyyymm")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200.48665022416182</v>
      </c>
      <c r="BK16" s="8">
        <f>IFERROR(
GETPIVOTDATA(
"[BASE_CONVE_PPTO].[Importe]",
TDinamica_P!$A$5,
"[BASE_CONVE_PPTO].[Periodo]",
"[BASE_CONVE_PPTO].[Periodo].&amp;[" &amp; TEXT(BK$6,"yyyymm")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200.81425749063393</v>
      </c>
      <c r="BO16" s="24">
        <f t="shared" si="10"/>
        <v>296.90009399999997</v>
      </c>
      <c r="BP16" s="24">
        <f t="shared" si="10"/>
        <v>211.89418407922511</v>
      </c>
      <c r="BQ16" s="24">
        <f t="shared" si="10"/>
        <v>230.86732999999998</v>
      </c>
      <c r="BR16" s="24">
        <f t="shared" si="10"/>
        <v>311.22807999999998</v>
      </c>
      <c r="BS16" s="24">
        <f t="shared" si="10"/>
        <v>219.82795200000001</v>
      </c>
      <c r="BT16" s="24">
        <f t="shared" si="10"/>
        <v>90.247877999999986</v>
      </c>
      <c r="BW16" s="24">
        <f t="shared" si="11"/>
        <v>1484.50047</v>
      </c>
      <c r="BX16" s="24">
        <f t="shared" si="11"/>
        <v>1059.4709203961256</v>
      </c>
      <c r="BY16" s="24">
        <f t="shared" si="11"/>
        <v>923.46931999999993</v>
      </c>
      <c r="BZ16" s="24">
        <f t="shared" si="11"/>
        <v>1556.1404</v>
      </c>
      <c r="CA16" s="24">
        <f t="shared" si="11"/>
        <v>1099.13976</v>
      </c>
      <c r="CB16" s="24">
        <f t="shared" si="11"/>
        <v>451.23938999999996</v>
      </c>
    </row>
    <row r="17" spans="1:80" x14ac:dyDescent="0.25">
      <c r="C17" s="3" t="s">
        <v>56</v>
      </c>
      <c r="D17" s="10">
        <f>SUM(D14:D16)</f>
        <v>74404.538370000009</v>
      </c>
      <c r="E17" s="10">
        <f t="shared" ref="E17:AY17" si="12">SUM(E14:E16)</f>
        <v>75620.794089999996</v>
      </c>
      <c r="F17" s="10">
        <f t="shared" si="12"/>
        <v>75815.41148000001</v>
      </c>
      <c r="G17" s="10">
        <f t="shared" si="12"/>
        <v>76463.967239999998</v>
      </c>
      <c r="H17" s="10">
        <f t="shared" si="12"/>
        <v>77315.182050000003</v>
      </c>
      <c r="I17" s="10">
        <f t="shared" si="12"/>
        <v>78579.075540000005</v>
      </c>
      <c r="J17" s="10">
        <f t="shared" si="12"/>
        <v>80246.764686399983</v>
      </c>
      <c r="K17" s="10">
        <f t="shared" si="12"/>
        <v>80838.096646159989</v>
      </c>
      <c r="L17" s="10">
        <f t="shared" si="12"/>
        <v>81087.193093890004</v>
      </c>
      <c r="M17" s="10">
        <f t="shared" si="12"/>
        <v>81064.889817000018</v>
      </c>
      <c r="N17" s="10">
        <f t="shared" si="12"/>
        <v>80966.329166499985</v>
      </c>
      <c r="O17" s="10">
        <f t="shared" si="12"/>
        <v>80534.182495939996</v>
      </c>
      <c r="P17" s="10">
        <f t="shared" si="12"/>
        <v>79329.575906319995</v>
      </c>
      <c r="Q17" s="10">
        <f t="shared" si="12"/>
        <v>80493.71402592001</v>
      </c>
      <c r="R17" s="10">
        <f t="shared" si="12"/>
        <v>81161.780310550006</v>
      </c>
      <c r="S17" s="10">
        <f t="shared" si="12"/>
        <v>80356.682273120008</v>
      </c>
      <c r="T17" s="10">
        <f t="shared" si="12"/>
        <v>80233.461419999992</v>
      </c>
      <c r="U17" s="10">
        <f t="shared" si="12"/>
        <v>80008.800115110003</v>
      </c>
      <c r="V17" s="10">
        <f t="shared" si="12"/>
        <v>81193.235352799995</v>
      </c>
      <c r="W17" s="10">
        <f t="shared" si="12"/>
        <v>82609.170801099986</v>
      </c>
      <c r="X17" s="10">
        <f t="shared" si="12"/>
        <v>84125.593740099997</v>
      </c>
      <c r="Y17" s="10">
        <f t="shared" si="12"/>
        <v>83844.478139599989</v>
      </c>
      <c r="Z17" s="10">
        <f t="shared" si="12"/>
        <v>85402.889421400003</v>
      </c>
      <c r="AA17" s="10">
        <f t="shared" si="12"/>
        <v>83775.184873999999</v>
      </c>
      <c r="AB17" s="10">
        <f t="shared" si="12"/>
        <v>83038.765333200005</v>
      </c>
      <c r="AC17" s="10">
        <f t="shared" si="12"/>
        <v>82583.785537000003</v>
      </c>
      <c r="AD17" s="10">
        <f t="shared" si="12"/>
        <v>84202.269148199994</v>
      </c>
      <c r="AE17" s="10">
        <f t="shared" si="12"/>
        <v>83487.907236400002</v>
      </c>
      <c r="AF17" s="10">
        <f t="shared" si="12"/>
        <v>82876.4950216</v>
      </c>
      <c r="AG17" s="10">
        <f t="shared" si="12"/>
        <v>84093.901659699986</v>
      </c>
      <c r="AH17" s="10">
        <f t="shared" si="12"/>
        <v>84065.624755900004</v>
      </c>
      <c r="AI17" s="10">
        <f t="shared" si="12"/>
        <v>83275.904372999998</v>
      </c>
      <c r="AJ17" s="10">
        <f t="shared" si="12"/>
        <v>82266.095993700001</v>
      </c>
      <c r="AK17" s="10">
        <f t="shared" si="12"/>
        <v>81515.322344600005</v>
      </c>
      <c r="AL17" s="10">
        <f t="shared" si="12"/>
        <v>81690.880076999994</v>
      </c>
      <c r="AM17" s="10">
        <f t="shared" si="12"/>
        <v>81286.007642199998</v>
      </c>
      <c r="AN17" s="10">
        <f t="shared" si="12"/>
        <v>81051.28</v>
      </c>
      <c r="AO17" s="10">
        <f t="shared" si="12"/>
        <v>81612.27</v>
      </c>
      <c r="AP17" s="10">
        <f t="shared" si="12"/>
        <v>82887.899999999994</v>
      </c>
      <c r="AQ17" s="10">
        <f t="shared" si="12"/>
        <v>82758.452653810004</v>
      </c>
      <c r="AR17" s="10">
        <f t="shared" si="12"/>
        <v>84024.247598849979</v>
      </c>
      <c r="AS17" s="10">
        <f t="shared" si="12"/>
        <v>87326.275073350014</v>
      </c>
      <c r="AT17" s="10">
        <f t="shared" si="12"/>
        <v>0</v>
      </c>
      <c r="AU17" s="10">
        <f t="shared" si="12"/>
        <v>0</v>
      </c>
      <c r="AV17" s="10">
        <f t="shared" si="12"/>
        <v>0</v>
      </c>
      <c r="AW17" s="10">
        <f t="shared" si="12"/>
        <v>0</v>
      </c>
      <c r="AX17" s="10">
        <f t="shared" si="12"/>
        <v>0</v>
      </c>
      <c r="AY17" s="10">
        <f t="shared" si="12"/>
        <v>0</v>
      </c>
      <c r="AZ17" s="10">
        <f>SUM(AZ14:AZ16)</f>
        <v>86724.345984654123</v>
      </c>
      <c r="BA17" s="10">
        <f t="shared" ref="BA17" si="13">SUM(BA14:BA16)</f>
        <v>88357.302376502514</v>
      </c>
      <c r="BB17" s="10">
        <f t="shared" ref="BB17" si="14">SUM(BB14:BB16)</f>
        <v>90425.841514375847</v>
      </c>
      <c r="BC17" s="10">
        <f t="shared" ref="BC17" si="15">SUM(BC14:BC16)</f>
        <v>92042.270486387308</v>
      </c>
      <c r="BD17" s="10">
        <f t="shared" ref="BD17" si="16">SUM(BD14:BD16)</f>
        <v>94552.025171067435</v>
      </c>
      <c r="BE17" s="10">
        <f t="shared" ref="BE17" si="17">SUM(BE14:BE16)</f>
        <v>97180.446845310857</v>
      </c>
      <c r="BF17" s="10">
        <f t="shared" ref="BF17" si="18">SUM(BF14:BF16)</f>
        <v>99851.433282785583</v>
      </c>
      <c r="BG17" s="10">
        <f t="shared" ref="BG17" si="19">SUM(BG14:BG16)</f>
        <v>102555.58333670355</v>
      </c>
      <c r="BH17" s="10">
        <f t="shared" ref="BH17" si="20">SUM(BH14:BH16)</f>
        <v>107868.95907117485</v>
      </c>
      <c r="BI17" s="10">
        <f t="shared" ref="BI17" si="21">SUM(BI14:BI16)</f>
        <v>112777.89563795942</v>
      </c>
      <c r="BJ17" s="10">
        <f t="shared" ref="BJ17" si="22">SUM(BJ14:BJ16)</f>
        <v>117693.67304813708</v>
      </c>
      <c r="BK17" s="10">
        <f t="shared" ref="BK17" si="23">SUM(BK14:BK16)</f>
        <v>122011.78128138171</v>
      </c>
      <c r="BO17" s="23">
        <f>SUM(BO14:BO16)</f>
        <v>82466.830050531993</v>
      </c>
      <c r="BP17" s="23">
        <f t="shared" ref="BP17:BT17" si="24">SUM(BP14:BP16)</f>
        <v>90420.357106597454</v>
      </c>
      <c r="BQ17" s="23">
        <f t="shared" si="24"/>
        <v>82077.475663452497</v>
      </c>
      <c r="BR17" s="23">
        <f t="shared" si="24"/>
        <v>83237.844455280007</v>
      </c>
      <c r="BS17" s="23">
        <f t="shared" si="24"/>
        <v>80315.042787182014</v>
      </c>
      <c r="BT17" s="23">
        <f t="shared" si="24"/>
        <v>75923.978645999989</v>
      </c>
      <c r="BW17" s="23">
        <f>SUM(BW14:BW16)</f>
        <v>412334.15025266004</v>
      </c>
      <c r="BX17" s="23">
        <f t="shared" ref="BX17:CB17" si="25">SUM(BX14:BX16)</f>
        <v>452101.78553298727</v>
      </c>
      <c r="BY17" s="23">
        <f t="shared" si="25"/>
        <v>328309.90265380999</v>
      </c>
      <c r="BZ17" s="23">
        <f t="shared" si="25"/>
        <v>416189.22227640002</v>
      </c>
      <c r="CA17" s="23">
        <f t="shared" si="25"/>
        <v>401575.21393590997</v>
      </c>
      <c r="CB17" s="23">
        <f t="shared" si="25"/>
        <v>379619.89322999999</v>
      </c>
    </row>
    <row r="18" spans="1:80" x14ac:dyDescent="0.25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80" x14ac:dyDescent="0.25"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80" outlineLevel="1" x14ac:dyDescent="0.25">
      <c r="A20" s="11"/>
      <c r="C20" s="2" t="s">
        <v>0</v>
      </c>
      <c r="D20" s="14">
        <f>IFERROR(((1+D38/D14)^(360/D$3))-1,0)</f>
        <v>0.11307771181367809</v>
      </c>
      <c r="E20" s="14">
        <f t="shared" ref="E20:AY23" si="26">IFERROR(((1+E38/E14)^(360/E$3))-1,0)</f>
        <v>0.11156270578937222</v>
      </c>
      <c r="F20" s="14">
        <f t="shared" si="26"/>
        <v>0.11163703630194211</v>
      </c>
      <c r="G20" s="14">
        <f t="shared" si="26"/>
        <v>0.11085964096613621</v>
      </c>
      <c r="H20" s="14">
        <f t="shared" si="26"/>
        <v>0.11262398600403567</v>
      </c>
      <c r="I20" s="14">
        <f t="shared" si="26"/>
        <v>0.1133608537930022</v>
      </c>
      <c r="J20" s="14">
        <f t="shared" si="26"/>
        <v>0.11303413262394546</v>
      </c>
      <c r="K20" s="14">
        <f t="shared" si="26"/>
        <v>0.11233577139477768</v>
      </c>
      <c r="L20" s="14">
        <f t="shared" si="26"/>
        <v>0.11362830254429013</v>
      </c>
      <c r="M20" s="14">
        <f t="shared" si="26"/>
        <v>0.11262426314155261</v>
      </c>
      <c r="N20" s="14">
        <f t="shared" si="26"/>
        <v>0.11270291484358363</v>
      </c>
      <c r="O20" s="14">
        <f t="shared" si="26"/>
        <v>0.11319551374954662</v>
      </c>
      <c r="P20" s="14">
        <f t="shared" si="26"/>
        <v>0.11333881549951785</v>
      </c>
      <c r="Q20" s="14">
        <f t="shared" si="26"/>
        <v>0.1123430275990196</v>
      </c>
      <c r="R20" s="14">
        <f t="shared" si="26"/>
        <v>0.11361330815244641</v>
      </c>
      <c r="S20" s="14">
        <f t="shared" si="26"/>
        <v>0.10985618187493351</v>
      </c>
      <c r="T20" s="14">
        <f t="shared" si="26"/>
        <v>0.11138666232178251</v>
      </c>
      <c r="U20" s="14">
        <f t="shared" si="26"/>
        <v>0.11087248604509736</v>
      </c>
      <c r="V20" s="14">
        <f t="shared" si="26"/>
        <v>0.11049551018015213</v>
      </c>
      <c r="W20" s="14">
        <f t="shared" si="26"/>
        <v>0.10982558147516785</v>
      </c>
      <c r="X20" s="14">
        <f t="shared" si="26"/>
        <v>0.11027592364683358</v>
      </c>
      <c r="Y20" s="14">
        <f t="shared" si="26"/>
        <v>0.11415573241385801</v>
      </c>
      <c r="Z20" s="14">
        <f t="shared" si="26"/>
        <v>0.11089677955410493</v>
      </c>
      <c r="AA20" s="14">
        <f t="shared" si="26"/>
        <v>0.11218803939729938</v>
      </c>
      <c r="AB20" s="14">
        <f t="shared" si="26"/>
        <v>0.11077535428569085</v>
      </c>
      <c r="AC20" s="14">
        <f t="shared" si="26"/>
        <v>0.11037632443325007</v>
      </c>
      <c r="AD20" s="14">
        <f t="shared" si="26"/>
        <v>0.11170270827074513</v>
      </c>
      <c r="AE20" s="14">
        <f t="shared" si="26"/>
        <v>0.11095609600808887</v>
      </c>
      <c r="AF20" s="14">
        <f t="shared" si="26"/>
        <v>0.11192065042984067</v>
      </c>
      <c r="AG20" s="14">
        <f t="shared" si="26"/>
        <v>0.11198266397639878</v>
      </c>
      <c r="AH20" s="14">
        <f t="shared" si="26"/>
        <v>0.11087798584284925</v>
      </c>
      <c r="AI20" s="14">
        <f t="shared" si="26"/>
        <v>0.11118573272032539</v>
      </c>
      <c r="AJ20" s="14">
        <f t="shared" si="26"/>
        <v>0.11068747400012136</v>
      </c>
      <c r="AK20" s="14">
        <f t="shared" si="26"/>
        <v>0.1095768615562398</v>
      </c>
      <c r="AL20" s="14">
        <f t="shared" si="26"/>
        <v>0.10876309912561699</v>
      </c>
      <c r="AM20" s="14">
        <f t="shared" si="26"/>
        <v>0.10933869801446106</v>
      </c>
      <c r="AN20" s="14">
        <f t="shared" si="26"/>
        <v>0.10742498655495525</v>
      </c>
      <c r="AO20" s="14">
        <f t="shared" si="26"/>
        <v>0.1068919506232644</v>
      </c>
      <c r="AP20" s="14">
        <f t="shared" si="26"/>
        <v>0.10681896239671484</v>
      </c>
      <c r="AQ20" s="14">
        <f t="shared" si="26"/>
        <v>0.10621486408558156</v>
      </c>
      <c r="AR20" s="14">
        <f t="shared" si="26"/>
        <v>0.10434001716873142</v>
      </c>
      <c r="AS20" s="14">
        <f t="shared" si="26"/>
        <v>0.10365466558318248</v>
      </c>
      <c r="AT20" s="14">
        <f t="shared" si="26"/>
        <v>0</v>
      </c>
      <c r="AU20" s="14">
        <f t="shared" si="26"/>
        <v>0</v>
      </c>
      <c r="AV20" s="14">
        <f t="shared" si="26"/>
        <v>0</v>
      </c>
      <c r="AW20" s="14">
        <f t="shared" si="26"/>
        <v>0</v>
      </c>
      <c r="AX20" s="14">
        <f t="shared" si="26"/>
        <v>0</v>
      </c>
      <c r="AY20" s="14">
        <f t="shared" si="26"/>
        <v>0</v>
      </c>
      <c r="AZ20" s="14">
        <f t="shared" ref="AZ20:BK20" si="27">IFERROR(((1+AZ38/AZ14)^(360/AZ$3))-1,0)</f>
        <v>0.10958026375557361</v>
      </c>
      <c r="BA20" s="14">
        <f t="shared" si="27"/>
        <v>0.10951122640309818</v>
      </c>
      <c r="BB20" s="14">
        <f t="shared" si="27"/>
        <v>0.10742149967559023</v>
      </c>
      <c r="BC20" s="14">
        <f t="shared" si="27"/>
        <v>0.10694786930558675</v>
      </c>
      <c r="BD20" s="14">
        <f t="shared" si="27"/>
        <v>0.1059250538675427</v>
      </c>
      <c r="BE20" s="14">
        <f t="shared" si="27"/>
        <v>0.10481766735987685</v>
      </c>
      <c r="BF20" s="14">
        <f t="shared" si="27"/>
        <v>0.10396199276362572</v>
      </c>
      <c r="BG20" s="14">
        <f t="shared" si="27"/>
        <v>0.10308184635246853</v>
      </c>
      <c r="BH20" s="14">
        <f t="shared" si="27"/>
        <v>0.10203846460471611</v>
      </c>
      <c r="BI20" s="14">
        <f t="shared" si="27"/>
        <v>9.9991312620167694E-2</v>
      </c>
      <c r="BJ20" s="14">
        <f t="shared" si="27"/>
        <v>9.7412910912902939E-2</v>
      </c>
      <c r="BK20" s="14">
        <f t="shared" si="27"/>
        <v>9.6369829263756479E-2</v>
      </c>
      <c r="BO20" s="28">
        <f>IFERROR(((1+BO38/BW14)^(360/BO$3))-1,0)</f>
        <v>0.10632720862112643</v>
      </c>
      <c r="BP20" s="28">
        <f t="shared" ref="BP20:BT23" si="28">IFERROR(((1+BP38/BX14)^(360/BP$3))-1,0)</f>
        <v>0.10783357639201108</v>
      </c>
      <c r="BQ20" s="28">
        <f t="shared" si="28"/>
        <v>0.10683434314567664</v>
      </c>
      <c r="BR20" s="28">
        <f t="shared" si="28"/>
        <v>0.11114846252417787</v>
      </c>
      <c r="BS20" s="28">
        <f t="shared" si="28"/>
        <v>0.11210805485724795</v>
      </c>
      <c r="BT20" s="28">
        <f t="shared" si="28"/>
        <v>0.11194870360425324</v>
      </c>
    </row>
    <row r="21" spans="1:80" outlineLevel="1" x14ac:dyDescent="0.25">
      <c r="A21" s="11"/>
      <c r="C21" s="2" t="s">
        <v>1</v>
      </c>
      <c r="D21" s="14">
        <f t="shared" ref="D21:S23" si="29">IFERROR(((1+D39/D15)^(360/D$3))-1,0)</f>
        <v>0.25470535689767071</v>
      </c>
      <c r="E21" s="14">
        <f t="shared" si="29"/>
        <v>0.13596224873077767</v>
      </c>
      <c r="F21" s="14">
        <f t="shared" si="29"/>
        <v>0.17758510842618569</v>
      </c>
      <c r="G21" s="14">
        <f t="shared" si="29"/>
        <v>0.16173025892415405</v>
      </c>
      <c r="H21" s="14">
        <f t="shared" si="29"/>
        <v>0.21999524129393255</v>
      </c>
      <c r="I21" s="14">
        <f t="shared" si="29"/>
        <v>0.14937666468423427</v>
      </c>
      <c r="J21" s="14">
        <f t="shared" si="29"/>
        <v>0.14610142891130518</v>
      </c>
      <c r="K21" s="14">
        <f t="shared" si="29"/>
        <v>0.15757131091531495</v>
      </c>
      <c r="L21" s="14">
        <f t="shared" si="29"/>
        <v>0.14837111137261805</v>
      </c>
      <c r="M21" s="14">
        <f t="shared" si="29"/>
        <v>0.15728535423460688</v>
      </c>
      <c r="N21" s="14">
        <f t="shared" si="29"/>
        <v>0.15186928129719712</v>
      </c>
      <c r="O21" s="14">
        <f t="shared" si="29"/>
        <v>0.15777997890520612</v>
      </c>
      <c r="P21" s="14">
        <f t="shared" si="29"/>
        <v>0.14852384278397324</v>
      </c>
      <c r="Q21" s="14">
        <f t="shared" si="29"/>
        <v>0.14716941299735198</v>
      </c>
      <c r="R21" s="14">
        <f t="shared" si="29"/>
        <v>0.16020011451582983</v>
      </c>
      <c r="S21" s="14">
        <f t="shared" si="29"/>
        <v>0.15307650318384169</v>
      </c>
      <c r="T21" s="14">
        <f t="shared" si="26"/>
        <v>0.16015029023903637</v>
      </c>
      <c r="U21" s="14">
        <f t="shared" si="26"/>
        <v>0.14170285267007787</v>
      </c>
      <c r="V21" s="14">
        <f t="shared" si="26"/>
        <v>0.16106887285046012</v>
      </c>
      <c r="W21" s="14">
        <f t="shared" si="26"/>
        <v>0.16138957463305492</v>
      </c>
      <c r="X21" s="14">
        <f t="shared" si="26"/>
        <v>0.15609360513787784</v>
      </c>
      <c r="Y21" s="14">
        <f t="shared" si="26"/>
        <v>0.16328412031548045</v>
      </c>
      <c r="Z21" s="14">
        <f t="shared" si="26"/>
        <v>0.14565355179782058</v>
      </c>
      <c r="AA21" s="14">
        <f t="shared" si="26"/>
        <v>0.18209238725990295</v>
      </c>
      <c r="AB21" s="14">
        <f t="shared" si="26"/>
        <v>0</v>
      </c>
      <c r="AC21" s="14">
        <f t="shared" si="26"/>
        <v>0</v>
      </c>
      <c r="AD21" s="14">
        <f t="shared" si="26"/>
        <v>0</v>
      </c>
      <c r="AE21" s="14">
        <f t="shared" si="26"/>
        <v>0</v>
      </c>
      <c r="AF21" s="14">
        <f t="shared" si="26"/>
        <v>0</v>
      </c>
      <c r="AG21" s="14">
        <f t="shared" si="26"/>
        <v>0</v>
      </c>
      <c r="AH21" s="14">
        <f t="shared" si="26"/>
        <v>0</v>
      </c>
      <c r="AI21" s="14">
        <f t="shared" si="26"/>
        <v>0</v>
      </c>
      <c r="AJ21" s="14">
        <f t="shared" si="26"/>
        <v>0</v>
      </c>
      <c r="AK21" s="14">
        <f t="shared" si="26"/>
        <v>0</v>
      </c>
      <c r="AL21" s="14">
        <f t="shared" si="26"/>
        <v>0</v>
      </c>
      <c r="AM21" s="14">
        <f t="shared" si="26"/>
        <v>0</v>
      </c>
      <c r="AN21" s="14">
        <f t="shared" si="26"/>
        <v>0</v>
      </c>
      <c r="AO21" s="14">
        <f t="shared" si="26"/>
        <v>0</v>
      </c>
      <c r="AP21" s="14">
        <f t="shared" si="26"/>
        <v>0</v>
      </c>
      <c r="AQ21" s="14">
        <f t="shared" si="26"/>
        <v>0</v>
      </c>
      <c r="AR21" s="14">
        <f t="shared" si="26"/>
        <v>0</v>
      </c>
      <c r="AS21" s="14">
        <f t="shared" si="26"/>
        <v>0</v>
      </c>
      <c r="AT21" s="14">
        <f t="shared" si="26"/>
        <v>0</v>
      </c>
      <c r="AU21" s="14">
        <f t="shared" si="26"/>
        <v>0</v>
      </c>
      <c r="AV21" s="14">
        <f t="shared" si="26"/>
        <v>0</v>
      </c>
      <c r="AW21" s="14">
        <f t="shared" si="26"/>
        <v>0</v>
      </c>
      <c r="AX21" s="14">
        <f t="shared" si="26"/>
        <v>0</v>
      </c>
      <c r="AY21" s="14">
        <f t="shared" si="26"/>
        <v>0</v>
      </c>
      <c r="AZ21" s="14">
        <f t="shared" ref="AZ21:BK21" si="30">IFERROR(((1+AZ39/AZ15)^(360/AZ$3))-1,0)</f>
        <v>0</v>
      </c>
      <c r="BA21" s="14">
        <f t="shared" si="30"/>
        <v>0</v>
      </c>
      <c r="BB21" s="14">
        <f t="shared" si="30"/>
        <v>0</v>
      </c>
      <c r="BC21" s="14">
        <f t="shared" si="30"/>
        <v>0</v>
      </c>
      <c r="BD21" s="14">
        <f t="shared" si="30"/>
        <v>0</v>
      </c>
      <c r="BE21" s="14">
        <f t="shared" si="30"/>
        <v>0</v>
      </c>
      <c r="BF21" s="14">
        <f t="shared" si="30"/>
        <v>0</v>
      </c>
      <c r="BG21" s="14">
        <f t="shared" si="30"/>
        <v>0</v>
      </c>
      <c r="BH21" s="14">
        <f t="shared" si="30"/>
        <v>0</v>
      </c>
      <c r="BI21" s="14">
        <f t="shared" si="30"/>
        <v>0</v>
      </c>
      <c r="BJ21" s="14">
        <f t="shared" si="30"/>
        <v>0</v>
      </c>
      <c r="BK21" s="14">
        <f t="shared" si="30"/>
        <v>0</v>
      </c>
      <c r="BO21" s="28">
        <f t="shared" ref="BO21:BO23" si="31">IFERROR(((1+BO39/BW15)^(360/BO$3))-1,0)</f>
        <v>0</v>
      </c>
      <c r="BP21" s="28">
        <f t="shared" si="28"/>
        <v>0</v>
      </c>
      <c r="BQ21" s="28">
        <f t="shared" si="28"/>
        <v>0</v>
      </c>
      <c r="BR21" s="28">
        <f t="shared" si="28"/>
        <v>0</v>
      </c>
      <c r="BS21" s="28">
        <f t="shared" si="28"/>
        <v>0.15341668536083697</v>
      </c>
      <c r="BT21" s="28">
        <f t="shared" si="28"/>
        <v>0.18926751137636066</v>
      </c>
    </row>
    <row r="22" spans="1:80" outlineLevel="1" x14ac:dyDescent="0.25">
      <c r="A22" s="11"/>
      <c r="C22" s="2" t="s">
        <v>45</v>
      </c>
      <c r="D22" s="14">
        <f t="shared" si="29"/>
        <v>4.9241370561452502E-2</v>
      </c>
      <c r="E22" s="14">
        <f t="shared" si="26"/>
        <v>0.18423214901182083</v>
      </c>
      <c r="F22" s="14">
        <f t="shared" si="26"/>
        <v>0.27545103068658783</v>
      </c>
      <c r="G22" s="14">
        <f t="shared" si="26"/>
        <v>0.2583225817698509</v>
      </c>
      <c r="H22" s="14">
        <f t="shared" si="26"/>
        <v>0.44611828318646563</v>
      </c>
      <c r="I22" s="14">
        <f t="shared" si="26"/>
        <v>6.4116890907951696E-2</v>
      </c>
      <c r="J22" s="14">
        <f t="shared" si="26"/>
        <v>0.14198010913832082</v>
      </c>
      <c r="K22" s="14">
        <f t="shared" si="26"/>
        <v>9.1368179030744123E-3</v>
      </c>
      <c r="L22" s="14">
        <f t="shared" si="26"/>
        <v>0.26469501988877231</v>
      </c>
      <c r="M22" s="14">
        <f t="shared" si="26"/>
        <v>0.35718085342911143</v>
      </c>
      <c r="N22" s="14">
        <f t="shared" si="26"/>
        <v>0.2582431369750926</v>
      </c>
      <c r="O22" s="14">
        <f t="shared" si="26"/>
        <v>0.47504340685278645</v>
      </c>
      <c r="P22" s="14">
        <f t="shared" si="26"/>
        <v>0.18082800827344925</v>
      </c>
      <c r="Q22" s="14">
        <f t="shared" si="26"/>
        <v>0.39220828091744586</v>
      </c>
      <c r="R22" s="14">
        <f t="shared" si="26"/>
        <v>5.5394905226411773E-2</v>
      </c>
      <c r="S22" s="14">
        <f t="shared" si="26"/>
        <v>3.5821384206965678E-2</v>
      </c>
      <c r="T22" s="14">
        <f t="shared" si="26"/>
        <v>0.11909358940662851</v>
      </c>
      <c r="U22" s="14">
        <f t="shared" si="26"/>
        <v>0.16189744666506334</v>
      </c>
      <c r="V22" s="14">
        <f t="shared" si="26"/>
        <v>6.2294143571907989E-2</v>
      </c>
      <c r="W22" s="14">
        <f t="shared" si="26"/>
        <v>9.7342298030287155E-2</v>
      </c>
      <c r="X22" s="14">
        <f t="shared" si="26"/>
        <v>9.1552322285782806E-2</v>
      </c>
      <c r="Y22" s="14">
        <f t="shared" si="26"/>
        <v>5.280914418656435E-2</v>
      </c>
      <c r="Z22" s="14">
        <f t="shared" si="26"/>
        <v>5.037553995728139E-3</v>
      </c>
      <c r="AA22" s="14">
        <f t="shared" si="26"/>
        <v>3.5857023890928374E-3</v>
      </c>
      <c r="AB22" s="14">
        <f t="shared" si="26"/>
        <v>5.9524074971435414E-3</v>
      </c>
      <c r="AC22" s="14">
        <f t="shared" si="26"/>
        <v>4.2075010826637671E-2</v>
      </c>
      <c r="AD22" s="14">
        <f t="shared" si="26"/>
        <v>9.9311259338101365E-2</v>
      </c>
      <c r="AE22" s="14">
        <f t="shared" si="26"/>
        <v>3.1012941116693282E-2</v>
      </c>
      <c r="AF22" s="14">
        <f t="shared" si="26"/>
        <v>4.4142495529814418E-2</v>
      </c>
      <c r="AG22" s="14">
        <f t="shared" si="26"/>
        <v>2.2982875030065131E-2</v>
      </c>
      <c r="AH22" s="14">
        <f t="shared" si="26"/>
        <v>2.9806229143077179E-2</v>
      </c>
      <c r="AI22" s="14">
        <f t="shared" si="26"/>
        <v>3.847727985549021E-2</v>
      </c>
      <c r="AJ22" s="14">
        <f t="shared" si="26"/>
        <v>0.42834990831394304</v>
      </c>
      <c r="AK22" s="14">
        <f t="shared" si="26"/>
        <v>0.13876685152158075</v>
      </c>
      <c r="AL22" s="14">
        <f t="shared" si="26"/>
        <v>9.3983015896426325E-2</v>
      </c>
      <c r="AM22" s="14">
        <f t="shared" si="26"/>
        <v>4.8402462785946732E-2</v>
      </c>
      <c r="AN22" s="14">
        <f t="shared" si="26"/>
        <v>0.61800617165832294</v>
      </c>
      <c r="AO22" s="14">
        <f t="shared" si="26"/>
        <v>4.3636720182313349E-2</v>
      </c>
      <c r="AP22" s="14">
        <f t="shared" si="26"/>
        <v>4.8195692820991676E-2</v>
      </c>
      <c r="AQ22" s="14">
        <f t="shared" si="26"/>
        <v>0.10672408702699587</v>
      </c>
      <c r="AR22" s="14">
        <f t="shared" si="26"/>
        <v>4.4881382542595549E-2</v>
      </c>
      <c r="AS22" s="14">
        <f t="shared" si="26"/>
        <v>7.5944650490375132E-2</v>
      </c>
      <c r="AT22" s="14">
        <f t="shared" si="26"/>
        <v>0</v>
      </c>
      <c r="AU22" s="14">
        <f t="shared" si="26"/>
        <v>0</v>
      </c>
      <c r="AV22" s="14">
        <f t="shared" si="26"/>
        <v>0</v>
      </c>
      <c r="AW22" s="14">
        <f t="shared" si="26"/>
        <v>0</v>
      </c>
      <c r="AX22" s="14">
        <f t="shared" si="26"/>
        <v>0</v>
      </c>
      <c r="AY22" s="14">
        <f t="shared" si="26"/>
        <v>0</v>
      </c>
      <c r="AZ22" s="14">
        <f t="shared" ref="AZ22:BK22" si="32">IFERROR(((1+AZ40/AZ16)^(360/AZ$3))-1,0)</f>
        <v>0.31477359417667161</v>
      </c>
      <c r="BA22" s="14">
        <f t="shared" si="32"/>
        <v>0.32899120658714986</v>
      </c>
      <c r="BB22" s="14">
        <f t="shared" si="32"/>
        <v>0.33709805856274366</v>
      </c>
      <c r="BC22" s="14">
        <f t="shared" si="32"/>
        <v>0.3519867242468846</v>
      </c>
      <c r="BD22" s="14">
        <f t="shared" si="32"/>
        <v>0.36223282193757078</v>
      </c>
      <c r="BE22" s="14">
        <f t="shared" si="32"/>
        <v>0.37264094707231643</v>
      </c>
      <c r="BF22" s="14">
        <f t="shared" si="32"/>
        <v>0.38598504408533074</v>
      </c>
      <c r="BG22" s="14">
        <f t="shared" si="32"/>
        <v>0.39184135917221297</v>
      </c>
      <c r="BH22" s="14">
        <f t="shared" si="32"/>
        <v>0.41515932722147086</v>
      </c>
      <c r="BI22" s="14">
        <f t="shared" si="32"/>
        <v>0.42876369574862139</v>
      </c>
      <c r="BJ22" s="14">
        <f t="shared" si="32"/>
        <v>0.43772845151378692</v>
      </c>
      <c r="BK22" s="14">
        <f t="shared" si="32"/>
        <v>0.45033926902425092</v>
      </c>
      <c r="BO22" s="28">
        <f t="shared" si="31"/>
        <v>0.12795314937044489</v>
      </c>
      <c r="BP22" s="28">
        <f t="shared" si="28"/>
        <v>0.33849588119346508</v>
      </c>
      <c r="BQ22" s="28">
        <f t="shared" si="28"/>
        <v>0.18133368665872629</v>
      </c>
      <c r="BR22" s="28">
        <f t="shared" si="28"/>
        <v>3.3840838417916075E-2</v>
      </c>
      <c r="BS22" s="28">
        <f t="shared" si="28"/>
        <v>0.12184777124346713</v>
      </c>
      <c r="BT22" s="28">
        <f t="shared" si="28"/>
        <v>0.23412577303961846</v>
      </c>
    </row>
    <row r="23" spans="1:80" x14ac:dyDescent="0.25">
      <c r="C23" s="3" t="s">
        <v>59</v>
      </c>
      <c r="D23" s="15">
        <f t="shared" si="29"/>
        <v>0.11307665508665066</v>
      </c>
      <c r="E23" s="15">
        <f t="shared" si="26"/>
        <v>0.11165871694833496</v>
      </c>
      <c r="F23" s="15">
        <f t="shared" si="26"/>
        <v>0.11188795495147041</v>
      </c>
      <c r="G23" s="15">
        <f t="shared" si="26"/>
        <v>0.11101385297214805</v>
      </c>
      <c r="H23" s="15">
        <f t="shared" si="26"/>
        <v>0.11296016544087828</v>
      </c>
      <c r="I23" s="15">
        <f t="shared" si="26"/>
        <v>0.11331336010696469</v>
      </c>
      <c r="J23" s="15">
        <f t="shared" si="26"/>
        <v>0.11306146237951364</v>
      </c>
      <c r="K23" s="15">
        <f t="shared" si="26"/>
        <v>0.11225279091626983</v>
      </c>
      <c r="L23" s="15">
        <f t="shared" si="26"/>
        <v>0.11375584956533147</v>
      </c>
      <c r="M23" s="15">
        <f t="shared" si="26"/>
        <v>0.11287974098101383</v>
      </c>
      <c r="N23" s="15">
        <f t="shared" si="26"/>
        <v>0.11294310452695155</v>
      </c>
      <c r="O23" s="15">
        <f t="shared" si="26"/>
        <v>0.11380099935857535</v>
      </c>
      <c r="P23" s="15">
        <f t="shared" si="26"/>
        <v>0.11347041630503552</v>
      </c>
      <c r="Q23" s="15">
        <f t="shared" si="26"/>
        <v>0.11280982467243628</v>
      </c>
      <c r="R23" s="15">
        <f t="shared" si="26"/>
        <v>0.11346957959169912</v>
      </c>
      <c r="S23" s="15">
        <f t="shared" si="26"/>
        <v>0.10953251329392599</v>
      </c>
      <c r="T23" s="15">
        <f t="shared" si="26"/>
        <v>0.11141430158026733</v>
      </c>
      <c r="U23" s="15">
        <f t="shared" si="26"/>
        <v>0.11114047691615525</v>
      </c>
      <c r="V23" s="15">
        <f t="shared" si="26"/>
        <v>0.11026430220754668</v>
      </c>
      <c r="W23" s="15">
        <f t="shared" si="26"/>
        <v>0.10977443585189151</v>
      </c>
      <c r="X23" s="15">
        <f t="shared" si="26"/>
        <v>0.11021459539383138</v>
      </c>
      <c r="Y23" s="15">
        <f t="shared" si="26"/>
        <v>0.11380491233672241</v>
      </c>
      <c r="Z23" s="15">
        <f t="shared" si="26"/>
        <v>0.11032962914282662</v>
      </c>
      <c r="AA23" s="15">
        <f t="shared" si="26"/>
        <v>0.11123091054676593</v>
      </c>
      <c r="AB23" s="15">
        <f t="shared" si="26"/>
        <v>0.10994532092735465</v>
      </c>
      <c r="AC23" s="15">
        <f t="shared" si="26"/>
        <v>0.11013925739011454</v>
      </c>
      <c r="AD23" s="15">
        <f t="shared" si="26"/>
        <v>0.11167056778840756</v>
      </c>
      <c r="AE23" s="15">
        <f t="shared" si="26"/>
        <v>0.11074548963330488</v>
      </c>
      <c r="AF23" s="15">
        <f t="shared" si="26"/>
        <v>0.11173639868303509</v>
      </c>
      <c r="AG23" s="15">
        <f t="shared" si="26"/>
        <v>0.11175106592054385</v>
      </c>
      <c r="AH23" s="15">
        <f t="shared" si="26"/>
        <v>0.1106964895322291</v>
      </c>
      <c r="AI23" s="15">
        <f t="shared" si="26"/>
        <v>0.11101451069977997</v>
      </c>
      <c r="AJ23" s="15">
        <f t="shared" si="26"/>
        <v>0.11124100829956296</v>
      </c>
      <c r="AK23" s="15">
        <f t="shared" si="26"/>
        <v>0.1096116045233273</v>
      </c>
      <c r="AL23" s="15">
        <f t="shared" si="26"/>
        <v>0.10874338754354596</v>
      </c>
      <c r="AM23" s="15">
        <f t="shared" si="26"/>
        <v>0.10918829409637842</v>
      </c>
      <c r="AN23" s="15">
        <f t="shared" si="26"/>
        <v>0.10861622265679682</v>
      </c>
      <c r="AO23" s="15">
        <f t="shared" si="26"/>
        <v>0.1067061766460109</v>
      </c>
      <c r="AP23" s="15">
        <f t="shared" si="26"/>
        <v>0.10664221943290486</v>
      </c>
      <c r="AQ23" s="15">
        <f t="shared" si="26"/>
        <v>0.10621621809888548</v>
      </c>
      <c r="AR23" s="15">
        <f t="shared" si="26"/>
        <v>0.10393293201416931</v>
      </c>
      <c r="AS23" s="15">
        <f t="shared" si="26"/>
        <v>0.10343099927846344</v>
      </c>
      <c r="AT23" s="15">
        <f t="shared" si="26"/>
        <v>0</v>
      </c>
      <c r="AU23" s="15">
        <f t="shared" si="26"/>
        <v>0</v>
      </c>
      <c r="AV23" s="15">
        <f t="shared" si="26"/>
        <v>0</v>
      </c>
      <c r="AW23" s="15">
        <f t="shared" si="26"/>
        <v>0</v>
      </c>
      <c r="AX23" s="15">
        <f t="shared" si="26"/>
        <v>0</v>
      </c>
      <c r="AY23" s="15">
        <f t="shared" si="26"/>
        <v>0</v>
      </c>
      <c r="AZ23" s="15">
        <f t="shared" ref="AZ23:BK23" si="33">IFERROR(((1+AZ41/AZ17)^(360/AZ$3))-1,0)</f>
        <v>0.11006132298926952</v>
      </c>
      <c r="BA23" s="15">
        <f t="shared" si="33"/>
        <v>0.11000332849263827</v>
      </c>
      <c r="BB23" s="15">
        <f t="shared" si="33"/>
        <v>0.10791455557466589</v>
      </c>
      <c r="BC23" s="15">
        <f t="shared" si="33"/>
        <v>0.10744952742888114</v>
      </c>
      <c r="BD23" s="15">
        <f t="shared" si="33"/>
        <v>0.10643013037563209</v>
      </c>
      <c r="BE23" s="15">
        <f t="shared" si="33"/>
        <v>0.10532539724578549</v>
      </c>
      <c r="BF23" s="15">
        <f t="shared" si="33"/>
        <v>0.10447402262762706</v>
      </c>
      <c r="BG23" s="15">
        <f t="shared" si="33"/>
        <v>0.10359393401571393</v>
      </c>
      <c r="BH23" s="15">
        <f t="shared" si="33"/>
        <v>0.10255738563702255</v>
      </c>
      <c r="BI23" s="15">
        <f t="shared" si="33"/>
        <v>0.10050837031564264</v>
      </c>
      <c r="BJ23" s="15">
        <f t="shared" si="33"/>
        <v>9.7923687370268242E-2</v>
      </c>
      <c r="BK23" s="15">
        <f t="shared" si="33"/>
        <v>9.688074844392669E-2</v>
      </c>
      <c r="BO23" s="29">
        <f t="shared" si="31"/>
        <v>0.10640438062369739</v>
      </c>
      <c r="BP23" s="29">
        <f t="shared" si="28"/>
        <v>0.10832860130667221</v>
      </c>
      <c r="BQ23" s="29">
        <f t="shared" si="28"/>
        <v>0.10703771227319403</v>
      </c>
      <c r="BR23" s="29">
        <f t="shared" si="28"/>
        <v>0.11084979528360783</v>
      </c>
      <c r="BS23" s="29">
        <f t="shared" si="28"/>
        <v>0.11213810771486687</v>
      </c>
      <c r="BT23" s="29">
        <f t="shared" si="28"/>
        <v>0.11211732370870209</v>
      </c>
    </row>
    <row r="26" spans="1:80" outlineLevel="1" x14ac:dyDescent="0.25">
      <c r="A26" s="11"/>
      <c r="C26" s="2" t="s">
        <v>0</v>
      </c>
      <c r="D26" s="14">
        <f>-IFERROR(((1-D44/D14)^(360/D$4))-1,0)</f>
        <v>-5.5993009516506431E-2</v>
      </c>
      <c r="E26" s="14">
        <f t="shared" ref="E26:AY29" si="34">-IFERROR(((1-E44/E14)^(360/E$4))-1,0)</f>
        <v>-5.8257871961065799E-2</v>
      </c>
      <c r="F26" s="14">
        <f t="shared" si="34"/>
        <v>-6.0475004058984538E-2</v>
      </c>
      <c r="G26" s="14">
        <f t="shared" si="34"/>
        <v>-6.2875783850717903E-2</v>
      </c>
      <c r="H26" s="14">
        <f t="shared" si="34"/>
        <v>-6.4630414656430935E-2</v>
      </c>
      <c r="I26" s="14">
        <f t="shared" si="34"/>
        <v>-6.592160928454005E-2</v>
      </c>
      <c r="J26" s="14">
        <f t="shared" si="34"/>
        <v>-6.7496938960727393E-2</v>
      </c>
      <c r="K26" s="14">
        <f t="shared" si="34"/>
        <v>-6.8685196298714724E-2</v>
      </c>
      <c r="L26" s="14">
        <f t="shared" si="34"/>
        <v>-6.9312232368619942E-2</v>
      </c>
      <c r="M26" s="14">
        <f t="shared" si="34"/>
        <v>-7.0089975340107857E-2</v>
      </c>
      <c r="N26" s="14">
        <f t="shared" si="34"/>
        <v>-7.083359330418082E-2</v>
      </c>
      <c r="O26" s="14">
        <f t="shared" si="34"/>
        <v>-7.1052098262316399E-2</v>
      </c>
      <c r="P26" s="14">
        <f t="shared" si="34"/>
        <v>-7.1060886283171198E-2</v>
      </c>
      <c r="Q26" s="14">
        <f t="shared" si="34"/>
        <v>-7.0934295338176634E-2</v>
      </c>
      <c r="R26" s="14">
        <f t="shared" si="34"/>
        <v>-7.0646373602356372E-2</v>
      </c>
      <c r="S26" s="14">
        <f t="shared" si="34"/>
        <v>-7.0381464240740543E-2</v>
      </c>
      <c r="T26" s="14">
        <f t="shared" si="34"/>
        <v>-7.0415842021166242E-2</v>
      </c>
      <c r="U26" s="14">
        <f t="shared" si="34"/>
        <v>-7.0071343492808635E-2</v>
      </c>
      <c r="V26" s="14">
        <f t="shared" si="34"/>
        <v>-6.9624033229870319E-2</v>
      </c>
      <c r="W26" s="14">
        <f t="shared" si="34"/>
        <v>-6.9090553676246502E-2</v>
      </c>
      <c r="X26" s="14">
        <f t="shared" si="34"/>
        <v>-6.8358017223929535E-2</v>
      </c>
      <c r="Y26" s="14">
        <f t="shared" si="34"/>
        <v>-6.7703265287227365E-2</v>
      </c>
      <c r="Z26" s="14">
        <f t="shared" si="34"/>
        <v>-6.7224845929434451E-2</v>
      </c>
      <c r="AA26" s="14">
        <f t="shared" si="34"/>
        <v>-6.7060013532049378E-2</v>
      </c>
      <c r="AB26" s="14">
        <f t="shared" si="34"/>
        <v>-6.6838459646879622E-2</v>
      </c>
      <c r="AC26" s="14">
        <f t="shared" si="34"/>
        <v>-6.6448528065327528E-2</v>
      </c>
      <c r="AD26" s="14">
        <f t="shared" si="34"/>
        <v>-6.5594822059036328E-2</v>
      </c>
      <c r="AE26" s="14">
        <f t="shared" si="34"/>
        <v>-6.4837159804255862E-2</v>
      </c>
      <c r="AF26" s="14">
        <f t="shared" si="34"/>
        <v>-6.4477027465603465E-2</v>
      </c>
      <c r="AG26" s="14">
        <f t="shared" si="34"/>
        <v>-6.3784790755033072E-2</v>
      </c>
      <c r="AH26" s="14">
        <f t="shared" si="34"/>
        <v>-6.3168001659274386E-2</v>
      </c>
      <c r="AI26" s="14">
        <f t="shared" si="34"/>
        <v>-6.2497048779387665E-2</v>
      </c>
      <c r="AJ26" s="14">
        <f t="shared" si="34"/>
        <v>-6.1831829828961959E-2</v>
      </c>
      <c r="AK26" s="14">
        <f t="shared" si="34"/>
        <v>-6.1706775055616392E-2</v>
      </c>
      <c r="AL26" s="14">
        <f t="shared" si="34"/>
        <v>-6.089200521575111E-2</v>
      </c>
      <c r="AM26" s="14">
        <f t="shared" si="34"/>
        <v>-6.0403441651206924E-2</v>
      </c>
      <c r="AN26" s="14">
        <f t="shared" si="34"/>
        <v>-5.9769369200617817E-2</v>
      </c>
      <c r="AO26" s="14">
        <f t="shared" si="34"/>
        <v>-5.8852346343136297E-2</v>
      </c>
      <c r="AP26" s="14">
        <f t="shared" si="34"/>
        <v>-5.8028761070125112E-2</v>
      </c>
      <c r="AQ26" s="14">
        <f t="shared" si="34"/>
        <v>-5.7548268949623171E-2</v>
      </c>
      <c r="AR26" s="14">
        <f t="shared" si="34"/>
        <v>-5.720415014014324E-2</v>
      </c>
      <c r="AS26" s="14">
        <f t="shared" si="34"/>
        <v>-5.6478742524165737E-2</v>
      </c>
      <c r="AT26" s="14">
        <f t="shared" si="34"/>
        <v>0</v>
      </c>
      <c r="AU26" s="14">
        <f t="shared" si="34"/>
        <v>0</v>
      </c>
      <c r="AV26" s="14">
        <f t="shared" si="34"/>
        <v>0</v>
      </c>
      <c r="AW26" s="14">
        <f t="shared" si="34"/>
        <v>0</v>
      </c>
      <c r="AX26" s="14">
        <f t="shared" si="34"/>
        <v>0</v>
      </c>
      <c r="AY26" s="14">
        <f t="shared" si="34"/>
        <v>0</v>
      </c>
      <c r="AZ26" s="14">
        <f t="shared" ref="AZ26:BK26" si="35">-IFERROR(((1-AZ44/AZ14)^(360/AZ$4))-1,0)</f>
        <v>-5.9049324977690443E-2</v>
      </c>
      <c r="BA26" s="14">
        <f t="shared" si="35"/>
        <v>-5.8480500026313775E-2</v>
      </c>
      <c r="BB26" s="14">
        <f t="shared" si="35"/>
        <v>-5.7880267491526194E-2</v>
      </c>
      <c r="BC26" s="14">
        <f t="shared" si="35"/>
        <v>-5.7361907247432509E-2</v>
      </c>
      <c r="BD26" s="14">
        <f t="shared" si="35"/>
        <v>-5.6880960764662092E-2</v>
      </c>
      <c r="BE26" s="14">
        <f t="shared" si="35"/>
        <v>-5.6400547481335828E-2</v>
      </c>
      <c r="BF26" s="14">
        <f t="shared" si="35"/>
        <v>-5.5951874944708546E-2</v>
      </c>
      <c r="BG26" s="14">
        <f t="shared" si="35"/>
        <v>-5.5535457043671022E-2</v>
      </c>
      <c r="BH26" s="14">
        <f t="shared" si="35"/>
        <v>-5.5124104785485128E-2</v>
      </c>
      <c r="BI26" s="14">
        <f t="shared" si="35"/>
        <v>-5.4758417444833674E-2</v>
      </c>
      <c r="BJ26" s="14">
        <f t="shared" si="35"/>
        <v>-5.44222504218832E-2</v>
      </c>
      <c r="BK26" s="14">
        <f t="shared" si="35"/>
        <v>-5.4123159005168064E-2</v>
      </c>
      <c r="BO26" s="28">
        <f>-IFERROR(((1-BO44/BW14)^(360/BO$4))-1,0)</f>
        <v>-5.8273109222983344E-2</v>
      </c>
      <c r="BP26" s="28">
        <f t="shared" ref="BP26:BT29" si="36">-IFERROR(((1-BP44/BX14)^(360/BP$4))-1,0)</f>
        <v>-5.7919655750768406E-2</v>
      </c>
      <c r="BQ26" s="28">
        <f t="shared" si="36"/>
        <v>-5.8546993426228378E-2</v>
      </c>
      <c r="BR26" s="28">
        <f t="shared" si="36"/>
        <v>-6.563382294164577E-2</v>
      </c>
      <c r="BS26" s="28">
        <f t="shared" si="36"/>
        <v>-7.0683462042526068E-2</v>
      </c>
      <c r="BT26" s="28">
        <f t="shared" si="36"/>
        <v>-6.0511864111951974E-2</v>
      </c>
    </row>
    <row r="27" spans="1:80" outlineLevel="1" x14ac:dyDescent="0.25">
      <c r="A27" s="11"/>
      <c r="C27" s="2" t="s">
        <v>1</v>
      </c>
      <c r="D27" s="14">
        <f t="shared" ref="D27:S29" si="37">-IFERROR(((1-D45/D15)^(360/D$4))-1,0)</f>
        <v>-3.3095640362231116E-2</v>
      </c>
      <c r="E27" s="14">
        <f t="shared" si="37"/>
        <v>-3.2839535407984011E-2</v>
      </c>
      <c r="F27" s="14">
        <f t="shared" si="37"/>
        <v>-3.3058247548372943E-2</v>
      </c>
      <c r="G27" s="14">
        <f t="shared" si="37"/>
        <v>-8.1781545182995519E-2</v>
      </c>
      <c r="H27" s="14">
        <f t="shared" si="37"/>
        <v>-8.1781038704420217E-2</v>
      </c>
      <c r="I27" s="14">
        <f t="shared" si="37"/>
        <v>-8.1791409593382713E-2</v>
      </c>
      <c r="J27" s="14">
        <f t="shared" si="37"/>
        <v>-8.1788958885817387E-2</v>
      </c>
      <c r="K27" s="14">
        <f t="shared" si="37"/>
        <v>-8.1785929777335564E-2</v>
      </c>
      <c r="L27" s="14">
        <f t="shared" si="37"/>
        <v>-8.7506096788279475E-2</v>
      </c>
      <c r="M27" s="14">
        <f t="shared" si="37"/>
        <v>-8.7497314807452709E-2</v>
      </c>
      <c r="N27" s="14">
        <f t="shared" si="37"/>
        <v>-8.7493790934199067E-2</v>
      </c>
      <c r="O27" s="14">
        <f t="shared" si="37"/>
        <v>-8.7501722918171598E-2</v>
      </c>
      <c r="P27" s="14">
        <f t="shared" si="37"/>
        <v>-8.7503981117684093E-2</v>
      </c>
      <c r="Q27" s="14">
        <f t="shared" si="37"/>
        <v>-8.7500618638366889E-2</v>
      </c>
      <c r="R27" s="14">
        <f t="shared" si="37"/>
        <v>-8.7505693929640582E-2</v>
      </c>
      <c r="S27" s="14">
        <f t="shared" si="37"/>
        <v>-8.7508578181439312E-2</v>
      </c>
      <c r="T27" s="14">
        <f t="shared" si="34"/>
        <v>-8.7505651739038237E-2</v>
      </c>
      <c r="U27" s="14">
        <f t="shared" si="34"/>
        <v>-8.751149101264466E-2</v>
      </c>
      <c r="V27" s="14">
        <f t="shared" si="34"/>
        <v>-8.7489190249840476E-2</v>
      </c>
      <c r="W27" s="14">
        <f t="shared" si="34"/>
        <v>-8.7503805763025522E-2</v>
      </c>
      <c r="X27" s="14">
        <f t="shared" si="34"/>
        <v>-8.7513927719312656E-2</v>
      </c>
      <c r="Y27" s="14">
        <f t="shared" si="34"/>
        <v>-8.7513132758159307E-2</v>
      </c>
      <c r="Z27" s="14">
        <f t="shared" si="34"/>
        <v>-8.7494386437136695E-2</v>
      </c>
      <c r="AA27" s="14">
        <f t="shared" si="34"/>
        <v>-8.7565821438462477E-2</v>
      </c>
      <c r="AB27" s="14">
        <f t="shared" si="34"/>
        <v>0</v>
      </c>
      <c r="AC27" s="14">
        <f t="shared" si="34"/>
        <v>0</v>
      </c>
      <c r="AD27" s="14">
        <f t="shared" si="34"/>
        <v>0</v>
      </c>
      <c r="AE27" s="14">
        <f t="shared" si="34"/>
        <v>0</v>
      </c>
      <c r="AF27" s="14">
        <f t="shared" si="34"/>
        <v>0</v>
      </c>
      <c r="AG27" s="14">
        <f t="shared" si="34"/>
        <v>0</v>
      </c>
      <c r="AH27" s="14">
        <f t="shared" si="34"/>
        <v>0</v>
      </c>
      <c r="AI27" s="14">
        <f t="shared" si="34"/>
        <v>0</v>
      </c>
      <c r="AJ27" s="14">
        <f t="shared" si="34"/>
        <v>0</v>
      </c>
      <c r="AK27" s="14">
        <f t="shared" si="34"/>
        <v>0</v>
      </c>
      <c r="AL27" s="14">
        <f t="shared" si="34"/>
        <v>0</v>
      </c>
      <c r="AM27" s="14">
        <f t="shared" si="34"/>
        <v>0</v>
      </c>
      <c r="AN27" s="14">
        <f t="shared" si="34"/>
        <v>0</v>
      </c>
      <c r="AO27" s="14">
        <f t="shared" si="34"/>
        <v>0</v>
      </c>
      <c r="AP27" s="14">
        <f t="shared" si="34"/>
        <v>0</v>
      </c>
      <c r="AQ27" s="14">
        <f t="shared" si="34"/>
        <v>0</v>
      </c>
      <c r="AR27" s="14">
        <f t="shared" si="34"/>
        <v>0</v>
      </c>
      <c r="AS27" s="14">
        <f t="shared" si="34"/>
        <v>0</v>
      </c>
      <c r="AT27" s="14">
        <f t="shared" si="34"/>
        <v>0</v>
      </c>
      <c r="AU27" s="14">
        <f t="shared" si="34"/>
        <v>0</v>
      </c>
      <c r="AV27" s="14">
        <f t="shared" si="34"/>
        <v>0</v>
      </c>
      <c r="AW27" s="14">
        <f t="shared" si="34"/>
        <v>0</v>
      </c>
      <c r="AX27" s="14">
        <f t="shared" si="34"/>
        <v>0</v>
      </c>
      <c r="AY27" s="14">
        <f t="shared" si="34"/>
        <v>0</v>
      </c>
      <c r="AZ27" s="14">
        <f t="shared" ref="AZ27:BK27" si="38">-IFERROR(((1-AZ45/AZ15)^(360/AZ$4))-1,0)</f>
        <v>0</v>
      </c>
      <c r="BA27" s="14">
        <f t="shared" si="38"/>
        <v>0</v>
      </c>
      <c r="BB27" s="14">
        <f t="shared" si="38"/>
        <v>0</v>
      </c>
      <c r="BC27" s="14">
        <f t="shared" si="38"/>
        <v>0</v>
      </c>
      <c r="BD27" s="14">
        <f t="shared" si="38"/>
        <v>0</v>
      </c>
      <c r="BE27" s="14">
        <f t="shared" si="38"/>
        <v>0</v>
      </c>
      <c r="BF27" s="14">
        <f t="shared" si="38"/>
        <v>0</v>
      </c>
      <c r="BG27" s="14">
        <f t="shared" si="38"/>
        <v>0</v>
      </c>
      <c r="BH27" s="14">
        <f t="shared" si="38"/>
        <v>0</v>
      </c>
      <c r="BI27" s="14">
        <f t="shared" si="38"/>
        <v>0</v>
      </c>
      <c r="BJ27" s="14">
        <f t="shared" si="38"/>
        <v>0</v>
      </c>
      <c r="BK27" s="14">
        <f t="shared" si="38"/>
        <v>0</v>
      </c>
      <c r="BO27" s="28">
        <f t="shared" ref="BO27:BO29" si="39">-IFERROR(((1-BO45/BW15)^(360/BO$4))-1,0)</f>
        <v>0</v>
      </c>
      <c r="BP27" s="28">
        <f t="shared" si="36"/>
        <v>0</v>
      </c>
      <c r="BQ27" s="28">
        <f t="shared" si="36"/>
        <v>0</v>
      </c>
      <c r="BR27" s="28">
        <f t="shared" si="36"/>
        <v>0</v>
      </c>
      <c r="BS27" s="28">
        <f t="shared" si="36"/>
        <v>-8.746432661194703E-2</v>
      </c>
      <c r="BT27" s="28">
        <f t="shared" si="36"/>
        <v>-4.016581961892407E-2</v>
      </c>
    </row>
    <row r="28" spans="1:80" outlineLevel="1" x14ac:dyDescent="0.25">
      <c r="A28" s="11"/>
      <c r="C28" s="2" t="s">
        <v>45</v>
      </c>
      <c r="D28" s="14">
        <f t="shared" si="37"/>
        <v>-4.3696087607017153E-2</v>
      </c>
      <c r="E28" s="14">
        <f t="shared" si="34"/>
        <v>-4.9330216730194998E-2</v>
      </c>
      <c r="F28" s="14">
        <f t="shared" si="34"/>
        <v>-5.9631954159964584E-2</v>
      </c>
      <c r="G28" s="14">
        <f t="shared" si="34"/>
        <v>-5.6028060527187895E-2</v>
      </c>
      <c r="H28" s="14">
        <f t="shared" si="34"/>
        <v>-5.0549556260975681E-2</v>
      </c>
      <c r="I28" s="14">
        <f t="shared" si="34"/>
        <v>-4.9498229063010601E-2</v>
      </c>
      <c r="J28" s="14">
        <f t="shared" si="34"/>
        <v>-5.9171200950805858E-2</v>
      </c>
      <c r="K28" s="14">
        <f t="shared" si="34"/>
        <v>-6.0178631595982246E-2</v>
      </c>
      <c r="L28" s="14">
        <f t="shared" si="34"/>
        <v>-5.8428068488807217E-2</v>
      </c>
      <c r="M28" s="14">
        <f t="shared" si="34"/>
        <v>-5.2920836051631559E-2</v>
      </c>
      <c r="N28" s="14">
        <f t="shared" si="34"/>
        <v>-6.359030061732307E-2</v>
      </c>
      <c r="O28" s="14">
        <f t="shared" si="34"/>
        <v>-6.1462293863002948E-2</v>
      </c>
      <c r="P28" s="14">
        <f t="shared" si="34"/>
        <v>-5.4705627791888478E-2</v>
      </c>
      <c r="Q28" s="14">
        <f t="shared" si="34"/>
        <v>-4.4596820437574181E-2</v>
      </c>
      <c r="R28" s="14">
        <f t="shared" si="34"/>
        <v>-5.6843203763350614E-2</v>
      </c>
      <c r="S28" s="14">
        <f t="shared" si="34"/>
        <v>-6.3000026628591721E-2</v>
      </c>
      <c r="T28" s="14">
        <f t="shared" si="34"/>
        <v>-8.1485356554819477E-2</v>
      </c>
      <c r="U28" s="14">
        <f t="shared" si="34"/>
        <v>-7.59731814315594E-2</v>
      </c>
      <c r="V28" s="14">
        <f t="shared" si="34"/>
        <v>-7.8798124034963557E-2</v>
      </c>
      <c r="W28" s="14">
        <f t="shared" si="34"/>
        <v>-7.7381176725527467E-2</v>
      </c>
      <c r="X28" s="14">
        <f t="shared" si="34"/>
        <v>-7.2870555958567618E-2</v>
      </c>
      <c r="Y28" s="14">
        <f t="shared" si="34"/>
        <v>-6.8079222771294301E-2</v>
      </c>
      <c r="Z28" s="14">
        <f t="shared" si="34"/>
        <v>-6.7199001189240049E-2</v>
      </c>
      <c r="AA28" s="14">
        <f t="shared" si="34"/>
        <v>-6.6061638694082214E-2</v>
      </c>
      <c r="AB28" s="14">
        <f t="shared" si="34"/>
        <v>-6.7070850491435907E-2</v>
      </c>
      <c r="AC28" s="14">
        <f t="shared" si="34"/>
        <v>-6.279263627470999E-2</v>
      </c>
      <c r="AD28" s="14">
        <f t="shared" si="34"/>
        <v>-6.9027857731096987E-2</v>
      </c>
      <c r="AE28" s="14">
        <f t="shared" si="34"/>
        <v>-6.9776250034474518E-2</v>
      </c>
      <c r="AF28" s="14">
        <f t="shared" si="34"/>
        <v>-7.0063649057898525E-2</v>
      </c>
      <c r="AG28" s="14">
        <f t="shared" si="34"/>
        <v>-7.1073768506510371E-2</v>
      </c>
      <c r="AH28" s="14">
        <f t="shared" si="34"/>
        <v>-6.7528264653038628E-2</v>
      </c>
      <c r="AI28" s="14">
        <f t="shared" si="34"/>
        <v>-6.6194142538933853E-2</v>
      </c>
      <c r="AJ28" s="14">
        <f t="shared" si="34"/>
        <v>-6.5018038795391142E-2</v>
      </c>
      <c r="AK28" s="14">
        <f t="shared" si="34"/>
        <v>-4.9761161075490223E-2</v>
      </c>
      <c r="AL28" s="14">
        <f t="shared" si="34"/>
        <v>-4.9775000003164926E-2</v>
      </c>
      <c r="AM28" s="14">
        <f t="shared" si="34"/>
        <v>-5.4469715515807593E-2</v>
      </c>
      <c r="AN28" s="14">
        <f t="shared" si="34"/>
        <v>-5.3985605983269291E-2</v>
      </c>
      <c r="AO28" s="14">
        <f t="shared" si="34"/>
        <v>-5.2697187832632553E-2</v>
      </c>
      <c r="AP28" s="14">
        <f t="shared" si="34"/>
        <v>-5.1754146139802337E-2</v>
      </c>
      <c r="AQ28" s="14">
        <f t="shared" si="34"/>
        <v>-4.9619098961705577E-2</v>
      </c>
      <c r="AR28" s="14">
        <f t="shared" si="34"/>
        <v>-5.3956634697783112E-2</v>
      </c>
      <c r="AS28" s="14">
        <f t="shared" si="34"/>
        <v>-5.5893804991702378E-2</v>
      </c>
      <c r="AT28" s="14">
        <f t="shared" si="34"/>
        <v>0</v>
      </c>
      <c r="AU28" s="14">
        <f t="shared" si="34"/>
        <v>0</v>
      </c>
      <c r="AV28" s="14">
        <f t="shared" si="34"/>
        <v>0</v>
      </c>
      <c r="AW28" s="14">
        <f t="shared" si="34"/>
        <v>0</v>
      </c>
      <c r="AX28" s="14">
        <f t="shared" si="34"/>
        <v>0</v>
      </c>
      <c r="AY28" s="14">
        <f t="shared" si="34"/>
        <v>0</v>
      </c>
      <c r="AZ28" s="14">
        <f t="shared" ref="AZ28:BK28" si="40">-IFERROR(((1-AZ46/AZ16)^(360/AZ$4))-1,0)</f>
        <v>-4.7649510940419804E-2</v>
      </c>
      <c r="BA28" s="14">
        <f t="shared" si="40"/>
        <v>-4.9139312223345666E-2</v>
      </c>
      <c r="BB28" s="14">
        <f t="shared" si="40"/>
        <v>-5.0658446360191123E-2</v>
      </c>
      <c r="BC28" s="14">
        <f t="shared" si="40"/>
        <v>-5.2414976177220796E-2</v>
      </c>
      <c r="BD28" s="14">
        <f t="shared" si="40"/>
        <v>-5.3829943200178532E-2</v>
      </c>
      <c r="BE28" s="14">
        <f t="shared" si="40"/>
        <v>-5.5306316831060576E-2</v>
      </c>
      <c r="BF28" s="14">
        <f t="shared" si="40"/>
        <v>-5.7065158295745544E-2</v>
      </c>
      <c r="BG28" s="14">
        <f t="shared" si="40"/>
        <v>-5.7881824669204107E-2</v>
      </c>
      <c r="BH28" s="14">
        <f t="shared" si="40"/>
        <v>-6.1068898335982169E-2</v>
      </c>
      <c r="BI28" s="14">
        <f t="shared" si="40"/>
        <v>-6.3663209049543035E-2</v>
      </c>
      <c r="BJ28" s="14">
        <f t="shared" si="40"/>
        <v>-6.6111620247731651E-2</v>
      </c>
      <c r="BK28" s="14">
        <f t="shared" si="40"/>
        <v>-6.8120402033223559E-2</v>
      </c>
      <c r="BO28" s="28">
        <f t="shared" si="39"/>
        <v>-5.3096714145463686E-2</v>
      </c>
      <c r="BP28" s="28">
        <f t="shared" si="36"/>
        <v>-5.0691327109506412E-2</v>
      </c>
      <c r="BQ28" s="28">
        <f t="shared" si="36"/>
        <v>-5.2037984947293836E-2</v>
      </c>
      <c r="BR28" s="28">
        <f t="shared" si="36"/>
        <v>-6.7729310225316031E-2</v>
      </c>
      <c r="BS28" s="28">
        <f t="shared" si="36"/>
        <v>-6.2585900671482619E-2</v>
      </c>
      <c r="BT28" s="28">
        <f t="shared" si="36"/>
        <v>-5.2108713447764687E-2</v>
      </c>
    </row>
    <row r="29" spans="1:80" x14ac:dyDescent="0.25">
      <c r="C29" s="3" t="s">
        <v>60</v>
      </c>
      <c r="D29" s="15">
        <f t="shared" si="37"/>
        <v>-5.5963814602555173E-2</v>
      </c>
      <c r="E29" s="15">
        <f t="shared" si="34"/>
        <v>-5.8232601941081041E-2</v>
      </c>
      <c r="F29" s="15">
        <f t="shared" si="34"/>
        <v>-6.045858489244571E-2</v>
      </c>
      <c r="G29" s="15">
        <f t="shared" si="34"/>
        <v>-6.2871427109380651E-2</v>
      </c>
      <c r="H29" s="15">
        <f t="shared" si="34"/>
        <v>-6.4617508465869555E-2</v>
      </c>
      <c r="I29" s="15">
        <f t="shared" si="34"/>
        <v>-6.5906552120478246E-2</v>
      </c>
      <c r="J29" s="15">
        <f t="shared" si="34"/>
        <v>-6.7492050585098884E-2</v>
      </c>
      <c r="K29" s="15">
        <f t="shared" si="34"/>
        <v>-6.8679806720352232E-2</v>
      </c>
      <c r="L29" s="15">
        <f t="shared" si="34"/>
        <v>-6.9304922443400363E-2</v>
      </c>
      <c r="M29" s="15">
        <f t="shared" si="34"/>
        <v>-7.0072493613971387E-2</v>
      </c>
      <c r="N29" s="15">
        <f t="shared" si="34"/>
        <v>-7.0822904513772711E-2</v>
      </c>
      <c r="O29" s="15">
        <f t="shared" si="34"/>
        <v>-7.103552693587889E-2</v>
      </c>
      <c r="P29" s="15">
        <f t="shared" si="34"/>
        <v>-7.1030368022241497E-2</v>
      </c>
      <c r="Q29" s="15">
        <f t="shared" si="34"/>
        <v>-7.0886798061801537E-2</v>
      </c>
      <c r="R29" s="15">
        <f t="shared" si="34"/>
        <v>-7.061344143718995E-2</v>
      </c>
      <c r="S29" s="15">
        <f t="shared" si="34"/>
        <v>-7.0351125614361854E-2</v>
      </c>
      <c r="T29" s="15">
        <f t="shared" si="34"/>
        <v>-7.0451628041422243E-2</v>
      </c>
      <c r="U29" s="15">
        <f t="shared" si="34"/>
        <v>-7.0103861712162097E-2</v>
      </c>
      <c r="V29" s="15">
        <f t="shared" si="34"/>
        <v>-6.9668655828610815E-2</v>
      </c>
      <c r="W29" s="15">
        <f t="shared" si="34"/>
        <v>-6.9127048704976879E-2</v>
      </c>
      <c r="X29" s="15">
        <f t="shared" si="34"/>
        <v>-6.837408418313351E-2</v>
      </c>
      <c r="Y29" s="15">
        <f t="shared" si="34"/>
        <v>-6.7706198134739992E-2</v>
      </c>
      <c r="Z29" s="15">
        <f t="shared" si="34"/>
        <v>-6.7225434544422535E-2</v>
      </c>
      <c r="AA29" s="15">
        <f t="shared" si="34"/>
        <v>-6.7051650803390261E-2</v>
      </c>
      <c r="AB29" s="15">
        <f t="shared" si="34"/>
        <v>-6.6840219230603237E-2</v>
      </c>
      <c r="AC29" s="15">
        <f t="shared" si="34"/>
        <v>-6.6436180005320589E-2</v>
      </c>
      <c r="AD29" s="15">
        <f t="shared" si="34"/>
        <v>-6.5603668093205947E-2</v>
      </c>
      <c r="AE29" s="15">
        <f t="shared" si="34"/>
        <v>-6.4849711168720292E-2</v>
      </c>
      <c r="AF29" s="15">
        <f t="shared" si="34"/>
        <v>-6.4491751259740271E-2</v>
      </c>
      <c r="AG29" s="15">
        <f t="shared" si="34"/>
        <v>-6.3802996864190442E-2</v>
      </c>
      <c r="AH29" s="15">
        <f t="shared" si="34"/>
        <v>-6.3177415172170903E-2</v>
      </c>
      <c r="AI29" s="15">
        <f t="shared" si="34"/>
        <v>-6.2505478048379137E-2</v>
      </c>
      <c r="AJ29" s="15">
        <f t="shared" si="34"/>
        <v>-6.183806666542746E-2</v>
      </c>
      <c r="AK29" s="15">
        <f t="shared" si="34"/>
        <v>-6.1692312115029457E-2</v>
      </c>
      <c r="AL29" s="15">
        <f t="shared" si="34"/>
        <v>-6.0877198456456894E-2</v>
      </c>
      <c r="AM29" s="15">
        <f t="shared" si="34"/>
        <v>-6.0389130980618821E-2</v>
      </c>
      <c r="AN29" s="15">
        <f t="shared" si="34"/>
        <v>-5.97531860130045E-2</v>
      </c>
      <c r="AO29" s="15">
        <f t="shared" si="34"/>
        <v>-5.8834699226464338E-2</v>
      </c>
      <c r="AP29" s="15">
        <f t="shared" si="34"/>
        <v>-5.801025611141819E-2</v>
      </c>
      <c r="AQ29" s="15">
        <f t="shared" si="34"/>
        <v>-5.7527108391549397E-2</v>
      </c>
      <c r="AR29" s="15">
        <f t="shared" si="34"/>
        <v>-5.7182436139159964E-2</v>
      </c>
      <c r="AS29" s="15">
        <f t="shared" si="34"/>
        <v>-5.6474074069938984E-2</v>
      </c>
      <c r="AT29" s="15">
        <f t="shared" si="34"/>
        <v>0</v>
      </c>
      <c r="AU29" s="15">
        <f t="shared" si="34"/>
        <v>0</v>
      </c>
      <c r="AV29" s="15">
        <f t="shared" si="34"/>
        <v>0</v>
      </c>
      <c r="AW29" s="15">
        <f t="shared" si="34"/>
        <v>0</v>
      </c>
      <c r="AX29" s="15">
        <f t="shared" si="34"/>
        <v>0</v>
      </c>
      <c r="AY29" s="15">
        <f t="shared" si="34"/>
        <v>0</v>
      </c>
      <c r="AZ29" s="15">
        <f t="shared" ref="AZ29:BK29" si="41">-IFERROR(((1-AZ47/AZ17)^(360/AZ$4))-1,0)</f>
        <v>-5.9020266032167923E-2</v>
      </c>
      <c r="BA29" s="15">
        <f t="shared" si="41"/>
        <v>-5.8457630468060184E-2</v>
      </c>
      <c r="BB29" s="15">
        <f t="shared" si="41"/>
        <v>-5.7863291083855461E-2</v>
      </c>
      <c r="BC29" s="15">
        <f t="shared" si="41"/>
        <v>-5.7350767587369678E-2</v>
      </c>
      <c r="BD29" s="15">
        <f t="shared" si="41"/>
        <v>-5.687432649780777E-2</v>
      </c>
      <c r="BE29" s="15">
        <f t="shared" si="41"/>
        <v>-5.6398251018870971E-2</v>
      </c>
      <c r="BF29" s="15">
        <f t="shared" si="41"/>
        <v>-5.5954121568960513E-2</v>
      </c>
      <c r="BG29" s="15">
        <f t="shared" si="41"/>
        <v>-5.5540090726972968E-2</v>
      </c>
      <c r="BH29" s="15">
        <f t="shared" si="41"/>
        <v>-5.5135151107286839E-2</v>
      </c>
      <c r="BI29" s="15">
        <f t="shared" si="41"/>
        <v>-5.4774185889276072E-2</v>
      </c>
      <c r="BJ29" s="15">
        <f t="shared" si="41"/>
        <v>-5.44420625188482E-2</v>
      </c>
      <c r="BK29" s="15">
        <f t="shared" si="41"/>
        <v>-5.4146058120059459E-2</v>
      </c>
      <c r="BO29" s="29">
        <f t="shared" si="39"/>
        <v>-5.8254431241638871E-2</v>
      </c>
      <c r="BP29" s="29">
        <f t="shared" si="36"/>
        <v>-5.7902663514151964E-2</v>
      </c>
      <c r="BQ29" s="29">
        <f t="shared" si="36"/>
        <v>-5.8528633246080597E-2</v>
      </c>
      <c r="BR29" s="29">
        <f t="shared" si="36"/>
        <v>-6.5641650991298262E-2</v>
      </c>
      <c r="BS29" s="29">
        <f t="shared" si="36"/>
        <v>-7.0662657356272307E-2</v>
      </c>
      <c r="BT29" s="29">
        <f t="shared" si="36"/>
        <v>-6.0493563912152437E-2</v>
      </c>
    </row>
    <row r="32" spans="1:80" outlineLevel="1" x14ac:dyDescent="0.25">
      <c r="A32" s="11"/>
      <c r="C32" s="2" t="s">
        <v>0</v>
      </c>
      <c r="D32" s="14">
        <f>D20+D26</f>
        <v>5.7084702297171663E-2</v>
      </c>
      <c r="E32" s="14">
        <f t="shared" ref="E32:AY32" si="42">E20+E26</f>
        <v>5.3304833828306419E-2</v>
      </c>
      <c r="F32" s="14">
        <f t="shared" si="42"/>
        <v>5.1162032242957567E-2</v>
      </c>
      <c r="G32" s="14">
        <f t="shared" si="42"/>
        <v>4.7983857115418305E-2</v>
      </c>
      <c r="H32" s="14">
        <f t="shared" si="42"/>
        <v>4.7993571347604735E-2</v>
      </c>
      <c r="I32" s="14">
        <f t="shared" si="42"/>
        <v>4.7439244508462153E-2</v>
      </c>
      <c r="J32" s="14">
        <f t="shared" si="42"/>
        <v>4.5537193663218067E-2</v>
      </c>
      <c r="K32" s="14">
        <f t="shared" si="42"/>
        <v>4.365057509606296E-2</v>
      </c>
      <c r="L32" s="14">
        <f t="shared" si="42"/>
        <v>4.4316070175670186E-2</v>
      </c>
      <c r="M32" s="14">
        <f t="shared" si="42"/>
        <v>4.2534287801444748E-2</v>
      </c>
      <c r="N32" s="14">
        <f t="shared" si="42"/>
        <v>4.1869321539402815E-2</v>
      </c>
      <c r="O32" s="14">
        <f t="shared" si="42"/>
        <v>4.2143415487230218E-2</v>
      </c>
      <c r="P32" s="14">
        <f t="shared" si="42"/>
        <v>4.2277929216346655E-2</v>
      </c>
      <c r="Q32" s="14">
        <f t="shared" si="42"/>
        <v>4.1408732260842962E-2</v>
      </c>
      <c r="R32" s="14">
        <f t="shared" si="42"/>
        <v>4.2966934550090041E-2</v>
      </c>
      <c r="S32" s="14">
        <f t="shared" si="42"/>
        <v>3.9474717634192968E-2</v>
      </c>
      <c r="T32" s="14">
        <f t="shared" si="42"/>
        <v>4.0970820300616273E-2</v>
      </c>
      <c r="U32" s="14">
        <f t="shared" si="42"/>
        <v>4.0801142552288727E-2</v>
      </c>
      <c r="V32" s="14">
        <f t="shared" si="42"/>
        <v>4.0871476950281815E-2</v>
      </c>
      <c r="W32" s="14">
        <f t="shared" si="42"/>
        <v>4.0735027798921353E-2</v>
      </c>
      <c r="X32" s="14">
        <f t="shared" si="42"/>
        <v>4.191790642290405E-2</v>
      </c>
      <c r="Y32" s="14">
        <f t="shared" si="42"/>
        <v>4.6452467126630648E-2</v>
      </c>
      <c r="Z32" s="14">
        <f t="shared" si="42"/>
        <v>4.3671933624670478E-2</v>
      </c>
      <c r="AA32" s="14">
        <f t="shared" si="42"/>
        <v>4.5128025865249999E-2</v>
      </c>
      <c r="AB32" s="14">
        <f t="shared" si="42"/>
        <v>4.393689463881123E-2</v>
      </c>
      <c r="AC32" s="14">
        <f t="shared" si="42"/>
        <v>4.3927796367922545E-2</v>
      </c>
      <c r="AD32" s="14">
        <f t="shared" si="42"/>
        <v>4.6107886211708804E-2</v>
      </c>
      <c r="AE32" s="14">
        <f t="shared" si="42"/>
        <v>4.6118936203833005E-2</v>
      </c>
      <c r="AF32" s="14">
        <f t="shared" si="42"/>
        <v>4.7443622964237209E-2</v>
      </c>
      <c r="AG32" s="14">
        <f t="shared" si="42"/>
        <v>4.8197873221365706E-2</v>
      </c>
      <c r="AH32" s="14">
        <f t="shared" si="42"/>
        <v>4.7709984183574861E-2</v>
      </c>
      <c r="AI32" s="14">
        <f t="shared" si="42"/>
        <v>4.8688683940937727E-2</v>
      </c>
      <c r="AJ32" s="14">
        <f t="shared" si="42"/>
        <v>4.8855644171159396E-2</v>
      </c>
      <c r="AK32" s="14">
        <f t="shared" si="42"/>
        <v>4.787008650062341E-2</v>
      </c>
      <c r="AL32" s="14">
        <f t="shared" si="42"/>
        <v>4.7871093909865881E-2</v>
      </c>
      <c r="AM32" s="14">
        <f t="shared" si="42"/>
        <v>4.8935256363254132E-2</v>
      </c>
      <c r="AN32" s="14">
        <f t="shared" si="42"/>
        <v>4.7655617354337432E-2</v>
      </c>
      <c r="AO32" s="14">
        <f t="shared" si="42"/>
        <v>4.8039604280128101E-2</v>
      </c>
      <c r="AP32" s="14">
        <f t="shared" si="42"/>
        <v>4.8790201326589733E-2</v>
      </c>
      <c r="AQ32" s="14">
        <f t="shared" si="42"/>
        <v>4.866659513595839E-2</v>
      </c>
      <c r="AR32" s="14">
        <f t="shared" si="42"/>
        <v>4.7135867028588185E-2</v>
      </c>
      <c r="AS32" s="14">
        <f t="shared" si="42"/>
        <v>4.7175923059016744E-2</v>
      </c>
      <c r="AT32" s="14">
        <f t="shared" si="42"/>
        <v>0</v>
      </c>
      <c r="AU32" s="14">
        <f t="shared" si="42"/>
        <v>0</v>
      </c>
      <c r="AV32" s="14">
        <f t="shared" si="42"/>
        <v>0</v>
      </c>
      <c r="AW32" s="14">
        <f t="shared" si="42"/>
        <v>0</v>
      </c>
      <c r="AX32" s="14">
        <f t="shared" si="42"/>
        <v>0</v>
      </c>
      <c r="AY32" s="14">
        <f t="shared" si="42"/>
        <v>0</v>
      </c>
      <c r="AZ32" s="14">
        <f t="shared" ref="AZ32:BK32" si="43">AZ20+AZ26</f>
        <v>5.0530938777883172E-2</v>
      </c>
      <c r="BA32" s="14">
        <f t="shared" si="43"/>
        <v>5.1030726376784408E-2</v>
      </c>
      <c r="BB32" s="14">
        <f t="shared" si="43"/>
        <v>4.9541232184064032E-2</v>
      </c>
      <c r="BC32" s="14">
        <f t="shared" si="43"/>
        <v>4.9585962058154243E-2</v>
      </c>
      <c r="BD32" s="14">
        <f t="shared" si="43"/>
        <v>4.9044093102880604E-2</v>
      </c>
      <c r="BE32" s="14">
        <f t="shared" si="43"/>
        <v>4.8417119878541026E-2</v>
      </c>
      <c r="BF32" s="14">
        <f t="shared" si="43"/>
        <v>4.8010117818917175E-2</v>
      </c>
      <c r="BG32" s="14">
        <f t="shared" si="43"/>
        <v>4.754638930879751E-2</v>
      </c>
      <c r="BH32" s="14">
        <f t="shared" si="43"/>
        <v>4.6914359819230977E-2</v>
      </c>
      <c r="BI32" s="14">
        <f t="shared" si="43"/>
        <v>4.523289517533402E-2</v>
      </c>
      <c r="BJ32" s="14">
        <f t="shared" si="43"/>
        <v>4.2990660491019739E-2</v>
      </c>
      <c r="BK32" s="14">
        <f t="shared" si="43"/>
        <v>4.2246670258588415E-2</v>
      </c>
      <c r="BO32" s="28">
        <f>BO20+BO26</f>
        <v>4.8054099398143091E-2</v>
      </c>
      <c r="BP32" s="28">
        <f t="shared" ref="BP32:BT32" si="44">BP20+BP26</f>
        <v>4.9913920641242671E-2</v>
      </c>
      <c r="BQ32" s="28">
        <f t="shared" si="44"/>
        <v>4.8287349719448258E-2</v>
      </c>
      <c r="BR32" s="28">
        <f t="shared" si="44"/>
        <v>4.5514639582532102E-2</v>
      </c>
      <c r="BS32" s="28">
        <f t="shared" si="44"/>
        <v>4.1424592814721883E-2</v>
      </c>
      <c r="BT32" s="28">
        <f t="shared" si="44"/>
        <v>5.1436839492301267E-2</v>
      </c>
    </row>
    <row r="33" spans="1:72" outlineLevel="1" x14ac:dyDescent="0.25">
      <c r="A33" s="11"/>
      <c r="C33" s="2" t="s">
        <v>1</v>
      </c>
      <c r="D33" s="14">
        <f t="shared" ref="D33:AY33" si="45">D21+D27</f>
        <v>0.22160971653543959</v>
      </c>
      <c r="E33" s="14">
        <f t="shared" si="45"/>
        <v>0.10312271332279366</v>
      </c>
      <c r="F33" s="14">
        <f t="shared" si="45"/>
        <v>0.14452686087781275</v>
      </c>
      <c r="G33" s="14">
        <f t="shared" si="45"/>
        <v>7.9948713741158528E-2</v>
      </c>
      <c r="H33" s="14">
        <f t="shared" si="45"/>
        <v>0.13821420258951234</v>
      </c>
      <c r="I33" s="14">
        <f t="shared" si="45"/>
        <v>6.7585255090851559E-2</v>
      </c>
      <c r="J33" s="14">
        <f t="shared" si="45"/>
        <v>6.4312470025487789E-2</v>
      </c>
      <c r="K33" s="14">
        <f t="shared" si="45"/>
        <v>7.5785381137979391E-2</v>
      </c>
      <c r="L33" s="14">
        <f t="shared" si="45"/>
        <v>6.0865014584338573E-2</v>
      </c>
      <c r="M33" s="14">
        <f t="shared" si="45"/>
        <v>6.9788039427154169E-2</v>
      </c>
      <c r="N33" s="14">
        <f t="shared" si="45"/>
        <v>6.4375490362998056E-2</v>
      </c>
      <c r="O33" s="14">
        <f t="shared" si="45"/>
        <v>7.0278255987034521E-2</v>
      </c>
      <c r="P33" s="14">
        <f t="shared" si="45"/>
        <v>6.1019861666289144E-2</v>
      </c>
      <c r="Q33" s="14">
        <f t="shared" si="45"/>
        <v>5.9668794358985089E-2</v>
      </c>
      <c r="R33" s="14">
        <f t="shared" si="45"/>
        <v>7.2694420586189246E-2</v>
      </c>
      <c r="S33" s="14">
        <f t="shared" si="45"/>
        <v>6.5567925002402383E-2</v>
      </c>
      <c r="T33" s="14">
        <f t="shared" si="45"/>
        <v>7.2644638499998138E-2</v>
      </c>
      <c r="U33" s="14">
        <f t="shared" si="45"/>
        <v>5.4191361657433212E-2</v>
      </c>
      <c r="V33" s="14">
        <f t="shared" si="45"/>
        <v>7.3579682600619645E-2</v>
      </c>
      <c r="W33" s="14">
        <f t="shared" si="45"/>
        <v>7.38857688700294E-2</v>
      </c>
      <c r="X33" s="14">
        <f t="shared" si="45"/>
        <v>6.8579677418565188E-2</v>
      </c>
      <c r="Y33" s="14">
        <f t="shared" si="45"/>
        <v>7.5770987557321146E-2</v>
      </c>
      <c r="Z33" s="14">
        <f t="shared" si="45"/>
        <v>5.8159165360683884E-2</v>
      </c>
      <c r="AA33" s="14">
        <f t="shared" si="45"/>
        <v>9.4526565821440478E-2</v>
      </c>
      <c r="AB33" s="14">
        <f t="shared" si="45"/>
        <v>0</v>
      </c>
      <c r="AC33" s="14">
        <f t="shared" si="45"/>
        <v>0</v>
      </c>
      <c r="AD33" s="14">
        <f t="shared" si="45"/>
        <v>0</v>
      </c>
      <c r="AE33" s="14">
        <f t="shared" si="45"/>
        <v>0</v>
      </c>
      <c r="AF33" s="14">
        <f t="shared" si="45"/>
        <v>0</v>
      </c>
      <c r="AG33" s="14">
        <f t="shared" si="45"/>
        <v>0</v>
      </c>
      <c r="AH33" s="14">
        <f t="shared" si="45"/>
        <v>0</v>
      </c>
      <c r="AI33" s="14">
        <f t="shared" si="45"/>
        <v>0</v>
      </c>
      <c r="AJ33" s="14">
        <f t="shared" si="45"/>
        <v>0</v>
      </c>
      <c r="AK33" s="14">
        <f t="shared" si="45"/>
        <v>0</v>
      </c>
      <c r="AL33" s="14">
        <f t="shared" si="45"/>
        <v>0</v>
      </c>
      <c r="AM33" s="14">
        <f t="shared" si="45"/>
        <v>0</v>
      </c>
      <c r="AN33" s="14">
        <f t="shared" si="45"/>
        <v>0</v>
      </c>
      <c r="AO33" s="14">
        <f t="shared" si="45"/>
        <v>0</v>
      </c>
      <c r="AP33" s="14">
        <f t="shared" si="45"/>
        <v>0</v>
      </c>
      <c r="AQ33" s="14">
        <f t="shared" si="45"/>
        <v>0</v>
      </c>
      <c r="AR33" s="14">
        <f t="shared" si="45"/>
        <v>0</v>
      </c>
      <c r="AS33" s="14">
        <f t="shared" si="45"/>
        <v>0</v>
      </c>
      <c r="AT33" s="14">
        <f t="shared" si="45"/>
        <v>0</v>
      </c>
      <c r="AU33" s="14">
        <f t="shared" si="45"/>
        <v>0</v>
      </c>
      <c r="AV33" s="14">
        <f t="shared" si="45"/>
        <v>0</v>
      </c>
      <c r="AW33" s="14">
        <f t="shared" si="45"/>
        <v>0</v>
      </c>
      <c r="AX33" s="14">
        <f t="shared" si="45"/>
        <v>0</v>
      </c>
      <c r="AY33" s="14">
        <f t="shared" si="45"/>
        <v>0</v>
      </c>
      <c r="AZ33" s="14">
        <f t="shared" ref="AZ33:BK33" si="46">AZ21+AZ27</f>
        <v>0</v>
      </c>
      <c r="BA33" s="14">
        <f t="shared" si="46"/>
        <v>0</v>
      </c>
      <c r="BB33" s="14">
        <f t="shared" si="46"/>
        <v>0</v>
      </c>
      <c r="BC33" s="14">
        <f t="shared" si="46"/>
        <v>0</v>
      </c>
      <c r="BD33" s="14">
        <f t="shared" si="46"/>
        <v>0</v>
      </c>
      <c r="BE33" s="14">
        <f t="shared" si="46"/>
        <v>0</v>
      </c>
      <c r="BF33" s="14">
        <f t="shared" si="46"/>
        <v>0</v>
      </c>
      <c r="BG33" s="14">
        <f t="shared" si="46"/>
        <v>0</v>
      </c>
      <c r="BH33" s="14">
        <f t="shared" si="46"/>
        <v>0</v>
      </c>
      <c r="BI33" s="14">
        <f t="shared" si="46"/>
        <v>0</v>
      </c>
      <c r="BJ33" s="14">
        <f t="shared" si="46"/>
        <v>0</v>
      </c>
      <c r="BK33" s="14">
        <f t="shared" si="46"/>
        <v>0</v>
      </c>
      <c r="BO33" s="28">
        <f t="shared" ref="BO33:BT35" si="47">BO21+BO27</f>
        <v>0</v>
      </c>
      <c r="BP33" s="28">
        <f t="shared" si="47"/>
        <v>0</v>
      </c>
      <c r="BQ33" s="28">
        <f t="shared" si="47"/>
        <v>0</v>
      </c>
      <c r="BR33" s="28">
        <f t="shared" si="47"/>
        <v>0</v>
      </c>
      <c r="BS33" s="28">
        <f t="shared" si="47"/>
        <v>6.5952358748889939E-2</v>
      </c>
      <c r="BT33" s="28">
        <f t="shared" si="47"/>
        <v>0.14910169175743659</v>
      </c>
    </row>
    <row r="34" spans="1:72" outlineLevel="1" x14ac:dyDescent="0.25">
      <c r="A34" s="11"/>
      <c r="C34" s="2" t="s">
        <v>45</v>
      </c>
      <c r="D34" s="14">
        <f t="shared" ref="D34:AY34" si="48">D22+D28</f>
        <v>5.5452829544353488E-3</v>
      </c>
      <c r="E34" s="14">
        <f t="shared" si="48"/>
        <v>0.13490193228162584</v>
      </c>
      <c r="F34" s="14">
        <f t="shared" si="48"/>
        <v>0.21581907652662324</v>
      </c>
      <c r="G34" s="14">
        <f t="shared" si="48"/>
        <v>0.20229452124266301</v>
      </c>
      <c r="H34" s="14">
        <f t="shared" si="48"/>
        <v>0.39556872692548994</v>
      </c>
      <c r="I34" s="14">
        <f t="shared" si="48"/>
        <v>1.4618661844941094E-2</v>
      </c>
      <c r="J34" s="14">
        <f t="shared" si="48"/>
        <v>8.2808908187514962E-2</v>
      </c>
      <c r="K34" s="14">
        <f t="shared" si="48"/>
        <v>-5.1041813692907834E-2</v>
      </c>
      <c r="L34" s="14">
        <f t="shared" si="48"/>
        <v>0.20626695139996509</v>
      </c>
      <c r="M34" s="14">
        <f t="shared" si="48"/>
        <v>0.30426001737747987</v>
      </c>
      <c r="N34" s="14">
        <f t="shared" si="48"/>
        <v>0.19465283635776953</v>
      </c>
      <c r="O34" s="14">
        <f t="shared" si="48"/>
        <v>0.41358111298978351</v>
      </c>
      <c r="P34" s="14">
        <f t="shared" si="48"/>
        <v>0.12612238048156077</v>
      </c>
      <c r="Q34" s="14">
        <f t="shared" si="48"/>
        <v>0.34761146047987168</v>
      </c>
      <c r="R34" s="14">
        <f t="shared" si="48"/>
        <v>-1.4482985369388413E-3</v>
      </c>
      <c r="S34" s="14">
        <f t="shared" si="48"/>
        <v>-2.7178642421626042E-2</v>
      </c>
      <c r="T34" s="14">
        <f t="shared" si="48"/>
        <v>3.7608232851809031E-2</v>
      </c>
      <c r="U34" s="14">
        <f t="shared" si="48"/>
        <v>8.5924265233503938E-2</v>
      </c>
      <c r="V34" s="14">
        <f t="shared" si="48"/>
        <v>-1.6503980463055568E-2</v>
      </c>
      <c r="W34" s="14">
        <f t="shared" si="48"/>
        <v>1.9961121304759688E-2</v>
      </c>
      <c r="X34" s="14">
        <f t="shared" si="48"/>
        <v>1.8681766327215188E-2</v>
      </c>
      <c r="Y34" s="14">
        <f t="shared" si="48"/>
        <v>-1.5270078584729951E-2</v>
      </c>
      <c r="Z34" s="14">
        <f t="shared" si="48"/>
        <v>-6.216144719351191E-2</v>
      </c>
      <c r="AA34" s="14">
        <f t="shared" si="48"/>
        <v>-6.2475936304989377E-2</v>
      </c>
      <c r="AB34" s="14">
        <f t="shared" si="48"/>
        <v>-6.1118442994292366E-2</v>
      </c>
      <c r="AC34" s="14">
        <f t="shared" si="48"/>
        <v>-2.0717625448072319E-2</v>
      </c>
      <c r="AD34" s="14">
        <f t="shared" si="48"/>
        <v>3.0283401607004379E-2</v>
      </c>
      <c r="AE34" s="14">
        <f t="shared" si="48"/>
        <v>-3.8763308917781236E-2</v>
      </c>
      <c r="AF34" s="14">
        <f t="shared" si="48"/>
        <v>-2.5921153528084107E-2</v>
      </c>
      <c r="AG34" s="14">
        <f t="shared" si="48"/>
        <v>-4.809089347644524E-2</v>
      </c>
      <c r="AH34" s="14">
        <f t="shared" si="48"/>
        <v>-3.7722035509961449E-2</v>
      </c>
      <c r="AI34" s="14">
        <f t="shared" si="48"/>
        <v>-2.7716862683443644E-2</v>
      </c>
      <c r="AJ34" s="14">
        <f t="shared" si="48"/>
        <v>0.3633318695185519</v>
      </c>
      <c r="AK34" s="14">
        <f t="shared" si="48"/>
        <v>8.9005690446090524E-2</v>
      </c>
      <c r="AL34" s="14">
        <f t="shared" si="48"/>
        <v>4.4208015893261399E-2</v>
      </c>
      <c r="AM34" s="14">
        <f t="shared" si="48"/>
        <v>-6.0672527298608614E-3</v>
      </c>
      <c r="AN34" s="14">
        <f t="shared" si="48"/>
        <v>0.56402056567505365</v>
      </c>
      <c r="AO34" s="14">
        <f t="shared" si="48"/>
        <v>-9.0604676503192039E-3</v>
      </c>
      <c r="AP34" s="14">
        <f t="shared" si="48"/>
        <v>-3.5584533188106615E-3</v>
      </c>
      <c r="AQ34" s="14">
        <f t="shared" si="48"/>
        <v>5.7104988065290296E-2</v>
      </c>
      <c r="AR34" s="14">
        <f t="shared" si="48"/>
        <v>-9.0752521551875631E-3</v>
      </c>
      <c r="AS34" s="14">
        <f t="shared" si="48"/>
        <v>2.0050845498672754E-2</v>
      </c>
      <c r="AT34" s="14">
        <f t="shared" si="48"/>
        <v>0</v>
      </c>
      <c r="AU34" s="14">
        <f t="shared" si="48"/>
        <v>0</v>
      </c>
      <c r="AV34" s="14">
        <f t="shared" si="48"/>
        <v>0</v>
      </c>
      <c r="AW34" s="14">
        <f t="shared" si="48"/>
        <v>0</v>
      </c>
      <c r="AX34" s="14">
        <f t="shared" si="48"/>
        <v>0</v>
      </c>
      <c r="AY34" s="14">
        <f t="shared" si="48"/>
        <v>0</v>
      </c>
      <c r="AZ34" s="14">
        <f t="shared" ref="AZ34:BK34" si="49">AZ22+AZ28</f>
        <v>0.26712408323625181</v>
      </c>
      <c r="BA34" s="14">
        <f t="shared" si="49"/>
        <v>0.2798518943638042</v>
      </c>
      <c r="BB34" s="14">
        <f t="shared" si="49"/>
        <v>0.28643961220255254</v>
      </c>
      <c r="BC34" s="14">
        <f t="shared" si="49"/>
        <v>0.2995717480696638</v>
      </c>
      <c r="BD34" s="14">
        <f t="shared" si="49"/>
        <v>0.30840287873739225</v>
      </c>
      <c r="BE34" s="14">
        <f t="shared" si="49"/>
        <v>0.31733463024125586</v>
      </c>
      <c r="BF34" s="14">
        <f t="shared" si="49"/>
        <v>0.3289198857895852</v>
      </c>
      <c r="BG34" s="14">
        <f t="shared" si="49"/>
        <v>0.33395953450300886</v>
      </c>
      <c r="BH34" s="14">
        <f t="shared" si="49"/>
        <v>0.35409042888548869</v>
      </c>
      <c r="BI34" s="14">
        <f t="shared" si="49"/>
        <v>0.36510048669907835</v>
      </c>
      <c r="BJ34" s="14">
        <f t="shared" si="49"/>
        <v>0.37161683126605527</v>
      </c>
      <c r="BK34" s="14">
        <f t="shared" si="49"/>
        <v>0.38221886699102736</v>
      </c>
      <c r="BO34" s="28">
        <f t="shared" si="47"/>
        <v>7.4856435224981199E-2</v>
      </c>
      <c r="BP34" s="28">
        <f t="shared" si="47"/>
        <v>0.28780455408395866</v>
      </c>
      <c r="BQ34" s="28">
        <f t="shared" si="47"/>
        <v>0.12929570171143245</v>
      </c>
      <c r="BR34" s="28">
        <f t="shared" si="47"/>
        <v>-3.3888471807399956E-2</v>
      </c>
      <c r="BS34" s="28">
        <f t="shared" si="47"/>
        <v>5.926187057198451E-2</v>
      </c>
      <c r="BT34" s="28">
        <f t="shared" si="47"/>
        <v>0.18201705959185377</v>
      </c>
    </row>
    <row r="35" spans="1:72" x14ac:dyDescent="0.25">
      <c r="C35" s="3" t="s">
        <v>63</v>
      </c>
      <c r="D35" s="15">
        <f t="shared" ref="D35:AY35" si="50">D23+D29</f>
        <v>5.7112840484095484E-2</v>
      </c>
      <c r="E35" s="15">
        <f t="shared" si="50"/>
        <v>5.3426115007253916E-2</v>
      </c>
      <c r="F35" s="15">
        <f t="shared" si="50"/>
        <v>5.1429370059024704E-2</v>
      </c>
      <c r="G35" s="15">
        <f t="shared" si="50"/>
        <v>4.8142425862767402E-2</v>
      </c>
      <c r="H35" s="15">
        <f t="shared" si="50"/>
        <v>4.8342656975008724E-2</v>
      </c>
      <c r="I35" s="15">
        <f t="shared" si="50"/>
        <v>4.7406807986486443E-2</v>
      </c>
      <c r="J35" s="15">
        <f t="shared" si="50"/>
        <v>4.556941179441476E-2</v>
      </c>
      <c r="K35" s="15">
        <f t="shared" si="50"/>
        <v>4.3572984195917597E-2</v>
      </c>
      <c r="L35" s="15">
        <f t="shared" si="50"/>
        <v>4.4450927121931105E-2</v>
      </c>
      <c r="M35" s="15">
        <f t="shared" si="50"/>
        <v>4.2807247367042445E-2</v>
      </c>
      <c r="N35" s="15">
        <f t="shared" si="50"/>
        <v>4.2120200013178843E-2</v>
      </c>
      <c r="O35" s="15">
        <f t="shared" si="50"/>
        <v>4.276547242269646E-2</v>
      </c>
      <c r="P35" s="15">
        <f t="shared" si="50"/>
        <v>4.2440048282794018E-2</v>
      </c>
      <c r="Q35" s="15">
        <f t="shared" si="50"/>
        <v>4.1923026610634739E-2</v>
      </c>
      <c r="R35" s="15">
        <f t="shared" si="50"/>
        <v>4.2856138154509171E-2</v>
      </c>
      <c r="S35" s="15">
        <f t="shared" si="50"/>
        <v>3.9181387679564139E-2</v>
      </c>
      <c r="T35" s="15">
        <f t="shared" si="50"/>
        <v>4.0962673538845085E-2</v>
      </c>
      <c r="U35" s="15">
        <f t="shared" si="50"/>
        <v>4.1036615203993154E-2</v>
      </c>
      <c r="V35" s="15">
        <f t="shared" si="50"/>
        <v>4.0595646378935868E-2</v>
      </c>
      <c r="W35" s="15">
        <f t="shared" si="50"/>
        <v>4.0647387146914626E-2</v>
      </c>
      <c r="X35" s="15">
        <f t="shared" si="50"/>
        <v>4.1840511210697873E-2</v>
      </c>
      <c r="Y35" s="15">
        <f t="shared" si="50"/>
        <v>4.6098714201982416E-2</v>
      </c>
      <c r="Z35" s="15">
        <f t="shared" si="50"/>
        <v>4.3104194598404089E-2</v>
      </c>
      <c r="AA35" s="15">
        <f t="shared" si="50"/>
        <v>4.4179259743375665E-2</v>
      </c>
      <c r="AB35" s="15">
        <f t="shared" si="50"/>
        <v>4.3105101696751413E-2</v>
      </c>
      <c r="AC35" s="15">
        <f t="shared" si="50"/>
        <v>4.3703077384793954E-2</v>
      </c>
      <c r="AD35" s="15">
        <f t="shared" si="50"/>
        <v>4.6066899695201613E-2</v>
      </c>
      <c r="AE35" s="15">
        <f t="shared" si="50"/>
        <v>4.5895778464584591E-2</v>
      </c>
      <c r="AF35" s="15">
        <f t="shared" si="50"/>
        <v>4.7244647423294817E-2</v>
      </c>
      <c r="AG35" s="15">
        <f t="shared" si="50"/>
        <v>4.7948069056353404E-2</v>
      </c>
      <c r="AH35" s="15">
        <f t="shared" si="50"/>
        <v>4.75190743600582E-2</v>
      </c>
      <c r="AI35" s="15">
        <f t="shared" si="50"/>
        <v>4.850903265140083E-2</v>
      </c>
      <c r="AJ35" s="15">
        <f t="shared" si="50"/>
        <v>4.94029416341355E-2</v>
      </c>
      <c r="AK35" s="15">
        <f t="shared" si="50"/>
        <v>4.7919292408297842E-2</v>
      </c>
      <c r="AL35" s="15">
        <f t="shared" si="50"/>
        <v>4.7866189087089062E-2</v>
      </c>
      <c r="AM35" s="15">
        <f t="shared" si="50"/>
        <v>4.8799163115759603E-2</v>
      </c>
      <c r="AN35" s="15">
        <f t="shared" si="50"/>
        <v>4.8863036643792324E-2</v>
      </c>
      <c r="AO35" s="15">
        <f t="shared" si="50"/>
        <v>4.787147741954656E-2</v>
      </c>
      <c r="AP35" s="15">
        <f t="shared" si="50"/>
        <v>4.8631963321486671E-2</v>
      </c>
      <c r="AQ35" s="15">
        <f t="shared" si="50"/>
        <v>4.8689109707336087E-2</v>
      </c>
      <c r="AR35" s="15">
        <f t="shared" si="50"/>
        <v>4.6750495875009346E-2</v>
      </c>
      <c r="AS35" s="15">
        <f t="shared" si="50"/>
        <v>4.6956925208524458E-2</v>
      </c>
      <c r="AT35" s="15">
        <f t="shared" si="50"/>
        <v>0</v>
      </c>
      <c r="AU35" s="15">
        <f t="shared" si="50"/>
        <v>0</v>
      </c>
      <c r="AV35" s="15">
        <f t="shared" si="50"/>
        <v>0</v>
      </c>
      <c r="AW35" s="15">
        <f t="shared" si="50"/>
        <v>0</v>
      </c>
      <c r="AX35" s="15">
        <f t="shared" si="50"/>
        <v>0</v>
      </c>
      <c r="AY35" s="15">
        <f t="shared" si="50"/>
        <v>0</v>
      </c>
      <c r="AZ35" s="15">
        <f t="shared" ref="AZ35:BK35" si="51">AZ23+AZ29</f>
        <v>5.1041056957101594E-2</v>
      </c>
      <c r="BA35" s="15">
        <f t="shared" si="51"/>
        <v>5.154569802457809E-2</v>
      </c>
      <c r="BB35" s="15">
        <f t="shared" si="51"/>
        <v>5.0051264490810432E-2</v>
      </c>
      <c r="BC35" s="15">
        <f t="shared" si="51"/>
        <v>5.0098759841511464E-2</v>
      </c>
      <c r="BD35" s="15">
        <f t="shared" si="51"/>
        <v>4.9555803877824323E-2</v>
      </c>
      <c r="BE35" s="15">
        <f t="shared" si="51"/>
        <v>4.892714622691452E-2</v>
      </c>
      <c r="BF35" s="15">
        <f t="shared" si="51"/>
        <v>4.8519901058666548E-2</v>
      </c>
      <c r="BG35" s="15">
        <f t="shared" si="51"/>
        <v>4.8053843288740961E-2</v>
      </c>
      <c r="BH35" s="15">
        <f t="shared" si="51"/>
        <v>4.7422234529735707E-2</v>
      </c>
      <c r="BI35" s="15">
        <f t="shared" si="51"/>
        <v>4.5734184426366564E-2</v>
      </c>
      <c r="BJ35" s="15">
        <f t="shared" si="51"/>
        <v>4.3481624851420042E-2</v>
      </c>
      <c r="BK35" s="15">
        <f t="shared" si="51"/>
        <v>4.273469032386723E-2</v>
      </c>
      <c r="BO35" s="29">
        <f t="shared" si="47"/>
        <v>4.8149949382058521E-2</v>
      </c>
      <c r="BP35" s="29">
        <f t="shared" si="47"/>
        <v>5.0425937792520248E-2</v>
      </c>
      <c r="BQ35" s="29">
        <f t="shared" si="47"/>
        <v>4.8509079027113433E-2</v>
      </c>
      <c r="BR35" s="29">
        <f t="shared" si="47"/>
        <v>4.5208144292309571E-2</v>
      </c>
      <c r="BS35" s="29">
        <f t="shared" si="47"/>
        <v>4.1475450358594568E-2</v>
      </c>
      <c r="BT35" s="29">
        <f t="shared" si="47"/>
        <v>5.1623759796549651E-2</v>
      </c>
    </row>
    <row r="38" spans="1:72" outlineLevel="1" x14ac:dyDescent="0.25">
      <c r="A38" s="11" t="s">
        <v>55</v>
      </c>
      <c r="C38" s="2" t="s">
        <v>0</v>
      </c>
      <c r="D38" s="8">
        <f>IFERROR(
GETPIVOTDATA(
"[Base].[Importe]",
TDinamica_R!$A$5,
"[Calendario].[AñoMes]",
"[Calendario].[AñoMes].&amp;[" &amp; TEXT(D$6,"yyyymm") &amp; "]",
"[Base].[Metrica]",
"[Base].[Metrica].&amp;[" &amp; $A38 &amp; "]",
"[Base].[SEGMENTO_DESCRIP]",
"[Base].[SEGMENTO_DESCRIP].&amp;[" &amp; $C$6 &amp; "]",
"[Base].[SITUACION]",
"[Base].[SITUACION].&amp;[" &amp; $C38 &amp; "]"
),0)/1000</f>
        <v>665.98595767999984</v>
      </c>
      <c r="E38" s="8">
        <f>IFERROR(
GETPIVOTDATA(
"[Base].[Importe]",
TDinamica_R!$A$5,
"[Calendario].[AñoMes]",
"[Calendario].[AñoMes].&amp;[" &amp; TEXT(E$6,"yyyymm") &amp; "]",
"[Base].[Metrica]",
"[Base].[Metrica].&amp;[" &amp; $A38 &amp; "]",
"[Base].[SEGMENTO_DESCRIP]",
"[Base].[SEGMENTO_DESCRIP].&amp;[" &amp; $C$6 &amp; "]",
"[Base].[SITUACION]",
"[Base].[SITUACION].&amp;[" &amp; $C38 &amp; "]"
),0)/1000</f>
        <v>668.29543496000008</v>
      </c>
      <c r="F38" s="8">
        <f>IFERROR(
GETPIVOTDATA(
"[Base].[Importe]",
TDinamica_R!$A$5,
"[Calendario].[AñoMes]",
"[Calendario].[AñoMes].&amp;[" &amp; TEXT(F$6,"yyyymm") &amp; "]",
"[Base].[Metrica]",
"[Base].[Metrica].&amp;[" &amp; $A38 &amp; "]",
"[Base].[SEGMENTO_DESCRIP]",
"[Base].[SEGMENTO_DESCRIP].&amp;[" &amp; $C$6 &amp; "]",
"[Base].[SITUACION]",
"[Base].[SITUACION].&amp;[" &amp; $C38 &amp; "]"
),0)/1000</f>
        <v>670.29856296000014</v>
      </c>
      <c r="G38" s="8">
        <f>IFERROR(
GETPIVOTDATA(
"[Base].[Importe]",
TDinamica_R!$A$5,
"[Calendario].[AñoMes]",
"[Calendario].[AñoMes].&amp;[" &amp; TEXT(G$6,"yyyymm") &amp; "]",
"[Base].[Metrica]",
"[Base].[Metrica].&amp;[" &amp; $A38 &amp; "]",
"[Base].[SEGMENTO_DESCRIP]",
"[Base].[SEGMENTO_DESCRIP].&amp;[" &amp; $C$6 &amp; "]",
"[Base].[SITUACION]",
"[Base].[SITUACION].&amp;[" &amp; $C38 &amp; "]"
),0)/1000</f>
        <v>672.04615388000013</v>
      </c>
      <c r="H38" s="8">
        <f>IFERROR(
GETPIVOTDATA(
"[Base].[Importe]",
TDinamica_R!$A$5,
"[Calendario].[AñoMes]",
"[Calendario].[AñoMes].&amp;[" &amp; TEXT(H$6,"yyyymm") &amp; "]",
"[Base].[Metrica]",
"[Base].[Metrica].&amp;[" &amp; $A38 &amp; "]",
"[Base].[SEGMENTO_DESCRIP]",
"[Base].[SEGMENTO_DESCRIP].&amp;[" &amp; $C$6 &amp; "]",
"[Base].[SITUACION]",
"[Base].[SITUACION].&amp;[" &amp; $C38 &amp; "]"
),0)/1000</f>
        <v>689.81031454000004</v>
      </c>
      <c r="I38" s="8">
        <f>IFERROR(
GETPIVOTDATA(
"[Base].[Importe]",
TDinamica_R!$A$5,
"[Calendario].[AñoMes]",
"[Calendario].[AñoMes].&amp;[" &amp; TEXT(I$6,"yyyymm") &amp; "]",
"[Base].[Metrica]",
"[Base].[Metrica].&amp;[" &amp; $A38 &amp; "]",
"[Base].[SEGMENTO_DESCRIP]",
"[Base].[SEGMENTO_DESCRIP].&amp;[" &amp; $C$6 &amp; "]",
"[Base].[SITUACION]",
"[Base].[SITUACION].&amp;[" &amp; $C38 &amp; "]"
),0)/1000</f>
        <v>705.49321008999993</v>
      </c>
      <c r="J38" s="8">
        <f>IFERROR(
GETPIVOTDATA(
"[Base].[Importe]",
TDinamica_R!$A$5,
"[Calendario].[AñoMes]",
"[Calendario].[AñoMes].&amp;[" &amp; TEXT(J$6,"yyyymm") &amp; "]",
"[Base].[Metrica]",
"[Base].[Metrica].&amp;[" &amp; $A38 &amp; "]",
"[Base].[SEGMENTO_DESCRIP]",
"[Base].[SEGMENTO_DESCRIP].&amp;[" &amp; $C$6 &amp; "]",
"[Base].[SITUACION]",
"[Base].[SITUACION].&amp;[" &amp; $C38 &amp; "]"
),0)/1000</f>
        <v>718.6646750000001</v>
      </c>
      <c r="K38" s="8">
        <f>IFERROR(
GETPIVOTDATA(
"[Base].[Importe]",
TDinamica_R!$A$5,
"[Calendario].[AñoMes]",
"[Calendario].[AñoMes].&amp;[" &amp; TEXT(K$6,"yyyymm") &amp; "]",
"[Base].[Metrica]",
"[Base].[Metrica].&amp;[" &amp; $A38 &amp; "]",
"[Base].[SEGMENTO_DESCRIP]",
"[Base].[SEGMENTO_DESCRIP].&amp;[" &amp; $C$6 &amp; "]",
"[Base].[SITUACION]",
"[Base].[SITUACION].&amp;[" &amp; $C38 &amp; "]"
),0)/1000</f>
        <v>719.69341354000005</v>
      </c>
      <c r="L38" s="8">
        <f>IFERROR(
GETPIVOTDATA(
"[Base].[Importe]",
TDinamica_R!$A$5,
"[Calendario].[AñoMes]",
"[Calendario].[AñoMes].&amp;[" &amp; TEXT(L$6,"yyyymm") &amp; "]",
"[Base].[Metrica]",
"[Base].[Metrica].&amp;[" &amp; $A38 &amp; "]",
"[Base].[SEGMENTO_DESCRIP]",
"[Base].[SEGMENTO_DESCRIP].&amp;[" &amp; $C$6 &amp; "]",
"[Base].[SITUACION]",
"[Base].[SITUACION].&amp;[" &amp; $C38 &amp; "]"
),0)/1000</f>
        <v>729.79025061999994</v>
      </c>
      <c r="M38" s="8">
        <f>IFERROR(
GETPIVOTDATA(
"[Base].[Importe]",
TDinamica_R!$A$5,
"[Calendario].[AñoMes]",
"[Calendario].[AñoMes].&amp;[" &amp; TEXT(M$6,"yyyymm") &amp; "]",
"[Base].[Metrica]",
"[Base].[Metrica].&amp;[" &amp; $A38 &amp; "]",
"[Base].[SEGMENTO_DESCRIP]",
"[Base].[SEGMENTO_DESCRIP].&amp;[" &amp; $C$6 &amp; "]",
"[Base].[SITUACION]",
"[Base].[SITUACION].&amp;[" &amp; $C38 &amp; "]"
),0)/1000</f>
        <v>723.26639976000001</v>
      </c>
      <c r="N38" s="8">
        <f>IFERROR(
GETPIVOTDATA(
"[Base].[Importe]",
TDinamica_R!$A$5,
"[Calendario].[AñoMes]",
"[Calendario].[AñoMes].&amp;[" &amp; TEXT(N$6,"yyyymm") &amp; "]",
"[Base].[Metrica]",
"[Base].[Metrica].&amp;[" &amp; $A38 &amp; "]",
"[Base].[SEGMENTO_DESCRIP]",
"[Base].[SEGMENTO_DESCRIP].&amp;[" &amp; $C$6 &amp; "]",
"[Base].[SITUACION]",
"[Base].[SITUACION].&amp;[" &amp; $C38 &amp; "]"
),0)/1000</f>
        <v>722.44233619000022</v>
      </c>
      <c r="O38" s="8">
        <f>IFERROR(
GETPIVOTDATA(
"[Base].[Importe]",
TDinamica_R!$A$5,
"[Calendario].[AñoMes]",
"[Calendario].[AñoMes].&amp;[" &amp; TEXT(O$6,"yyyymm") &amp; "]",
"[Base].[Metrica]",
"[Base].[Metrica].&amp;[" &amp; $A38 &amp; "]",
"[Base].[SEGMENTO_DESCRIP]",
"[Base].[SEGMENTO_DESCRIP].&amp;[" &amp; $C$6 &amp; "]",
"[Base].[SITUACION]",
"[Base].[SITUACION].&amp;[" &amp; $C38 &amp; "]"
),0)/1000</f>
        <v>721.45249780000017</v>
      </c>
      <c r="P38" s="8">
        <f>IFERROR(
GETPIVOTDATA(
"[Base].[Importe]",
TDinamica_R!$A$5,
"[Calendario].[AñoMes]",
"[Calendario].[AñoMes].&amp;[" &amp; TEXT(P$6,"yyyymm") &amp; "]",
"[Base].[Metrica]",
"[Base].[Metrica].&amp;[" &amp; $A38 &amp; "]",
"[Base].[SEGMENTO_DESCRIP]",
"[Base].[SEGMENTO_DESCRIP].&amp;[" &amp; $C$6 &amp; "]",
"[Base].[SITUACION]",
"[Base].[SITUACION].&amp;[" &amp; $C38 &amp; "]"
),0)/1000</f>
        <v>711.48093400000005</v>
      </c>
      <c r="Q38" s="8">
        <f>IFERROR(
GETPIVOTDATA(
"[Base].[Importe]",
TDinamica_R!$A$5,
"[Calendario].[AñoMes]",
"[Calendario].[AñoMes].&amp;[" &amp; TEXT(Q$6,"yyyymm") &amp; "]",
"[Base].[Metrica]",
"[Base].[Metrica].&amp;[" &amp; $A38 &amp; "]",
"[Base].[SEGMENTO_DESCRIP]",
"[Base].[SEGMENTO_DESCRIP].&amp;[" &amp; $C$6 &amp; "]",
"[Base].[SITUACION]",
"[Base].[SITUACION].&amp;[" &amp; $C38 &amp; "]"
),0)/1000</f>
        <v>715.96337380000011</v>
      </c>
      <c r="R38" s="8">
        <f>IFERROR(
GETPIVOTDATA(
"[Base].[Importe]",
TDinamica_R!$A$5,
"[Calendario].[AñoMes]",
"[Calendario].[AñoMes].&amp;[" &amp; TEXT(R$6,"yyyymm") &amp; "]",
"[Base].[Metrica]",
"[Base].[Metrica].&amp;[" &amp; $A38 &amp; "]",
"[Base].[SEGMENTO_DESCRIP]",
"[Base].[SEGMENTO_DESCRIP].&amp;[" &amp; $C$6 &amp; "]",
"[Base].[SITUACION]",
"[Base].[SITUACION].&amp;[" &amp; $C38 &amp; "]"
),0)/1000</f>
        <v>729.21981802000016</v>
      </c>
      <c r="S38" s="8">
        <f>IFERROR(
GETPIVOTDATA(
"[Base].[Importe]",
TDinamica_R!$A$5,
"[Calendario].[AñoMes]",
"[Calendario].[AñoMes].&amp;[" &amp; TEXT(S$6,"yyyymm") &amp; "]",
"[Base].[Metrica]",
"[Base].[Metrica].&amp;[" &amp; $A38 &amp; "]",
"[Base].[SEGMENTO_DESCRIP]",
"[Base].[SEGMENTO_DESCRIP].&amp;[" &amp; $C$6 &amp; "]",
"[Base].[SITUACION]",
"[Base].[SITUACION].&amp;[" &amp; $C38 &amp; "]"
),0)/1000</f>
        <v>697.94981753999991</v>
      </c>
      <c r="T38" s="8">
        <f>IFERROR(
GETPIVOTDATA(
"[Base].[Importe]",
TDinamica_R!$A$5,
"[Calendario].[AñoMes]",
"[Calendario].[AñoMes].&amp;[" &amp; TEXT(T$6,"yyyymm") &amp; "]",
"[Base].[Metrica]",
"[Base].[Metrica].&amp;[" &amp; $A38 &amp; "]",
"[Base].[SEGMENTO_DESCRIP]",
"[Base].[SEGMENTO_DESCRIP].&amp;[" &amp; $C$6 &amp; "]",
"[Base].[SITUACION]",
"[Base].[SITUACION].&amp;[" &amp; $C38 &amp; "]"
),0)/1000</f>
        <v>706.95242346999987</v>
      </c>
      <c r="U38" s="8">
        <f>IFERROR(
GETPIVOTDATA(
"[Base].[Importe]",
TDinamica_R!$A$5,
"[Calendario].[AñoMes]",
"[Calendario].[AñoMes].&amp;[" &amp; TEXT(U$6,"yyyymm") &amp; "]",
"[Base].[Metrica]",
"[Base].[Metrica].&amp;[" &amp; $A38 &amp; "]",
"[Base].[SEGMENTO_DESCRIP]",
"[Base].[SEGMENTO_DESCRIP].&amp;[" &amp; $C$6 &amp; "]",
"[Base].[SITUACION]",
"[Base].[SITUACION].&amp;[" &amp; $C38 &amp; "]"
),0)/1000</f>
        <v>700.33479981000005</v>
      </c>
      <c r="V38" s="8">
        <f>IFERROR(
GETPIVOTDATA(
"[Base].[Importe]",
TDinamica_R!$A$5,
"[Calendario].[AñoMes]",
"[Calendario].[AñoMes].&amp;[" &amp; TEXT(V$6,"yyyymm") &amp; "]",
"[Base].[Metrica]",
"[Base].[Metrica].&amp;[" &amp; $A38 &amp; "]",
"[Base].[SEGMENTO_DESCRIP]",
"[Base].[SEGMENTO_DESCRIP].&amp;[" &amp; $C$6 &amp; "]",
"[Base].[SITUACION]",
"[Base].[SITUACION].&amp;[" &amp; $C38 &amp; "]"
),0)/1000</f>
        <v>708.79966251999997</v>
      </c>
      <c r="W38" s="8">
        <f>IFERROR(
GETPIVOTDATA(
"[Base].[Importe]",
TDinamica_R!$A$5,
"[Calendario].[AñoMes]",
"[Calendario].[AñoMes].&amp;[" &amp; TEXT(W$6,"yyyymm") &amp; "]",
"[Base].[Metrica]",
"[Base].[Metrica].&amp;[" &amp; $A38 &amp; "]",
"[Base].[SEGMENTO_DESCRIP]",
"[Base].[SEGMENTO_DESCRIP].&amp;[" &amp; $C$6 &amp; "]",
"[Base].[SITUACION]",
"[Base].[SITUACION].&amp;[" &amp; $C38 &amp; "]"
),0)/1000</f>
        <v>717.33145093999997</v>
      </c>
      <c r="X38" s="8">
        <f>IFERROR(
GETPIVOTDATA(
"[Base].[Importe]",
TDinamica_R!$A$5,
"[Calendario].[AñoMes]",
"[Calendario].[AñoMes].&amp;[" &amp; TEXT(X$6,"yyyymm") &amp; "]",
"[Base].[Metrica]",
"[Base].[Metrica].&amp;[" &amp; $A38 &amp; "]",
"[Base].[SEGMENTO_DESCRIP]",
"[Base].[SEGMENTO_DESCRIP].&amp;[" &amp; $C$6 &amp; "]",
"[Base].[SITUACION]",
"[Base].[SITUACION].&amp;[" &amp; $C38 &amp; "]"
),0)/1000</f>
        <v>734.04690281000001</v>
      </c>
      <c r="Y38" s="8">
        <f>IFERROR(
GETPIVOTDATA(
"[Base].[Importe]",
TDinamica_R!$A$5,
"[Calendario].[AñoMes]",
"[Calendario].[AñoMes].&amp;[" &amp; TEXT(Y$6,"yyyymm") &amp; "]",
"[Base].[Metrica]",
"[Base].[Metrica].&amp;[" &amp; $A38 &amp; "]",
"[Base].[SEGMENTO_DESCRIP]",
"[Base].[SEGMENTO_DESCRIP].&amp;[" &amp; $C$6 &amp; "]",
"[Base].[SITUACION]",
"[Base].[SITUACION].&amp;[" &amp; $C38 &amp; "]"
),0)/1000</f>
        <v>754.40460828000005</v>
      </c>
      <c r="Z38" s="8">
        <f>IFERROR(
GETPIVOTDATA(
"[Base].[Importe]",
TDinamica_R!$A$5,
"[Calendario].[AñoMes]",
"[Calendario].[AñoMes].&amp;[" &amp; TEXT(Z$6,"yyyymm") &amp; "]",
"[Base].[Metrica]",
"[Base].[Metrica].&amp;[" &amp; $A38 &amp; "]",
"[Base].[SEGMENTO_DESCRIP]",
"[Base].[SEGMENTO_DESCRIP].&amp;[" &amp; $C$6 &amp; "]",
"[Base].[SITUACION]",
"[Base].[SITUACION].&amp;[" &amp; $C38 &amp; "]"
),0)/1000</f>
        <v>747.87269365999998</v>
      </c>
      <c r="AA38" s="8">
        <f>IFERROR(
GETPIVOTDATA(
"[Base].[Importe]",
TDinamica_R!$A$5,
"[Calendario].[AñoMes]",
"[Calendario].[AñoMes].&amp;[" &amp; TEXT(AA$6,"yyyymm") &amp; "]",
"[Base].[Metrica]",
"[Base].[Metrica].&amp;[" &amp; $A38 &amp; "]",
"[Base].[SEGMENTO_DESCRIP]",
"[Base].[SEGMENTO_DESCRIP].&amp;[" &amp; $C$6 &amp; "]",
"[Base].[SITUACION]",
"[Base].[SITUACION].&amp;[" &amp; $C38 &amp; "]"
),0)/1000</f>
        <v>739.33476435000011</v>
      </c>
      <c r="AB38" s="8">
        <f>IFERROR(
GETPIVOTDATA(
"[Base].[Importe]",
TDinamica_R!$A$5,
"[Calendario].[AñoMes]",
"[Calendario].[AñoMes].&amp;[" &amp; TEXT(AB$6,"yyyymm") &amp; "]",
"[Base].[Metrica]",
"[Base].[Metrica].&amp;[" &amp; $A38 &amp; "]",
"[Base].[SEGMENTO_DESCRIP]",
"[Base].[SEGMENTO_DESCRIP].&amp;[" &amp; $C$6 &amp; "]",
"[Base].[SITUACION]",
"[Base].[SITUACION].&amp;[" &amp; $C38 &amp; "]"
),0)/1000</f>
        <v>724.65496454000004</v>
      </c>
      <c r="AC38" s="8">
        <f>IFERROR(
GETPIVOTDATA(
"[Base].[Importe]",
TDinamica_R!$A$5,
"[Calendario].[AñoMes]",
"[Calendario].[AñoMes].&amp;[" &amp; TEXT(AC$6,"yyyymm") &amp; "]",
"[Base].[Metrica]",
"[Base].[Metrica].&amp;[" &amp; $A38 &amp; "]",
"[Base].[SEGMENTO_DESCRIP]",
"[Base].[SEGMENTO_DESCRIP].&amp;[" &amp; $C$6 &amp; "]",
"[Base].[SITUACION]",
"[Base].[SITUACION].&amp;[" &amp; $C38 &amp; "]"
),0)/1000</f>
        <v>721.24857938000002</v>
      </c>
      <c r="AD38" s="8">
        <f>IFERROR(
GETPIVOTDATA(
"[Base].[Importe]",
TDinamica_R!$A$5,
"[Calendario].[AñoMes]",
"[Calendario].[AñoMes].&amp;[" &amp; TEXT(AD$6,"yyyymm") &amp; "]",
"[Base].[Metrica]",
"[Base].[Metrica].&amp;[" &amp; $A38 &amp; "]",
"[Base].[SEGMENTO_DESCRIP]",
"[Base].[SEGMENTO_DESCRIP].&amp;[" &amp; $C$6 &amp; "]",
"[Base].[SITUACION]",
"[Base].[SITUACION].&amp;[" &amp; $C38 &amp; "]"
),0)/1000</f>
        <v>744.39676591</v>
      </c>
      <c r="AE38" s="8">
        <f>IFERROR(
GETPIVOTDATA(
"[Base].[Importe]",
TDinamica_R!$A$5,
"[Calendario].[AñoMes]",
"[Calendario].[AñoMes].&amp;[" &amp; TEXT(AE$6,"yyyymm") &amp; "]",
"[Base].[Metrica]",
"[Base].[Metrica].&amp;[" &amp; $A38 &amp; "]",
"[Base].[SEGMENTO_DESCRIP]",
"[Base].[SEGMENTO_DESCRIP].&amp;[" &amp; $C$6 &amp; "]",
"[Base].[SITUACION]",
"[Base].[SITUACION].&amp;[" &amp; $C38 &amp; "]"
),0)/1000</f>
        <v>733.40313084000002</v>
      </c>
      <c r="AF38" s="8">
        <f>IFERROR(
GETPIVOTDATA(
"[Base].[Importe]",
TDinamica_R!$A$5,
"[Calendario].[AñoMes]",
"[Calendario].[AñoMes].&amp;[" &amp; TEXT(AF$6,"yyyymm") &amp; "]",
"[Base].[Metrica]",
"[Base].[Metrica].&amp;[" &amp; $A38 &amp; "]",
"[Base].[SEGMENTO_DESCRIP]",
"[Base].[SEGMENTO_DESCRIP].&amp;[" &amp; $C$6 &amp; "]",
"[Base].[SITUACION]",
"[Base].[SITUACION].&amp;[" &amp; $C38 &amp; "]"
),0)/1000</f>
        <v>733.9933291599998</v>
      </c>
      <c r="AG38" s="8">
        <f>IFERROR(
GETPIVOTDATA(
"[Base].[Importe]",
TDinamica_R!$A$5,
"[Calendario].[AñoMes]",
"[Calendario].[AñoMes].&amp;[" &amp; TEXT(AG$6,"yyyymm") &amp; "]",
"[Base].[Metrica]",
"[Base].[Metrica].&amp;[" &amp; $A38 &amp; "]",
"[Base].[SEGMENTO_DESCRIP]",
"[Base].[SEGMENTO_DESCRIP].&amp;[" &amp; $C$6 &amp; "]",
"[Base].[SITUACION]",
"[Base].[SITUACION].&amp;[" &amp; $C38 &amp; "]"
),0)/1000</f>
        <v>745.27032528999996</v>
      </c>
      <c r="AH38" s="8">
        <f>IFERROR(
GETPIVOTDATA(
"[Base].[Importe]",
TDinamica_R!$A$5,
"[Calendario].[AñoMes]",
"[Calendario].[AñoMes].&amp;[" &amp; TEXT(AH$6,"yyyymm") &amp; "]",
"[Base].[Metrica]",
"[Base].[Metrica].&amp;[" &amp; $A38 &amp; "]",
"[Base].[SEGMENTO_DESCRIP]",
"[Base].[SEGMENTO_DESCRIP].&amp;[" &amp; $C$6 &amp; "]",
"[Base].[SITUACION]",
"[Base].[SITUACION].&amp;[" &amp; $C38 &amp; "]"
),0)/1000</f>
        <v>738.26632785000004</v>
      </c>
      <c r="AI38" s="8">
        <f>IFERROR(
GETPIVOTDATA(
"[Base].[Importe]",
TDinamica_R!$A$5,
"[Calendario].[AñoMes]",
"[Calendario].[AñoMes].&amp;[" &amp; TEXT(AI$6,"yyyymm") &amp; "]",
"[Base].[Metrica]",
"[Base].[Metrica].&amp;[" &amp; $A38 &amp; "]",
"[Base].[SEGMENTO_DESCRIP]",
"[Base].[SEGMENTO_DESCRIP].&amp;[" &amp; $C$6 &amp; "]",
"[Base].[SITUACION]",
"[Base].[SITUACION].&amp;[" &amp; $C38 &amp; "]"
),0)/1000</f>
        <v>733.17732174000002</v>
      </c>
      <c r="AJ38" s="8">
        <f>IFERROR(
GETPIVOTDATA(
"[Base].[Importe]",
TDinamica_R!$A$5,
"[Calendario].[AñoMes]",
"[Calendario].[AñoMes].&amp;[" &amp; TEXT(AJ$6,"yyyymm") &amp; "]",
"[Base].[Metrica]",
"[Base].[Metrica].&amp;[" &amp; $A38 &amp; "]",
"[Base].[SEGMENTO_DESCRIP]",
"[Base].[SEGMENTO_DESCRIP].&amp;[" &amp; $C$6 &amp; "]",
"[Base].[SITUACION]",
"[Base].[SITUACION].&amp;[" &amp; $C38 &amp; "]"
),0)/1000</f>
        <v>721.42586846999984</v>
      </c>
      <c r="AK38" s="8">
        <f>IFERROR(
GETPIVOTDATA(
"[Base].[Importe]",
TDinamica_R!$A$5,
"[Calendario].[AñoMes]",
"[Calendario].[AñoMes].&amp;[" &amp; TEXT(AK$6,"yyyymm") &amp; "]",
"[Base].[Metrica]",
"[Base].[Metrica].&amp;[" &amp; $A38 &amp; "]",
"[Base].[SEGMENTO_DESCRIP]",
"[Base].[SEGMENTO_DESCRIP].&amp;[" &amp; $C$6 &amp; "]",
"[Base].[SITUACION]",
"[Base].[SITUACION].&amp;[" &amp; $C38 &amp; "]"
),0)/1000</f>
        <v>708.53618403000007</v>
      </c>
      <c r="AL38" s="8">
        <f>IFERROR(
GETPIVOTDATA(
"[Base].[Importe]",
TDinamica_R!$A$5,
"[Calendario].[AñoMes]",
"[Calendario].[AñoMes].&amp;[" &amp; TEXT(AL$6,"yyyymm") &amp; "]",
"[Base].[Metrica]",
"[Base].[Metrica].&amp;[" &amp; $A38 &amp; "]",
"[Base].[SEGMENTO_DESCRIP]",
"[Base].[SEGMENTO_DESCRIP].&amp;[" &amp; $C$6 &amp; "]",
"[Base].[SITUACION]",
"[Base].[SITUACION].&amp;[" &amp; $C38 &amp; "]"
),0)/1000</f>
        <v>704.94499071999996</v>
      </c>
      <c r="AM38" s="8">
        <f>IFERROR(
GETPIVOTDATA(
"[Base].[Importe]",
TDinamica_R!$A$5,
"[Calendario].[AñoMes]",
"[Calendario].[AñoMes].&amp;[" &amp; TEXT(AM$6,"yyyymm") &amp; "]",
"[Base].[Metrica]",
"[Base].[Metrica].&amp;[" &amp; $A38 &amp; "]",
"[Base].[SEGMENTO_DESCRIP]",
"[Base].[SEGMENTO_DESCRIP].&amp;[" &amp; $C$6 &amp; "]",
"[Base].[SITUACION]",
"[Base].[SITUACION].&amp;[" &amp; $C38 &amp; "]"
),0)/1000</f>
        <v>704.2300920900002</v>
      </c>
      <c r="AN38" s="8">
        <f>IFERROR(
GETPIVOTDATA(
"[Base].[Importe]",
TDinamica_R!$A$5,
"[Calendario].[AñoMes]",
"[Calendario].[AñoMes].&amp;[" &amp; TEXT(AN$6,"yyyymm") &amp; "]",
"[Base].[Metrica]",
"[Base].[Metrica].&amp;[" &amp; $A38 &amp; "]",
"[Base].[SEGMENTO_DESCRIP]",
"[Base].[SEGMENTO_DESCRIP].&amp;[" &amp; $C$6 &amp; "]",
"[Base].[SITUACION]",
"[Base].[SITUACION].&amp;[" &amp; $C38 &amp; "]"
),0)/1000</f>
        <v>690.19576175000009</v>
      </c>
      <c r="AO38" s="8">
        <f>IFERROR(
GETPIVOTDATA(
"[Base].[Importe]",
TDinamica_R!$A$5,
"[Calendario].[AñoMes]",
"[Calendario].[AñoMes].&amp;[" &amp; TEXT(AO$6,"yyyymm") &amp; "]",
"[Base].[Metrica]",
"[Base].[Metrica].&amp;[" &amp; $A38 &amp; "]",
"[Base].[SEGMENTO_DESCRIP]",
"[Base].[SEGMENTO_DESCRIP].&amp;[" &amp; $C$6 &amp; "]",
"[Base].[SITUACION]",
"[Base].[SITUACION].&amp;[" &amp; $C38 &amp; "]"
),0)/1000</f>
        <v>691.63252579000005</v>
      </c>
      <c r="AP38" s="8">
        <f>IFERROR(
GETPIVOTDATA(
"[Base].[Importe]",
TDinamica_R!$A$5,
"[Calendario].[AñoMes]",
"[Calendario].[AñoMes].&amp;[" &amp; TEXT(AP$6,"yyyymm") &amp; "]",
"[Base].[Metrica]",
"[Base].[Metrica].&amp;[" &amp; $A38 &amp; "]",
"[Base].[SEGMENTO_DESCRIP]",
"[Base].[SEGMENTO_DESCRIP].&amp;[" &amp; $C$6 &amp; "]",
"[Base].[SITUACION]",
"[Base].[SITUACION].&amp;[" &amp; $C38 &amp; "]"
),0)/1000</f>
        <v>701.92735299999993</v>
      </c>
      <c r="AQ38" s="8">
        <f>IFERROR(
GETPIVOTDATA(
"[Base].[Importe]",
TDinamica_R!$A$5,
"[Calendario].[AñoMes]",
"[Calendario].[AñoMes].&amp;[" &amp; TEXT(AQ$6,"yyyymm") &amp; "]",
"[Base].[Metrica]",
"[Base].[Metrica].&amp;[" &amp; $A38 &amp; "]",
"[Base].[SEGMENTO_DESCRIP]",
"[Base].[SEGMENTO_DESCRIP].&amp;[" &amp; $C$6 &amp; "]",
"[Base].[SITUACION]",
"[Base].[SITUACION].&amp;[" &amp; $C38 &amp; "]"
),0)/1000</f>
        <v>697.24219185999993</v>
      </c>
      <c r="AR38" s="8">
        <f>IFERROR(
GETPIVOTDATA(
"[Base].[Importe]",
TDinamica_R!$A$5,
"[Calendario].[AñoMes]",
"[Calendario].[AñoMes].&amp;[" &amp; TEXT(AR$6,"yyyymm") &amp; "]",
"[Base].[Metrica]",
"[Base].[Metrica].&amp;[" &amp; $A38 &amp; "]",
"[Base].[SEGMENTO_DESCRIP]",
"[Base].[SEGMENTO_DESCRIP].&amp;[" &amp; $C$6 &amp; "]",
"[Base].[SITUACION]",
"[Base].[SITUACION].&amp;[" &amp; $C38 &amp; "]"
),0)/1000</f>
        <v>693.15814174000002</v>
      </c>
      <c r="AS38" s="8">
        <f>IFERROR(
GETPIVOTDATA(
"[Base].[Importe]",
TDinamica_R!$A$5,
"[Calendario].[AñoMes]",
"[Calendario].[AñoMes].&amp;[" &amp; TEXT(AS$6,"yyyymm") &amp; "]",
"[Base].[Metrica]",
"[Base].[Metrica].&amp;[" &amp; $A38 &amp; "]",
"[Base].[SEGMENTO_DESCRIP]",
"[Base].[SEGMENTO_DESCRIP].&amp;[" &amp; $C$6 &amp; "]",
"[Base].[SITUACION]",
"[Base].[SITUACION].&amp;[" &amp; $C38 &amp; "]"
),0)/1000</f>
        <v>714.93522238000003</v>
      </c>
      <c r="AT38" s="8">
        <f>IFERROR(
GETPIVOTDATA(
"[Base].[Importe]",
TDinamica_R!$A$5,
"[Calendario].[AñoMes]",
"[Calendario].[AñoMes].&amp;[" &amp; TEXT(AT$6,"yyyymm")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U38" s="8">
        <f>IFERROR(
GETPIVOTDATA(
"[Base].[Importe]",
TDinamica_R!$A$5,
"[Calendario].[AñoMes]",
"[Calendario].[AñoMes].&amp;[" &amp; TEXT(AU$6,"yyyymm")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V38" s="8">
        <f>IFERROR(
GETPIVOTDATA(
"[Base].[Importe]",
TDinamica_R!$A$5,
"[Calendario].[AñoMes]",
"[Calendario].[AñoMes].&amp;[" &amp; TEXT(AV$6,"yyyymm")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W38" s="8">
        <f>IFERROR(
GETPIVOTDATA(
"[Base].[Importe]",
TDinamica_R!$A$5,
"[Calendario].[AñoMes]",
"[Calendario].[AñoMes].&amp;[" &amp; TEXT(AW$6,"yyyymm")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X38" s="8">
        <f>IFERROR(
GETPIVOTDATA(
"[Base].[Importe]",
TDinamica_R!$A$5,
"[Calendario].[AñoMes]",
"[Calendario].[AñoMes].&amp;[" &amp; TEXT(AX$6,"yyyymm")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Y38" s="8">
        <f>IFERROR(
GETPIVOTDATA(
"[Base].[Importe]",
TDinamica_R!$A$5,
"[Calendario].[AñoMes]",
"[Calendario].[AñoMes].&amp;[" &amp; TEXT(AY$6,"yyyymm")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Z38" s="8">
        <f>IFERROR(
GETPIVOTDATA(
"[BASE_CONVE_PPTO].[Importe]",
TDinamica_P!$A$5,
"[BASE_CONVE_PPTO].[Periodo]",
"[BASE_CONVE_PPTO].[Periodo].&amp;[" &amp; TEXT(AZ$6,"yyyymm")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752.83031338016804</v>
      </c>
      <c r="BA38" s="8">
        <f>IFERROR(
GETPIVOTDATA(
"[BASE_CONVE_PPTO].[Importe]",
TDinamica_P!$A$5,
"[BASE_CONVE_PPTO].[Periodo]",
"[BASE_CONVE_PPTO].[Periodo].&amp;[" &amp; TEXT(BA$6,"yyyymm")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766.62010667190589</v>
      </c>
      <c r="BB38" s="8">
        <f>IFERROR(
GETPIVOTDATA(
"[BASE_CONVE_PPTO].[Importe]",
TDinamica_P!$A$5,
"[BASE_CONVE_PPTO].[Periodo]",
"[BASE_CONVE_PPTO].[Periodo].&amp;[" &amp; TEXT(BB$6,"yyyymm")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770.34707742500746</v>
      </c>
      <c r="BC38" s="8">
        <f>IFERROR(
GETPIVOTDATA(
"[BASE_CONVE_PPTO].[Importe]",
TDinamica_P!$A$5,
"[BASE_CONVE_PPTO].[Periodo]",
"[BASE_CONVE_PPTO].[Periodo].&amp;[" &amp; TEXT(BC$6,"yyyymm")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780.89167982736899</v>
      </c>
      <c r="BD38" s="8">
        <f>IFERROR(
GETPIVOTDATA(
"[BASE_CONVE_PPTO].[Importe]",
TDinamica_P!$A$5,
"[BASE_CONVE_PPTO].[Periodo]",
"[BASE_CONVE_PPTO].[Periodo].&amp;[" &amp; TEXT(BD$6,"yyyymm")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794.91567992447085</v>
      </c>
      <c r="BE38" s="8">
        <f>IFERROR(
GETPIVOTDATA(
"[BASE_CONVE_PPTO].[Importe]",
TDinamica_P!$A$5,
"[BASE_CONVE_PPTO].[Periodo]",
"[BASE_CONVE_PPTO].[Periodo].&amp;[" &amp; TEXT(BE$6,"yyyymm")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808.90978687727136</v>
      </c>
      <c r="BF38" s="8">
        <f>IFERROR(
GETPIVOTDATA(
"[BASE_CONVE_PPTO].[Importe]",
TDinamica_P!$A$5,
"[BASE_CONVE_PPTO].[Periodo]",
"[BASE_CONVE_PPTO].[Periodo].&amp;[" &amp; TEXT(BF$6,"yyyymm")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824.72061949290958</v>
      </c>
      <c r="BG38" s="8">
        <f>IFERROR(
GETPIVOTDATA(
"[BASE_CONVE_PPTO].[Importe]",
TDinamica_P!$A$5,
"[BASE_CONVE_PPTO].[Periodo]",
"[BASE_CONVE_PPTO].[Periodo].&amp;[" &amp; TEXT(BG$6,"yyyymm")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840.23231107649599</v>
      </c>
      <c r="BH38" s="8">
        <f>IFERROR(
GETPIVOTDATA(
"[BASE_CONVE_PPTO].[Importe]",
TDinamica_P!$A$5,
"[BASE_CONVE_PPTO].[Periodo]",
"[BASE_CONVE_PPTO].[Periodo].&amp;[" &amp; TEXT(BH$6,"yyyymm")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875.30524679726489</v>
      </c>
      <c r="BI38" s="8">
        <f>IFERROR(
GETPIVOTDATA(
"[BASE_CONVE_PPTO].[Importe]",
TDinamica_P!$A$5,
"[BASE_CONVE_PPTO].[Periodo]",
"[BASE_CONVE_PPTO].[Periodo].&amp;[" &amp; TEXT(BI$6,"yyyymm")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897.63349555077673</v>
      </c>
      <c r="BJ38" s="8">
        <f>IFERROR(
GETPIVOTDATA(
"[BASE_CONVE_PPTO].[Importe]",
TDinamica_P!$A$5,
"[BASE_CONVE_PPTO].[Periodo]",
"[BASE_CONVE_PPTO].[Periodo].&amp;[" &amp; TEXT(BJ$6,"yyyymm")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913.67080617245779</v>
      </c>
      <c r="BK38" s="8">
        <f>IFERROR(
GETPIVOTDATA(
"[BASE_CONVE_PPTO].[Importe]",
TDinamica_P!$A$5,
"[BASE_CONVE_PPTO].[Periodo]",
"[BASE_CONVE_PPTO].[Periodo].&amp;[" &amp; TEXT(BK$6,"yyyymm")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937.51985236260941</v>
      </c>
      <c r="BO38" s="24">
        <f t="shared" ref="BO38:BT40" si="52">SUMIFS($D38:$BM38,$D$6:$BM$6,"&gt;="&amp;BO$2,$D$6:$BM$6,"&lt;="&amp;BO$6,$D$5:$BM$5,BO$5)</f>
        <v>3474.1559741399997</v>
      </c>
      <c r="BP38" s="24">
        <f t="shared" si="52"/>
        <v>3865.604857228921</v>
      </c>
      <c r="BQ38" s="24">
        <f t="shared" si="52"/>
        <v>2780.9978323999999</v>
      </c>
      <c r="BR38" s="24">
        <f t="shared" si="52"/>
        <v>3657.6967698299995</v>
      </c>
      <c r="BS38" s="24">
        <f t="shared" si="52"/>
        <v>3561.5663668299999</v>
      </c>
      <c r="BT38" s="24">
        <f t="shared" si="52"/>
        <v>3366.4364240200002</v>
      </c>
    </row>
    <row r="39" spans="1:72" outlineLevel="1" x14ac:dyDescent="0.25">
      <c r="A39" s="11" t="s">
        <v>55</v>
      </c>
      <c r="C39" s="2" t="s">
        <v>1</v>
      </c>
      <c r="D39" s="8">
        <f>IFERROR(
GETPIVOTDATA(
"[Base].[Importe]",
TDinamica_R!$A$5,
"[Calendario].[AñoMes]",
"[Calendario].[AñoMes].&amp;[" &amp; TEXT(D$6,"yyyymm") &amp; "]",
"[Base].[Metrica]",
"[Base].[Metrica].&amp;[" &amp; $A39 &amp; "]",
"[Base].[SEGMENTO_DESCRIP]",
"[Base].[SEGMENTO_DESCRIP].&amp;[" &amp; $C$6 &amp; "]",
"[Base].[SITUACION]",
"[Base].[SITUACION].&amp;[" &amp; $C39 &amp; "]"
),0)/1000</f>
        <v>0.85111302</v>
      </c>
      <c r="E39" s="8">
        <f>IFERROR(
GETPIVOTDATA(
"[Base].[Importe]",
TDinamica_R!$A$5,
"[Calendario].[AñoMes]",
"[Calendario].[AñoMes].&amp;[" &amp; TEXT(E$6,"yyyymm") &amp; "]",
"[Base].[Metrica]",
"[Base].[Metrica].&amp;[" &amp; $A39 &amp; "]",
"[Base].[SEGMENTO_DESCRIP]",
"[Base].[SEGMENTO_DESCRIP].&amp;[" &amp; $C$6 &amp; "]",
"[Base].[SITUACION]",
"[Base].[SITUACION].&amp;[" &amp; $C39 &amp; "]"
),0)/1000</f>
        <v>0.46661925999999998</v>
      </c>
      <c r="F39" s="8">
        <f>IFERROR(
GETPIVOTDATA(
"[Base].[Importe]",
TDinamica_R!$A$5,
"[Calendario].[AñoMes]",
"[Calendario].[AñoMes].&amp;[" &amp; TEXT(F$6,"yyyymm") &amp; "]",
"[Base].[Metrica]",
"[Base].[Metrica].&amp;[" &amp; $A39 &amp; "]",
"[Base].[SEGMENTO_DESCRIP]",
"[Base].[SEGMENTO_DESCRIP].&amp;[" &amp; $C$6 &amp; "]",
"[Base].[SITUACION]",
"[Base].[SITUACION].&amp;[" &amp; $C39 &amp; "]"
),0)/1000</f>
        <v>0.5709990800000001</v>
      </c>
      <c r="G39" s="8">
        <f>IFERROR(
GETPIVOTDATA(
"[Base].[Importe]",
TDinamica_R!$A$5,
"[Calendario].[AñoMes]",
"[Calendario].[AñoMes].&amp;[" &amp; TEXT(G$6,"yyyymm") &amp; "]",
"[Base].[Metrica]",
"[Base].[Metrica].&amp;[" &amp; $A39 &amp; "]",
"[Base].[SEGMENTO_DESCRIP]",
"[Base].[SEGMENTO_DESCRIP].&amp;[" &amp; $C$6 &amp; "]",
"[Base].[SITUACION]",
"[Base].[SITUACION].&amp;[" &amp; $C39 &amp; "]"
),0)/1000</f>
        <v>0.14737480999999999</v>
      </c>
      <c r="H39" s="8">
        <f>IFERROR(
GETPIVOTDATA(
"[Base].[Importe]",
TDinamica_R!$A$5,
"[Calendario].[AñoMes]",
"[Calendario].[AñoMes].&amp;[" &amp; TEXT(H$6,"yyyymm") &amp; "]",
"[Base].[Metrica]",
"[Base].[Metrica].&amp;[" &amp; $A39 &amp; "]",
"[Base].[SEGMENTO_DESCRIP]",
"[Base].[SEGMENTO_DESCRIP].&amp;[" &amp; $C$6 &amp; "]",
"[Base].[SITUACION]",
"[Base].[SITUACION].&amp;[" &amp; $C39 &amp; "]"
),0)/1000</f>
        <v>0.19060289999999999</v>
      </c>
      <c r="I39" s="8">
        <f>IFERROR(
GETPIVOTDATA(
"[Base].[Importe]",
TDinamica_R!$A$5,
"[Calendario].[AñoMes]",
"[Calendario].[AñoMes].&amp;[" &amp; TEXT(I$6,"yyyymm") &amp; "]",
"[Base].[Metrica]",
"[Base].[Metrica].&amp;[" &amp; $A39 &amp; "]",
"[Base].[SEGMENTO_DESCRIP]",
"[Base].[SEGMENTO_DESCRIP].&amp;[" &amp; $C$6 &amp; "]",
"[Base].[SITUACION]",
"[Base].[SITUACION].&amp;[" &amp; $C39 &amp; "]"
),0)/1000</f>
        <v>0.12787583999999999</v>
      </c>
      <c r="J39" s="8">
        <f>IFERROR(
GETPIVOTDATA(
"[Base].[Importe]",
TDinamica_R!$A$5,
"[Calendario].[AñoMes]",
"[Calendario].[AñoMes].&amp;[" &amp; TEXT(J$6,"yyyymm") &amp; "]",
"[Base].[Metrica]",
"[Base].[Metrica].&amp;[" &amp; $A39 &amp; "]",
"[Base].[SEGMENTO_DESCRIP]",
"[Base].[SEGMENTO_DESCRIP].&amp;[" &amp; $C$6 &amp; "]",
"[Base].[SITUACION]",
"[Base].[SITUACION].&amp;[" &amp; $C39 &amp; "]"
),0)/1000</f>
        <v>0.11955804</v>
      </c>
      <c r="K39" s="8">
        <f>IFERROR(
GETPIVOTDATA(
"[Base].[Importe]",
TDinamica_R!$A$5,
"[Calendario].[AñoMes]",
"[Calendario].[AñoMes].&amp;[" &amp; TEXT(K$6,"yyyymm") &amp; "]",
"[Base].[Metrica]",
"[Base].[Metrica].&amp;[" &amp; $A39 &amp; "]",
"[Base].[SEGMENTO_DESCRIP]",
"[Base].[SEGMENTO_DESCRIP].&amp;[" &amp; $C$6 &amp; "]",
"[Base].[SITUACION]",
"[Base].[SITUACION].&amp;[" &amp; $C39 &amp; "]"
),0)/1000</f>
        <v>0.12287387</v>
      </c>
      <c r="L39" s="8">
        <f>IFERROR(
GETPIVOTDATA(
"[Base].[Importe]",
TDinamica_R!$A$5,
"[Calendario].[AñoMes]",
"[Calendario].[AñoMes].&amp;[" &amp; TEXT(L$6,"yyyymm") &amp; "]",
"[Base].[Metrica]",
"[Base].[Metrica].&amp;[" &amp; $A39 &amp; "]",
"[Base].[SEGMENTO_DESCRIP]",
"[Base].[SEGMENTO_DESCRIP].&amp;[" &amp; $C$6 &amp; "]",
"[Base].[SITUACION]",
"[Base].[SITUACION].&amp;[" &amp; $C39 &amp; "]"
),0)/1000</f>
        <v>0.11287841</v>
      </c>
      <c r="M39" s="8">
        <f>IFERROR(
GETPIVOTDATA(
"[Base].[Importe]",
TDinamica_R!$A$5,
"[Calendario].[AñoMes]",
"[Calendario].[AñoMes].&amp;[" &amp; TEXT(M$6,"yyyymm") &amp; "]",
"[Base].[Metrica]",
"[Base].[Metrica].&amp;[" &amp; $A39 &amp; "]",
"[Base].[SEGMENTO_DESCRIP]",
"[Base].[SEGMENTO_DESCRIP].&amp;[" &amp; $C$6 &amp; "]",
"[Base].[SITUACION]",
"[Base].[SITUACION].&amp;[" &amp; $C39 &amp; "]"
),0)/1000</f>
        <v>0.11231969</v>
      </c>
      <c r="N39" s="8">
        <f>IFERROR(
GETPIVOTDATA(
"[Base].[Importe]",
TDinamica_R!$A$5,
"[Calendario].[AñoMes]",
"[Calendario].[AñoMes].&amp;[" &amp; TEXT(N$6,"yyyymm") &amp; "]",
"[Base].[Metrica]",
"[Base].[Metrica].&amp;[" &amp; $A39 &amp; "]",
"[Base].[SEGMENTO_DESCRIP]",
"[Base].[SEGMENTO_DESCRIP].&amp;[" &amp; $C$6 &amp; "]",
"[Base].[SITUACION]",
"[Base].[SITUACION].&amp;[" &amp; $C39 &amp; "]"
),0)/1000</f>
        <v>0.1034948</v>
      </c>
      <c r="O39" s="8">
        <f>IFERROR(
GETPIVOTDATA(
"[Base].[Importe]",
TDinamica_R!$A$5,
"[Calendario].[AñoMes]",
"[Calendario].[AñoMes].&amp;[" &amp; TEXT(O$6,"yyyymm") &amp; "]",
"[Base].[Metrica]",
"[Base].[Metrica].&amp;[" &amp; $A39 &amp; "]",
"[Base].[SEGMENTO_DESCRIP]",
"[Base].[SEGMENTO_DESCRIP].&amp;[" &amp; $C$6 &amp; "]",
"[Base].[SITUACION]",
"[Base].[SITUACION].&amp;[" &amp; $C39 &amp; "]"
),0)/1000</f>
        <v>0.10166498</v>
      </c>
      <c r="P39" s="8">
        <f>IFERROR(
GETPIVOTDATA(
"[Base].[Importe]",
TDinamica_R!$A$5,
"[Calendario].[AñoMes]",
"[Calendario].[AñoMes].&amp;[" &amp; TEXT(P$6,"yyyymm") &amp; "]",
"[Base].[Metrica]",
"[Base].[Metrica].&amp;[" &amp; $A39 &amp; "]",
"[Base].[SEGMENTO_DESCRIP]",
"[Base].[SEGMENTO_DESCRIP].&amp;[" &amp; $C$6 &amp; "]",
"[Base].[SITUACION]",
"[Base].[SITUACION].&amp;[" &amp; $C39 &amp; "]"
),0)/1000</f>
        <v>9.1209209999999999E-2</v>
      </c>
      <c r="Q39" s="8">
        <f>IFERROR(
GETPIVOTDATA(
"[Base].[Importe]",
TDinamica_R!$A$5,
"[Calendario].[AñoMes]",
"[Calendario].[AñoMes].&amp;[" &amp; TEXT(Q$6,"yyyymm") &amp; "]",
"[Base].[Metrica]",
"[Base].[Metrica].&amp;[" &amp; $A39 &amp; "]",
"[Base].[SEGMENTO_DESCRIP]",
"[Base].[SEGMENTO_DESCRIP].&amp;[" &amp; $C$6 &amp; "]",
"[Base].[SITUACION]",
"[Base].[SITUACION].&amp;[" &amp; $C39 &amp; "]"
),0)/1000</f>
        <v>8.4996290000000002E-2</v>
      </c>
      <c r="R39" s="8">
        <f>IFERROR(
GETPIVOTDATA(
"[Base].[Importe]",
TDinamica_R!$A$5,
"[Calendario].[AñoMes]",
"[Calendario].[AñoMes].&amp;[" &amp; TEXT(R$6,"yyyymm") &amp; "]",
"[Base].[Metrica]",
"[Base].[Metrica].&amp;[" &amp; $A39 &amp; "]",
"[Base].[SEGMENTO_DESCRIP]",
"[Base].[SEGMENTO_DESCRIP].&amp;[" &amp; $C$6 &amp; "]",
"[Base].[SITUACION]",
"[Base].[SITUACION].&amp;[" &amp; $C39 &amp; "]"
),0)/1000</f>
        <v>8.6121139999999999E-2</v>
      </c>
      <c r="S39" s="8">
        <f>IFERROR(
GETPIVOTDATA(
"[Base].[Importe]",
TDinamica_R!$A$5,
"[Calendario].[AñoMes]",
"[Calendario].[AñoMes].&amp;[" &amp; TEXT(S$6,"yyyymm") &amp; "]",
"[Base].[Metrica]",
"[Base].[Metrica].&amp;[" &amp; $A39 &amp; "]",
"[Base].[SEGMENTO_DESCRIP]",
"[Base].[SEGMENTO_DESCRIP].&amp;[" &amp; $C$6 &amp; "]",
"[Base].[SITUACION]",
"[Base].[SITUACION].&amp;[" &amp; $C39 &amp; "]"
),0)/1000</f>
        <v>7.7135880000000004E-2</v>
      </c>
      <c r="T39" s="8">
        <f>IFERROR(
GETPIVOTDATA(
"[Base].[Importe]",
TDinamica_R!$A$5,
"[Calendario].[AñoMes]",
"[Calendario].[AñoMes].&amp;[" &amp; TEXT(T$6,"yyyymm") &amp; "]",
"[Base].[Metrica]",
"[Base].[Metrica].&amp;[" &amp; $A39 &amp; "]",
"[Base].[SEGMENTO_DESCRIP]",
"[Base].[SEGMENTO_DESCRIP].&amp;[" &amp; $C$6 &amp; "]",
"[Base].[SITUACION]",
"[Base].[SITUACION].&amp;[" &amp; $C39 &amp; "]"
),0)/1000</f>
        <v>7.4601760000000003E-2</v>
      </c>
      <c r="U39" s="8">
        <f>IFERROR(
GETPIVOTDATA(
"[Base].[Importe]",
TDinamica_R!$A$5,
"[Calendario].[AñoMes]",
"[Calendario].[AñoMes].&amp;[" &amp; TEXT(U$6,"yyyymm") &amp; "]",
"[Base].[Metrica]",
"[Base].[Metrica].&amp;[" &amp; $A39 &amp; "]",
"[Base].[SEGMENTO_DESCRIP]",
"[Base].[SEGMENTO_DESCRIP].&amp;[" &amp; $C$6 &amp; "]",
"[Base].[SITUACION]",
"[Base].[SITUACION].&amp;[" &amp; $C39 &amp; "]"
),0)/1000</f>
        <v>6.1905979999999999E-2</v>
      </c>
      <c r="V39" s="8">
        <f>IFERROR(
GETPIVOTDATA(
"[Base].[Importe]",
TDinamica_R!$A$5,
"[Calendario].[AñoMes]",
"[Calendario].[AñoMes].&amp;[" &amp; TEXT(V$6,"yyyymm") &amp; "]",
"[Base].[Metrica]",
"[Base].[Metrica].&amp;[" &amp; $A39 &amp; "]",
"[Base].[SEGMENTO_DESCRIP]",
"[Base].[SEGMENTO_DESCRIP].&amp;[" &amp; $C$6 &amp; "]",
"[Base].[SITUACION]",
"[Base].[SITUACION].&amp;[" &amp; $C39 &amp; "]"
),0)/1000</f>
        <v>6.2766139999999998E-2</v>
      </c>
      <c r="W39" s="8">
        <f>IFERROR(
GETPIVOTDATA(
"[Base].[Importe]",
TDinamica_R!$A$5,
"[Calendario].[AñoMes]",
"[Calendario].[AñoMes].&amp;[" &amp; TEXT(W$6,"yyyymm") &amp; "]",
"[Base].[Metrica]",
"[Base].[Metrica].&amp;[" &amp; $A39 &amp; "]",
"[Base].[SEGMENTO_DESCRIP]",
"[Base].[SEGMENTO_DESCRIP].&amp;[" &amp; $C$6 &amp; "]",
"[Base].[SITUACION]",
"[Base].[SITUACION].&amp;[" &amp; $C39 &amp; "]"
),0)/1000</f>
        <v>5.6746490000000004E-2</v>
      </c>
      <c r="X39" s="8">
        <f>IFERROR(
GETPIVOTDATA(
"[Base].[Importe]",
TDinamica_R!$A$5,
"[Calendario].[AñoMes]",
"[Calendario].[AñoMes].&amp;[" &amp; TEXT(X$6,"yyyymm") &amp; "]",
"[Base].[Metrica]",
"[Base].[Metrica].&amp;[" &amp; $A39 &amp; "]",
"[Base].[SEGMENTO_DESCRIP]",
"[Base].[SEGMENTO_DESCRIP].&amp;[" &amp; $C$6 &amp; "]",
"[Base].[SITUACION]",
"[Base].[SITUACION].&amp;[" &amp; $C39 &amp; "]"
),0)/1000</f>
        <v>4.915754E-2</v>
      </c>
      <c r="Y39" s="8">
        <f>IFERROR(
GETPIVOTDATA(
"[Base].[Importe]",
TDinamica_R!$A$5,
"[Calendario].[AñoMes]",
"[Calendario].[AñoMes].&amp;[" &amp; TEXT(Y$6,"yyyymm") &amp; "]",
"[Base].[Metrica]",
"[Base].[Metrica].&amp;[" &amp; $A39 &amp; "]",
"[Base].[SEGMENTO_DESCRIP]",
"[Base].[SEGMENTO_DESCRIP].&amp;[" &amp; $C$6 &amp; "]",
"[Base].[SITUACION]",
"[Base].[SITUACION].&amp;[" &amp; $C39 &amp; "]"
),0)/1000</f>
        <v>4.469708E-2</v>
      </c>
      <c r="Z39" s="8">
        <f>IFERROR(
GETPIVOTDATA(
"[Base].[Importe]",
TDinamica_R!$A$5,
"[Calendario].[AñoMes]",
"[Calendario].[AñoMes].&amp;[" &amp; TEXT(Z$6,"yyyymm") &amp; "]",
"[Base].[Metrica]",
"[Base].[Metrica].&amp;[" &amp; $A39 &amp; "]",
"[Base].[SEGMENTO_DESCRIP]",
"[Base].[SEGMENTO_DESCRIP].&amp;[" &amp; $C$6 &amp; "]",
"[Base].[SITUACION]",
"[Base].[SITUACION].&amp;[" &amp; $C39 &amp; "]"
),0)/1000</f>
        <v>3.4930370000000002E-2</v>
      </c>
      <c r="AA39" s="8">
        <f>IFERROR(
GETPIVOTDATA(
"[Base].[Importe]",
TDinamica_R!$A$5,
"[Calendario].[AñoMes]",
"[Calendario].[AñoMes].&amp;[" &amp; TEXT(AA$6,"yyyymm") &amp; "]",
"[Base].[Metrica]",
"[Base].[Metrica].&amp;[" &amp; $A39 &amp; "]",
"[Base].[SEGMENTO_DESCRIP]",
"[Base].[SEGMENTO_DESCRIP].&amp;[" &amp; $C$6 &amp; "]",
"[Base].[SITUACION]",
"[Base].[SITUACION].&amp;[" &amp; $C39 &amp; "]"
),0)/1000</f>
        <v>2.4962599999999997E-3</v>
      </c>
      <c r="AB39" s="8">
        <f>IFERROR(
GETPIVOTDATA(
"[Base].[Importe]",
TDinamica_R!$A$5,
"[Calendario].[AñoMes]",
"[Calendario].[AñoMes].&amp;[" &amp; TEXT(AB$6,"yyyymm")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C39" s="8">
        <f>IFERROR(
GETPIVOTDATA(
"[Base].[Importe]",
TDinamica_R!$A$5,
"[Calendario].[AñoMes]",
"[Calendario].[AñoMes].&amp;[" &amp; TEXT(AC$6,"yyyymm")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D39" s="8">
        <f>IFERROR(
GETPIVOTDATA(
"[Base].[Importe]",
TDinamica_R!$A$5,
"[Calendario].[AñoMes]",
"[Calendario].[AñoMes].&amp;[" &amp; TEXT(AD$6,"yyyymm")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E39" s="8">
        <f>IFERROR(
GETPIVOTDATA(
"[Base].[Importe]",
TDinamica_R!$A$5,
"[Calendario].[AñoMes]",
"[Calendario].[AñoMes].&amp;[" &amp; TEXT(AE$6,"yyyymm")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F39" s="8">
        <f>IFERROR(
GETPIVOTDATA(
"[Base].[Importe]",
TDinamica_R!$A$5,
"[Calendario].[AñoMes]",
"[Calendario].[AñoMes].&amp;[" &amp; TEXT(AF$6,"yyyymm")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G39" s="8">
        <f>IFERROR(
GETPIVOTDATA(
"[Base].[Importe]",
TDinamica_R!$A$5,
"[Calendario].[AñoMes]",
"[Calendario].[AñoMes].&amp;[" &amp; TEXT(AG$6,"yyyymm")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H39" s="8">
        <f>IFERROR(
GETPIVOTDATA(
"[Base].[Importe]",
TDinamica_R!$A$5,
"[Calendario].[AñoMes]",
"[Calendario].[AñoMes].&amp;[" &amp; TEXT(AH$6,"yyyymm")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I39" s="8">
        <f>IFERROR(
GETPIVOTDATA(
"[Base].[Importe]",
TDinamica_R!$A$5,
"[Calendario].[AñoMes]",
"[Calendario].[AñoMes].&amp;[" &amp; TEXT(AI$6,"yyyymm")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J39" s="8">
        <f>IFERROR(
GETPIVOTDATA(
"[Base].[Importe]",
TDinamica_R!$A$5,
"[Calendario].[AñoMes]",
"[Calendario].[AñoMes].&amp;[" &amp; TEXT(AJ$6,"yyyymm")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K39" s="8">
        <f>IFERROR(
GETPIVOTDATA(
"[Base].[Importe]",
TDinamica_R!$A$5,
"[Calendario].[AñoMes]",
"[Calendario].[AñoMes].&amp;[" &amp; TEXT(AK$6,"yyyymm")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L39" s="8">
        <f>IFERROR(
GETPIVOTDATA(
"[Base].[Importe]",
TDinamica_R!$A$5,
"[Calendario].[AñoMes]",
"[Calendario].[AñoMes].&amp;[" &amp; TEXT(AL$6,"yyyymm")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M39" s="8">
        <f>IFERROR(
GETPIVOTDATA(
"[Base].[Importe]",
TDinamica_R!$A$5,
"[Calendario].[AñoMes]",
"[Calendario].[AñoMes].&amp;[" &amp; TEXT(AM$6,"yyyymm")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N39" s="8">
        <f>IFERROR(
GETPIVOTDATA(
"[Base].[Importe]",
TDinamica_R!$A$5,
"[Calendario].[AñoMes]",
"[Calendario].[AñoMes].&amp;[" &amp; TEXT(AN$6,"yyyymm")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O39" s="8">
        <f>IFERROR(
GETPIVOTDATA(
"[Base].[Importe]",
TDinamica_R!$A$5,
"[Calendario].[AñoMes]",
"[Calendario].[AñoMes].&amp;[" &amp; TEXT(AO$6,"yyyymm")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P39" s="8">
        <f>IFERROR(
GETPIVOTDATA(
"[Base].[Importe]",
TDinamica_R!$A$5,
"[Calendario].[AñoMes]",
"[Calendario].[AñoMes].&amp;[" &amp; TEXT(AP$6,"yyyymm")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Q39" s="8">
        <f>IFERROR(
GETPIVOTDATA(
"[Base].[Importe]",
TDinamica_R!$A$5,
"[Calendario].[AñoMes]",
"[Calendario].[AñoMes].&amp;[" &amp; TEXT(AQ$6,"yyyymm")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R39" s="8">
        <f>IFERROR(
GETPIVOTDATA(
"[Base].[Importe]",
TDinamica_R!$A$5,
"[Calendario].[AñoMes]",
"[Calendario].[AñoMes].&amp;[" &amp; TEXT(AR$6,"yyyymm")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S39" s="8">
        <f>IFERROR(
GETPIVOTDATA(
"[Base].[Importe]",
TDinamica_R!$A$5,
"[Calendario].[AñoMes]",
"[Calendario].[AñoMes].&amp;[" &amp; TEXT(AS$6,"yyyymm")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T39" s="8">
        <f>IFERROR(
GETPIVOTDATA(
"[Base].[Importe]",
TDinamica_R!$A$5,
"[Calendario].[AñoMes]",
"[Calendario].[AñoMes].&amp;[" &amp; TEXT(AT$6,"yyyymm")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U39" s="8">
        <f>IFERROR(
GETPIVOTDATA(
"[Base].[Importe]",
TDinamica_R!$A$5,
"[Calendario].[AñoMes]",
"[Calendario].[AñoMes].&amp;[" &amp; TEXT(AU$6,"yyyymm")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V39" s="8">
        <f>IFERROR(
GETPIVOTDATA(
"[Base].[Importe]",
TDinamica_R!$A$5,
"[Calendario].[AñoMes]",
"[Calendario].[AñoMes].&amp;[" &amp; TEXT(AV$6,"yyyymm")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W39" s="8">
        <f>IFERROR(
GETPIVOTDATA(
"[Base].[Importe]",
TDinamica_R!$A$5,
"[Calendario].[AñoMes]",
"[Calendario].[AñoMes].&amp;[" &amp; TEXT(AW$6,"yyyymm")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X39" s="8">
        <f>IFERROR(
GETPIVOTDATA(
"[Base].[Importe]",
TDinamica_R!$A$5,
"[Calendario].[AñoMes]",
"[Calendario].[AñoMes].&amp;[" &amp; TEXT(AX$6,"yyyymm")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Y39" s="8">
        <f>IFERROR(
GETPIVOTDATA(
"[Base].[Importe]",
TDinamica_R!$A$5,
"[Calendario].[AñoMes]",
"[Calendario].[AñoMes].&amp;[" &amp; TEXT(AY$6,"yyyymm")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Z39" s="8">
        <f>IFERROR(
GETPIVOTDATA(
"[BASE_CONVE_PPTO].[Importe]",
TDinamica_P!$A$5,
"[BASE_CONVE_PPTO].[Periodo]",
"[BASE_CONVE_PPTO].[Periodo].&amp;[" &amp; TEXT(AZ$6,"yyyymm")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0</v>
      </c>
      <c r="BA39" s="8">
        <f>IFERROR(
GETPIVOTDATA(
"[BASE_CONVE_PPTO].[Importe]",
TDinamica_P!$A$5,
"[BASE_CONVE_PPTO].[Periodo]",
"[BASE_CONVE_PPTO].[Periodo].&amp;[" &amp; TEXT(BA$6,"yyyymm")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0</v>
      </c>
      <c r="BB39" s="8">
        <f>IFERROR(
GETPIVOTDATA(
"[BASE_CONVE_PPTO].[Importe]",
TDinamica_P!$A$5,
"[BASE_CONVE_PPTO].[Periodo]",
"[BASE_CONVE_PPTO].[Periodo].&amp;[" &amp; TEXT(BB$6,"yyyymm")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0</v>
      </c>
      <c r="BC39" s="8">
        <f>IFERROR(
GETPIVOTDATA(
"[BASE_CONVE_PPTO].[Importe]",
TDinamica_P!$A$5,
"[BASE_CONVE_PPTO].[Periodo]",
"[BASE_CONVE_PPTO].[Periodo].&amp;[" &amp; TEXT(BC$6,"yyyymm")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0</v>
      </c>
      <c r="BD39" s="8">
        <f>IFERROR(
GETPIVOTDATA(
"[BASE_CONVE_PPTO].[Importe]",
TDinamica_P!$A$5,
"[BASE_CONVE_PPTO].[Periodo]",
"[BASE_CONVE_PPTO].[Periodo].&amp;[" &amp; TEXT(BD$6,"yyyymm")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0</v>
      </c>
      <c r="BE39" s="8">
        <f>IFERROR(
GETPIVOTDATA(
"[BASE_CONVE_PPTO].[Importe]",
TDinamica_P!$A$5,
"[BASE_CONVE_PPTO].[Periodo]",
"[BASE_CONVE_PPTO].[Periodo].&amp;[" &amp; TEXT(BE$6,"yyyymm")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0</v>
      </c>
      <c r="BF39" s="8">
        <f>IFERROR(
GETPIVOTDATA(
"[BASE_CONVE_PPTO].[Importe]",
TDinamica_P!$A$5,
"[BASE_CONVE_PPTO].[Periodo]",
"[BASE_CONVE_PPTO].[Periodo].&amp;[" &amp; TEXT(BF$6,"yyyymm")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0</v>
      </c>
      <c r="BG39" s="8">
        <f>IFERROR(
GETPIVOTDATA(
"[BASE_CONVE_PPTO].[Importe]",
TDinamica_P!$A$5,
"[BASE_CONVE_PPTO].[Periodo]",
"[BASE_CONVE_PPTO].[Periodo].&amp;[" &amp; TEXT(BG$6,"yyyymm")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0</v>
      </c>
      <c r="BH39" s="8">
        <f>IFERROR(
GETPIVOTDATA(
"[BASE_CONVE_PPTO].[Importe]",
TDinamica_P!$A$5,
"[BASE_CONVE_PPTO].[Periodo]",
"[BASE_CONVE_PPTO].[Periodo].&amp;[" &amp; TEXT(BH$6,"yyyymm")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0</v>
      </c>
      <c r="BI39" s="8">
        <f>IFERROR(
GETPIVOTDATA(
"[BASE_CONVE_PPTO].[Importe]",
TDinamica_P!$A$5,
"[BASE_CONVE_PPTO].[Periodo]",
"[BASE_CONVE_PPTO].[Periodo].&amp;[" &amp; TEXT(BI$6,"yyyymm")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0</v>
      </c>
      <c r="BJ39" s="8">
        <f>IFERROR(
GETPIVOTDATA(
"[BASE_CONVE_PPTO].[Importe]",
TDinamica_P!$A$5,
"[BASE_CONVE_PPTO].[Periodo]",
"[BASE_CONVE_PPTO].[Periodo].&amp;[" &amp; TEXT(BJ$6,"yyyymm")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0</v>
      </c>
      <c r="BK39" s="8">
        <f>IFERROR(
GETPIVOTDATA(
"[BASE_CONVE_PPTO].[Importe]",
TDinamica_P!$A$5,
"[BASE_CONVE_PPTO].[Periodo]",
"[BASE_CONVE_PPTO].[Periodo].&amp;[" &amp; TEXT(BK$6,"yyyymm")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0</v>
      </c>
      <c r="BO39" s="24">
        <f t="shared" si="52"/>
        <v>0</v>
      </c>
      <c r="BP39" s="24">
        <f t="shared" si="52"/>
        <v>0</v>
      </c>
      <c r="BQ39" s="24">
        <f t="shared" si="52"/>
        <v>0</v>
      </c>
      <c r="BR39" s="24">
        <f t="shared" si="52"/>
        <v>0</v>
      </c>
      <c r="BS39" s="24">
        <f t="shared" si="52"/>
        <v>0.41406428000000001</v>
      </c>
      <c r="BT39" s="24">
        <f t="shared" si="52"/>
        <v>2.2267090700000001</v>
      </c>
    </row>
    <row r="40" spans="1:72" outlineLevel="1" x14ac:dyDescent="0.25">
      <c r="A40" s="11" t="s">
        <v>55</v>
      </c>
      <c r="C40" s="2" t="s">
        <v>45</v>
      </c>
      <c r="D40" s="8">
        <f>IFERROR(
GETPIVOTDATA(
"[Base].[Importe]",
TDinamica_R!$A$5,
"[Calendario].[AñoMes]",
"[Calendario].[AñoMes].&amp;[" &amp; TEXT(D$6,"yyyymm") &amp; "]",
"[Base].[Metrica]",
"[Base].[Metrica].&amp;[" &amp; $A40 &amp; "]",
"[Base].[SEGMENTO_DESCRIP]",
"[Base].[SEGMENTO_DESCRIP].&amp;[" &amp; $C$6 &amp; "]",
"[Base].[SITUACION]",
"[Base].[SITUACION].&amp;[" &amp; $C40 &amp; "]"
),0)/1000</f>
        <v>0.37044695</v>
      </c>
      <c r="E40" s="8">
        <f>IFERROR(
GETPIVOTDATA(
"[Base].[Importe]",
TDinamica_R!$A$5,
"[Calendario].[AñoMes]",
"[Calendario].[AñoMes].&amp;[" &amp; TEXT(E$6,"yyyymm") &amp; "]",
"[Base].[Metrica]",
"[Base].[Metrica].&amp;[" &amp; $A40 &amp; "]",
"[Base].[SEGMENTO_DESCRIP]",
"[Base].[SEGMENTO_DESCRIP].&amp;[" &amp; $C$6 &amp; "]",
"[Base].[SITUACION]",
"[Base].[SITUACION].&amp;[" &amp; $C40 &amp; "]"
),0)/1000</f>
        <v>1.2475488700000001</v>
      </c>
      <c r="F40" s="8">
        <f>IFERROR(
GETPIVOTDATA(
"[Base].[Importe]",
TDinamica_R!$A$5,
"[Calendario].[AñoMes]",
"[Calendario].[AñoMes].&amp;[" &amp; TEXT(F$6,"yyyymm") &amp; "]",
"[Base].[Metrica]",
"[Base].[Metrica].&amp;[" &amp; $A40 &amp; "]",
"[Base].[SEGMENTO_DESCRIP]",
"[Base].[SEGMENTO_DESCRIP].&amp;[" &amp; $C$6 &amp; "]",
"[Base].[SITUACION]",
"[Base].[SITUACION].&amp;[" &amp; $C40 &amp; "]"
),0)/1000</f>
        <v>2.17863527</v>
      </c>
      <c r="G40" s="8">
        <f>IFERROR(
GETPIVOTDATA(
"[Base].[Importe]",
TDinamica_R!$A$5,
"[Calendario].[AñoMes]",
"[Calendario].[AñoMes].&amp;[" &amp; TEXT(G$6,"yyyymm") &amp; "]",
"[Base].[Metrica]",
"[Base].[Metrica].&amp;[" &amp; $A40 &amp; "]",
"[Base].[SEGMENTO_DESCRIP]",
"[Base].[SEGMENTO_DESCRIP].&amp;[" &amp; $C$6 &amp; "]",
"[Base].[SITUACION]",
"[Base].[SITUACION].&amp;[" &amp; $C40 &amp; "]"
),0)/1000</f>
        <v>1.55660844</v>
      </c>
      <c r="H40" s="8">
        <f>IFERROR(
GETPIVOTDATA(
"[Base].[Importe]",
TDinamica_R!$A$5,
"[Calendario].[AñoMes]",
"[Calendario].[AñoMes].&amp;[" &amp; TEXT(H$6,"yyyymm") &amp; "]",
"[Base].[Metrica]",
"[Base].[Metrica].&amp;[" &amp; $A40 &amp; "]",
"[Base].[SEGMENTO_DESCRIP]",
"[Base].[SEGMENTO_DESCRIP].&amp;[" &amp; $C$6 &amp; "]",
"[Base].[SITUACION]",
"[Base].[SITUACION].&amp;[" &amp; $C40 &amp; "]"
),0)/1000</f>
        <v>2.62683584</v>
      </c>
      <c r="I40" s="8">
        <f>IFERROR(
GETPIVOTDATA(
"[Base].[Importe]",
TDinamica_R!$A$5,
"[Calendario].[AñoMes]",
"[Calendario].[AñoMes].&amp;[" &amp; TEXT(I$6,"yyyymm") &amp; "]",
"[Base].[Metrica]",
"[Base].[Metrica].&amp;[" &amp; $A40 &amp; "]",
"[Base].[SEGMENTO_DESCRIP]",
"[Base].[SEGMENTO_DESCRIP].&amp;[" &amp; $C$6 &amp; "]",
"[Base].[SITUACION]",
"[Base].[SITUACION].&amp;[" &amp; $C40 &amp; "]"
),0)/1000</f>
        <v>0.42563372999999999</v>
      </c>
      <c r="J40" s="8">
        <f>IFERROR(
GETPIVOTDATA(
"[Base].[Importe]",
TDinamica_R!$A$5,
"[Calendario].[AñoMes]",
"[Calendario].[AñoMes].&amp;[" &amp; TEXT(J$6,"yyyymm") &amp; "]",
"[Base].[Metrica]",
"[Base].[Metrica].&amp;[" &amp; $A40 &amp; "]",
"[Base].[SEGMENTO_DESCRIP]",
"[Base].[SEGMENTO_DESCRIP].&amp;[" &amp; $C$6 &amp; "]",
"[Base].[SITUACION]",
"[Base].[SITUACION].&amp;[" &amp; $C40 &amp; "]"
),0)/1000</f>
        <v>0.72016213000000007</v>
      </c>
      <c r="K40" s="8">
        <f>IFERROR(
GETPIVOTDATA(
"[Base].[Importe]",
TDinamica_R!$A$5,
"[Calendario].[AñoMes]",
"[Calendario].[AñoMes].&amp;[" &amp; TEXT(K$6,"yyyymm") &amp; "]",
"[Base].[Metrica]",
"[Base].[Metrica].&amp;[" &amp; $A40 &amp; "]",
"[Base].[SEGMENTO_DESCRIP]",
"[Base].[SEGMENTO_DESCRIP].&amp;[" &amp; $C$6 &amp; "]",
"[Base].[SITUACION]",
"[Base].[SITUACION].&amp;[" &amp; $C40 &amp; "]"
),0)/1000</f>
        <v>5.0281300000000001E-2</v>
      </c>
      <c r="L40" s="8">
        <f>IFERROR(
GETPIVOTDATA(
"[Base].[Importe]",
TDinamica_R!$A$5,
"[Calendario].[AñoMes]",
"[Calendario].[AñoMes].&amp;[" &amp; TEXT(L$6,"yyyymm") &amp; "]",
"[Base].[Metrica]",
"[Base].[Metrica].&amp;[" &amp; $A40 &amp; "]",
"[Base].[SEGMENTO_DESCRIP]",
"[Base].[SEGMENTO_DESCRIP].&amp;[" &amp; $C$6 &amp; "]",
"[Base].[SITUACION]",
"[Base].[SITUACION].&amp;[" &amp; $C40 &amp; "]"
),0)/1000</f>
        <v>1.3887968800000001</v>
      </c>
      <c r="M40" s="8">
        <f>IFERROR(
GETPIVOTDATA(
"[Base].[Importe]",
TDinamica_R!$A$5,
"[Calendario].[AñoMes]",
"[Calendario].[AñoMes].&amp;[" &amp; TEXT(M$6,"yyyymm") &amp; "]",
"[Base].[Metrica]",
"[Base].[Metrica].&amp;[" &amp; $A40 &amp; "]",
"[Base].[SEGMENTO_DESCRIP]",
"[Base].[SEGMENTO_DESCRIP].&amp;[" &amp; $C$6 &amp; "]",
"[Base].[SITUACION]",
"[Base].[SITUACION].&amp;[" &amp; $C40 &amp; "]"
),0)/1000</f>
        <v>2.3482289599999997</v>
      </c>
      <c r="N40" s="8">
        <f>IFERROR(
GETPIVOTDATA(
"[Base].[Importe]",
TDinamica_R!$A$5,
"[Calendario].[AñoMes]",
"[Calendario].[AñoMes].&amp;[" &amp; TEXT(N$6,"yyyymm") &amp; "]",
"[Base].[Metrica]",
"[Base].[Metrica].&amp;[" &amp; $A40 &amp; "]",
"[Base].[SEGMENTO_DESCRIP]",
"[Base].[SEGMENTO_DESCRIP].&amp;[" &amp; $C$6 &amp; "]",
"[Base].[SITUACION]",
"[Base].[SITUACION].&amp;[" &amp; $C40 &amp; "]"
),0)/1000</f>
        <v>2.6863521700000002</v>
      </c>
      <c r="O40" s="8">
        <f>IFERROR(
GETPIVOTDATA(
"[Base].[Importe]",
TDinamica_R!$A$5,
"[Calendario].[AñoMes]",
"[Calendario].[AñoMes].&amp;[" &amp; TEXT(O$6,"yyyymm") &amp; "]",
"[Base].[Metrica]",
"[Base].[Metrica].&amp;[" &amp; $A40 &amp; "]",
"[Base].[SEGMENTO_DESCRIP]",
"[Base].[SEGMENTO_DESCRIP].&amp;[" &amp; $C$6 &amp; "]",
"[Base].[SITUACION]",
"[Base].[SITUACION].&amp;[" &amp; $C40 &amp; "]"
),0)/1000</f>
        <v>5.0248973499999989</v>
      </c>
      <c r="P40" s="8">
        <f>IFERROR(
GETPIVOTDATA(
"[Base].[Importe]",
TDinamica_R!$A$5,
"[Calendario].[AñoMes]",
"[Calendario].[AñoMes].&amp;[" &amp; TEXT(P$6,"yyyymm") &amp; "]",
"[Base].[Metrica]",
"[Base].[Metrica].&amp;[" &amp; $A40 &amp; "]",
"[Base].[SEGMENTO_DESCRIP]",
"[Base].[SEGMENTO_DESCRIP].&amp;[" &amp; $C$6 &amp; "]",
"[Base].[SITUACION]",
"[Base].[SITUACION].&amp;[" &amp; $C40 &amp; "]"
),0)/1000</f>
        <v>2.1588636999999999</v>
      </c>
      <c r="Q40" s="8">
        <f>IFERROR(
GETPIVOTDATA(
"[Base].[Importe]",
TDinamica_R!$A$5,
"[Calendario].[AñoMes]",
"[Calendario].[AñoMes].&amp;[" &amp; TEXT(Q$6,"yyyymm") &amp; "]",
"[Base].[Metrica]",
"[Base].[Metrica].&amp;[" &amp; $A40 &amp; "]",
"[Base].[SEGMENTO_DESCRIP]",
"[Base].[SEGMENTO_DESCRIP].&amp;[" &amp; $C$6 &amp; "]",
"[Base].[SITUACION]",
"[Base].[SITUACION].&amp;[" &amp; $C40 &amp; "]"
),0)/1000</f>
        <v>4.1399718000000005</v>
      </c>
      <c r="R40" s="8">
        <f>IFERROR(
GETPIVOTDATA(
"[Base].[Importe]",
TDinamica_R!$A$5,
"[Calendario].[AñoMes]",
"[Calendario].[AñoMes].&amp;[" &amp; TEXT(R$6,"yyyymm") &amp; "]",
"[Base].[Metrica]",
"[Base].[Metrica].&amp;[" &amp; $A40 &amp; "]",
"[Base].[SEGMENTO_DESCRIP]",
"[Base].[SEGMENTO_DESCRIP].&amp;[" &amp; $C$6 &amp; "]",
"[Base].[SITUACION]",
"[Base].[SITUACION].&amp;[" &amp; $C40 &amp; "]"
),0)/1000</f>
        <v>0.90434761000000008</v>
      </c>
      <c r="S40" s="8">
        <f>IFERROR(
GETPIVOTDATA(
"[Base].[Importe]",
TDinamica_R!$A$5,
"[Calendario].[AñoMes]",
"[Calendario].[AñoMes].&amp;[" &amp; TEXT(S$6,"yyyymm") &amp; "]",
"[Base].[Metrica]",
"[Base].[Metrica].&amp;[" &amp; $A40 &amp; "]",
"[Base].[SEGMENTO_DESCRIP]",
"[Base].[SEGMENTO_DESCRIP].&amp;[" &amp; $C$6 &amp; "]",
"[Base].[SITUACION]",
"[Base].[SITUACION].&amp;[" &amp; $C40 &amp; "]"
),0)/1000</f>
        <v>1.01059794</v>
      </c>
      <c r="T40" s="8">
        <f>IFERROR(
GETPIVOTDATA(
"[Base].[Importe]",
TDinamica_R!$A$5,
"[Calendario].[AñoMes]",
"[Calendario].[AñoMes].&amp;[" &amp; TEXT(T$6,"yyyymm") &amp; "]",
"[Base].[Metrica]",
"[Base].[Metrica].&amp;[" &amp; $A40 &amp; "]",
"[Base].[SEGMENTO_DESCRIP]",
"[Base].[SEGMENTO_DESCRIP].&amp;[" &amp; $C$6 &amp; "]",
"[Base].[SITUACION]",
"[Base].[SITUACION].&amp;[" &amp; $C40 &amp; "]"
),0)/1000</f>
        <v>2.3681602000000002</v>
      </c>
      <c r="U40" s="8">
        <f>IFERROR(
GETPIVOTDATA(
"[Base].[Importe]",
TDinamica_R!$A$5,
"[Calendario].[AñoMes]",
"[Calendario].[AñoMes].&amp;[" &amp; TEXT(U$6,"yyyymm") &amp; "]",
"[Base].[Metrica]",
"[Base].[Metrica].&amp;[" &amp; $A40 &amp; "]",
"[Base].[SEGMENTO_DESCRIP]",
"[Base].[SEGMENTO_DESCRIP].&amp;[" &amp; $C$6 &amp; "]",
"[Base].[SITUACION]",
"[Base].[SITUACION].&amp;[" &amp; $C40 &amp; "]"
),0)/1000</f>
        <v>5.354714190000001</v>
      </c>
      <c r="V40" s="8">
        <f>IFERROR(
GETPIVOTDATA(
"[Base].[Importe]",
TDinamica_R!$A$5,
"[Calendario].[AñoMes]",
"[Calendario].[AñoMes].&amp;[" &amp; TEXT(V$6,"yyyymm") &amp; "]",
"[Base].[Metrica]",
"[Base].[Metrica].&amp;[" &amp; $A40 &amp; "]",
"[Base].[SEGMENTO_DESCRIP]",
"[Base].[SEGMENTO_DESCRIP].&amp;[" &amp; $C$6 &amp; "]",
"[Base].[SITUACION]",
"[Base].[SITUACION].&amp;[" &amp; $C40 &amp; "]"
),0)/1000</f>
        <v>1.95247557</v>
      </c>
      <c r="W40" s="8">
        <f>IFERROR(
GETPIVOTDATA(
"[Base].[Importe]",
TDinamica_R!$A$5,
"[Calendario].[AñoMes]",
"[Calendario].[AñoMes].&amp;[" &amp; TEXT(W$6,"yyyymm") &amp; "]",
"[Base].[Metrica]",
"[Base].[Metrica].&amp;[" &amp; $A40 &amp; "]",
"[Base].[SEGMENTO_DESCRIP]",
"[Base].[SEGMENTO_DESCRIP].&amp;[" &amp; $C$6 &amp; "]",
"[Base].[SITUACION]",
"[Base].[SITUACION].&amp;[" &amp; $C40 &amp; "]"
),0)/1000</f>
        <v>2.7580811700000001</v>
      </c>
      <c r="X40" s="8">
        <f>IFERROR(
GETPIVOTDATA(
"[Base].[Importe]",
TDinamica_R!$A$5,
"[Calendario].[AñoMes]",
"[Calendario].[AñoMes].&amp;[" &amp; TEXT(X$6,"yyyymm") &amp; "]",
"[Base].[Metrica]",
"[Base].[Metrica].&amp;[" &amp; $A40 &amp; "]",
"[Base].[SEGMENTO_DESCRIP]",
"[Base].[SEGMENTO_DESCRIP].&amp;[" &amp; $C$6 &amp; "]",
"[Base].[SITUACION]",
"[Base].[SITUACION].&amp;[" &amp; $C40 &amp; "]"
),0)/1000</f>
        <v>2.0738759399999998</v>
      </c>
      <c r="Y40" s="8">
        <f>IFERROR(
GETPIVOTDATA(
"[Base].[Importe]",
TDinamica_R!$A$5,
"[Calendario].[AñoMes]",
"[Calendario].[AñoMes].&amp;[" &amp; TEXT(Y$6,"yyyymm") &amp; "]",
"[Base].[Metrica]",
"[Base].[Metrica].&amp;[" &amp; $A40 &amp; "]",
"[Base].[SEGMENTO_DESCRIP]",
"[Base].[SEGMENTO_DESCRIP].&amp;[" &amp; $C$6 &amp; "]",
"[Base].[SITUACION]",
"[Base].[SITUACION].&amp;[" &amp; $C40 &amp; "]"
),0)/1000</f>
        <v>2.0199964399999999</v>
      </c>
      <c r="Z40" s="8">
        <f>IFERROR(
GETPIVOTDATA(
"[Base].[Importe]",
TDinamica_R!$A$5,
"[Calendario].[AñoMes]",
"[Calendario].[AñoMes].&amp;[" &amp; TEXT(Z$6,"yyyymm") &amp; "]",
"[Base].[Metrica]",
"[Base].[Metrica].&amp;[" &amp; $A40 &amp; "]",
"[Base].[SEGMENTO_DESCRIP]",
"[Base].[SEGMENTO_DESCRIP].&amp;[" &amp; $C$6 &amp; "]",
"[Base].[SITUACION]",
"[Base].[SITUACION].&amp;[" &amp; $C40 &amp; "]"
),0)/1000</f>
        <v>0.18355607000000002</v>
      </c>
      <c r="AA40" s="8">
        <f>IFERROR(
GETPIVOTDATA(
"[Base].[Importe]",
TDinamica_R!$A$5,
"[Calendario].[AñoMes]",
"[Calendario].[AñoMes].&amp;[" &amp; TEXT(AA$6,"yyyymm") &amp; "]",
"[Base].[Metrica]",
"[Base].[Metrica].&amp;[" &amp; $A40 &amp; "]",
"[Base].[SEGMENTO_DESCRIP]",
"[Base].[SEGMENTO_DESCRIP].&amp;[" &amp; $C$6 &amp; "]",
"[Base].[SITUACION]",
"[Base].[SITUACION].&amp;[" &amp; $C40 &amp; "]"
),0)/1000</f>
        <v>0.21032983</v>
      </c>
      <c r="AB40" s="8">
        <f>IFERROR(
GETPIVOTDATA(
"[Base].[Importe]",
TDinamica_R!$A$5,
"[Calendario].[AñoMes]",
"[Calendario].[AñoMes].&amp;[" &amp; TEXT(AB$6,"yyyymm") &amp; "]",
"[Base].[Metrica]",
"[Base].[Metrica].&amp;[" &amp; $A40 &amp; "]",
"[Base].[SEGMENTO_DESCRIP]",
"[Base].[SEGMENTO_DESCRIP].&amp;[" &amp; $C$6 &amp; "]",
"[Base].[SITUACION]",
"[Base].[SITUACION].&amp;[" &amp; $C40 &amp; "]"
),0)/1000</f>
        <v>0.31105999000000001</v>
      </c>
      <c r="AC40" s="8">
        <f>IFERROR(
GETPIVOTDATA(
"[Base].[Importe]",
TDinamica_R!$A$5,
"[Calendario].[AñoMes]",
"[Calendario].[AñoMes].&amp;[" &amp; TEXT(AC$6,"yyyymm") &amp; "]",
"[Base].[Metrica]",
"[Base].[Metrica].&amp;[" &amp; $A40 &amp; "]",
"[Base].[SEGMENTO_DESCRIP]",
"[Base].[SEGMENTO_DESCRIP].&amp;[" &amp; $C$6 &amp; "]",
"[Base].[SITUACION]",
"[Base].[SITUACION].&amp;[" &amp; $C40 &amp; "]"
),0)/1000</f>
        <v>0.95812858999999995</v>
      </c>
      <c r="AD40" s="8">
        <f>IFERROR(
GETPIVOTDATA(
"[Base].[Importe]",
TDinamica_R!$A$5,
"[Calendario].[AñoMes]",
"[Calendario].[AñoMes].&amp;[" &amp; TEXT(AD$6,"yyyymm") &amp; "]",
"[Base].[Metrica]",
"[Base].[Metrica].&amp;[" &amp; $A40 &amp; "]",
"[Base].[SEGMENTO_DESCRIP]",
"[Base].[SEGMENTO_DESCRIP].&amp;[" &amp; $C$6 &amp; "]",
"[Base].[SITUACION]",
"[Base].[SITUACION].&amp;[" &amp; $C40 &amp; "]"
),0)/1000</f>
        <v>1.7212348200000001</v>
      </c>
      <c r="AE40" s="8">
        <f>IFERROR(
GETPIVOTDATA(
"[Base].[Importe]",
TDinamica_R!$A$5,
"[Calendario].[AñoMes]",
"[Calendario].[AñoMes].&amp;[" &amp; TEXT(AE$6,"yyyymm") &amp; "]",
"[Base].[Metrica]",
"[Base].[Metrica].&amp;[" &amp; $A40 &amp; "]",
"[Base].[SEGMENTO_DESCRIP]",
"[Base].[SEGMENTO_DESCRIP].&amp;[" &amp; $C$6 &amp; "]",
"[Base].[SITUACION]",
"[Base].[SITUACION].&amp;[" &amp; $C40 &amp; "]"
),0)/1000</f>
        <v>0.54181657999999999</v>
      </c>
      <c r="AF40" s="8">
        <f>IFERROR(
GETPIVOTDATA(
"[Base].[Importe]",
TDinamica_R!$A$5,
"[Calendario].[AñoMes]",
"[Calendario].[AñoMes].&amp;[" &amp; TEXT(AF$6,"yyyymm") &amp; "]",
"[Base].[Metrica]",
"[Base].[Metrica].&amp;[" &amp; $A40 &amp; "]",
"[Base].[SEGMENTO_DESCRIP]",
"[Base].[SEGMENTO_DESCRIP].&amp;[" &amp; $C$6 &amp; "]",
"[Base].[SITUACION]",
"[Base].[SITUACION].&amp;[" &amp; $C40 &amp; "]"
),0)/1000</f>
        <v>0.78955476999999996</v>
      </c>
      <c r="AG40" s="8">
        <f>IFERROR(
GETPIVOTDATA(
"[Base].[Importe]",
TDinamica_R!$A$5,
"[Calendario].[AñoMes]",
"[Calendario].[AñoMes].&amp;[" &amp; TEXT(AG$6,"yyyymm") &amp; "]",
"[Base].[Metrica]",
"[Base].[Metrica].&amp;[" &amp; $A40 &amp; "]",
"[Base].[SEGMENTO_DESCRIP]",
"[Base].[SEGMENTO_DESCRIP].&amp;[" &amp; $C$6 &amp; "]",
"[Base].[SITUACION]",
"[Base].[SITUACION].&amp;[" &amp; $C40 &amp; "]"
),0)/1000</f>
        <v>0.39935811999999998</v>
      </c>
      <c r="AH40" s="8">
        <f>IFERROR(
GETPIVOTDATA(
"[Base].[Importe]",
TDinamica_R!$A$5,
"[Calendario].[AñoMes]",
"[Calendario].[AñoMes].&amp;[" &amp; TEXT(AH$6,"yyyymm") &amp; "]",
"[Base].[Metrica]",
"[Base].[Metrica].&amp;[" &amp; $A40 &amp; "]",
"[Base].[SEGMENTO_DESCRIP]",
"[Base].[SEGMENTO_DESCRIP].&amp;[" &amp; $C$6 &amp; "]",
"[Base].[SITUACION]",
"[Base].[SITUACION].&amp;[" &amp; $C40 &amp; "]"
),0)/1000</f>
        <v>0.44558672999999999</v>
      </c>
      <c r="AI40" s="8">
        <f>IFERROR(
GETPIVOTDATA(
"[Base].[Importe]",
TDinamica_R!$A$5,
"[Calendario].[AñoMes]",
"[Calendario].[AñoMes].&amp;[" &amp; TEXT(AI$6,"yyyymm") &amp; "]",
"[Base].[Metrica]",
"[Base].[Metrica].&amp;[" &amp; $A40 &amp; "]",
"[Base].[SEGMENTO_DESCRIP]",
"[Base].[SEGMENTO_DESCRIP].&amp;[" &amp; $C$6 &amp; "]",
"[Base].[SITUACION]",
"[Base].[SITUACION].&amp;[" &amp; $C40 &amp; "]"
),0)/1000</f>
        <v>0.5992651</v>
      </c>
      <c r="AJ40" s="8">
        <f>IFERROR(
GETPIVOTDATA(
"[Base].[Importe]",
TDinamica_R!$A$5,
"[Calendario].[AñoMes]",
"[Calendario].[AñoMes].&amp;[" &amp; TEXT(AJ$6,"yyyymm") &amp; "]",
"[Base].[Metrica]",
"[Base].[Metrica].&amp;[" &amp; $A40 &amp; "]",
"[Base].[SEGMENTO_DESCRIP]",
"[Base].[SEGMENTO_DESCRIP].&amp;[" &amp; $C$6 &amp; "]",
"[Base].[SITUACION]",
"[Base].[SITUACION].&amp;[" &amp; $C40 &amp; "]"
),0)/1000</f>
        <v>4.8626866099999999</v>
      </c>
      <c r="AK40" s="8">
        <f>IFERROR(
GETPIVOTDATA(
"[Base].[Importe]",
TDinamica_R!$A$5,
"[Calendario].[AñoMes]",
"[Calendario].[AñoMes].&amp;[" &amp; TEXT(AK$6,"yyyymm") &amp; "]",
"[Base].[Metrica]",
"[Base].[Metrica].&amp;[" &amp; $A40 &amp; "]",
"[Base].[SEGMENTO_DESCRIP]",
"[Base].[SEGMENTO_DESCRIP].&amp;[" &amp; $C$6 &amp; "]",
"[Base].[SITUACION]",
"[Base].[SITUACION].&amp;[" &amp; $C40 &amp; "]"
),0)/1000</f>
        <v>1.06901069</v>
      </c>
      <c r="AL40" s="8">
        <f>IFERROR(
GETPIVOTDATA(
"[Base].[Importe]",
TDinamica_R!$A$5,
"[Calendario].[AñoMes]",
"[Calendario].[AñoMes].&amp;[" &amp; TEXT(AL$6,"yyyymm") &amp; "]",
"[Base].[Metrica]",
"[Base].[Metrica].&amp;[" &amp; $A40 &amp; "]",
"[Base].[SEGMENTO_DESCRIP]",
"[Base].[SEGMENTO_DESCRIP].&amp;[" &amp; $C$6 &amp; "]",
"[Base].[SITUACION]",
"[Base].[SITUACION].&amp;[" &amp; $C40 &amp; "]"
),0)/1000</f>
        <v>0.81357389000000002</v>
      </c>
      <c r="AM40" s="8">
        <f>IFERROR(
GETPIVOTDATA(
"[Base].[Importe]",
TDinamica_R!$A$5,
"[Calendario].[AñoMes]",
"[Calendario].[AñoMes].&amp;[" &amp; TEXT(AM$6,"yyyymm") &amp; "]",
"[Base].[Metrica]",
"[Base].[Metrica].&amp;[" &amp; $A40 &amp; "]",
"[Base].[SEGMENTO_DESCRIP]",
"[Base].[SEGMENTO_DESCRIP].&amp;[" &amp; $C$6 &amp; "]",
"[Base].[SITUACION]",
"[Base].[SITUACION].&amp;[" &amp; $C40 &amp; "]"
),0)/1000</f>
        <v>0.77174766999999989</v>
      </c>
      <c r="AN40" s="8">
        <f>IFERROR(
GETPIVOTDATA(
"[Base].[Importe]",
TDinamica_R!$A$5,
"[Calendario].[AñoMes]",
"[Calendario].[AñoMes].&amp;[" &amp; TEXT(AN$6,"yyyymm") &amp; "]",
"[Base].[Metrica]",
"[Base].[Metrica].&amp;[" &amp; $A40 &amp; "]",
"[Base].[SEGMENTO_DESCRIP]",
"[Base].[SEGMENTO_DESCRIP].&amp;[" &amp; $C$6 &amp; "]",
"[Base].[SITUACION]",
"[Base].[SITUACION].&amp;[" &amp; $C40 &amp; "]"
),0)/1000</f>
        <v>9.2556544200000008</v>
      </c>
      <c r="AO40" s="8">
        <f>IFERROR(
GETPIVOTDATA(
"[Base].[Importe]",
TDinamica_R!$A$5,
"[Calendario].[AñoMes]",
"[Calendario].[AñoMes].&amp;[" &amp; TEXT(AO$6,"yyyymm") &amp; "]",
"[Base].[Metrica]",
"[Base].[Metrica].&amp;[" &amp; $A40 &amp; "]",
"[Base].[SEGMENTO_DESCRIP]",
"[Base].[SEGMENTO_DESCRIP].&amp;[" &amp; $C$6 &amp; "]",
"[Base].[SITUACION]",
"[Base].[SITUACION].&amp;[" &amp; $C40 &amp; "]"
),0)/1000</f>
        <v>0.83207544</v>
      </c>
      <c r="AP40" s="8">
        <f>IFERROR(
GETPIVOTDATA(
"[Base].[Importe]",
TDinamica_R!$A$5,
"[Calendario].[AñoMes]",
"[Calendario].[AñoMes].&amp;[" &amp; TEXT(AP$6,"yyyymm") &amp; "]",
"[Base].[Metrica]",
"[Base].[Metrica].&amp;[" &amp; $A40 &amp; "]",
"[Base].[SEGMENTO_DESCRIP]",
"[Base].[SEGMENTO_DESCRIP].&amp;[" &amp; $C$6 &amp; "]",
"[Base].[SITUACION]",
"[Base].[SITUACION].&amp;[" &amp; $C40 &amp; "]"
),0)/1000</f>
        <v>0.95815029000000007</v>
      </c>
      <c r="AQ40" s="8">
        <f>IFERROR(
GETPIVOTDATA(
"[Base].[Importe]",
TDinamica_R!$A$5,
"[Calendario].[AñoMes]",
"[Calendario].[AñoMes].&amp;[" &amp; TEXT(AQ$6,"yyyymm") &amp; "]",
"[Base].[Metrica]",
"[Base].[Metrica].&amp;[" &amp; $A40 &amp; "]",
"[Base].[SEGMENTO_DESCRIP]",
"[Base].[SEGMENTO_DESCRIP].&amp;[" &amp; $C$6 &amp; "]",
"[Base].[SITUACION]",
"[Base].[SITUACION].&amp;[" &amp; $C40 &amp; "]"
),0)/1000</f>
        <v>1.8678002499999997</v>
      </c>
      <c r="AR40" s="8">
        <f>IFERROR(
GETPIVOTDATA(
"[Base].[Importe]",
TDinamica_R!$A$5,
"[Calendario].[AñoMes]",
"[Calendario].[AñoMes].&amp;[" &amp; TEXT(AR$6,"yyyymm") &amp; "]",
"[Base].[Metrica]",
"[Base].[Metrica].&amp;[" &amp; $A40 &amp; "]",
"[Base].[SEGMENTO_DESCRIP]",
"[Base].[SEGMENTO_DESCRIP].&amp;[" &amp; $C$6 &amp; "]",
"[Base].[SITUACION]",
"[Base].[SITUACION].&amp;[" &amp; $C40 &amp; "]"
),0)/1000</f>
        <v>2.0563559000000002</v>
      </c>
      <c r="AS40" s="8">
        <f>IFERROR(
GETPIVOTDATA(
"[Base].[Importe]",
TDinamica_R!$A$5,
"[Calendario].[AñoMes]",
"[Calendario].[AñoMes].&amp;[" &amp; TEXT(AS$6,"yyyymm") &amp; "]",
"[Base].[Metrica]",
"[Base].[Metrica].&amp;[" &amp; $A40 &amp; "]",
"[Base].[SEGMENTO_DESCRIP]",
"[Base].[SEGMENTO_DESCRIP].&amp;[" &amp; $C$6 &amp; "]",
"[Base].[SITUACION]",
"[Base].[SITUACION].&amp;[" &amp; $C40 &amp; "]"
),0)/1000</f>
        <v>4.2633253299999998</v>
      </c>
      <c r="AT40" s="8">
        <f>IFERROR(
GETPIVOTDATA(
"[Base].[Importe]",
TDinamica_R!$A$5,
"[Calendario].[AñoMes]",
"[Calendario].[AñoMes].&amp;[" &amp; TEXT(AT$6,"yyyymm")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U40" s="8">
        <f>IFERROR(
GETPIVOTDATA(
"[Base].[Importe]",
TDinamica_R!$A$5,
"[Calendario].[AñoMes]",
"[Calendario].[AñoMes].&amp;[" &amp; TEXT(AU$6,"yyyymm")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V40" s="8">
        <f>IFERROR(
GETPIVOTDATA(
"[Base].[Importe]",
TDinamica_R!$A$5,
"[Calendario].[AñoMes]",
"[Calendario].[AñoMes].&amp;[" &amp; TEXT(AV$6,"yyyymm")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W40" s="8">
        <f>IFERROR(
GETPIVOTDATA(
"[Base].[Importe]",
TDinamica_R!$A$5,
"[Calendario].[AñoMes]",
"[Calendario].[AñoMes].&amp;[" &amp; TEXT(AW$6,"yyyymm")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X40" s="8">
        <f>IFERROR(
GETPIVOTDATA(
"[Base].[Importe]",
TDinamica_R!$A$5,
"[Calendario].[AñoMes]",
"[Calendario].[AñoMes].&amp;[" &amp; TEXT(AX$6,"yyyymm")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Y40" s="8">
        <f>IFERROR(
GETPIVOTDATA(
"[Base].[Importe]",
TDinamica_R!$A$5,
"[Calendario].[AñoMes]",
"[Calendario].[AñoMes].&amp;[" &amp; TEXT(AY$6,"yyyymm")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Z40" s="8">
        <f>IFERROR(
GETPIVOTDATA(
"[BASE_CONVE_PPTO].[Importe]",
TDinamica_P!$A$5,
"[BASE_CONVE_PPTO].[Periodo]",
"[BASE_CONVE_PPTO].[Periodo].&amp;[" &amp; TEXT(AZ$6,"yyyymm")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5.0743645942269762</v>
      </c>
      <c r="BA40" s="8">
        <f>IFERROR(
GETPIVOTDATA(
"[BASE_CONVE_PPTO].[Importe]",
TDinamica_P!$A$5,
"[BASE_CONVE_PPTO].[Periodo]",
"[BASE_CONVE_PPTO].[Periodo].&amp;[" &amp; TEXT(BA$6,"yyyymm")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5.1673130815522557</v>
      </c>
      <c r="BB40" s="8">
        <f>IFERROR(
GETPIVOTDATA(
"[BASE_CONVE_PPTO].[Importe]",
TDinamica_P!$A$5,
"[BASE_CONVE_PPTO].[Periodo]",
"[BASE_CONVE_PPTO].[Periodo].&amp;[" &amp; TEXT(BB$6,"yyyymm")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5.1924342916006987</v>
      </c>
      <c r="BC40" s="8">
        <f>IFERROR(
GETPIVOTDATA(
"[BASE_CONVE_PPTO].[Importe]",
TDinamica_P!$A$5,
"[BASE_CONVE_PPTO].[Periodo]",
"[BASE_CONVE_PPTO].[Periodo].&amp;[" &amp; TEXT(BC$6,"yyyymm")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5.2635089496474761</v>
      </c>
      <c r="BD40" s="8">
        <f>IFERROR(
GETPIVOTDATA(
"[BASE_CONVE_PPTO].[Importe]",
TDinamica_P!$A$5,
"[BASE_CONVE_PPTO].[Periodo]",
"[BASE_CONVE_PPTO].[Periodo].&amp;[" &amp; TEXT(BD$6,"yyyymm")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5.3580360805259497</v>
      </c>
      <c r="BE40" s="8">
        <f>IFERROR(
GETPIVOTDATA(
"[BASE_CONVE_PPTO].[Importe]",
TDinamica_P!$A$5,
"[BASE_CONVE_PPTO].[Periodo]",
"[BASE_CONVE_PPTO].[Periodo].&amp;[" &amp; TEXT(BE$6,"yyyymm")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5.4523617201648218</v>
      </c>
      <c r="BF40" s="8">
        <f>IFERROR(
GETPIVOTDATA(
"[BASE_CONVE_PPTO].[Importe]",
TDinamica_P!$A$5,
"[BASE_CONVE_PPTO].[Periodo]",
"[BASE_CONVE_PPTO].[Periodo].&amp;[" &amp; TEXT(BF$6,"yyyymm")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5.5589327864517459</v>
      </c>
      <c r="BG40" s="8">
        <f>IFERROR(
GETPIVOTDATA(
"[BASE_CONVE_PPTO].[Importe]",
TDinamica_P!$A$5,
"[BASE_CONVE_PPTO].[Periodo]",
"[BASE_CONVE_PPTO].[Periodo].&amp;[" &amp; TEXT(BG$6,"yyyymm")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5.6634875276322747</v>
      </c>
      <c r="BH40" s="8">
        <f>IFERROR(
GETPIVOTDATA(
"[BASE_CONVE_PPTO].[Importe]",
TDinamica_P!$A$5,
"[BASE_CONVE_PPTO].[Periodo]",
"[BASE_CONVE_PPTO].[Periodo].&amp;[" &amp; TEXT(BH$6,"yyyymm")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5.8998925449036692</v>
      </c>
      <c r="BI40" s="8">
        <f>IFERROR(
GETPIVOTDATA(
"[BASE_CONVE_PPTO].[Importe]",
TDinamica_P!$A$5,
"[BASE_CONVE_PPTO].[Periodo]",
"[BASE_CONVE_PPTO].[Periodo].&amp;[" &amp; TEXT(BI$6,"yyyymm")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6.0503934916803672</v>
      </c>
      <c r="BJ40" s="8">
        <f>IFERROR(
GETPIVOTDATA(
"[BASE_CONVE_PPTO].[Importe]",
TDinamica_P!$A$5,
"[BASE_CONVE_PPTO].[Periodo]",
"[BASE_CONVE_PPTO].[Periodo].&amp;[" &amp; TEXT(BJ$6,"yyyymm")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6.1584911064534626</v>
      </c>
      <c r="BK40" s="8">
        <f>IFERROR(
GETPIVOTDATA(
"[BASE_CONVE_PPTO].[Importe]",
TDinamica_P!$A$5,
"[BASE_CONVE_PPTO].[Periodo]",
"[BASE_CONVE_PPTO].[Periodo].&amp;[" &amp; TEXT(BK$6,"yyyymm")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6.3192428103135558</v>
      </c>
      <c r="BO40" s="24">
        <f t="shared" si="52"/>
        <v>14.970036300000002</v>
      </c>
      <c r="BP40" s="24">
        <f t="shared" si="52"/>
        <v>26.055656997553356</v>
      </c>
      <c r="BQ40" s="24">
        <f t="shared" si="52"/>
        <v>12.913680400000002</v>
      </c>
      <c r="BR40" s="24">
        <f t="shared" si="52"/>
        <v>4.3217947499999996</v>
      </c>
      <c r="BS40" s="24">
        <f t="shared" si="52"/>
        <v>10.581941250000002</v>
      </c>
      <c r="BT40" s="24">
        <f t="shared" si="52"/>
        <v>7.9800753699999998</v>
      </c>
    </row>
    <row r="41" spans="1:72" x14ac:dyDescent="0.25">
      <c r="C41" s="3" t="s">
        <v>57</v>
      </c>
      <c r="D41" s="10">
        <f>SUM(D38:D40)</f>
        <v>667.20751764999977</v>
      </c>
      <c r="E41" s="10">
        <f t="shared" ref="E41" si="53">SUM(E38:E40)</f>
        <v>670.00960309000004</v>
      </c>
      <c r="F41" s="10">
        <f t="shared" ref="F41" si="54">SUM(F38:F40)</f>
        <v>673.04819731000009</v>
      </c>
      <c r="G41" s="10">
        <f t="shared" ref="G41" si="55">SUM(G38:G40)</f>
        <v>673.7501371300001</v>
      </c>
      <c r="H41" s="10">
        <f t="shared" ref="H41" si="56">SUM(H38:H40)</f>
        <v>692.62775328000009</v>
      </c>
      <c r="I41" s="10">
        <f t="shared" ref="I41" si="57">SUM(I38:I40)</f>
        <v>706.04671965999989</v>
      </c>
      <c r="J41" s="10">
        <f t="shared" ref="J41" si="58">SUM(J38:J40)</f>
        <v>719.50439517000007</v>
      </c>
      <c r="K41" s="10">
        <f t="shared" ref="K41" si="59">SUM(K38:K40)</f>
        <v>719.86656871000014</v>
      </c>
      <c r="L41" s="10">
        <f t="shared" ref="L41" si="60">SUM(L38:L40)</f>
        <v>731.29192590999992</v>
      </c>
      <c r="M41" s="10">
        <f t="shared" ref="M41" si="61">SUM(M38:M40)</f>
        <v>725.72694841000009</v>
      </c>
      <c r="N41" s="10">
        <f t="shared" ref="N41" si="62">SUM(N38:N40)</f>
        <v>725.2321831600002</v>
      </c>
      <c r="O41" s="10">
        <f t="shared" ref="O41" si="63">SUM(O38:O40)</f>
        <v>726.57906013000013</v>
      </c>
      <c r="P41" s="10">
        <f t="shared" ref="P41" si="64">SUM(P38:P40)</f>
        <v>713.73100691000002</v>
      </c>
      <c r="Q41" s="10">
        <f t="shared" ref="Q41" si="65">SUM(Q38:Q40)</f>
        <v>720.18834189000017</v>
      </c>
      <c r="R41" s="10">
        <f t="shared" ref="R41" si="66">SUM(R38:R40)</f>
        <v>730.21028677000015</v>
      </c>
      <c r="S41" s="10">
        <f t="shared" ref="S41" si="67">SUM(S38:S40)</f>
        <v>699.03755135999995</v>
      </c>
      <c r="T41" s="10">
        <f t="shared" ref="T41" si="68">SUM(T38:T40)</f>
        <v>709.39518542999986</v>
      </c>
      <c r="U41" s="10">
        <f t="shared" ref="U41" si="69">SUM(U38:U40)</f>
        <v>705.75141998000004</v>
      </c>
      <c r="V41" s="10">
        <f t="shared" ref="V41" si="70">SUM(V38:V40)</f>
        <v>710.81490423000002</v>
      </c>
      <c r="W41" s="10">
        <f t="shared" ref="W41" si="71">SUM(W38:W40)</f>
        <v>720.14627859999996</v>
      </c>
      <c r="X41" s="10">
        <f t="shared" ref="X41" si="72">SUM(X38:X40)</f>
        <v>736.16993629000001</v>
      </c>
      <c r="Y41" s="10">
        <f t="shared" ref="Y41" si="73">SUM(Y38:Y40)</f>
        <v>756.46930180000004</v>
      </c>
      <c r="Z41" s="10">
        <f t="shared" ref="Z41" si="74">SUM(Z38:Z40)</f>
        <v>748.09118009999997</v>
      </c>
      <c r="AA41" s="10">
        <f t="shared" ref="AA41" si="75">SUM(AA38:AA40)</f>
        <v>739.54759044000014</v>
      </c>
      <c r="AB41" s="10">
        <f t="shared" ref="AB41" si="76">SUM(AB38:AB40)</f>
        <v>724.96602453000003</v>
      </c>
      <c r="AC41" s="10">
        <f t="shared" ref="AC41" si="77">SUM(AC38:AC40)</f>
        <v>722.20670797000002</v>
      </c>
      <c r="AD41" s="10">
        <f t="shared" ref="AD41" si="78">SUM(AD38:AD40)</f>
        <v>746.11800072999995</v>
      </c>
      <c r="AE41" s="10">
        <f t="shared" ref="AE41" si="79">SUM(AE38:AE40)</f>
        <v>733.94494742000006</v>
      </c>
      <c r="AF41" s="10">
        <f t="shared" ref="AF41" si="80">SUM(AF38:AF40)</f>
        <v>734.7828839299998</v>
      </c>
      <c r="AG41" s="10">
        <f t="shared" ref="AG41" si="81">SUM(AG38:AG40)</f>
        <v>745.66968340999995</v>
      </c>
      <c r="AH41" s="10">
        <f t="shared" ref="AH41" si="82">SUM(AH38:AH40)</f>
        <v>738.71191457999998</v>
      </c>
      <c r="AI41" s="10">
        <f t="shared" ref="AI41" si="83">SUM(AI38:AI40)</f>
        <v>733.77658684000005</v>
      </c>
      <c r="AJ41" s="10">
        <f t="shared" ref="AJ41" si="84">SUM(AJ38:AJ40)</f>
        <v>726.28855507999981</v>
      </c>
      <c r="AK41" s="10">
        <f t="shared" ref="AK41" si="85">SUM(AK38:AK40)</f>
        <v>709.6051947200001</v>
      </c>
      <c r="AL41" s="10">
        <f t="shared" ref="AL41" si="86">SUM(AL38:AL40)</f>
        <v>705.75856461000001</v>
      </c>
      <c r="AM41" s="10">
        <f t="shared" ref="AM41" si="87">SUM(AM38:AM40)</f>
        <v>705.00183976000017</v>
      </c>
      <c r="AN41" s="10">
        <f t="shared" ref="AN41" si="88">SUM(AN38:AN40)</f>
        <v>699.45141617000013</v>
      </c>
      <c r="AO41" s="10">
        <f t="shared" ref="AO41" si="89">SUM(AO38:AO40)</f>
        <v>692.46460123000008</v>
      </c>
      <c r="AP41" s="10">
        <f t="shared" ref="AP41" si="90">SUM(AP38:AP40)</f>
        <v>702.88550328999997</v>
      </c>
      <c r="AQ41" s="10">
        <f t="shared" ref="AQ41" si="91">SUM(AQ38:AQ40)</f>
        <v>699.10999210999989</v>
      </c>
      <c r="AR41" s="10">
        <f t="shared" ref="AR41" si="92">SUM(AR38:AR40)</f>
        <v>695.21449763999999</v>
      </c>
      <c r="AS41" s="10">
        <f t="shared" ref="AS41" si="93">SUM(AS38:AS40)</f>
        <v>719.19854771000007</v>
      </c>
      <c r="AT41" s="10">
        <f t="shared" ref="AT41" si="94">SUM(AT38:AT40)</f>
        <v>0</v>
      </c>
      <c r="AU41" s="10">
        <f t="shared" ref="AU41" si="95">SUM(AU38:AU40)</f>
        <v>0</v>
      </c>
      <c r="AV41" s="10">
        <f t="shared" ref="AV41" si="96">SUM(AV38:AV40)</f>
        <v>0</v>
      </c>
      <c r="AW41" s="10">
        <f t="shared" ref="AW41" si="97">SUM(AW38:AW40)</f>
        <v>0</v>
      </c>
      <c r="AX41" s="10">
        <f t="shared" ref="AX41" si="98">SUM(AX38:AX40)</f>
        <v>0</v>
      </c>
      <c r="AY41" s="10">
        <f t="shared" ref="AY41" si="99">SUM(AY38:AY40)</f>
        <v>0</v>
      </c>
      <c r="AZ41" s="10">
        <f>SUM(AZ38:AZ40)</f>
        <v>757.90467797439499</v>
      </c>
      <c r="BA41" s="10">
        <f t="shared" ref="BA41" si="100">SUM(BA38:BA40)</f>
        <v>771.78741975345815</v>
      </c>
      <c r="BB41" s="10">
        <f t="shared" ref="BB41" si="101">SUM(BB38:BB40)</f>
        <v>775.5395117166081</v>
      </c>
      <c r="BC41" s="10">
        <f t="shared" ref="BC41" si="102">SUM(BC38:BC40)</f>
        <v>786.15518877701652</v>
      </c>
      <c r="BD41" s="10">
        <f t="shared" ref="BD41" si="103">SUM(BD38:BD40)</f>
        <v>800.2737160049968</v>
      </c>
      <c r="BE41" s="10">
        <f t="shared" ref="BE41" si="104">SUM(BE38:BE40)</f>
        <v>814.3621485974362</v>
      </c>
      <c r="BF41" s="10">
        <f t="shared" ref="BF41" si="105">SUM(BF38:BF40)</f>
        <v>830.27955227936127</v>
      </c>
      <c r="BG41" s="10">
        <f t="shared" ref="BG41" si="106">SUM(BG38:BG40)</f>
        <v>845.89579860412823</v>
      </c>
      <c r="BH41" s="10">
        <f t="shared" ref="BH41" si="107">SUM(BH38:BH40)</f>
        <v>881.20513934216854</v>
      </c>
      <c r="BI41" s="10">
        <f t="shared" ref="BI41" si="108">SUM(BI38:BI40)</f>
        <v>903.68388904245705</v>
      </c>
      <c r="BJ41" s="10">
        <f t="shared" ref="BJ41" si="109">SUM(BJ38:BJ40)</f>
        <v>919.82929727891121</v>
      </c>
      <c r="BK41" s="10">
        <f t="shared" ref="BK41" si="110">SUM(BK38:BK40)</f>
        <v>943.83909517292295</v>
      </c>
      <c r="BO41" s="23">
        <f>SUM(BO38:BO40)</f>
        <v>3489.1260104399998</v>
      </c>
      <c r="BP41" s="23">
        <f t="shared" ref="BP41" si="111">SUM(BP38:BP40)</f>
        <v>3891.6605142264743</v>
      </c>
      <c r="BQ41" s="23">
        <f t="shared" ref="BQ41" si="112">SUM(BQ38:BQ40)</f>
        <v>2793.9115127999999</v>
      </c>
      <c r="BR41" s="23">
        <f t="shared" ref="BR41" si="113">SUM(BR38:BR40)</f>
        <v>3662.0185645799997</v>
      </c>
      <c r="BS41" s="23">
        <f t="shared" ref="BS41" si="114">SUM(BS38:BS40)</f>
        <v>3572.5623723599997</v>
      </c>
      <c r="BT41" s="23">
        <f t="shared" ref="BT41" si="115">SUM(BT38:BT40)</f>
        <v>3376.6432084600006</v>
      </c>
    </row>
    <row r="44" spans="1:72" outlineLevel="1" x14ac:dyDescent="0.25">
      <c r="A44" s="11" t="s">
        <v>50</v>
      </c>
      <c r="C44" s="2" t="s">
        <v>0</v>
      </c>
      <c r="D44" s="8">
        <f>-IFERROR(
GETPIVOTDATA(
"[Base].[Importe]",
TDinamica_R!$A$5,
"[Calendario].[AñoMes]",
"[Calendario].[AñoMes].&amp;[" &amp; TEXT(D$6,"yyyymm") &amp; "]",
"[Base].[Metrica]",
"[Base].[Metrica].&amp;[" &amp; $A44 &amp; "]",
"[Base].[SEGMENTO_DESCRIP]",
"[Base].[SEGMENTO_DESCRIP].&amp;[" &amp; $C$6 &amp; "]",
"[Base].[SITUACION]",
"[Base].[SITUACION].&amp;[" &amp; $C44 &amp; "]"
),0)/1000</f>
        <v>-349.24291999999997</v>
      </c>
      <c r="E44" s="8">
        <f>-IFERROR(
GETPIVOTDATA(
"[Base].[Importe]",
TDinamica_R!$A$5,
"[Calendario].[AñoMes]",
"[Calendario].[AñoMes].&amp;[" &amp; TEXT(E$6,"yyyymm") &amp; "]",
"[Base].[Metrica]",
"[Base].[Metrica].&amp;[" &amp; $A44 &amp; "]",
"[Base].[SEGMENTO_DESCRIP]",
"[Base].[SEGMENTO_DESCRIP].&amp;[" &amp; $C$6 &amp; "]",
"[Base].[SITUACION]",
"[Base].[SITUACION].&amp;[" &amp; $C44 &amp; "]"
),0)/1000</f>
        <v>-333.19451000000004</v>
      </c>
      <c r="F44" s="8">
        <f>-IFERROR(
GETPIVOTDATA(
"[Base].[Importe]",
TDinamica_R!$A$5,
"[Calendario].[AñoMes]",
"[Calendario].[AñoMes].&amp;[" &amp; TEXT(F$6,"yyyymm") &amp; "]",
"[Base].[Metrica]",
"[Base].[Metrica].&amp;[" &amp; $A44 &amp; "]",
"[Base].[SEGMENTO_DESCRIP]",
"[Base].[SEGMENTO_DESCRIP].&amp;[" &amp; $C$6 &amp; "]",
"[Base].[SITUACION]",
"[Base].[SITUACION].&amp;[" &amp; $C44 &amp; "]"
),0)/1000</f>
        <v>-383.55687</v>
      </c>
      <c r="G44" s="8">
        <f>-IFERROR(
GETPIVOTDATA(
"[Base].[Importe]",
TDinamica_R!$A$5,
"[Calendario].[AñoMes]",
"[Calendario].[AñoMes].&amp;[" &amp; TEXT(G$6,"yyyymm") &amp; "]",
"[Base].[Metrica]",
"[Base].[Metrica].&amp;[" &amp; $A44 &amp; "]",
"[Base].[SEGMENTO_DESCRIP]",
"[Base].[SEGMENTO_DESCRIP].&amp;[" &amp; $C$6 &amp; "]",
"[Base].[SITUACION]",
"[Base].[SITUACION].&amp;[" &amp; $C44 &amp; "]"
),0)/1000</f>
        <v>-389.07215000000002</v>
      </c>
      <c r="H44" s="8">
        <f>-IFERROR(
GETPIVOTDATA(
"[Base].[Importe]",
TDinamica_R!$A$5,
"[Calendario].[AñoMes]",
"[Calendario].[AñoMes].&amp;[" &amp; TEXT(H$6,"yyyymm") &amp; "]",
"[Base].[Metrica]",
"[Base].[Metrica].&amp;[" &amp; $A44 &amp; "]",
"[Base].[SEGMENTO_DESCRIP]",
"[Base].[SEGMENTO_DESCRIP].&amp;[" &amp; $C$6 &amp; "]",
"[Base].[SITUACION]",
"[Base].[SITUACION].&amp;[" &amp; $C44 &amp; "]"
),0)/1000</f>
        <v>-417.5659</v>
      </c>
      <c r="I44" s="8">
        <f>-IFERROR(
GETPIVOTDATA(
"[Base].[Importe]",
TDinamica_R!$A$5,
"[Calendario].[AñoMes]",
"[Calendario].[AñoMes].&amp;[" &amp; TEXT(I$6,"yyyymm") &amp; "]",
"[Base].[Metrica]",
"[Base].[Metrica].&amp;[" &amp; $A44 &amp; "]",
"[Base].[SEGMENTO_DESCRIP]",
"[Base].[SEGMENTO_DESCRIP].&amp;[" &amp; $C$6 &amp; "]",
"[Base].[SITUACION]",
"[Base].[SITUACION].&amp;[" &amp; $C44 &amp; "]"
),0)/1000</f>
        <v>-418.65751</v>
      </c>
      <c r="J44" s="8">
        <f>-IFERROR(
GETPIVOTDATA(
"[Base].[Importe]",
TDinamica_R!$A$5,
"[Calendario].[AñoMes]",
"[Calendario].[AñoMes].&amp;[" &amp; TEXT(J$6,"yyyymm") &amp; "]",
"[Base].[Metrica]",
"[Base].[Metrica].&amp;[" &amp; $A44 &amp; "]",
"[Base].[SEGMENTO_DESCRIP]",
"[Base].[SEGMENTO_DESCRIP].&amp;[" &amp; $C$6 &amp; "]",
"[Base].[SITUACION]",
"[Base].[SITUACION].&amp;[" &amp; $C44 &amp; "]"
),0)/1000</f>
        <v>-452.19427221999996</v>
      </c>
      <c r="K44" s="8">
        <f>-IFERROR(
GETPIVOTDATA(
"[Base].[Importe]",
TDinamica_R!$A$5,
"[Calendario].[AñoMes]",
"[Calendario].[AñoMes].&amp;[" &amp; TEXT(K$6,"yyyymm") &amp; "]",
"[Base].[Metrica]",
"[Base].[Metrica].&amp;[" &amp; $A44 &amp; "]",
"[Base].[SEGMENTO_DESCRIP]",
"[Base].[SEGMENTO_DESCRIP].&amp;[" &amp; $C$6 &amp; "]",
"[Base].[SITUACION]",
"[Base].[SITUACION].&amp;[" &amp; $C44 &amp; "]"
),0)/1000</f>
        <v>-463.30409592000001</v>
      </c>
      <c r="L44" s="8">
        <f>-IFERROR(
GETPIVOTDATA(
"[Base].[Importe]",
TDinamica_R!$A$5,
"[Calendario].[AñoMes]",
"[Calendario].[AñoMes].&amp;[" &amp; TEXT(L$6,"yyyymm") &amp; "]",
"[Base].[Metrica]",
"[Base].[Metrica].&amp;[" &amp; $A44 &amp; "]",
"[Base].[SEGMENTO_DESCRIP]",
"[Base].[SEGMENTO_DESCRIP].&amp;[" &amp; $C$6 &amp; "]",
"[Base].[SITUACION]",
"[Base].[SITUACION].&amp;[" &amp; $C44 &amp; "]"
),0)/1000</f>
        <v>-453.66145961999996</v>
      </c>
      <c r="M44" s="8">
        <f>-IFERROR(
GETPIVOTDATA(
"[Base].[Importe]",
TDinamica_R!$A$5,
"[Calendario].[AñoMes]",
"[Calendario].[AñoMes].&amp;[" &amp; TEXT(M$6,"yyyymm") &amp; "]",
"[Base].[Metrica]",
"[Base].[Metrica].&amp;[" &amp; $A44 &amp; "]",
"[Base].[SEGMENTO_DESCRIP]",
"[Base].[SEGMENTO_DESCRIP].&amp;[" &amp; $C$6 &amp; "]",
"[Base].[SITUACION]",
"[Base].[SITUACION].&amp;[" &amp; $C44 &amp; "]"
),0)/1000</f>
        <v>-473.679438</v>
      </c>
      <c r="N44" s="8">
        <f>-IFERROR(
GETPIVOTDATA(
"[Base].[Importe]",
TDinamica_R!$A$5,
"[Calendario].[AñoMes]",
"[Calendario].[AñoMes].&amp;[" &amp; TEXT(N$6,"yyyymm") &amp; "]",
"[Base].[Metrica]",
"[Base].[Metrica].&amp;[" &amp; $A44 &amp; "]",
"[Base].[SEGMENTO_DESCRIP]",
"[Base].[SEGMENTO_DESCRIP].&amp;[" &amp; $C$6 &amp; "]",
"[Base].[SITUACION]",
"[Base].[SITUACION].&amp;[" &amp; $C44 &amp; "]"
),0)/1000</f>
        <v>-462.23479989999998</v>
      </c>
      <c r="O44" s="8">
        <f>-IFERROR(
GETPIVOTDATA(
"[Base].[Importe]",
TDinamica_R!$A$5,
"[Calendario].[AñoMes]",
"[Calendario].[AñoMes].&amp;[" &amp; TEXT(O$6,"yyyymm") &amp; "]",
"[Base].[Metrica]",
"[Base].[Metrica].&amp;[" &amp; $A44 &amp; "]",
"[Base].[SEGMENTO_DESCRIP]",
"[Base].[SEGMENTO_DESCRIP].&amp;[" &amp; $C$6 &amp; "]",
"[Base].[SITUACION]",
"[Base].[SITUACION].&amp;[" &amp; $C44 &amp; "]"
),0)/1000</f>
        <v>-476.47632964000007</v>
      </c>
      <c r="P44" s="8">
        <f>-IFERROR(
GETPIVOTDATA(
"[Base].[Importe]",
TDinamica_R!$A$5,
"[Calendario].[AñoMes]",
"[Calendario].[AñoMes].&amp;[" &amp; TEXT(P$6,"yyyymm") &amp; "]",
"[Base].[Metrica]",
"[Base].[Metrica].&amp;[" &amp; $A44 &amp; "]",
"[Base].[SEGMENTO_DESCRIP]",
"[Base].[SEGMENTO_DESCRIP].&amp;[" &amp; $C$6 &amp; "]",
"[Base].[SITUACION]",
"[Base].[SITUACION].&amp;[" &amp; $C44 &amp; "]"
),0)/1000</f>
        <v>-469.38108368000002</v>
      </c>
      <c r="Q44" s="8">
        <f>-IFERROR(
GETPIVOTDATA(
"[Base].[Importe]",
TDinamica_R!$A$5,
"[Calendario].[AñoMes]",
"[Calendario].[AñoMes].&amp;[" &amp; TEXT(Q$6,"yyyymm") &amp; "]",
"[Base].[Metrica]",
"[Base].[Metrica].&amp;[" &amp; $A44 &amp; "]",
"[Base].[SEGMENTO_DESCRIP]",
"[Base].[SEGMENTO_DESCRIP].&amp;[" &amp; $C$6 &amp; "]",
"[Base].[SITUACION]",
"[Base].[SITUACION].&amp;[" &amp; $C44 &amp; "]"
),0)/1000</f>
        <v>-444.74088264000005</v>
      </c>
      <c r="R44" s="8">
        <f>-IFERROR(
GETPIVOTDATA(
"[Base].[Importe]",
TDinamica_R!$A$5,
"[Calendario].[AñoMes]",
"[Calendario].[AñoMes].&amp;[" &amp; TEXT(R$6,"yyyymm") &amp; "]",
"[Base].[Metrica]",
"[Base].[Metrica].&amp;[" &amp; $A44 &amp; "]",
"[Base].[SEGMENTO_DESCRIP]",
"[Base].[SEGMENTO_DESCRIP].&amp;[" &amp; $C$6 &amp; "]",
"[Base].[SITUACION]",
"[Base].[SITUACION].&amp;[" &amp; $C44 &amp; "]"
),0)/1000</f>
        <v>-477.26247391999999</v>
      </c>
      <c r="S44" s="8">
        <f>-IFERROR(
GETPIVOTDATA(
"[Base].[Importe]",
TDinamica_R!$A$5,
"[Calendario].[AñoMes]",
"[Calendario].[AñoMes].&amp;[" &amp; TEXT(S$6,"yyyymm") &amp; "]",
"[Base].[Metrica]",
"[Base].[Metrica].&amp;[" &amp; $A44 &amp; "]",
"[Base].[SEGMENTO_DESCRIP]",
"[Base].[SEGMENTO_DESCRIP].&amp;[" &amp; $C$6 &amp; "]",
"[Base].[SITUACION]",
"[Base].[SITUACION].&amp;[" &amp; $C44 &amp; "]"
),0)/1000</f>
        <v>-454.75637928000003</v>
      </c>
      <c r="T44" s="8">
        <f>-IFERROR(
GETPIVOTDATA(
"[Base].[Importe]",
TDinamica_R!$A$5,
"[Calendario].[AñoMes]",
"[Calendario].[AñoMes].&amp;[" &amp; TEXT(T$6,"yyyymm") &amp; "]",
"[Base].[Metrica]",
"[Base].[Metrica].&amp;[" &amp; $A44 &amp; "]",
"[Base].[SEGMENTO_DESCRIP]",
"[Base].[SEGMENTO_DESCRIP].&amp;[" &amp; $C$6 &amp; "]",
"[Base].[SITUACION]",
"[Base].[SITUACION].&amp;[" &amp; $C44 &amp; "]"
),0)/1000</f>
        <v>-470.00527</v>
      </c>
      <c r="U44" s="8">
        <f>-IFERROR(
GETPIVOTDATA(
"[Base].[Importe]",
TDinamica_R!$A$5,
"[Calendario].[AñoMes]",
"[Calendario].[AñoMes].&amp;[" &amp; TEXT(U$6,"yyyymm") &amp; "]",
"[Base].[Metrica]",
"[Base].[Metrica].&amp;[" &amp; $A44 &amp; "]",
"[Base].[SEGMENTO_DESCRIP]",
"[Base].[SEGMENTO_DESCRIP].&amp;[" &amp; $C$6 &amp; "]",
"[Base].[SITUACION]",
"[Base].[SITUACION].&amp;[" &amp; $C44 &amp; "]"
),0)/1000</f>
        <v>-450.38839309999997</v>
      </c>
      <c r="V44" s="8">
        <f>-IFERROR(
GETPIVOTDATA(
"[Base].[Importe]",
TDinamica_R!$A$5,
"[Calendario].[AñoMes]",
"[Calendario].[AñoMes].&amp;[" &amp; TEXT(V$6,"yyyymm") &amp; "]",
"[Base].[Metrica]",
"[Base].[Metrica].&amp;[" &amp; $A44 &amp; "]",
"[Base].[SEGMENTO_DESCRIP]",
"[Base].[SEGMENTO_DESCRIP].&amp;[" &amp; $C$6 &amp; "]",
"[Base].[SITUACION]",
"[Base].[SITUACION].&amp;[" &amp; $C44 &amp; "]"
),0)/1000</f>
        <v>-469.67705910000001</v>
      </c>
      <c r="W44" s="8">
        <f>-IFERROR(
GETPIVOTDATA(
"[Base].[Importe]",
TDinamica_R!$A$5,
"[Calendario].[AñoMes]",
"[Calendario].[AñoMes].&amp;[" &amp; TEXT(W$6,"yyyymm") &amp; "]",
"[Base].[Metrica]",
"[Base].[Metrica].&amp;[" &amp; $A44 &amp; "]",
"[Base].[SEGMENTO_DESCRIP]",
"[Base].[SEGMENTO_DESCRIP].&amp;[" &amp; $C$6 &amp; "]",
"[Base].[SITUACION]",
"[Base].[SITUACION].&amp;[" &amp; $C44 &amp; "]"
),0)/1000</f>
        <v>-474.54145015</v>
      </c>
      <c r="X44" s="8">
        <f>-IFERROR(
GETPIVOTDATA(
"[Base].[Importe]",
TDinamica_R!$A$5,
"[Calendario].[AñoMes]",
"[Calendario].[AñoMes].&amp;[" &amp; TEXT(X$6,"yyyymm") &amp; "]",
"[Base].[Metrica]",
"[Base].[Metrica].&amp;[" &amp; $A44 &amp; "]",
"[Base].[SEGMENTO_DESCRIP]",
"[Base].[SEGMENTO_DESCRIP].&amp;[" &amp; $C$6 &amp; "]",
"[Base].[SITUACION]",
"[Base].[SITUACION].&amp;[" &amp; $C44 &amp; "]"
),0)/1000</f>
        <v>-463.24555104000007</v>
      </c>
      <c r="Y44" s="8">
        <f>-IFERROR(
GETPIVOTDATA(
"[Base].[Importe]",
TDinamica_R!$A$5,
"[Calendario].[AñoMes]",
"[Calendario].[AñoMes].&amp;[" &amp; TEXT(Y$6,"yyyymm") &amp; "]",
"[Base].[Metrica]",
"[Base].[Metrica].&amp;[" &amp; $A44 &amp; "]",
"[Base].[SEGMENTO_DESCRIP]",
"[Base].[SEGMENTO_DESCRIP].&amp;[" &amp; $C$6 &amp; "]",
"[Base].[SITUACION]",
"[Base].[SITUACION].&amp;[" &amp; $C44 &amp; "]"
),0)/1000</f>
        <v>-471.63505776</v>
      </c>
      <c r="Z44" s="8">
        <f>-IFERROR(
GETPIVOTDATA(
"[Base].[Importe]",
TDinamica_R!$A$5,
"[Calendario].[AñoMes]",
"[Calendario].[AñoMes].&amp;[" &amp; TEXT(Z$6,"yyyymm") &amp; "]",
"[Base].[Metrica]",
"[Base].[Metrica].&amp;[" &amp; $A44 &amp; "]",
"[Base].[SEGMENTO_DESCRIP]",
"[Base].[SEGMENTO_DESCRIP].&amp;[" &amp; $C$6 &amp; "]",
"[Base].[SITUACION]",
"[Base].[SITUACION].&amp;[" &amp; $C44 &amp; "]"
),0)/1000</f>
        <v>-461.89618546000003</v>
      </c>
      <c r="AA44" s="8">
        <f>-IFERROR(
GETPIVOTDATA(
"[Base].[Importe]",
TDinamica_R!$A$5,
"[Calendario].[AñoMes]",
"[Calendario].[AñoMes].&amp;[" &amp; TEXT(AA$6,"yyyymm") &amp; "]",
"[Base].[Metrica]",
"[Base].[Metrica].&amp;[" &amp; $A44 &amp; "]",
"[Base].[SEGMENTO_DESCRIP]",
"[Base].[SEGMENTO_DESCRIP].&amp;[" &amp; $C$6 &amp; "]",
"[Base].[SITUACION]",
"[Base].[SITUACION].&amp;[" &amp; $C44 &amp; "]"
),0)/1000</f>
        <v>-465.59724934999991</v>
      </c>
      <c r="AB44" s="8">
        <f>-IFERROR(
GETPIVOTDATA(
"[Base].[Importe]",
TDinamica_R!$A$5,
"[Calendario].[AñoMes]",
"[Calendario].[AñoMes].&amp;[" &amp; TEXT(AB$6,"yyyymm") &amp; "]",
"[Base].[Metrica]",
"[Base].[Metrica].&amp;[" &amp; $A44 &amp; "]",
"[Base].[SEGMENTO_DESCRIP]",
"[Base].[SEGMENTO_DESCRIP].&amp;[" &amp; $C$6 &amp; "]",
"[Base].[SITUACION]",
"[Base].[SITUACION].&amp;[" &amp; $C44 &amp; "]"
),0)/1000</f>
        <v>-460.41623364999998</v>
      </c>
      <c r="AC44" s="8">
        <f>-IFERROR(
GETPIVOTDATA(
"[Base].[Importe]",
TDinamica_R!$A$5,
"[Calendario].[AñoMes]",
"[Calendario].[AñoMes].&amp;[" &amp; TEXT(AC$6,"yyyymm") &amp; "]",
"[Base].[Metrica]",
"[Base].[Metrica].&amp;[" &amp; $A44 &amp; "]",
"[Base].[SEGMENTO_DESCRIP]",
"[Base].[SEGMENTO_DESCRIP].&amp;[" &amp; $C$6 &amp; "]",
"[Base].[SITUACION]",
"[Base].[SITUACION].&amp;[" &amp; $C44 &amp; "]"
),0)/1000</f>
        <v>-412.86761499999994</v>
      </c>
      <c r="AD44" s="8">
        <f>-IFERROR(
GETPIVOTDATA(
"[Base].[Importe]",
TDinamica_R!$A$5,
"[Calendario].[AñoMes]",
"[Calendario].[AñoMes].&amp;[" &amp; TEXT(AD$6,"yyyymm") &amp; "]",
"[Base].[Metrica]",
"[Base].[Metrica].&amp;[" &amp; $A44 &amp; "]",
"[Base].[SEGMENTO_DESCRIP]",
"[Base].[SEGMENTO_DESCRIP].&amp;[" &amp; $C$6 &amp; "]",
"[Base].[SITUACION]",
"[Base].[SITUACION].&amp;[" &amp; $C44 &amp; "]"
),0)/1000</f>
        <v>-460.73354897000002</v>
      </c>
      <c r="AE44" s="8">
        <f>-IFERROR(
GETPIVOTDATA(
"[Base].[Importe]",
TDinamica_R!$A$5,
"[Calendario].[AñoMes]",
"[Calendario].[AñoMes].&amp;[" &amp; TEXT(AE$6,"yyyymm") &amp; "]",
"[Base].[Metrica]",
"[Base].[Metrica].&amp;[" &amp; $A44 &amp; "]",
"[Base].[SEGMENTO_DESCRIP]",
"[Base].[SEGMENTO_DESCRIP].&amp;[" &amp; $C$6 &amp; "]",
"[Base].[SITUACION]",
"[Base].[SITUACION].&amp;[" &amp; $C44 &amp; "]"
),0)/1000</f>
        <v>-437.10241209999998</v>
      </c>
      <c r="AF44" s="8">
        <f>-IFERROR(
GETPIVOTDATA(
"[Base].[Importe]",
TDinamica_R!$A$5,
"[Calendario].[AñoMes]",
"[Calendario].[AñoMes].&amp;[" &amp; TEXT(AF$6,"yyyymm") &amp; "]",
"[Base].[Metrica]",
"[Base].[Metrica].&amp;[" &amp; $A44 &amp; "]",
"[Base].[SEGMENTO_DESCRIP]",
"[Base].[SEGMENTO_DESCRIP].&amp;[" &amp; $C$6 &amp; "]",
"[Base].[SITUACION]",
"[Base].[SITUACION].&amp;[" &amp; $C44 &amp; "]"
),0)/1000</f>
        <v>-445.94039980000002</v>
      </c>
      <c r="AG44" s="8">
        <f>-IFERROR(
GETPIVOTDATA(
"[Base].[Importe]",
TDinamica_R!$A$5,
"[Calendario].[AñoMes]",
"[Calendario].[AñoMes].&amp;[" &amp; TEXT(AG$6,"yyyymm") &amp; "]",
"[Base].[Metrica]",
"[Base].[Metrica].&amp;[" &amp; $A44 &amp; "]",
"[Base].[SEGMENTO_DESCRIP]",
"[Base].[SEGMENTO_DESCRIP].&amp;[" &amp; $C$6 &amp; "]",
"[Base].[SITUACION]",
"[Base].[SITUACION].&amp;[" &amp; $C44 &amp; "]"
),0)/1000</f>
        <v>-433.34539472</v>
      </c>
      <c r="AH44" s="8">
        <f>-IFERROR(
GETPIVOTDATA(
"[Base].[Importe]",
TDinamica_R!$A$5,
"[Calendario].[AñoMes]",
"[Calendario].[AñoMes].&amp;[" &amp; TEXT(AH$6,"yyyymm") &amp; "]",
"[Base].[Metrica]",
"[Base].[Metrica].&amp;[" &amp; $A44 &amp; "]",
"[Base].[SEGMENTO_DESCRIP]",
"[Base].[SEGMENTO_DESCRIP].&amp;[" &amp; $C$6 &amp; "]",
"[Base].[SITUACION]",
"[Base].[SITUACION].&amp;[" &amp; $C44 &amp; "]"
),0)/1000</f>
        <v>-443.62030591999996</v>
      </c>
      <c r="AI44" s="8">
        <f>-IFERROR(
GETPIVOTDATA(
"[Base].[Importe]",
TDinamica_R!$A$5,
"[Calendario].[AñoMes]",
"[Calendario].[AñoMes].&amp;[" &amp; TEXT(AI$6,"yyyymm") &amp; "]",
"[Base].[Metrica]",
"[Base].[Metrica].&amp;[" &amp; $A44 &amp; "]",
"[Base].[SEGMENTO_DESCRIP]",
"[Base].[SEGMENTO_DESCRIP].&amp;[" &amp; $C$6 &amp; "]",
"[Base].[SITUACION]",
"[Base].[SITUACION].&amp;[" &amp; $C44 &amp; "]"
),0)/1000</f>
        <v>-434.85939784999999</v>
      </c>
      <c r="AJ44" s="8">
        <f>-IFERROR(
GETPIVOTDATA(
"[Base].[Importe]",
TDinamica_R!$A$5,
"[Calendario].[AñoMes]",
"[Calendario].[AñoMes].&amp;[" &amp; TEXT(AJ$6,"yyyymm") &amp; "]",
"[Base].[Metrica]",
"[Base].[Metrica].&amp;[" &amp; $A44 &amp; "]",
"[Base].[SEGMENTO_DESCRIP]",
"[Base].[SEGMENTO_DESCRIP].&amp;[" &amp; $C$6 &amp; "]",
"[Base].[SITUACION]",
"[Base].[SITUACION].&amp;[" &amp; $C44 &amp; "]"
),0)/1000</f>
        <v>-411.52169568999994</v>
      </c>
      <c r="AK44" s="8">
        <f>-IFERROR(
GETPIVOTDATA(
"[Base].[Importe]",
TDinamica_R!$A$5,
"[Calendario].[AñoMes]",
"[Calendario].[AñoMes].&amp;[" &amp; TEXT(AK$6,"yyyymm") &amp; "]",
"[Base].[Metrica]",
"[Base].[Metrica].&amp;[" &amp; $A44 &amp; "]",
"[Base].[SEGMENTO_DESCRIP]",
"[Base].[SEGMENTO_DESCRIP].&amp;[" &amp; $C$6 &amp; "]",
"[Base].[SITUACION]",
"[Base].[SITUACION].&amp;[" &amp; $C44 &amp; "]"
),0)/1000</f>
        <v>-420.88245367999997</v>
      </c>
      <c r="AL44" s="8">
        <f>-IFERROR(
GETPIVOTDATA(
"[Base].[Importe]",
TDinamica_R!$A$5,
"[Calendario].[AñoMes]",
"[Calendario].[AñoMes].&amp;[" &amp; TEXT(AL$6,"yyyymm") &amp; "]",
"[Base].[Metrica]",
"[Base].[Metrica].&amp;[" &amp; $A44 &amp; "]",
"[Base].[SEGMENTO_DESCRIP]",
"[Base].[SEGMENTO_DESCRIP].&amp;[" &amp; $C$6 &amp; "]",
"[Base].[SITUACION]",
"[Base].[SITUACION].&amp;[" &amp; $C44 &amp; "]"
),0)/1000</f>
        <v>-402.85413332999997</v>
      </c>
      <c r="AM44" s="8">
        <f>-IFERROR(
GETPIVOTDATA(
"[Base].[Importe]",
TDinamica_R!$A$5,
"[Calendario].[AñoMes]",
"[Calendario].[AñoMes].&amp;[" &amp; TEXT(AM$6,"yyyymm") &amp; "]",
"[Base].[Metrica]",
"[Base].[Metrica].&amp;[" &amp; $A44 &amp; "]",
"[Base].[SEGMENTO_DESCRIP]",
"[Base].[SEGMENTO_DESCRIP].&amp;[" &amp; $C$6 &amp; "]",
"[Base].[SITUACION]",
"[Base].[SITUACION].&amp;[" &amp; $C44 &amp; "]"
),0)/1000</f>
        <v>-410.57263979999999</v>
      </c>
      <c r="AN44" s="8">
        <f>-IFERROR(
GETPIVOTDATA(
"[Base].[Importe]",
TDinamica_R!$A$5,
"[Calendario].[AñoMes]",
"[Calendario].[AñoMes].&amp;[" &amp; TEXT(AN$6,"yyyymm") &amp; "]",
"[Base].[Metrica]",
"[Base].[Metrica].&amp;[" &amp; $A44 &amp; "]",
"[Base].[SEGMENTO_DESCRIP]",
"[Base].[SEGMENTO_DESCRIP].&amp;[" &amp; $C$6 &amp; "]",
"[Base].[SITUACION]",
"[Base].[SITUACION].&amp;[" &amp; $C44 &amp; "]"
),0)/1000</f>
        <v>-405.04491231999998</v>
      </c>
      <c r="AO44" s="8">
        <f>-IFERROR(
GETPIVOTDATA(
"[Base].[Importe]",
TDinamica_R!$A$5,
"[Calendario].[AñoMes]",
"[Calendario].[AñoMes].&amp;[" &amp; TEXT(AO$6,"yyyymm") &amp; "]",
"[Base].[Metrica]",
"[Base].[Metrica].&amp;[" &amp; $A44 &amp; "]",
"[Base].[SEGMENTO_DESCRIP]",
"[Base].[SEGMENTO_DESCRIP].&amp;[" &amp; $C$6 &amp; "]",
"[Base].[SITUACION]",
"[Base].[SITUACION].&amp;[" &amp; $C44 &amp; "]"
),0)/1000</f>
        <v>-362.76091130999998</v>
      </c>
      <c r="AP44" s="8">
        <f>-IFERROR(
GETPIVOTDATA(
"[Base].[Importe]",
TDinamica_R!$A$5,
"[Calendario].[AñoMes]",
"[Calendario].[AñoMes].&amp;[" &amp; TEXT(AP$6,"yyyymm") &amp; "]",
"[Base].[Metrica]",
"[Base].[Metrica].&amp;[" &amp; $A44 &amp; "]",
"[Base].[SEGMENTO_DESCRIP]",
"[Base].[SEGMENTO_DESCRIP].&amp;[" &amp; $C$6 &amp; "]",
"[Base].[SITUACION]",
"[Base].[SITUACION].&amp;[" &amp; $C44 &amp; "]"
),0)/1000</f>
        <v>-402.40490500000004</v>
      </c>
      <c r="AQ44" s="8">
        <f>-IFERROR(
GETPIVOTDATA(
"[Base].[Importe]",
TDinamica_R!$A$5,
"[Calendario].[AñoMes]",
"[Calendario].[AñoMes].&amp;[" &amp; TEXT(AQ$6,"yyyymm") &amp; "]",
"[Base].[Metrica]",
"[Base].[Metrica].&amp;[" &amp; $A44 &amp; "]",
"[Base].[SEGMENTO_DESCRIP]",
"[Base].[SEGMENTO_DESCRIP].&amp;[" &amp; $C$6 &amp; "]",
"[Base].[SITUACION]",
"[Base].[SITUACION].&amp;[" &amp; $C44 &amp; "]"
),0)/1000</f>
        <v>-385.75624851999999</v>
      </c>
      <c r="AR44" s="8">
        <f>-IFERROR(
GETPIVOTDATA(
"[Base].[Importe]",
TDinamica_R!$A$5,
"[Calendario].[AñoMes]",
"[Calendario].[AñoMes].&amp;[" &amp; TEXT(AR$6,"yyyymm") &amp; "]",
"[Base].[Metrica]",
"[Base].[Metrica].&amp;[" &amp; $A44 &amp; "]",
"[Base].[SEGMENTO_DESCRIP]",
"[Base].[SEGMENTO_DESCRIP].&amp;[" &amp; $C$6 &amp; "]",
"[Base].[SITUACION]",
"[Base].[SITUACION].&amp;[" &amp; $C44 &amp; "]"
),0)/1000</f>
        <v>-400.76244011815737</v>
      </c>
      <c r="AS44" s="8">
        <f>-IFERROR(
GETPIVOTDATA(
"[Base].[Importe]",
TDinamica_R!$A$5,
"[Calendario].[AñoMes]",
"[Calendario].[AñoMes].&amp;[" &amp; TEXT(AS$6,"yyyymm") &amp; "]",
"[Base].[Metrica]",
"[Base].[Metrica].&amp;[" &amp; $A44 &amp; "]",
"[Base].[SEGMENTO_DESCRIP]",
"[Base].[SEGMENTO_DESCRIP].&amp;[" &amp; $C$6 &amp; "]",
"[Base].[SITUACION]",
"[Base].[SITUACION].&amp;[" &amp; $C44 &amp; "]"
),0)/1000</f>
        <v>-397.53841554999997</v>
      </c>
      <c r="AT44" s="8">
        <f>-IFERROR(
GETPIVOTDATA(
"[Base].[Importe]",
TDinamica_R!$A$5,
"[Calendario].[AñoMes]",
"[Calendario].[AñoMes].&amp;[" &amp; TEXT(AT$6,"yyyymm")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U44" s="8">
        <f>-IFERROR(
GETPIVOTDATA(
"[Base].[Importe]",
TDinamica_R!$A$5,
"[Calendario].[AñoMes]",
"[Calendario].[AñoMes].&amp;[" &amp; TEXT(AU$6,"yyyymm")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V44" s="8">
        <f>-IFERROR(
GETPIVOTDATA(
"[Base].[Importe]",
TDinamica_R!$A$5,
"[Calendario].[AñoMes]",
"[Calendario].[AñoMes].&amp;[" &amp; TEXT(AV$6,"yyyymm")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W44" s="8">
        <f>-IFERROR(
GETPIVOTDATA(
"[Base].[Importe]",
TDinamica_R!$A$5,
"[Calendario].[AñoMes]",
"[Calendario].[AñoMes].&amp;[" &amp; TEXT(AW$6,"yyyymm")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X44" s="8">
        <f>-IFERROR(
GETPIVOTDATA(
"[Base].[Importe]",
TDinamica_R!$A$5,
"[Calendario].[AñoMes]",
"[Calendario].[AñoMes].&amp;[" &amp; TEXT(AX$6,"yyyymm")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Y44" s="8">
        <f>-IFERROR(
GETPIVOTDATA(
"[Base].[Importe]",
TDinamica_R!$A$5,
"[Calendario].[AñoMes]",
"[Calendario].[AñoMes].&amp;[" &amp; TEXT(AY$6,"yyyymm")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Z44" s="8">
        <f>IFERROR(
GETPIVOTDATA(
"[BASE_CONVE_PPTO].[Importe]",
TDinamica_P!$A$5,
"[BASE_CONVE_PPTO].[Periodo]",
"[BASE_CONVE_PPTO].[Periodo].&amp;[" &amp; TEXT(AZ$6,"yyyymm")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-428.41801672772476</v>
      </c>
      <c r="BA44" s="8">
        <f>IFERROR(
GETPIVOTDATA(
"[BASE_CONVE_PPTO].[Importe]",
TDinamica_P!$A$5,
"[BASE_CONVE_PPTO].[Periodo]",
"[BASE_CONVE_PPTO].[Periodo].&amp;[" &amp; TEXT(BA$6,"yyyymm")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-390.48934369859938</v>
      </c>
      <c r="BB44" s="8">
        <f>IFERROR(
GETPIVOTDATA(
"[BASE_CONVE_PPTO].[Importe]",
TDinamica_P!$A$5,
"[BASE_CONVE_PPTO].[Periodo]",
"[BASE_CONVE_PPTO].[Periodo].&amp;[" &amp; TEXT(BB$6,"yyyymm")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-438.16771358918339</v>
      </c>
      <c r="BC44" s="8">
        <f>IFERROR(
GETPIVOTDATA(
"[BASE_CONVE_PPTO].[Importe]",
TDinamica_P!$A$5,
"[BASE_CONVE_PPTO].[Periodo]",
"[BASE_CONVE_PPTO].[Periodo].&amp;[" &amp; TEXT(BC$6,"yyyymm")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-427.85270531208653</v>
      </c>
      <c r="BD44" s="8">
        <f>IFERROR(
GETPIVOTDATA(
"[BASE_CONVE_PPTO].[Importe]",
TDinamica_P!$A$5,
"[BASE_CONVE_PPTO].[Periodo]",
"[BASE_CONVE_PPTO].[Periodo].&amp;[" &amp; TEXT(BD$6,"yyyymm")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-450.52538814472263</v>
      </c>
      <c r="BE44" s="8">
        <f>IFERROR(
GETPIVOTDATA(
"[BASE_CONVE_PPTO].[Importe]",
TDinamica_P!$A$5,
"[BASE_CONVE_PPTO].[Periodo]",
"[BASE_CONVE_PPTO].[Periodo].&amp;[" &amp; TEXT(BE$6,"yyyymm")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-444.41984195273511</v>
      </c>
      <c r="BF44" s="8">
        <f>IFERROR(
GETPIVOTDATA(
"[BASE_CONVE_PPTO].[Importe]",
TDinamica_P!$A$5,
"[BASE_CONVE_PPTO].[Periodo]",
"[BASE_CONVE_PPTO].[Periodo].&amp;[" &amp; TEXT(BF$6,"yyyymm")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-468.26654531135705</v>
      </c>
      <c r="BG44" s="8">
        <f>IFERROR(
GETPIVOTDATA(
"[BASE_CONVE_PPTO].[Importe]",
TDinamica_P!$A$5,
"[BASE_CONVE_PPTO].[Periodo]",
"[BASE_CONVE_PPTO].[Periodo].&amp;[" &amp; TEXT(BG$6,"yyyymm")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-477.47565105029457</v>
      </c>
      <c r="BH44" s="8">
        <f>IFERROR(
GETPIVOTDATA(
"[BASE_CONVE_PPTO].[Importe]",
TDinamica_P!$A$5,
"[BASE_CONVE_PPTO].[Periodo]",
"[BASE_CONVE_PPTO].[Periodo].&amp;[" &amp; TEXT(BH$6,"yyyymm")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-482.51902852705769</v>
      </c>
      <c r="BI44" s="8">
        <f>IFERROR(
GETPIVOTDATA(
"[BASE_CONVE_PPTO].[Importe]",
TDinamica_P!$A$5,
"[BASE_CONVE_PPTO].[Periodo]",
"[BASE_CONVE_PPTO].[Periodo].&amp;[" &amp; TEXT(BI$6,"yyyymm")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-518.00112243276999</v>
      </c>
      <c r="BJ44" s="8">
        <f>IFERROR(
GETPIVOTDATA(
"[BASE_CONVE_PPTO].[Importe]",
TDinamica_P!$A$5,
"[BASE_CONVE_PPTO].[Periodo]",
"[BASE_CONVE_PPTO].[Periodo].&amp;[" &amp; TEXT(BJ$6,"yyyymm")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-520.00692646121195</v>
      </c>
      <c r="BK44" s="8">
        <f>IFERROR(
GETPIVOTDATA(
"[BASE_CONVE_PPTO].[Importe]",
TDinamica_P!$A$5,
"[BASE_CONVE_PPTO].[Periodo]",
"[BASE_CONVE_PPTO].[Periodo].&amp;[" &amp; TEXT(BK$6,"yyyymm")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-554.13903389386383</v>
      </c>
      <c r="BO44" s="24">
        <f t="shared" ref="BO44:BT46" si="116">SUMIFS($D44:$BM44,$D$6:$BM$6,"&gt;="&amp;BO$2,$D$6:$BM$6,"&lt;="&amp;BO$6,$D$5:$BM$5,BO$5)</f>
        <v>-1956.7294172681572</v>
      </c>
      <c r="BP44" s="24">
        <f t="shared" si="116"/>
        <v>-2135.4531674723166</v>
      </c>
      <c r="BQ44" s="24">
        <f t="shared" si="116"/>
        <v>-1555.9669771499998</v>
      </c>
      <c r="BR44" s="24">
        <f t="shared" si="116"/>
        <v>-2217.0602095200002</v>
      </c>
      <c r="BS44" s="24">
        <f t="shared" si="116"/>
        <v>-2316.1460895200003</v>
      </c>
      <c r="BT44" s="24">
        <f t="shared" si="116"/>
        <v>-1872.6323499999999</v>
      </c>
    </row>
    <row r="45" spans="1:72" outlineLevel="1" x14ac:dyDescent="0.25">
      <c r="A45" s="11" t="s">
        <v>50</v>
      </c>
      <c r="C45" s="2" t="s">
        <v>1</v>
      </c>
      <c r="D45" s="8">
        <f>-IFERROR(
GETPIVOTDATA(
"[Base].[Importe]",
TDinamica_R!$A$5,
"[Calendario].[AñoMes]",
"[Calendario].[AñoMes].&amp;[" &amp; TEXT(D$6,"yyyymm") &amp; "]",
"[Base].[Metrica]",
"[Base].[Metrica].&amp;[" &amp; $A45 &amp; "]",
"[Base].[SEGMENTO_DESCRIP]",
"[Base].[SEGMENTO_DESCRIP].&amp;[" &amp; $C$6 &amp; "]",
"[Base].[SITUACION]",
"[Base].[SITUACION].&amp;[" &amp; $C45 &amp; "]"
),0)/1000</f>
        <v>-0.12519</v>
      </c>
      <c r="E45" s="8">
        <f>-IFERROR(
GETPIVOTDATA(
"[Base].[Importe]",
TDinamica_R!$A$5,
"[Calendario].[AñoMes]",
"[Calendario].[AñoMes].&amp;[" &amp; TEXT(E$6,"yyyymm") &amp; "]",
"[Base].[Metrica]",
"[Base].[Metrica].&amp;[" &amp; $A45 &amp; "]",
"[Base].[SEGMENTO_DESCRIP]",
"[Base].[SEGMENTO_DESCRIP].&amp;[" &amp; $C$6 &amp; "]",
"[Base].[SITUACION]",
"[Base].[SITUACION].&amp;[" &amp; $C45 &amp; "]"
),0)/1000</f>
        <v>-0.10994</v>
      </c>
      <c r="F45" s="8">
        <f>-IFERROR(
GETPIVOTDATA(
"[Base].[Importe]",
TDinamica_R!$A$5,
"[Calendario].[AñoMes]",
"[Calendario].[AñoMes].&amp;[" &amp; TEXT(F$6,"yyyymm") &amp; "]",
"[Base].[Metrica]",
"[Base].[Metrica].&amp;[" &amp; $A45 &amp; "]",
"[Base].[SEGMENTO_DESCRIP]",
"[Base].[SEGMENTO_DESCRIP].&amp;[" &amp; $C$6 &amp; "]",
"[Base].[SITUACION]",
"[Base].[SITUACION].&amp;[" &amp; $C45 &amp; "]"
),0)/1000</f>
        <v>-0.11676</v>
      </c>
      <c r="G45" s="8">
        <f>-IFERROR(
GETPIVOTDATA(
"[Base].[Importe]",
TDinamica_R!$A$5,
"[Calendario].[AñoMes]",
"[Calendario].[AñoMes].&amp;[" &amp; TEXT(G$6,"yyyymm") &amp; "]",
"[Base].[Metrica]",
"[Base].[Metrica].&amp;[" &amp; $A45 &amp; "]",
"[Base].[SEGMENTO_DESCRIP]",
"[Base].[SEGMENTO_DESCRIP].&amp;[" &amp; $C$6 &amp; "]",
"[Base].[SITUACION]",
"[Base].[SITUACION].&amp;[" &amp; $C45 &amp; "]"
),0)/1000</f>
        <v>-7.7049999999999993E-2</v>
      </c>
      <c r="H45" s="8">
        <f>-IFERROR(
GETPIVOTDATA(
"[Base].[Importe]",
TDinamica_R!$A$5,
"[Calendario].[AñoMes]",
"[Calendario].[AñoMes].&amp;[" &amp; TEXT(H$6,"yyyymm") &amp; "]",
"[Base].[Metrica]",
"[Base].[Metrica].&amp;[" &amp; $A45 &amp; "]",
"[Base].[SEGMENTO_DESCRIP]",
"[Base].[SEGMENTO_DESCRIP].&amp;[" &amp; $C$6 &amp; "]",
"[Base].[SITUACION]",
"[Base].[SITUACION].&amp;[" &amp; $C45 &amp; "]"
),0)/1000</f>
        <v>-7.7480000000000007E-2</v>
      </c>
      <c r="I45" s="8">
        <f>-IFERROR(
GETPIVOTDATA(
"[Base].[Importe]",
TDinamica_R!$A$5,
"[Calendario].[AñoMes]",
"[Calendario].[AñoMes].&amp;[" &amp; TEXT(I$6,"yyyymm") &amp; "]",
"[Base].[Metrica]",
"[Base].[Metrica].&amp;[" &amp; $A45 &amp; "]",
"[Base].[SEGMENTO_DESCRIP]",
"[Base].[SEGMENTO_DESCRIP].&amp;[" &amp; $C$6 &amp; "]",
"[Base].[SITUACION]",
"[Base].[SITUACION].&amp;[" &amp; $C45 &amp; "]"
),0)/1000</f>
        <v>-7.2029999999999997E-2</v>
      </c>
      <c r="J45" s="8">
        <f>-IFERROR(
GETPIVOTDATA(
"[Base].[Importe]",
TDinamica_R!$A$5,
"[Calendario].[AñoMes]",
"[Calendario].[AñoMes].&amp;[" &amp; TEXT(J$6,"yyyymm") &amp; "]",
"[Base].[Metrica]",
"[Base].[Metrica].&amp;[" &amp; $A45 &amp; "]",
"[Base].[SEGMENTO_DESCRIP]",
"[Base].[SEGMENTO_DESCRIP].&amp;[" &amp; $C$6 &amp; "]",
"[Base].[SITUACION]",
"[Base].[SITUACION].&amp;[" &amp; $C45 &amp; "]"
),0)/1000</f>
        <v>-7.1059999999999998E-2</v>
      </c>
      <c r="K45" s="8">
        <f>-IFERROR(
GETPIVOTDATA(
"[Base].[Importe]",
TDinamica_R!$A$5,
"[Calendario].[AñoMes]",
"[Calendario].[AñoMes].&amp;[" &amp; TEXT(K$6,"yyyymm") &amp; "]",
"[Base].[Metrica]",
"[Base].[Metrica].&amp;[" &amp; $A45 &amp; "]",
"[Base].[SEGMENTO_DESCRIP]",
"[Base].[SEGMENTO_DESCRIP].&amp;[" &amp; $C$6 &amp; "]",
"[Base].[SITUACION]",
"[Base].[SITUACION].&amp;[" &amp; $C45 &amp; "]"
),0)/1000</f>
        <v>-6.8030000000000007E-2</v>
      </c>
      <c r="L45" s="8">
        <f>-IFERROR(
GETPIVOTDATA(
"[Base].[Importe]",
TDinamica_R!$A$5,
"[Calendario].[AñoMes]",
"[Calendario].[AñoMes].&amp;[" &amp; TEXT(L$6,"yyyymm") &amp; "]",
"[Base].[Metrica]",
"[Base].[Metrica].&amp;[" &amp; $A45 &amp; "]",
"[Base].[SEGMENTO_DESCRIP]",
"[Base].[SEGMENTO_DESCRIP].&amp;[" &amp; $C$6 &amp; "]",
"[Base].[SITUACION]",
"[Base].[SITUACION].&amp;[" &amp; $C45 &amp; "]"
),0)/1000</f>
        <v>-6.8290000000000003E-2</v>
      </c>
      <c r="M45" s="8">
        <f>-IFERROR(
GETPIVOTDATA(
"[Base].[Importe]",
TDinamica_R!$A$5,
"[Calendario].[AñoMes]",
"[Calendario].[AñoMes].&amp;[" &amp; TEXT(M$6,"yyyymm") &amp; "]",
"[Base].[Metrica]",
"[Base].[Metrica].&amp;[" &amp; $A45 &amp; "]",
"[Base].[SEGMENTO_DESCRIP]",
"[Base].[SEGMENTO_DESCRIP].&amp;[" &amp; $C$6 &amp; "]",
"[Base].[SITUACION]",
"[Base].[SITUACION].&amp;[" &amp; $C45 &amp; "]"
),0)/1000</f>
        <v>-6.6479999999999997E-2</v>
      </c>
      <c r="N45" s="8">
        <f>-IFERROR(
GETPIVOTDATA(
"[Base].[Importe]",
TDinamica_R!$A$5,
"[Calendario].[AñoMes]",
"[Calendario].[AñoMes].&amp;[" &amp; TEXT(N$6,"yyyymm") &amp; "]",
"[Base].[Metrica]",
"[Base].[Metrica].&amp;[" &amp; $A45 &amp; "]",
"[Base].[SEGMENTO_DESCRIP]",
"[Base].[SEGMENTO_DESCRIP].&amp;[" &amp; $C$6 &amp; "]",
"[Base].[SITUACION]",
"[Base].[SITUACION].&amp;[" &amp; $C45 &amp; "]"
),0)/1000</f>
        <v>-6.1249999999999999E-2</v>
      </c>
      <c r="O45" s="8">
        <f>-IFERROR(
GETPIVOTDATA(
"[Base].[Importe]",
TDinamica_R!$A$5,
"[Calendario].[AñoMes]",
"[Calendario].[AñoMes].&amp;[" &amp; TEXT(O$6,"yyyymm") &amp; "]",
"[Base].[Metrica]",
"[Base].[Metrica].&amp;[" &amp; $A45 &amp; "]",
"[Base].[SEGMENTO_DESCRIP]",
"[Base].[SEGMENTO_DESCRIP].&amp;[" &amp; $C$6 &amp; "]",
"[Base].[SITUACION]",
"[Base].[SITUACION].&amp;[" &amp; $C45 &amp; "]"
),0)/1000</f>
        <v>-0.06</v>
      </c>
      <c r="P45" s="8">
        <f>-IFERROR(
GETPIVOTDATA(
"[Base].[Importe]",
TDinamica_R!$A$5,
"[Calendario].[AñoMes]",
"[Calendario].[AñoMes].&amp;[" &amp; TEXT(P$6,"yyyymm") &amp; "]",
"[Base].[Metrica]",
"[Base].[Metrica].&amp;[" &amp; $A45 &amp; "]",
"[Base].[SEGMENTO_DESCRIP]",
"[Base].[SEGMENTO_DESCRIP].&amp;[" &amp; $C$6 &amp; "]",
"[Base].[SITUACION]",
"[Base].[SITUACION].&amp;[" &amp; $C45 &amp; "]"
),0)/1000</f>
        <v>-5.697E-2</v>
      </c>
      <c r="Q45" s="8">
        <f>-IFERROR(
GETPIVOTDATA(
"[Base].[Importe]",
TDinamica_R!$A$5,
"[Calendario].[AñoMes]",
"[Calendario].[AñoMes].&amp;[" &amp; TEXT(Q$6,"yyyymm") &amp; "]",
"[Base].[Metrica]",
"[Base].[Metrica].&amp;[" &amp; $A45 &amp; "]",
"[Base].[SEGMENTO_DESCRIP]",
"[Base].[SEGMENTO_DESCRIP].&amp;[" &amp; $C$6 &amp; "]",
"[Base].[SITUACION]",
"[Base].[SITUACION].&amp;[" &amp; $C45 &amp; "]"
),0)/1000</f>
        <v>-5.008E-2</v>
      </c>
      <c r="R45" s="8">
        <f>-IFERROR(
GETPIVOTDATA(
"[Base].[Importe]",
TDinamica_R!$A$5,
"[Calendario].[AñoMes]",
"[Calendario].[AñoMes].&amp;[" &amp; TEXT(R$6,"yyyymm") &amp; "]",
"[Base].[Metrica]",
"[Base].[Metrica].&amp;[" &amp; $A45 &amp; "]",
"[Base].[SEGMENTO_DESCRIP]",
"[Base].[SEGMENTO_DESCRIP].&amp;[" &amp; $C$6 &amp; "]",
"[Base].[SITUACION]",
"[Base].[SITUACION].&amp;[" &amp; $C45 &amp; "]"
),0)/1000</f>
        <v>-5.0110000000000002E-2</v>
      </c>
      <c r="S45" s="8">
        <f>-IFERROR(
GETPIVOTDATA(
"[Base].[Importe]",
TDinamica_R!$A$5,
"[Calendario].[AñoMes]",
"[Calendario].[AñoMes].&amp;[" &amp; TEXT(S$6,"yyyymm") &amp; "]",
"[Base].[Metrica]",
"[Base].[Metrica].&amp;[" &amp; $A45 &amp; "]",
"[Base].[SEGMENTO_DESCRIP]",
"[Base].[SEGMENTO_DESCRIP].&amp;[" &amp; $C$6 &amp; "]",
"[Base].[SITUACION]",
"[Base].[SITUACION].&amp;[" &amp; $C45 &amp; "]"
),0)/1000</f>
        <v>-4.5319999999999999E-2</v>
      </c>
      <c r="T45" s="8">
        <f>-IFERROR(
GETPIVOTDATA(
"[Base].[Importe]",
TDinamica_R!$A$5,
"[Calendario].[AñoMes]",
"[Calendario].[AñoMes].&amp;[" &amp; TEXT(T$6,"yyyymm") &amp; "]",
"[Base].[Metrica]",
"[Base].[Metrica].&amp;[" &amp; $A45 &amp; "]",
"[Base].[SEGMENTO_DESCRIP]",
"[Base].[SEGMENTO_DESCRIP].&amp;[" &amp; $C$6 &amp; "]",
"[Base].[SITUACION]",
"[Base].[SITUACION].&amp;[" &amp; $C45 &amp; "]"
),0)/1000</f>
        <v>-4.342E-2</v>
      </c>
      <c r="U45" s="8">
        <f>-IFERROR(
GETPIVOTDATA(
"[Base].[Importe]",
TDinamica_R!$A$5,
"[Calendario].[AñoMes]",
"[Calendario].[AñoMes].&amp;[" &amp; TEXT(U$6,"yyyymm") &amp; "]",
"[Base].[Metrica]",
"[Base].[Metrica].&amp;[" &amp; $A45 &amp; "]",
"[Base].[SEGMENTO_DESCRIP]",
"[Base].[SEGMENTO_DESCRIP].&amp;[" &amp; $C$6 &amp; "]",
"[Base].[SITUACION]",
"[Base].[SITUACION].&amp;[" &amp; $C45 &amp; "]"
),0)/1000</f>
        <v>-3.9109999999999999E-2</v>
      </c>
      <c r="V45" s="8">
        <f>-IFERROR(
GETPIVOTDATA(
"[Base].[Importe]",
TDinamica_R!$A$5,
"[Calendario].[AñoMes]",
"[Calendario].[AñoMes].&amp;[" &amp; TEXT(V$6,"yyyymm") &amp; "]",
"[Base].[Metrica]",
"[Base].[Metrica].&amp;[" &amp; $A45 &amp; "]",
"[Base].[SEGMENTO_DESCRIP]",
"[Base].[SEGMENTO_DESCRIP].&amp;[" &amp; $C$6 &amp; "]",
"[Base].[SITUACION]",
"[Base].[SITUACION].&amp;[" &amp; $C45 &amp; "]"
),0)/1000</f>
        <v>-3.6330000000000001E-2</v>
      </c>
      <c r="W45" s="8">
        <f>-IFERROR(
GETPIVOTDATA(
"[Base].[Importe]",
TDinamica_R!$A$5,
"[Calendario].[AñoMes]",
"[Calendario].[AñoMes].&amp;[" &amp; TEXT(W$6,"yyyymm") &amp; "]",
"[Base].[Metrica]",
"[Base].[Metrica].&amp;[" &amp; $A45 &amp; "]",
"[Base].[SEGMENTO_DESCRIP]",
"[Base].[SEGMENTO_DESCRIP].&amp;[" &amp; $C$6 &amp; "]",
"[Base].[SITUACION]",
"[Base].[SITUACION].&amp;[" &amp; $C45 &amp; "]"
),0)/1000</f>
        <v>-3.279E-2</v>
      </c>
      <c r="X45" s="8">
        <f>-IFERROR(
GETPIVOTDATA(
"[Base].[Importe]",
TDinamica_R!$A$5,
"[Calendario].[AñoMes]",
"[Calendario].[AñoMes].&amp;[" &amp; TEXT(X$6,"yyyymm") &amp; "]",
"[Base].[Metrica]",
"[Base].[Metrica].&amp;[" &amp; $A45 &amp; "]",
"[Base].[SEGMENTO_DESCRIP]",
"[Base].[SEGMENTO_DESCRIP].&amp;[" &amp; $C$6 &amp; "]",
"[Base].[SITUACION]",
"[Base].[SITUACION].&amp;[" &amp; $C45 &amp; "]"
),0)/1000</f>
        <v>-2.836E-2</v>
      </c>
      <c r="Y45" s="8">
        <f>-IFERROR(
GETPIVOTDATA(
"[Base].[Importe]",
TDinamica_R!$A$5,
"[Calendario].[AñoMes]",
"[Calendario].[AñoMes].&amp;[" &amp; TEXT(Y$6,"yyyymm") &amp; "]",
"[Base].[Metrica]",
"[Base].[Metrica].&amp;[" &amp; $A45 &amp; "]",
"[Base].[SEGMENTO_DESCRIP]",
"[Base].[SEGMENTO_DESCRIP].&amp;[" &amp; $C$6 &amp; "]",
"[Base].[SITUACION]",
"[Base].[SITUACION].&amp;[" &amp; $C45 &amp; "]"
),0)/1000</f>
        <v>-2.555E-2</v>
      </c>
      <c r="Z45" s="8">
        <f>-IFERROR(
GETPIVOTDATA(
"[Base].[Importe]",
TDinamica_R!$A$5,
"[Calendario].[AñoMes]",
"[Calendario].[AñoMes].&amp;[" &amp; TEXT(Z$6,"yyyymm") &amp; "]",
"[Base].[Metrica]",
"[Base].[Metrica].&amp;[" &amp; $A45 &amp; "]",
"[Base].[SEGMENTO_DESCRIP]",
"[Base].[SEGMENTO_DESCRIP].&amp;[" &amp; $C$6 &amp; "]",
"[Base].[SITUACION]",
"[Base].[SITUACION].&amp;[" &amp; $C45 &amp; "]"
),0)/1000</f>
        <v>-2.1499999999999998E-2</v>
      </c>
      <c r="AA45" s="8">
        <f>-IFERROR(
GETPIVOTDATA(
"[Base].[Importe]",
TDinamica_R!$A$5,
"[Calendario].[AñoMes]",
"[Calendario].[AñoMes].&amp;[" &amp; TEXT(AA$6,"yyyymm") &amp; "]",
"[Base].[Metrica]",
"[Base].[Metrica].&amp;[" &amp; $A45 &amp; "]",
"[Base].[SEGMENTO_DESCRIP]",
"[Base].[SEGMENTO_DESCRIP].&amp;[" &amp; $C$6 &amp; "]",
"[Base].[SITUACION]",
"[Base].[SITUACION].&amp;[" &amp; $C45 &amp; "]"
),0)/1000</f>
        <v>-1.2900000000000001E-3</v>
      </c>
      <c r="AB45" s="8">
        <f>-IFERROR(
GETPIVOTDATA(
"[Base].[Importe]",
TDinamica_R!$A$5,
"[Calendario].[AñoMes]",
"[Calendario].[AñoMes].&amp;[" &amp; TEXT(AB$6,"yyyymm")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C45" s="8">
        <f>-IFERROR(
GETPIVOTDATA(
"[Base].[Importe]",
TDinamica_R!$A$5,
"[Calendario].[AñoMes]",
"[Calendario].[AñoMes].&amp;[" &amp; TEXT(AC$6,"yyyymm")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D45" s="8">
        <f>-IFERROR(
GETPIVOTDATA(
"[Base].[Importe]",
TDinamica_R!$A$5,
"[Calendario].[AñoMes]",
"[Calendario].[AñoMes].&amp;[" &amp; TEXT(AD$6,"yyyymm")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E45" s="8">
        <f>-IFERROR(
GETPIVOTDATA(
"[Base].[Importe]",
TDinamica_R!$A$5,
"[Calendario].[AñoMes]",
"[Calendario].[AñoMes].&amp;[" &amp; TEXT(AE$6,"yyyymm")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F45" s="8">
        <f>-IFERROR(
GETPIVOTDATA(
"[Base].[Importe]",
TDinamica_R!$A$5,
"[Calendario].[AñoMes]",
"[Calendario].[AñoMes].&amp;[" &amp; TEXT(AF$6,"yyyymm")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G45" s="8">
        <f>-IFERROR(
GETPIVOTDATA(
"[Base].[Importe]",
TDinamica_R!$A$5,
"[Calendario].[AñoMes]",
"[Calendario].[AñoMes].&amp;[" &amp; TEXT(AG$6,"yyyymm")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H45" s="8">
        <f>-IFERROR(
GETPIVOTDATA(
"[Base].[Importe]",
TDinamica_R!$A$5,
"[Calendario].[AñoMes]",
"[Calendario].[AñoMes].&amp;[" &amp; TEXT(AH$6,"yyyymm")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I45" s="8">
        <f>-IFERROR(
GETPIVOTDATA(
"[Base].[Importe]",
TDinamica_R!$A$5,
"[Calendario].[AñoMes]",
"[Calendario].[AñoMes].&amp;[" &amp; TEXT(AI$6,"yyyymm")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J45" s="8">
        <f>-IFERROR(
GETPIVOTDATA(
"[Base].[Importe]",
TDinamica_R!$A$5,
"[Calendario].[AñoMes]",
"[Calendario].[AñoMes].&amp;[" &amp; TEXT(AJ$6,"yyyymm")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K45" s="8">
        <f>-IFERROR(
GETPIVOTDATA(
"[Base].[Importe]",
TDinamica_R!$A$5,
"[Calendario].[AñoMes]",
"[Calendario].[AñoMes].&amp;[" &amp; TEXT(AK$6,"yyyymm")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L45" s="8">
        <f>-IFERROR(
GETPIVOTDATA(
"[Base].[Importe]",
TDinamica_R!$A$5,
"[Calendario].[AñoMes]",
"[Calendario].[AñoMes].&amp;[" &amp; TEXT(AL$6,"yyyymm")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M45" s="8">
        <f>-IFERROR(
GETPIVOTDATA(
"[Base].[Importe]",
TDinamica_R!$A$5,
"[Calendario].[AñoMes]",
"[Calendario].[AñoMes].&amp;[" &amp; TEXT(AM$6,"yyyymm")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N45" s="8">
        <f>-IFERROR(
GETPIVOTDATA(
"[Base].[Importe]",
TDinamica_R!$A$5,
"[Calendario].[AñoMes]",
"[Calendario].[AñoMes].&amp;[" &amp; TEXT(AN$6,"yyyymm")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O45" s="8">
        <f>-IFERROR(
GETPIVOTDATA(
"[Base].[Importe]",
TDinamica_R!$A$5,
"[Calendario].[AñoMes]",
"[Calendario].[AñoMes].&amp;[" &amp; TEXT(AO$6,"yyyymm")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P45" s="8">
        <f>-IFERROR(
GETPIVOTDATA(
"[Base].[Importe]",
TDinamica_R!$A$5,
"[Calendario].[AñoMes]",
"[Calendario].[AñoMes].&amp;[" &amp; TEXT(AP$6,"yyyymm")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Q45" s="8">
        <f>-IFERROR(
GETPIVOTDATA(
"[Base].[Importe]",
TDinamica_R!$A$5,
"[Calendario].[AñoMes]",
"[Calendario].[AñoMes].&amp;[" &amp; TEXT(AQ$6,"yyyymm")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R45" s="8">
        <f>-IFERROR(
GETPIVOTDATA(
"[Base].[Importe]",
TDinamica_R!$A$5,
"[Calendario].[AñoMes]",
"[Calendario].[AñoMes].&amp;[" &amp; TEXT(AR$6,"yyyymm")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S45" s="8">
        <f>-IFERROR(
GETPIVOTDATA(
"[Base].[Importe]",
TDinamica_R!$A$5,
"[Calendario].[AñoMes]",
"[Calendario].[AñoMes].&amp;[" &amp; TEXT(AS$6,"yyyymm")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T45" s="8">
        <f>-IFERROR(
GETPIVOTDATA(
"[Base].[Importe]",
TDinamica_R!$A$5,
"[Calendario].[AñoMes]",
"[Calendario].[AñoMes].&amp;[" &amp; TEXT(AT$6,"yyyymm")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U45" s="8">
        <f>-IFERROR(
GETPIVOTDATA(
"[Base].[Importe]",
TDinamica_R!$A$5,
"[Calendario].[AñoMes]",
"[Calendario].[AñoMes].&amp;[" &amp; TEXT(AU$6,"yyyymm")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V45" s="8">
        <f>-IFERROR(
GETPIVOTDATA(
"[Base].[Importe]",
TDinamica_R!$A$5,
"[Calendario].[AñoMes]",
"[Calendario].[AñoMes].&amp;[" &amp; TEXT(AV$6,"yyyymm")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W45" s="8">
        <f>-IFERROR(
GETPIVOTDATA(
"[Base].[Importe]",
TDinamica_R!$A$5,
"[Calendario].[AñoMes]",
"[Calendario].[AñoMes].&amp;[" &amp; TEXT(AW$6,"yyyymm")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X45" s="8">
        <f>-IFERROR(
GETPIVOTDATA(
"[Base].[Importe]",
TDinamica_R!$A$5,
"[Calendario].[AñoMes]",
"[Calendario].[AñoMes].&amp;[" &amp; TEXT(AX$6,"yyyymm")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Y45" s="8">
        <f>-IFERROR(
GETPIVOTDATA(
"[Base].[Importe]",
TDinamica_R!$A$5,
"[Calendario].[AñoMes]",
"[Calendario].[AñoMes].&amp;[" &amp; TEXT(AY$6,"yyyymm")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Z45" s="8">
        <f>IFERROR(
GETPIVOTDATA(
"[BASE_CONVE_PPTO].[Importe]",
TDinamica_P!$A$5,
"[BASE_CONVE_PPTO].[Periodo]",
"[BASE_CONVE_PPTO].[Periodo].&amp;[" &amp; TEXT(AZ$6,"yyyymm")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0</v>
      </c>
      <c r="BA45" s="8">
        <f>IFERROR(
GETPIVOTDATA(
"[BASE_CONVE_PPTO].[Importe]",
TDinamica_P!$A$5,
"[BASE_CONVE_PPTO].[Periodo]",
"[BASE_CONVE_PPTO].[Periodo].&amp;[" &amp; TEXT(BA$6,"yyyymm")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0</v>
      </c>
      <c r="BB45" s="8">
        <f>IFERROR(
GETPIVOTDATA(
"[BASE_CONVE_PPTO].[Importe]",
TDinamica_P!$A$5,
"[BASE_CONVE_PPTO].[Periodo]",
"[BASE_CONVE_PPTO].[Periodo].&amp;[" &amp; TEXT(BB$6,"yyyymm")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0</v>
      </c>
      <c r="BC45" s="8">
        <f>IFERROR(
GETPIVOTDATA(
"[BASE_CONVE_PPTO].[Importe]",
TDinamica_P!$A$5,
"[BASE_CONVE_PPTO].[Periodo]",
"[BASE_CONVE_PPTO].[Periodo].&amp;[" &amp; TEXT(BC$6,"yyyymm")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0</v>
      </c>
      <c r="BD45" s="8">
        <f>IFERROR(
GETPIVOTDATA(
"[BASE_CONVE_PPTO].[Importe]",
TDinamica_P!$A$5,
"[BASE_CONVE_PPTO].[Periodo]",
"[BASE_CONVE_PPTO].[Periodo].&amp;[" &amp; TEXT(BD$6,"yyyymm")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0</v>
      </c>
      <c r="BE45" s="8">
        <f>IFERROR(
GETPIVOTDATA(
"[BASE_CONVE_PPTO].[Importe]",
TDinamica_P!$A$5,
"[BASE_CONVE_PPTO].[Periodo]",
"[BASE_CONVE_PPTO].[Periodo].&amp;[" &amp; TEXT(BE$6,"yyyymm")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0</v>
      </c>
      <c r="BF45" s="8">
        <f>IFERROR(
GETPIVOTDATA(
"[BASE_CONVE_PPTO].[Importe]",
TDinamica_P!$A$5,
"[BASE_CONVE_PPTO].[Periodo]",
"[BASE_CONVE_PPTO].[Periodo].&amp;[" &amp; TEXT(BF$6,"yyyymm")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0</v>
      </c>
      <c r="BG45" s="8">
        <f>IFERROR(
GETPIVOTDATA(
"[BASE_CONVE_PPTO].[Importe]",
TDinamica_P!$A$5,
"[BASE_CONVE_PPTO].[Periodo]",
"[BASE_CONVE_PPTO].[Periodo].&amp;[" &amp; TEXT(BG$6,"yyyymm")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0</v>
      </c>
      <c r="BH45" s="8">
        <f>IFERROR(
GETPIVOTDATA(
"[BASE_CONVE_PPTO].[Importe]",
TDinamica_P!$A$5,
"[BASE_CONVE_PPTO].[Periodo]",
"[BASE_CONVE_PPTO].[Periodo].&amp;[" &amp; TEXT(BH$6,"yyyymm")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0</v>
      </c>
      <c r="BI45" s="8">
        <f>IFERROR(
GETPIVOTDATA(
"[BASE_CONVE_PPTO].[Importe]",
TDinamica_P!$A$5,
"[BASE_CONVE_PPTO].[Periodo]",
"[BASE_CONVE_PPTO].[Periodo].&amp;[" &amp; TEXT(BI$6,"yyyymm")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0</v>
      </c>
      <c r="BJ45" s="8">
        <f>IFERROR(
GETPIVOTDATA(
"[BASE_CONVE_PPTO].[Importe]",
TDinamica_P!$A$5,
"[BASE_CONVE_PPTO].[Periodo]",
"[BASE_CONVE_PPTO].[Periodo].&amp;[" &amp; TEXT(BJ$6,"yyyymm")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0</v>
      </c>
      <c r="BK45" s="8">
        <f>IFERROR(
GETPIVOTDATA(
"[BASE_CONVE_PPTO].[Importe]",
TDinamica_P!$A$5,
"[BASE_CONVE_PPTO].[Periodo]",
"[BASE_CONVE_PPTO].[Periodo].&amp;[" &amp; TEXT(BK$6,"yyyymm")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0</v>
      </c>
      <c r="BO45" s="24">
        <f t="shared" si="116"/>
        <v>0</v>
      </c>
      <c r="BP45" s="24">
        <f t="shared" si="116"/>
        <v>0</v>
      </c>
      <c r="BQ45" s="24">
        <f t="shared" si="116"/>
        <v>0</v>
      </c>
      <c r="BR45" s="24">
        <f t="shared" si="116"/>
        <v>0</v>
      </c>
      <c r="BS45" s="24">
        <f t="shared" si="116"/>
        <v>-0.24590000000000001</v>
      </c>
      <c r="BT45" s="24">
        <f t="shared" si="116"/>
        <v>-0.50642000000000009</v>
      </c>
    </row>
    <row r="46" spans="1:72" outlineLevel="1" x14ac:dyDescent="0.25">
      <c r="A46" s="11" t="s">
        <v>50</v>
      </c>
      <c r="C46" s="2" t="s">
        <v>45</v>
      </c>
      <c r="D46" s="8">
        <f>-IFERROR(
GETPIVOTDATA(
"[Base].[Importe]",
TDinamica_R!$A$5,
"[Calendario].[AñoMes]",
"[Calendario].[AñoMes].&amp;[" &amp; TEXT(D$6,"yyyymm") &amp; "]",
"[Base].[Metrica]",
"[Base].[Metrica].&amp;[" &amp; $A46 &amp; "]",
"[Base].[SEGMENTO_DESCRIP]",
"[Base].[SEGMENTO_DESCRIP].&amp;[" &amp; $C$6 &amp; "]",
"[Base].[SITUACION]",
"[Base].[SITUACION].&amp;[" &amp; $C46 &amp; "]"
),0)/1000</f>
        <v>-0.34054000000000001</v>
      </c>
      <c r="E46" s="8">
        <f>-IFERROR(
GETPIVOTDATA(
"[Base].[Importe]",
TDinamica_R!$A$5,
"[Calendario].[AñoMes]",
"[Calendario].[AñoMes].&amp;[" &amp; TEXT(E$6,"yyyymm") &amp; "]",
"[Base].[Metrica]",
"[Base].[Metrica].&amp;[" &amp; $A46 &amp; "]",
"[Base].[SEGMENTO_DESCRIP]",
"[Base].[SEGMENTO_DESCRIP].&amp;[" &amp; $C$6 &amp; "]",
"[Base].[SITUACION]",
"[Base].[SITUACION].&amp;[" &amp; $C46 &amp; "]"
),0)/1000</f>
        <v>-0.32985999999999999</v>
      </c>
      <c r="F46" s="8">
        <f>-IFERROR(
GETPIVOTDATA(
"[Base].[Importe]",
TDinamica_R!$A$5,
"[Calendario].[AñoMes]",
"[Calendario].[AñoMes].&amp;[" &amp; TEXT(F$6,"yyyymm") &amp; "]",
"[Base].[Metrica]",
"[Base].[Metrica].&amp;[" &amp; $A46 &amp; "]",
"[Base].[SEGMENTO_DESCRIP]",
"[Base].[SEGMENTO_DESCRIP].&amp;[" &amp; $C$6 &amp; "]",
"[Base].[SITUACION]",
"[Base].[SITUACION].&amp;[" &amp; $C46 &amp; "]"
),0)/1000</f>
        <v>-0.53186</v>
      </c>
      <c r="G46" s="8">
        <f>-IFERROR(
GETPIVOTDATA(
"[Base].[Importe]",
TDinamica_R!$A$5,
"[Calendario].[AñoMes]",
"[Calendario].[AñoMes].&amp;[" &amp; TEXT(G$6,"yyyymm") &amp; "]",
"[Base].[Metrica]",
"[Base].[Metrica].&amp;[" &amp; $A46 &amp; "]",
"[Base].[SEGMENTO_DESCRIP]",
"[Base].[SEGMENTO_DESCRIP].&amp;[" &amp; $C$6 &amp; "]",
"[Base].[SITUACION]",
"[Base].[SITUACION].&amp;[" &amp; $C46 &amp; "]"
),0)/1000</f>
        <v>-0.36660999999999999</v>
      </c>
      <c r="H46" s="8">
        <f>-IFERROR(
GETPIVOTDATA(
"[Base].[Importe]",
TDinamica_R!$A$5,
"[Calendario].[AñoMes]",
"[Calendario].[AñoMes].&amp;[" &amp; TEXT(H$6,"yyyymm") &amp; "]",
"[Base].[Metrica]",
"[Base].[Metrica].&amp;[" &amp; $A46 &amp; "]",
"[Base].[SEGMENTO_DESCRIP]",
"[Base].[SEGMENTO_DESCRIP].&amp;[" &amp; $C$6 &amp; "]",
"[Base].[SITUACION]",
"[Base].[SITUACION].&amp;[" &amp; $C46 &amp; "]"
),0)/1000</f>
        <v>-0.35808000000000006</v>
      </c>
      <c r="I46" s="8">
        <f>-IFERROR(
GETPIVOTDATA(
"[Base].[Importe]",
TDinamica_R!$A$5,
"[Calendario].[AñoMes]",
"[Calendario].[AñoMes].&amp;[" &amp; TEXT(I$6,"yyyymm") &amp; "]",
"[Base].[Metrica]",
"[Base].[Metrica].&amp;[" &amp; $A46 &amp; "]",
"[Base].[SEGMENTO_DESCRIP]",
"[Base].[SEGMENTO_DESCRIP].&amp;[" &amp; $C$6 &amp; "]",
"[Base].[SITUACION]",
"[Base].[SITUACION].&amp;[" &amp; $C46 &amp; "]"
),0)/1000</f>
        <v>-0.33070000000000005</v>
      </c>
      <c r="J46" s="8">
        <f>-IFERROR(
GETPIVOTDATA(
"[Base].[Importe]",
TDinamica_R!$A$5,
"[Calendario].[AñoMes]",
"[Calendario].[AñoMes].&amp;[" &amp; TEXT(J$6,"yyyymm") &amp; "]",
"[Base].[Metrica]",
"[Base].[Metrica].&amp;[" &amp; $A46 &amp; "]",
"[Base].[SEGMENTO_DESCRIP]",
"[Base].[SEGMENTO_DESCRIP].&amp;[" &amp; $C$6 &amp; "]",
"[Base].[SITUACION]",
"[Base].[SITUACION].&amp;[" &amp; $C46 &amp; "]"
),0)/1000</f>
        <v>-0.32124000000000003</v>
      </c>
      <c r="K46" s="8">
        <f>-IFERROR(
GETPIVOTDATA(
"[Base].[Importe]",
TDinamica_R!$A$5,
"[Calendario].[AñoMes]",
"[Calendario].[AñoMes].&amp;[" &amp; TEXT(K$6,"yyyymm") &amp; "]",
"[Base].[Metrica]",
"[Base].[Metrica].&amp;[" &amp; $A46 &amp; "]",
"[Base].[SEGMENTO_DESCRIP]",
"[Base].[SEGMENTO_DESCRIP].&amp;[" &amp; $C$6 &amp; "]",
"[Base].[SITUACION]",
"[Base].[SITUACION].&amp;[" &amp; $C46 &amp; "]"
),0)/1000</f>
        <v>-0.33454</v>
      </c>
      <c r="L46" s="8">
        <f>-IFERROR(
GETPIVOTDATA(
"[Base].[Importe]",
TDinamica_R!$A$5,
"[Calendario].[AñoMes]",
"[Calendario].[AñoMes].&amp;[" &amp; TEXT(L$6,"yyyymm") &amp; "]",
"[Base].[Metrica]",
"[Base].[Metrica].&amp;[" &amp; $A46 &amp; "]",
"[Base].[SEGMENTO_DESCRIP]",
"[Base].[SEGMENTO_DESCRIP].&amp;[" &amp; $C$6 &amp; "]",
"[Base].[SITUACION]",
"[Base].[SITUACION].&amp;[" &amp; $C46 &amp; "]"
),0)/1000</f>
        <v>-0.33333999999999997</v>
      </c>
      <c r="M46" s="8">
        <f>-IFERROR(
GETPIVOTDATA(
"[Base].[Importe]",
TDinamica_R!$A$5,
"[Calendario].[AñoMes]",
"[Calendario].[AñoMes].&amp;[" &amp; TEXT(M$6,"yyyymm") &amp; "]",
"[Base].[Metrica]",
"[Base].[Metrica].&amp;[" &amp; $A46 &amp; "]",
"[Base].[SEGMENTO_DESCRIP]",
"[Base].[SEGMENTO_DESCRIP].&amp;[" &amp; $C$6 &amp; "]",
"[Base].[SITUACION]",
"[Base].[SITUACION].&amp;[" &amp; $C46 &amp; "]"
),0)/1000</f>
        <v>-0.40542</v>
      </c>
      <c r="N46" s="8">
        <f>-IFERROR(
GETPIVOTDATA(
"[Base].[Importe]",
TDinamica_R!$A$5,
"[Calendario].[AñoMes]",
"[Calendario].[AñoMes].&amp;[" &amp; TEXT(N$6,"yyyymm") &amp; "]",
"[Base].[Metrica]",
"[Base].[Metrica].&amp;[" &amp; $A46 &amp; "]",
"[Base].[SEGMENTO_DESCRIP]",
"[Base].[SEGMENTO_DESCRIP].&amp;[" &amp; $C$6 &amp; "]",
"[Base].[SITUACION]",
"[Base].[SITUACION].&amp;[" &amp; $C46 &amp; "]"
),0)/1000</f>
        <v>-0.71590999999999994</v>
      </c>
      <c r="O46" s="8">
        <f>-IFERROR(
GETPIVOTDATA(
"[Base].[Importe]",
TDinamica_R!$A$5,
"[Calendario].[AñoMes]",
"[Calendario].[AñoMes].&amp;[" &amp; TEXT(O$6,"yyyymm") &amp; "]",
"[Base].[Metrica]",
"[Base].[Metrica].&amp;[" &amp; $A46 &amp; "]",
"[Base].[SEGMENTO_DESCRIP]",
"[Base].[SEGMENTO_DESCRIP].&amp;[" &amp; $C$6 &amp; "]",
"[Base].[SITUACION]",
"[Base].[SITUACION].&amp;[" &amp; $C46 &amp; "]"
),0)/1000</f>
        <v>-0.78600000000000003</v>
      </c>
      <c r="P46" s="8">
        <f>-IFERROR(
GETPIVOTDATA(
"[Base].[Importe]",
TDinamica_R!$A$5,
"[Calendario].[AñoMes]",
"[Calendario].[AñoMes].&amp;[" &amp; TEXT(P$6,"yyyymm") &amp; "]",
"[Base].[Metrica]",
"[Base].[Metrica].&amp;[" &amp; $A46 &amp; "]",
"[Base].[SEGMENTO_DESCRIP]",
"[Base].[SEGMENTO_DESCRIP].&amp;[" &amp; $C$6 &amp; "]",
"[Base].[SITUACION]",
"[Base].[SITUACION].&amp;[" &amp; $C46 &amp; "]"
),0)/1000</f>
        <v>-0.71153</v>
      </c>
      <c r="Q46" s="8">
        <f>-IFERROR(
GETPIVOTDATA(
"[Base].[Importe]",
TDinamica_R!$A$5,
"[Calendario].[AñoMes]",
"[Calendario].[AñoMes].&amp;[" &amp; TEXT(Q$6,"yyyymm") &amp; "]",
"[Base].[Metrica]",
"[Base].[Metrica].&amp;[" &amp; $A46 &amp; "]",
"[Base].[SEGMENTO_DESCRIP]",
"[Base].[SEGMENTO_DESCRIP].&amp;[" &amp; $C$6 &amp; "]",
"[Base].[SITUACION]",
"[Base].[SITUACION].&amp;[" &amp; $C46 &amp; "]"
),0)/1000</f>
        <v>-0.52136999999999989</v>
      </c>
      <c r="R46" s="8">
        <f>-IFERROR(
GETPIVOTDATA(
"[Base].[Importe]",
TDinamica_R!$A$5,
"[Calendario].[AñoMes]",
"[Calendario].[AñoMes].&amp;[" &amp; TEXT(R$6,"yyyymm") &amp; "]",
"[Base].[Metrica]",
"[Base].[Metrica].&amp;[" &amp; $A46 &amp; "]",
"[Base].[SEGMENTO_DESCRIP]",
"[Base].[SEGMENTO_DESCRIP].&amp;[" &amp; $C$6 &amp; "]",
"[Base].[SITUACION]",
"[Base].[SITUACION].&amp;[" &amp; $C46 &amp; "]"
),0)/1000</f>
        <v>-0.95838999999999996</v>
      </c>
      <c r="S46" s="8">
        <f>-IFERROR(
GETPIVOTDATA(
"[Base].[Importe]",
TDinamica_R!$A$5,
"[Calendario].[AñoMes]",
"[Calendario].[AñoMes].&amp;[" &amp; TEXT(S$6,"yyyymm") &amp; "]",
"[Base].[Metrica]",
"[Base].[Metrica].&amp;[" &amp; $A46 &amp; "]",
"[Base].[SEGMENTO_DESCRIP]",
"[Base].[SEGMENTO_DESCRIP].&amp;[" &amp; $C$6 &amp; "]",
"[Base].[SITUACION]",
"[Base].[SITUACION].&amp;[" &amp; $C46 &amp; "]"
),0)/1000</f>
        <v>-1.75621</v>
      </c>
      <c r="T46" s="8">
        <f>-IFERROR(
GETPIVOTDATA(
"[Base].[Importe]",
TDinamica_R!$A$5,
"[Calendario].[AñoMes]",
"[Calendario].[AñoMes].&amp;[" &amp; TEXT(T$6,"yyyymm") &amp; "]",
"[Base].[Metrica]",
"[Base].[Metrica].&amp;[" &amp; $A46 &amp; "]",
"[Base].[SEGMENTO_DESCRIP]",
"[Base].[SEGMENTO_DESCRIP].&amp;[" &amp; $C$6 &amp; "]",
"[Base].[SITUACION]",
"[Base].[SITUACION].&amp;[" &amp; $C46 &amp; "]"
),0)/1000</f>
        <v>-1.7014200000000002</v>
      </c>
      <c r="U46" s="8">
        <f>-IFERROR(
GETPIVOTDATA(
"[Base].[Importe]",
TDinamica_R!$A$5,
"[Calendario].[AñoMes]",
"[Calendario].[AñoMes].&amp;[" &amp; TEXT(U$6,"yyyymm") &amp; "]",
"[Base].[Metrica]",
"[Base].[Metrica].&amp;[" &amp; $A46 &amp; "]",
"[Base].[SEGMENTO_DESCRIP]",
"[Base].[SEGMENTO_DESCRIP].&amp;[" &amp; $C$6 &amp; "]",
"[Base].[SITUACION]",
"[Base].[SITUACION].&amp;[" &amp; $C46 &amp; "]"
),0)/1000</f>
        <v>-2.6046999999999998</v>
      </c>
      <c r="V46" s="8">
        <f>-IFERROR(
GETPIVOTDATA(
"[Base].[Importe]",
TDinamica_R!$A$5,
"[Calendario].[AñoMes]",
"[Calendario].[AñoMes].&amp;[" &amp; TEXT(V$6,"yyyymm") &amp; "]",
"[Base].[Metrica]",
"[Base].[Metrica].&amp;[" &amp; $A46 &amp; "]",
"[Base].[SEGMENTO_DESCRIP]",
"[Base].[SEGMENTO_DESCRIP].&amp;[" &amp; $C$6 &amp; "]",
"[Base].[SITUACION]",
"[Base].[SITUACION].&amp;[" &amp; $C46 &amp; "]"
),0)/1000</f>
        <v>-2.53416</v>
      </c>
      <c r="W46" s="8">
        <f>-IFERROR(
GETPIVOTDATA(
"[Base].[Importe]",
TDinamica_R!$A$5,
"[Calendario].[AñoMes]",
"[Calendario].[AñoMes].&amp;[" &amp; TEXT(W$6,"yyyymm") &amp; "]",
"[Base].[Metrica]",
"[Base].[Metrica].&amp;[" &amp; $A46 &amp; "]",
"[Base].[SEGMENTO_DESCRIP]",
"[Base].[SEGMENTO_DESCRIP].&amp;[" &amp; $C$6 &amp; "]",
"[Base].[SITUACION]",
"[Base].[SITUACION].&amp;[" &amp; $C46 &amp; "]"
),0)/1000</f>
        <v>-2.2852600000000001</v>
      </c>
      <c r="X46" s="8">
        <f>-IFERROR(
GETPIVOTDATA(
"[Base].[Importe]",
TDinamica_R!$A$5,
"[Calendario].[AñoMes]",
"[Calendario].[AñoMes].&amp;[" &amp; TEXT(X$6,"yyyymm") &amp; "]",
"[Base].[Metrica]",
"[Base].[Metrica].&amp;[" &amp; $A46 &amp; "]",
"[Base].[SEGMENTO_DESCRIP]",
"[Base].[SEGMENTO_DESCRIP].&amp;[" &amp; $C$6 &amp; "]",
"[Base].[SITUACION]",
"[Base].[SITUACION].&amp;[" &amp; $C46 &amp; "]"
),0)/1000</f>
        <v>-1.6639900000000001</v>
      </c>
      <c r="Y46" s="8">
        <f>-IFERROR(
GETPIVOTDATA(
"[Base].[Importe]",
TDinamica_R!$A$5,
"[Calendario].[AñoMes]",
"[Calendario].[AñoMes].&amp;[" &amp; TEXT(Y$6,"yyyymm") &amp; "]",
"[Base].[Metrica]",
"[Base].[Metrica].&amp;[" &amp; $A46 &amp; "]",
"[Base].[SEGMENTO_DESCRIP]",
"[Base].[SEGMENTO_DESCRIP].&amp;[" &amp; $C$6 &amp; "]",
"[Base].[SITUACION]",
"[Base].[SITUACION].&amp;[" &amp; $C46 &amp; "]"
),0)/1000</f>
        <v>-2.6732499999999999</v>
      </c>
      <c r="Z46" s="8">
        <f>-IFERROR(
GETPIVOTDATA(
"[Base].[Importe]",
TDinamica_R!$A$5,
"[Calendario].[AñoMes]",
"[Calendario].[AñoMes].&amp;[" &amp; TEXT(Z$6,"yyyymm") &amp; "]",
"[Base].[Metrica]",
"[Base].[Metrica].&amp;[" &amp; $A46 &amp; "]",
"[Base].[SEGMENTO_DESCRIP]",
"[Base].[SEGMENTO_DESCRIP].&amp;[" &amp; $C$6 &amp; "]",
"[Base].[SITUACION]",
"[Base].[SITUACION].&amp;[" &amp; $C46 &amp; "]"
),0)/1000</f>
        <v>-2.3817199999999996</v>
      </c>
      <c r="AA46" s="8">
        <f>-IFERROR(
GETPIVOTDATA(
"[Base].[Importe]",
TDinamica_R!$A$5,
"[Calendario].[AñoMes]",
"[Calendario].[AñoMes].&amp;[" &amp; TEXT(AA$6,"yyyymm") &amp; "]",
"[Base].[Metrica]",
"[Base].[Metrica].&amp;[" &amp; $A46 &amp; "]",
"[Base].[SEGMENTO_DESCRIP]",
"[Base].[SEGMENTO_DESCRIP].&amp;[" &amp; $C$6 &amp; "]",
"[Base].[SITUACION]",
"[Base].[SITUACION].&amp;[" &amp; $C46 &amp; "]"
),0)/1000</f>
        <v>-3.8945799999999999</v>
      </c>
      <c r="AB46" s="8">
        <f>-IFERROR(
GETPIVOTDATA(
"[Base].[Importe]",
TDinamica_R!$A$5,
"[Calendario].[AñoMes]",
"[Calendario].[AñoMes].&amp;[" &amp; TEXT(AB$6,"yyyymm") &amp; "]",
"[Base].[Metrica]",
"[Base].[Metrica].&amp;[" &amp; $A46 &amp; "]",
"[Base].[SEGMENTO_DESCRIP]",
"[Base].[SEGMENTO_DESCRIP].&amp;[" &amp; $C$6 &amp; "]",
"[Base].[SITUACION]",
"[Base].[SITUACION].&amp;[" &amp; $C46 &amp; "]"
),0)/1000</f>
        <v>-3.5249200000000003</v>
      </c>
      <c r="AC46" s="8">
        <f>-IFERROR(
GETPIVOTDATA(
"[Base].[Importe]",
TDinamica_R!$A$5,
"[Calendario].[AñoMes]",
"[Calendario].[AñoMes].&amp;[" &amp; TEXT(AC$6,"yyyymm") &amp; "]",
"[Base].[Metrica]",
"[Base].[Metrica].&amp;[" &amp; $A46 &amp; "]",
"[Base].[SEGMENTO_DESCRIP]",
"[Base].[SEGMENTO_DESCRIP].&amp;[" &amp; $C$6 &amp; "]",
"[Base].[SITUACION]",
"[Base].[SITUACION].&amp;[" &amp; $C46 &amp; "]"
),0)/1000</f>
        <v>-1.32226</v>
      </c>
      <c r="AD46" s="8">
        <f>-IFERROR(
GETPIVOTDATA(
"[Base].[Importe]",
TDinamica_R!$A$5,
"[Calendario].[AñoMes]",
"[Calendario].[AñoMes].&amp;[" &amp; TEXT(AD$6,"yyyymm") &amp; "]",
"[Base].[Metrica]",
"[Base].[Metrica].&amp;[" &amp; $A46 &amp; "]",
"[Base].[SEGMENTO_DESCRIP]",
"[Base].[SEGMENTO_DESCRIP].&amp;[" &amp; $C$6 &amp; "]",
"[Base].[SITUACION]",
"[Base].[SITUACION].&amp;[" &amp; $C46 &amp; "]"
),0)/1000</f>
        <v>-1.2525299999999999</v>
      </c>
      <c r="AE46" s="8">
        <f>-IFERROR(
GETPIVOTDATA(
"[Base].[Importe]",
TDinamica_R!$A$5,
"[Calendario].[AñoMes]",
"[Calendario].[AñoMes].&amp;[" &amp; TEXT(AE$6,"yyyymm") &amp; "]",
"[Base].[Metrica]",
"[Base].[Metrica].&amp;[" &amp; $A46 &amp; "]",
"[Base].[SEGMENTO_DESCRIP]",
"[Base].[SEGMENTO_DESCRIP].&amp;[" &amp; $C$6 &amp; "]",
"[Base].[SITUACION]",
"[Base].[SITUACION].&amp;[" &amp; $C46 &amp; "]"
),0)/1000</f>
        <v>-1.19841</v>
      </c>
      <c r="AF46" s="8">
        <f>-IFERROR(
GETPIVOTDATA(
"[Base].[Importe]",
TDinamica_R!$A$5,
"[Calendario].[AñoMes]",
"[Calendario].[AñoMes].&amp;[" &amp; TEXT(AF$6,"yyyymm") &amp; "]",
"[Base].[Metrica]",
"[Base].[Metrica].&amp;[" &amp; $A46 &amp; "]",
"[Base].[SEGMENTO_DESCRIP]",
"[Base].[SEGMENTO_DESCRIP].&amp;[" &amp; $C$6 &amp; "]",
"[Base].[SITUACION]",
"[Base].[SITUACION].&amp;[" &amp; $C46 &amp; "]"
),0)/1000</f>
        <v>-1.28047</v>
      </c>
      <c r="AG46" s="8">
        <f>-IFERROR(
GETPIVOTDATA(
"[Base].[Importe]",
TDinamica_R!$A$5,
"[Calendario].[AñoMes]",
"[Calendario].[AñoMes].&amp;[" &amp; TEXT(AG$6,"yyyymm") &amp; "]",
"[Base].[Metrica]",
"[Base].[Metrica].&amp;[" &amp; $A46 &amp; "]",
"[Base].[SEGMENTO_DESCRIP]",
"[Base].[SEGMENTO_DESCRIP].&amp;[" &amp; $C$6 &amp; "]",
"[Base].[SITUACION]",
"[Base].[SITUACION].&amp;[" &amp; $C46 &amp; "]"
),0)/1000</f>
        <v>-1.20906</v>
      </c>
      <c r="AH46" s="8">
        <f>-IFERROR(
GETPIVOTDATA(
"[Base].[Importe]",
TDinamica_R!$A$5,
"[Calendario].[AñoMes]",
"[Calendario].[AñoMes].&amp;[" &amp; TEXT(AH$6,"yyyymm") &amp; "]",
"[Base].[Metrica]",
"[Base].[Metrica].&amp;[" &amp; $A46 &amp; "]",
"[Base].[SEGMENTO_DESCRIP]",
"[Base].[SEGMENTO_DESCRIP].&amp;[" &amp; $C$6 &amp; "]",
"[Base].[SITUACION]",
"[Base].[SITUACION].&amp;[" &amp; $C46 &amp; "]"
),0)/1000</f>
        <v>-1.0260499999999999</v>
      </c>
      <c r="AI46" s="8">
        <f>-IFERROR(
GETPIVOTDATA(
"[Base].[Importe]",
TDinamica_R!$A$5,
"[Calendario].[AñoMes]",
"[Calendario].[AñoMes].&amp;[" &amp; TEXT(AI$6,"yyyymm") &amp; "]",
"[Base].[Metrica]",
"[Base].[Metrica].&amp;[" &amp; $A46 &amp; "]",
"[Base].[SEGMENTO_DESCRIP]",
"[Base].[SEGMENTO_DESCRIP].&amp;[" &amp; $C$6 &amp; "]",
"[Base].[SITUACION]",
"[Base].[SITUACION].&amp;[" &amp; $C46 &amp; "]"
),0)/1000</f>
        <v>-1.0525</v>
      </c>
      <c r="AJ46" s="8">
        <f>-IFERROR(
GETPIVOTDATA(
"[Base].[Importe]",
TDinamica_R!$A$5,
"[Calendario].[AñoMes]",
"[Calendario].[AñoMes].&amp;[" &amp; TEXT(AJ$6,"yyyymm") &amp; "]",
"[Base].[Metrica]",
"[Base].[Metrica].&amp;[" &amp; $A46 &amp; "]",
"[Base].[SEGMENTO_DESCRIP]",
"[Base].[SEGMENTO_DESCRIP].&amp;[" &amp; $C$6 &amp; "]",
"[Base].[SITUACION]",
"[Base].[SITUACION].&amp;[" &amp; $C46 &amp; "]"
),0)/1000</f>
        <v>-0.84869000000000006</v>
      </c>
      <c r="AK46" s="8">
        <f>-IFERROR(
GETPIVOTDATA(
"[Base].[Importe]",
TDinamica_R!$A$5,
"[Calendario].[AñoMes]",
"[Calendario].[AñoMes].&amp;[" &amp; TEXT(AK$6,"yyyymm") &amp; "]",
"[Base].[Metrica]",
"[Base].[Metrica].&amp;[" &amp; $A46 &amp; "]",
"[Base].[SEGMENTO_DESCRIP]",
"[Base].[SEGMENTO_DESCRIP].&amp;[" &amp; $C$6 &amp; "]",
"[Base].[SITUACION]",
"[Base].[SITUACION].&amp;[" &amp; $C46 &amp; "]"
),0)/1000</f>
        <v>-0.41144999999999998</v>
      </c>
      <c r="AL46" s="8">
        <f>-IFERROR(
GETPIVOTDATA(
"[Base].[Importe]",
TDinamica_R!$A$5,
"[Calendario].[AñoMes]",
"[Calendario].[AñoMes].&amp;[" &amp; TEXT(AL$6,"yyyymm") &amp; "]",
"[Base].[Metrica]",
"[Base].[Metrica].&amp;[" &amp; $A46 &amp; "]",
"[Base].[SEGMENTO_DESCRIP]",
"[Base].[SEGMENTO_DESCRIP].&amp;[" &amp; $C$6 &amp; "]",
"[Base].[SITUACION]",
"[Base].[SITUACION].&amp;[" &amp; $C46 &amp; "]"
),0)/1000</f>
        <v>-0.43920999999999999</v>
      </c>
      <c r="AM46" s="8">
        <f>-IFERROR(
GETPIVOTDATA(
"[Base].[Importe]",
TDinamica_R!$A$5,
"[Calendario].[AñoMes]",
"[Calendario].[AñoMes].&amp;[" &amp; TEXT(AM$6,"yyyymm") &amp; "]",
"[Base].[Metrica]",
"[Base].[Metrica].&amp;[" &amp; $A46 &amp; "]",
"[Base].[SEGMENTO_DESCRIP]",
"[Base].[SEGMENTO_DESCRIP].&amp;[" &amp; $C$6 &amp; "]",
"[Base].[SITUACION]",
"[Base].[SITUACION].&amp;[" &amp; $C46 &amp; "]"
),0)/1000</f>
        <v>-0.89510999999999996</v>
      </c>
      <c r="AN46" s="8">
        <f>-IFERROR(
GETPIVOTDATA(
"[Base].[Importe]",
TDinamica_R!$A$5,
"[Calendario].[AñoMes]",
"[Calendario].[AñoMes].&amp;[" &amp; TEXT(AN$6,"yyyymm") &amp; "]",
"[Base].[Metrica]",
"[Base].[Metrica].&amp;[" &amp; $A46 &amp; "]",
"[Base].[SEGMENTO_DESCRIP]",
"[Base].[SEGMENTO_DESCRIP].&amp;[" &amp; $C$6 &amp; "]",
"[Base].[SITUACION]",
"[Base].[SITUACION].&amp;[" &amp; $C46 &amp; "]"
),0)/1000</f>
        <v>-1.0265599999999999</v>
      </c>
      <c r="AO46" s="8">
        <f>-IFERROR(
GETPIVOTDATA(
"[Base].[Importe]",
TDinamica_R!$A$5,
"[Calendario].[AñoMes]",
"[Calendario].[AñoMes].&amp;[" &amp; TEXT(AO$6,"yyyymm") &amp; "]",
"[Base].[Metrica]",
"[Base].[Metrica].&amp;[" &amp; $A46 &amp; "]",
"[Base].[SEGMENTO_DESCRIP]",
"[Base].[SEGMENTO_DESCRIP].&amp;[" &amp; $C$6 &amp; "]",
"[Base].[SITUACION]",
"[Base].[SITUACION].&amp;[" &amp; $C46 &amp; "]"
),0)/1000</f>
        <v>-0.93398000000000003</v>
      </c>
      <c r="AP46" s="8">
        <f>-IFERROR(
GETPIVOTDATA(
"[Base].[Importe]",
TDinamica_R!$A$5,
"[Calendario].[AñoMes]",
"[Calendario].[AñoMes].&amp;[" &amp; TEXT(AP$6,"yyyymm") &amp; "]",
"[Base].[Metrica]",
"[Base].[Metrica].&amp;[" &amp; $A46 &amp; "]",
"[Base].[SEGMENTO_DESCRIP]",
"[Base].[SEGMENTO_DESCRIP].&amp;[" &amp; $C$6 &amp; "]",
"[Base].[SITUACION]",
"[Base].[SITUACION].&amp;[" &amp; $C46 &amp; "]"
),0)/1000</f>
        <v>-1.0615999999999999</v>
      </c>
      <c r="AQ46" s="8">
        <f>-IFERROR(
GETPIVOTDATA(
"[Base].[Importe]",
TDinamica_R!$A$5,
"[Calendario].[AñoMes]",
"[Calendario].[AñoMes].&amp;[" &amp; TEXT(AQ$6,"yyyymm") &amp; "]",
"[Base].[Metrica]",
"[Base].[Metrica].&amp;[" &amp; $A46 &amp; "]",
"[Base].[SEGMENTO_DESCRIP]",
"[Base].[SEGMENTO_DESCRIP].&amp;[" &amp; $C$6 &amp; "]",
"[Base].[SITUACION]",
"[Base].[SITUACION].&amp;[" &amp; $C46 &amp; "]"
),0)/1000</f>
        <v>-0.89002999999999999</v>
      </c>
      <c r="AR46" s="8">
        <f>-IFERROR(
GETPIVOTDATA(
"[Base].[Importe]",
TDinamica_R!$A$5,
"[Calendario].[AñoMes]",
"[Calendario].[AñoMes].&amp;[" &amp; TEXT(AR$6,"yyyymm") &amp; "]",
"[Base].[Metrica]",
"[Base].[Metrica].&amp;[" &amp; $A46 &amp; "]",
"[Base].[SEGMENTO_DESCRIP]",
"[Base].[SEGMENTO_DESCRIP].&amp;[" &amp; $C$6 &amp; "]",
"[Base].[SITUACION]",
"[Base].[SITUACION].&amp;[" &amp; $C46 &amp; "]"
),0)/1000</f>
        <v>-2.5445600000000002</v>
      </c>
      <c r="AS46" s="8">
        <f>-IFERROR(
GETPIVOTDATA(
"[Base].[Importe]",
TDinamica_R!$A$5,
"[Calendario].[AñoMes]",
"[Calendario].[AñoMes].&amp;[" &amp; TEXT(AS$6,"yyyymm") &amp; "]",
"[Base].[Metrica]",
"[Base].[Metrica].&amp;[" &amp; $A46 &amp; "]",
"[Base].[SEGMENTO_DESCRIP]",
"[Base].[SEGMENTO_DESCRIP].&amp;[" &amp; $C$6 &amp; "]",
"[Base].[SITUACION]",
"[Base].[SITUACION].&amp;[" &amp; $C46 &amp; "]"
),0)/1000</f>
        <v>-3.1652100000000001</v>
      </c>
      <c r="AT46" s="8">
        <f>-IFERROR(
GETPIVOTDATA(
"[Base].[Importe]",
TDinamica_R!$A$5,
"[Calendario].[AñoMes]",
"[Calendario].[AñoMes].&amp;[" &amp; TEXT(AT$6,"yyyymm")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U46" s="8">
        <f>-IFERROR(
GETPIVOTDATA(
"[Base].[Importe]",
TDinamica_R!$A$5,
"[Calendario].[AñoMes]",
"[Calendario].[AñoMes].&amp;[" &amp; TEXT(AU$6,"yyyymm")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V46" s="8">
        <f>-IFERROR(
GETPIVOTDATA(
"[Base].[Importe]",
TDinamica_R!$A$5,
"[Calendario].[AñoMes]",
"[Calendario].[AñoMes].&amp;[" &amp; TEXT(AV$6,"yyyymm")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W46" s="8">
        <f>-IFERROR(
GETPIVOTDATA(
"[Base].[Importe]",
TDinamica_R!$A$5,
"[Calendario].[AñoMes]",
"[Calendario].[AñoMes].&amp;[" &amp; TEXT(AW$6,"yyyymm")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X46" s="8">
        <f>-IFERROR(
GETPIVOTDATA(
"[Base].[Importe]",
TDinamica_R!$A$5,
"[Calendario].[AñoMes]",
"[Calendario].[AñoMes].&amp;[" &amp; TEXT(AX$6,"yyyymm")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Y46" s="8">
        <f>-IFERROR(
GETPIVOTDATA(
"[Base].[Importe]",
TDinamica_R!$A$5,
"[Calendario].[AñoMes]",
"[Calendario].[AñoMes].&amp;[" &amp; TEXT(AY$6,"yyyymm")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Z46" s="8">
        <f>IFERROR(
GETPIVOTDATA(
"[BASE_CONVE_PPTO].[Importe]",
TDinamica_P!$A$5,
"[BASE_CONVE_PPTO].[Periodo]",
"[BASE_CONVE_PPTO].[Periodo].&amp;[" &amp; TEXT(AZ$6,"yyyymm")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-0.88353564447437705</v>
      </c>
      <c r="BA46" s="8">
        <f>IFERROR(
GETPIVOTDATA(
"[BASE_CONVE_PPTO].[Importe]",
TDinamica_P!$A$5,
"[BASE_CONVE_PPTO].[Periodo]",
"[BASE_CONVE_PPTO].[Periodo].&amp;[" &amp; TEXT(BA$6,"yyyymm")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-0.80531453037463097</v>
      </c>
      <c r="BB46" s="8">
        <f>IFERROR(
GETPIVOTDATA(
"[BASE_CONVE_PPTO].[Importe]",
TDinamica_P!$A$5,
"[BASE_CONVE_PPTO].[Periodo]",
"[BASE_CONVE_PPTO].[Periodo].&amp;[" &amp; TEXT(BB$6,"yyyymm")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-0.90364265296508972</v>
      </c>
      <c r="BC46" s="8">
        <f>IFERROR(
GETPIVOTDATA(
"[BASE_CONVE_PPTO].[Importe]",
TDinamica_P!$A$5,
"[BASE_CONVE_PPTO].[Periodo]",
"[BASE_CONVE_PPTO].[Periodo].&amp;[" &amp; TEXT(BC$6,"yyyymm")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-0.88236979064367294</v>
      </c>
      <c r="BD46" s="8">
        <f>IFERROR(
GETPIVOTDATA(
"[BASE_CONVE_PPTO].[Importe]",
TDinamica_P!$A$5,
"[BASE_CONVE_PPTO].[Periodo]",
"[BASE_CONVE_PPTO].[Periodo].&amp;[" &amp; TEXT(BD$6,"yyyymm")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-0.92912814966765256</v>
      </c>
      <c r="BE46" s="8">
        <f>IFERROR(
GETPIVOTDATA(
"[BASE_CONVE_PPTO].[Importe]",
TDinamica_P!$A$5,
"[BASE_CONVE_PPTO].[Periodo]",
"[BASE_CONVE_PPTO].[Periodo].&amp;[" &amp; TEXT(BE$6,"yyyymm")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-0.91653655109108267</v>
      </c>
      <c r="BF46" s="8">
        <f>IFERROR(
GETPIVOTDATA(
"[BASE_CONVE_PPTO].[Importe]",
TDinamica_P!$A$5,
"[BASE_CONVE_PPTO].[Periodo]",
"[BASE_CONVE_PPTO].[Periodo].&amp;[" &amp; TEXT(BF$6,"yyyymm")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-0.96571611777102384</v>
      </c>
      <c r="BG46" s="8">
        <f>IFERROR(
GETPIVOTDATA(
"[BASE_CONVE_PPTO].[Importe]",
TDinamica_P!$A$5,
"[BASE_CONVE_PPTO].[Periodo]",
"[BASE_CONVE_PPTO].[Periodo].&amp;[" &amp; TEXT(BG$6,"yyyymm")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-0.98470825362056702</v>
      </c>
      <c r="BH46" s="8">
        <f>IFERROR(
GETPIVOTDATA(
"[BASE_CONVE_PPTO].[Importe]",
TDinamica_P!$A$5,
"[BASE_CONVE_PPTO].[Periodo]",
"[BASE_CONVE_PPTO].[Periodo].&amp;[" &amp; TEXT(BH$6,"yyyymm")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-0.99510931892425014</v>
      </c>
      <c r="BI46" s="8">
        <f>IFERROR(
GETPIVOTDATA(
"[BASE_CONVE_PPTO].[Importe]",
TDinamica_P!$A$5,
"[BASE_CONVE_PPTO].[Periodo]",
"[BASE_CONVE_PPTO].[Periodo].&amp;[" &amp; TEXT(BI$6,"yyyymm")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-1.0682848005385255</v>
      </c>
      <c r="BJ46" s="8">
        <f>IFERROR(
GETPIVOTDATA(
"[BASE_CONVE_PPTO].[Importe]",
TDinamica_P!$A$5,
"[BASE_CONVE_PPTO].[Periodo]",
"[BASE_CONVE_PPTO].[Periodo].&amp;[" &amp; TEXT(BJ$6,"yyyymm")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-1.0724214131126064</v>
      </c>
      <c r="BK46" s="8">
        <f>IFERROR(
GETPIVOTDATA(
"[BASE_CONVE_PPTO].[Importe]",
TDinamica_P!$A$5,
"[BASE_CONVE_PPTO].[Periodo]",
"[BASE_CONVE_PPTO].[Periodo].&amp;[" &amp; TEXT(BK$6,"yyyymm")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-1.1428127887324198</v>
      </c>
      <c r="BO46" s="24">
        <f t="shared" si="116"/>
        <v>-6.4567300000000003</v>
      </c>
      <c r="BP46" s="24">
        <f t="shared" si="116"/>
        <v>-4.4039907681254231</v>
      </c>
      <c r="BQ46" s="24">
        <f t="shared" si="116"/>
        <v>-3.9121699999999997</v>
      </c>
      <c r="BR46" s="24">
        <f t="shared" si="116"/>
        <v>-8.5785900000000002</v>
      </c>
      <c r="BS46" s="24">
        <f t="shared" si="116"/>
        <v>-5.6489200000000004</v>
      </c>
      <c r="BT46" s="24">
        <f t="shared" si="116"/>
        <v>-1.9269500000000002</v>
      </c>
    </row>
    <row r="47" spans="1:72" x14ac:dyDescent="0.25">
      <c r="C47" s="3" t="s">
        <v>58</v>
      </c>
      <c r="D47" s="10">
        <f>SUM(D44:D46)</f>
        <v>-349.70864999999992</v>
      </c>
      <c r="E47" s="10">
        <f t="shared" ref="E47" si="117">SUM(E44:E46)</f>
        <v>-333.63431000000003</v>
      </c>
      <c r="F47" s="10">
        <f t="shared" ref="F47" si="118">SUM(F44:F46)</f>
        <v>-384.20549</v>
      </c>
      <c r="G47" s="10">
        <f t="shared" ref="G47" si="119">SUM(G44:G46)</f>
        <v>-389.51580999999999</v>
      </c>
      <c r="H47" s="10">
        <f t="shared" ref="H47" si="120">SUM(H44:H46)</f>
        <v>-418.00145999999995</v>
      </c>
      <c r="I47" s="10">
        <f t="shared" ref="I47" si="121">SUM(I44:I46)</f>
        <v>-419.06023999999996</v>
      </c>
      <c r="J47" s="10">
        <f t="shared" ref="J47" si="122">SUM(J44:J46)</f>
        <v>-452.58657221999994</v>
      </c>
      <c r="K47" s="10">
        <f t="shared" ref="K47" si="123">SUM(K44:K46)</f>
        <v>-463.70666592000003</v>
      </c>
      <c r="L47" s="10">
        <f t="shared" ref="L47" si="124">SUM(L44:L46)</f>
        <v>-454.06308961999997</v>
      </c>
      <c r="M47" s="10">
        <f t="shared" ref="M47" si="125">SUM(M44:M46)</f>
        <v>-474.15133800000001</v>
      </c>
      <c r="N47" s="10">
        <f t="shared" ref="N47" si="126">SUM(N44:N46)</f>
        <v>-463.01195989999997</v>
      </c>
      <c r="O47" s="10">
        <f t="shared" ref="O47" si="127">SUM(O44:O46)</f>
        <v>-477.32232964000008</v>
      </c>
      <c r="P47" s="10">
        <f t="shared" ref="P47" si="128">SUM(P44:P46)</f>
        <v>-470.14958367999998</v>
      </c>
      <c r="Q47" s="10">
        <f t="shared" ref="Q47" si="129">SUM(Q44:Q46)</f>
        <v>-445.31233264000002</v>
      </c>
      <c r="R47" s="10">
        <f t="shared" ref="R47" si="130">SUM(R44:R46)</f>
        <v>-478.27097392000002</v>
      </c>
      <c r="S47" s="10">
        <f t="shared" ref="S47" si="131">SUM(S44:S46)</f>
        <v>-456.55790928000005</v>
      </c>
      <c r="T47" s="10">
        <f t="shared" ref="T47" si="132">SUM(T44:T46)</f>
        <v>-471.75011000000001</v>
      </c>
      <c r="U47" s="10">
        <f t="shared" ref="U47" si="133">SUM(U44:U46)</f>
        <v>-453.03220309999995</v>
      </c>
      <c r="V47" s="10">
        <f t="shared" ref="V47" si="134">SUM(V44:V46)</f>
        <v>-472.24754910000001</v>
      </c>
      <c r="W47" s="10">
        <f t="shared" ref="W47" si="135">SUM(W44:W46)</f>
        <v>-476.85950014999997</v>
      </c>
      <c r="X47" s="10">
        <f t="shared" ref="X47" si="136">SUM(X44:X46)</f>
        <v>-464.9379010400001</v>
      </c>
      <c r="Y47" s="10">
        <f t="shared" ref="Y47" si="137">SUM(Y44:Y46)</f>
        <v>-474.33385776</v>
      </c>
      <c r="Z47" s="10">
        <f t="shared" ref="Z47" si="138">SUM(Z44:Z46)</f>
        <v>-464.29940546</v>
      </c>
      <c r="AA47" s="10">
        <f t="shared" ref="AA47" si="139">SUM(AA44:AA46)</f>
        <v>-469.49311934999992</v>
      </c>
      <c r="AB47" s="10">
        <f t="shared" ref="AB47" si="140">SUM(AB44:AB46)</f>
        <v>-463.94115364999999</v>
      </c>
      <c r="AC47" s="10">
        <f t="shared" ref="AC47" si="141">SUM(AC44:AC46)</f>
        <v>-414.18987499999992</v>
      </c>
      <c r="AD47" s="10">
        <f t="shared" ref="AD47" si="142">SUM(AD44:AD46)</f>
        <v>-461.98607896999999</v>
      </c>
      <c r="AE47" s="10">
        <f t="shared" ref="AE47" si="143">SUM(AE44:AE46)</f>
        <v>-438.3008221</v>
      </c>
      <c r="AF47" s="10">
        <f t="shared" ref="AF47" si="144">SUM(AF44:AF46)</f>
        <v>-447.2208698</v>
      </c>
      <c r="AG47" s="10">
        <f t="shared" ref="AG47" si="145">SUM(AG44:AG46)</f>
        <v>-434.55445472000002</v>
      </c>
      <c r="AH47" s="10">
        <f t="shared" ref="AH47" si="146">SUM(AH44:AH46)</f>
        <v>-444.64635591999996</v>
      </c>
      <c r="AI47" s="10">
        <f t="shared" ref="AI47" si="147">SUM(AI44:AI46)</f>
        <v>-435.91189785</v>
      </c>
      <c r="AJ47" s="10">
        <f t="shared" ref="AJ47" si="148">SUM(AJ44:AJ46)</f>
        <v>-412.37038568999992</v>
      </c>
      <c r="AK47" s="10">
        <f t="shared" ref="AK47" si="149">SUM(AK44:AK46)</f>
        <v>-421.29390367999997</v>
      </c>
      <c r="AL47" s="10">
        <f t="shared" ref="AL47" si="150">SUM(AL44:AL46)</f>
        <v>-403.29334332999997</v>
      </c>
      <c r="AM47" s="10">
        <f t="shared" ref="AM47" si="151">SUM(AM44:AM46)</f>
        <v>-411.46774979999998</v>
      </c>
      <c r="AN47" s="10">
        <f t="shared" ref="AN47" si="152">SUM(AN44:AN46)</f>
        <v>-406.07147232</v>
      </c>
      <c r="AO47" s="10">
        <f t="shared" ref="AO47" si="153">SUM(AO44:AO46)</f>
        <v>-363.69489131</v>
      </c>
      <c r="AP47" s="10">
        <f t="shared" ref="AP47" si="154">SUM(AP44:AP46)</f>
        <v>-403.46650500000004</v>
      </c>
      <c r="AQ47" s="10">
        <f t="shared" ref="AQ47" si="155">SUM(AQ44:AQ46)</f>
        <v>-386.64627852000001</v>
      </c>
      <c r="AR47" s="10">
        <f t="shared" ref="AR47" si="156">SUM(AR44:AR46)</f>
        <v>-403.30700011815736</v>
      </c>
      <c r="AS47" s="10">
        <f t="shared" ref="AS47" si="157">SUM(AS44:AS46)</f>
        <v>-400.70362554999997</v>
      </c>
      <c r="AT47" s="10">
        <f t="shared" ref="AT47" si="158">SUM(AT44:AT46)</f>
        <v>0</v>
      </c>
      <c r="AU47" s="10">
        <f t="shared" ref="AU47" si="159">SUM(AU44:AU46)</f>
        <v>0</v>
      </c>
      <c r="AV47" s="10">
        <f t="shared" ref="AV47" si="160">SUM(AV44:AV46)</f>
        <v>0</v>
      </c>
      <c r="AW47" s="10">
        <f t="shared" ref="AW47" si="161">SUM(AW44:AW46)</f>
        <v>0</v>
      </c>
      <c r="AX47" s="10">
        <f t="shared" ref="AX47" si="162">SUM(AX44:AX46)</f>
        <v>0</v>
      </c>
      <c r="AY47" s="10">
        <f t="shared" ref="AY47" si="163">SUM(AY44:AY46)</f>
        <v>0</v>
      </c>
      <c r="AZ47" s="10">
        <f>SUM(AZ44:AZ46)</f>
        <v>-429.30155237219913</v>
      </c>
      <c r="BA47" s="10">
        <f t="shared" ref="BA47" si="164">SUM(BA44:BA46)</f>
        <v>-391.29465822897401</v>
      </c>
      <c r="BB47" s="10">
        <f t="shared" ref="BB47" si="165">SUM(BB44:BB46)</f>
        <v>-439.07135624214851</v>
      </c>
      <c r="BC47" s="10">
        <f t="shared" ref="BC47" si="166">SUM(BC44:BC46)</f>
        <v>-428.73507510273021</v>
      </c>
      <c r="BD47" s="10">
        <f t="shared" ref="BD47" si="167">SUM(BD44:BD46)</f>
        <v>-451.45451629439026</v>
      </c>
      <c r="BE47" s="10">
        <f t="shared" ref="BE47" si="168">SUM(BE44:BE46)</f>
        <v>-445.33637850382621</v>
      </c>
      <c r="BF47" s="10">
        <f t="shared" ref="BF47" si="169">SUM(BF44:BF46)</f>
        <v>-469.23226142912807</v>
      </c>
      <c r="BG47" s="10">
        <f t="shared" ref="BG47" si="170">SUM(BG44:BG46)</f>
        <v>-478.46035930391514</v>
      </c>
      <c r="BH47" s="10">
        <f t="shared" ref="BH47" si="171">SUM(BH44:BH46)</f>
        <v>-483.51413784598196</v>
      </c>
      <c r="BI47" s="10">
        <f t="shared" ref="BI47" si="172">SUM(BI44:BI46)</f>
        <v>-519.06940723330854</v>
      </c>
      <c r="BJ47" s="10">
        <f t="shared" ref="BJ47" si="173">SUM(BJ44:BJ46)</f>
        <v>-521.07934787432453</v>
      </c>
      <c r="BK47" s="10">
        <f t="shared" ref="BK47" si="174">SUM(BK44:BK46)</f>
        <v>-555.28184668259621</v>
      </c>
      <c r="BO47" s="23">
        <f>SUM(BO44:BO46)</f>
        <v>-1963.1861472681574</v>
      </c>
      <c r="BP47" s="23">
        <f t="shared" ref="BP47" si="175">SUM(BP44:BP46)</f>
        <v>-2139.857158240442</v>
      </c>
      <c r="BQ47" s="23">
        <f t="shared" ref="BQ47" si="176">SUM(BQ44:BQ46)</f>
        <v>-1559.8791471499999</v>
      </c>
      <c r="BR47" s="23">
        <f t="shared" ref="BR47" si="177">SUM(BR44:BR46)</f>
        <v>-2225.6387995200002</v>
      </c>
      <c r="BS47" s="23">
        <f t="shared" ref="BS47" si="178">SUM(BS44:BS46)</f>
        <v>-2322.0409095200002</v>
      </c>
      <c r="BT47" s="23">
        <f t="shared" ref="BT47" si="179">SUM(BT44:BT46)</f>
        <v>-1875.0657199999998</v>
      </c>
    </row>
    <row r="50" spans="1:72" outlineLevel="1" x14ac:dyDescent="0.25">
      <c r="A50" s="11"/>
      <c r="C50" s="2" t="s">
        <v>0</v>
      </c>
      <c r="D50" s="8">
        <f>D38+D44</f>
        <v>316.74303767999987</v>
      </c>
      <c r="E50" s="8">
        <f t="shared" ref="E50:AY50" si="180">E38+E44</f>
        <v>335.10092496000004</v>
      </c>
      <c r="F50" s="8">
        <f t="shared" si="180"/>
        <v>286.74169296000014</v>
      </c>
      <c r="G50" s="8">
        <f t="shared" si="180"/>
        <v>282.97400388000011</v>
      </c>
      <c r="H50" s="8">
        <f t="shared" si="180"/>
        <v>272.24441454000004</v>
      </c>
      <c r="I50" s="8">
        <f t="shared" si="180"/>
        <v>286.83570008999993</v>
      </c>
      <c r="J50" s="8">
        <f t="shared" si="180"/>
        <v>266.47040278000014</v>
      </c>
      <c r="K50" s="8">
        <f t="shared" si="180"/>
        <v>256.38931762000004</v>
      </c>
      <c r="L50" s="8">
        <f t="shared" si="180"/>
        <v>276.12879099999998</v>
      </c>
      <c r="M50" s="8">
        <f t="shared" si="180"/>
        <v>249.58696176000001</v>
      </c>
      <c r="N50" s="8">
        <f t="shared" si="180"/>
        <v>260.20753629000023</v>
      </c>
      <c r="O50" s="8">
        <f t="shared" si="180"/>
        <v>244.9761681600001</v>
      </c>
      <c r="P50" s="8">
        <f t="shared" si="180"/>
        <v>242.09985032000003</v>
      </c>
      <c r="Q50" s="8">
        <f t="shared" si="180"/>
        <v>271.22249116000006</v>
      </c>
      <c r="R50" s="8">
        <f t="shared" si="180"/>
        <v>251.95734410000017</v>
      </c>
      <c r="S50" s="8">
        <f t="shared" si="180"/>
        <v>243.19343825999988</v>
      </c>
      <c r="T50" s="8">
        <f t="shared" si="180"/>
        <v>236.94715346999988</v>
      </c>
      <c r="U50" s="8">
        <f t="shared" si="180"/>
        <v>249.94640671000008</v>
      </c>
      <c r="V50" s="8">
        <f t="shared" si="180"/>
        <v>239.12260341999996</v>
      </c>
      <c r="W50" s="8">
        <f t="shared" si="180"/>
        <v>242.79000078999997</v>
      </c>
      <c r="X50" s="8">
        <f t="shared" si="180"/>
        <v>270.80135176999994</v>
      </c>
      <c r="Y50" s="8">
        <f t="shared" si="180"/>
        <v>282.76955052000005</v>
      </c>
      <c r="Z50" s="8">
        <f t="shared" si="180"/>
        <v>285.97650819999996</v>
      </c>
      <c r="AA50" s="8">
        <f t="shared" si="180"/>
        <v>273.7375150000002</v>
      </c>
      <c r="AB50" s="8">
        <f t="shared" si="180"/>
        <v>264.23873089000006</v>
      </c>
      <c r="AC50" s="8">
        <f t="shared" si="180"/>
        <v>308.38096438000008</v>
      </c>
      <c r="AD50" s="8">
        <f t="shared" si="180"/>
        <v>283.66321693999998</v>
      </c>
      <c r="AE50" s="8">
        <f t="shared" si="180"/>
        <v>296.30071874000004</v>
      </c>
      <c r="AF50" s="8">
        <f t="shared" si="180"/>
        <v>288.05292935999978</v>
      </c>
      <c r="AG50" s="8">
        <f t="shared" si="180"/>
        <v>311.92493056999996</v>
      </c>
      <c r="AH50" s="8">
        <f t="shared" si="180"/>
        <v>294.64602193000007</v>
      </c>
      <c r="AI50" s="8">
        <f t="shared" si="180"/>
        <v>298.31792389000003</v>
      </c>
      <c r="AJ50" s="8">
        <f t="shared" si="180"/>
        <v>309.9041727799999</v>
      </c>
      <c r="AK50" s="8">
        <f t="shared" si="180"/>
        <v>287.6537303500001</v>
      </c>
      <c r="AL50" s="8">
        <f t="shared" si="180"/>
        <v>302.09085739</v>
      </c>
      <c r="AM50" s="8">
        <f t="shared" si="180"/>
        <v>293.65745229000021</v>
      </c>
      <c r="AN50" s="8">
        <f t="shared" si="180"/>
        <v>285.15084943000011</v>
      </c>
      <c r="AO50" s="8">
        <f t="shared" si="180"/>
        <v>328.87161448000006</v>
      </c>
      <c r="AP50" s="8">
        <f t="shared" si="180"/>
        <v>299.52244799999988</v>
      </c>
      <c r="AQ50" s="8">
        <f t="shared" si="180"/>
        <v>311.48594333999995</v>
      </c>
      <c r="AR50" s="8">
        <f t="shared" si="180"/>
        <v>292.39570162184265</v>
      </c>
      <c r="AS50" s="8">
        <f t="shared" si="180"/>
        <v>317.39680683000006</v>
      </c>
      <c r="AT50" s="8">
        <f t="shared" si="180"/>
        <v>0</v>
      </c>
      <c r="AU50" s="8">
        <f t="shared" si="180"/>
        <v>0</v>
      </c>
      <c r="AV50" s="8">
        <f t="shared" si="180"/>
        <v>0</v>
      </c>
      <c r="AW50" s="8">
        <f t="shared" si="180"/>
        <v>0</v>
      </c>
      <c r="AX50" s="8">
        <f t="shared" si="180"/>
        <v>0</v>
      </c>
      <c r="AY50" s="8">
        <f t="shared" si="180"/>
        <v>0</v>
      </c>
      <c r="AZ50" s="8">
        <f t="shared" ref="AZ50:BK50" si="181">AZ38+AZ44</f>
        <v>324.41229665244327</v>
      </c>
      <c r="BA50" s="8">
        <f t="shared" si="181"/>
        <v>376.1307629733065</v>
      </c>
      <c r="BB50" s="8">
        <f t="shared" si="181"/>
        <v>332.17936383582406</v>
      </c>
      <c r="BC50" s="8">
        <f t="shared" si="181"/>
        <v>353.03897451528246</v>
      </c>
      <c r="BD50" s="8">
        <f t="shared" si="181"/>
        <v>344.39029177974822</v>
      </c>
      <c r="BE50" s="8">
        <f t="shared" si="181"/>
        <v>364.48994492453625</v>
      </c>
      <c r="BF50" s="8">
        <f t="shared" si="181"/>
        <v>356.45407418155253</v>
      </c>
      <c r="BG50" s="8">
        <f t="shared" si="181"/>
        <v>362.75666002620142</v>
      </c>
      <c r="BH50" s="8">
        <f t="shared" si="181"/>
        <v>392.7862182702072</v>
      </c>
      <c r="BI50" s="8">
        <f t="shared" si="181"/>
        <v>379.63237311800674</v>
      </c>
      <c r="BJ50" s="8">
        <f t="shared" si="181"/>
        <v>393.66387971124584</v>
      </c>
      <c r="BK50" s="8">
        <f t="shared" si="181"/>
        <v>383.38081846874559</v>
      </c>
      <c r="BO50" s="24">
        <f>BO38+BO44</f>
        <v>1517.4265568718424</v>
      </c>
      <c r="BP50" s="24">
        <f t="shared" ref="BP50:BT50" si="182">BP38+BP44</f>
        <v>1730.1516897566044</v>
      </c>
      <c r="BQ50" s="24">
        <f t="shared" si="182"/>
        <v>1225.0308552500001</v>
      </c>
      <c r="BR50" s="24">
        <f t="shared" si="182"/>
        <v>1440.6365603099994</v>
      </c>
      <c r="BS50" s="24">
        <f t="shared" si="182"/>
        <v>1245.4202773099996</v>
      </c>
      <c r="BT50" s="24">
        <f t="shared" si="182"/>
        <v>1493.8040740200004</v>
      </c>
    </row>
    <row r="51" spans="1:72" outlineLevel="1" x14ac:dyDescent="0.25">
      <c r="A51" s="11"/>
      <c r="C51" s="2" t="s">
        <v>1</v>
      </c>
      <c r="D51" s="8">
        <f t="shared" ref="D51:AY51" si="183">D39+D45</f>
        <v>0.72592301999999997</v>
      </c>
      <c r="E51" s="8">
        <f t="shared" si="183"/>
        <v>0.35667926</v>
      </c>
      <c r="F51" s="8">
        <f t="shared" si="183"/>
        <v>0.45423908000000013</v>
      </c>
      <c r="G51" s="8">
        <f t="shared" si="183"/>
        <v>7.0324810000000001E-2</v>
      </c>
      <c r="H51" s="8">
        <f t="shared" si="183"/>
        <v>0.11312289999999998</v>
      </c>
      <c r="I51" s="8">
        <f t="shared" si="183"/>
        <v>5.5845839999999994E-2</v>
      </c>
      <c r="J51" s="8">
        <f t="shared" si="183"/>
        <v>4.8498040000000006E-2</v>
      </c>
      <c r="K51" s="8">
        <f t="shared" si="183"/>
        <v>5.4843869999999989E-2</v>
      </c>
      <c r="L51" s="8">
        <f t="shared" si="183"/>
        <v>4.4588409999999995E-2</v>
      </c>
      <c r="M51" s="8">
        <f t="shared" si="183"/>
        <v>4.5839690000000002E-2</v>
      </c>
      <c r="N51" s="8">
        <f t="shared" si="183"/>
        <v>4.2244799999999999E-2</v>
      </c>
      <c r="O51" s="8">
        <f t="shared" si="183"/>
        <v>4.1664980000000004E-2</v>
      </c>
      <c r="P51" s="8">
        <f t="shared" si="183"/>
        <v>3.4239209999999999E-2</v>
      </c>
      <c r="Q51" s="8">
        <f t="shared" si="183"/>
        <v>3.4916290000000003E-2</v>
      </c>
      <c r="R51" s="8">
        <f t="shared" si="183"/>
        <v>3.6011139999999997E-2</v>
      </c>
      <c r="S51" s="8">
        <f t="shared" si="183"/>
        <v>3.1815880000000005E-2</v>
      </c>
      <c r="T51" s="8">
        <f t="shared" si="183"/>
        <v>3.1181760000000003E-2</v>
      </c>
      <c r="U51" s="8">
        <f t="shared" si="183"/>
        <v>2.279598E-2</v>
      </c>
      <c r="V51" s="8">
        <f t="shared" si="183"/>
        <v>2.6436139999999997E-2</v>
      </c>
      <c r="W51" s="8">
        <f t="shared" si="183"/>
        <v>2.3956490000000004E-2</v>
      </c>
      <c r="X51" s="8">
        <f t="shared" si="183"/>
        <v>2.079754E-2</v>
      </c>
      <c r="Y51" s="8">
        <f t="shared" si="183"/>
        <v>1.914708E-2</v>
      </c>
      <c r="Z51" s="8">
        <f t="shared" si="183"/>
        <v>1.3430370000000004E-2</v>
      </c>
      <c r="AA51" s="8">
        <f t="shared" si="183"/>
        <v>1.2062599999999996E-3</v>
      </c>
      <c r="AB51" s="8">
        <f t="shared" si="183"/>
        <v>0</v>
      </c>
      <c r="AC51" s="8">
        <f t="shared" si="183"/>
        <v>0</v>
      </c>
      <c r="AD51" s="8">
        <f t="shared" si="183"/>
        <v>0</v>
      </c>
      <c r="AE51" s="8">
        <f t="shared" si="183"/>
        <v>0</v>
      </c>
      <c r="AF51" s="8">
        <f t="shared" si="183"/>
        <v>0</v>
      </c>
      <c r="AG51" s="8">
        <f t="shared" si="183"/>
        <v>0</v>
      </c>
      <c r="AH51" s="8">
        <f t="shared" si="183"/>
        <v>0</v>
      </c>
      <c r="AI51" s="8">
        <f t="shared" si="183"/>
        <v>0</v>
      </c>
      <c r="AJ51" s="8">
        <f t="shared" si="183"/>
        <v>0</v>
      </c>
      <c r="AK51" s="8">
        <f t="shared" si="183"/>
        <v>0</v>
      </c>
      <c r="AL51" s="8">
        <f t="shared" si="183"/>
        <v>0</v>
      </c>
      <c r="AM51" s="8">
        <f t="shared" si="183"/>
        <v>0</v>
      </c>
      <c r="AN51" s="8">
        <f t="shared" si="183"/>
        <v>0</v>
      </c>
      <c r="AO51" s="8">
        <f t="shared" si="183"/>
        <v>0</v>
      </c>
      <c r="AP51" s="8">
        <f t="shared" si="183"/>
        <v>0</v>
      </c>
      <c r="AQ51" s="8">
        <f t="shared" si="183"/>
        <v>0</v>
      </c>
      <c r="AR51" s="8">
        <f t="shared" si="183"/>
        <v>0</v>
      </c>
      <c r="AS51" s="8">
        <f t="shared" si="183"/>
        <v>0</v>
      </c>
      <c r="AT51" s="8">
        <f t="shared" si="183"/>
        <v>0</v>
      </c>
      <c r="AU51" s="8">
        <f t="shared" si="183"/>
        <v>0</v>
      </c>
      <c r="AV51" s="8">
        <f t="shared" si="183"/>
        <v>0</v>
      </c>
      <c r="AW51" s="8">
        <f t="shared" si="183"/>
        <v>0</v>
      </c>
      <c r="AX51" s="8">
        <f t="shared" si="183"/>
        <v>0</v>
      </c>
      <c r="AY51" s="8">
        <f t="shared" si="183"/>
        <v>0</v>
      </c>
      <c r="AZ51" s="8">
        <f t="shared" ref="AZ51:BK51" si="184">AZ39+AZ45</f>
        <v>0</v>
      </c>
      <c r="BA51" s="8">
        <f t="shared" si="184"/>
        <v>0</v>
      </c>
      <c r="BB51" s="8">
        <f t="shared" si="184"/>
        <v>0</v>
      </c>
      <c r="BC51" s="8">
        <f t="shared" si="184"/>
        <v>0</v>
      </c>
      <c r="BD51" s="8">
        <f t="shared" si="184"/>
        <v>0</v>
      </c>
      <c r="BE51" s="8">
        <f t="shared" si="184"/>
        <v>0</v>
      </c>
      <c r="BF51" s="8">
        <f t="shared" si="184"/>
        <v>0</v>
      </c>
      <c r="BG51" s="8">
        <f t="shared" si="184"/>
        <v>0</v>
      </c>
      <c r="BH51" s="8">
        <f t="shared" si="184"/>
        <v>0</v>
      </c>
      <c r="BI51" s="8">
        <f t="shared" si="184"/>
        <v>0</v>
      </c>
      <c r="BJ51" s="8">
        <f t="shared" si="184"/>
        <v>0</v>
      </c>
      <c r="BK51" s="8">
        <f t="shared" si="184"/>
        <v>0</v>
      </c>
      <c r="BO51" s="24">
        <f t="shared" ref="BO51:BT51" si="185">BO39+BO45</f>
        <v>0</v>
      </c>
      <c r="BP51" s="24">
        <f t="shared" si="185"/>
        <v>0</v>
      </c>
      <c r="BQ51" s="24">
        <f t="shared" si="185"/>
        <v>0</v>
      </c>
      <c r="BR51" s="24">
        <f t="shared" si="185"/>
        <v>0</v>
      </c>
      <c r="BS51" s="24">
        <f t="shared" si="185"/>
        <v>0.16816428</v>
      </c>
      <c r="BT51" s="24">
        <f t="shared" si="185"/>
        <v>1.72028907</v>
      </c>
    </row>
    <row r="52" spans="1:72" outlineLevel="1" x14ac:dyDescent="0.25">
      <c r="A52" s="11"/>
      <c r="C52" s="2" t="s">
        <v>45</v>
      </c>
      <c r="D52" s="8">
        <f t="shared" ref="D52:AY52" si="186">D40+D46</f>
        <v>2.9906949999999988E-2</v>
      </c>
      <c r="E52" s="8">
        <f t="shared" si="186"/>
        <v>0.9176888700000001</v>
      </c>
      <c r="F52" s="8">
        <f t="shared" si="186"/>
        <v>1.64677527</v>
      </c>
      <c r="G52" s="8">
        <f t="shared" si="186"/>
        <v>1.1899984400000001</v>
      </c>
      <c r="H52" s="8">
        <f t="shared" si="186"/>
        <v>2.2687558399999999</v>
      </c>
      <c r="I52" s="8">
        <f t="shared" si="186"/>
        <v>9.4933729999999938E-2</v>
      </c>
      <c r="J52" s="8">
        <f t="shared" si="186"/>
        <v>0.39892213000000004</v>
      </c>
      <c r="K52" s="8">
        <f t="shared" si="186"/>
        <v>-0.28425869999999998</v>
      </c>
      <c r="L52" s="8">
        <f t="shared" si="186"/>
        <v>1.0554568800000002</v>
      </c>
      <c r="M52" s="8">
        <f t="shared" si="186"/>
        <v>1.9428089599999998</v>
      </c>
      <c r="N52" s="8">
        <f t="shared" si="186"/>
        <v>1.9704421700000001</v>
      </c>
      <c r="O52" s="8">
        <f t="shared" si="186"/>
        <v>4.2388973499999985</v>
      </c>
      <c r="P52" s="8">
        <f t="shared" si="186"/>
        <v>1.4473336999999999</v>
      </c>
      <c r="Q52" s="8">
        <f t="shared" si="186"/>
        <v>3.6186018000000004</v>
      </c>
      <c r="R52" s="8">
        <f t="shared" si="186"/>
        <v>-5.4042389999999885E-2</v>
      </c>
      <c r="S52" s="8">
        <f t="shared" si="186"/>
        <v>-0.74561206000000002</v>
      </c>
      <c r="T52" s="8">
        <f t="shared" si="186"/>
        <v>0.66674020000000001</v>
      </c>
      <c r="U52" s="8">
        <f t="shared" si="186"/>
        <v>2.7500141900000012</v>
      </c>
      <c r="V52" s="8">
        <f t="shared" si="186"/>
        <v>-0.58168442999999992</v>
      </c>
      <c r="W52" s="8">
        <f t="shared" si="186"/>
        <v>0.47282117000000001</v>
      </c>
      <c r="X52" s="8">
        <f t="shared" si="186"/>
        <v>0.40988593999999967</v>
      </c>
      <c r="Y52" s="8">
        <f t="shared" si="186"/>
        <v>-0.65325356000000001</v>
      </c>
      <c r="Z52" s="8">
        <f t="shared" si="186"/>
        <v>-2.1981639299999998</v>
      </c>
      <c r="AA52" s="8">
        <f t="shared" si="186"/>
        <v>-3.6842501699999999</v>
      </c>
      <c r="AB52" s="8">
        <f t="shared" si="186"/>
        <v>-3.2138600100000003</v>
      </c>
      <c r="AC52" s="8">
        <f t="shared" si="186"/>
        <v>-0.36413141000000004</v>
      </c>
      <c r="AD52" s="8">
        <f t="shared" si="186"/>
        <v>0.46870482000000013</v>
      </c>
      <c r="AE52" s="8">
        <f t="shared" si="186"/>
        <v>-0.65659341999999998</v>
      </c>
      <c r="AF52" s="8">
        <f t="shared" si="186"/>
        <v>-0.49091523000000004</v>
      </c>
      <c r="AG52" s="8">
        <f t="shared" si="186"/>
        <v>-0.80970187999999998</v>
      </c>
      <c r="AH52" s="8">
        <f t="shared" si="186"/>
        <v>-0.58046326999999986</v>
      </c>
      <c r="AI52" s="8">
        <f t="shared" si="186"/>
        <v>-0.4532349</v>
      </c>
      <c r="AJ52" s="8">
        <f t="shared" si="186"/>
        <v>4.0139966099999995</v>
      </c>
      <c r="AK52" s="8">
        <f t="shared" si="186"/>
        <v>0.65756069000000006</v>
      </c>
      <c r="AL52" s="8">
        <f t="shared" si="186"/>
        <v>0.37436389000000003</v>
      </c>
      <c r="AM52" s="8">
        <f t="shared" si="186"/>
        <v>-0.12336233000000008</v>
      </c>
      <c r="AN52" s="8">
        <f t="shared" si="186"/>
        <v>8.2290944200000009</v>
      </c>
      <c r="AO52" s="8">
        <f t="shared" si="186"/>
        <v>-0.10190456000000003</v>
      </c>
      <c r="AP52" s="8">
        <f t="shared" si="186"/>
        <v>-0.10344970999999981</v>
      </c>
      <c r="AQ52" s="8">
        <f t="shared" si="186"/>
        <v>0.97777024999999973</v>
      </c>
      <c r="AR52" s="8">
        <f t="shared" si="186"/>
        <v>-0.48820409999999992</v>
      </c>
      <c r="AS52" s="8">
        <f t="shared" si="186"/>
        <v>1.0981153299999997</v>
      </c>
      <c r="AT52" s="8">
        <f t="shared" si="186"/>
        <v>0</v>
      </c>
      <c r="AU52" s="8">
        <f t="shared" si="186"/>
        <v>0</v>
      </c>
      <c r="AV52" s="8">
        <f t="shared" si="186"/>
        <v>0</v>
      </c>
      <c r="AW52" s="8">
        <f t="shared" si="186"/>
        <v>0</v>
      </c>
      <c r="AX52" s="8">
        <f t="shared" si="186"/>
        <v>0</v>
      </c>
      <c r="AY52" s="8">
        <f t="shared" si="186"/>
        <v>0</v>
      </c>
      <c r="AZ52" s="8">
        <f t="shared" ref="AZ52:BK52" si="187">AZ40+AZ46</f>
        <v>4.190828949752599</v>
      </c>
      <c r="BA52" s="8">
        <f t="shared" si="187"/>
        <v>4.3619985511776243</v>
      </c>
      <c r="BB52" s="8">
        <f t="shared" si="187"/>
        <v>4.2887916386356091</v>
      </c>
      <c r="BC52" s="8">
        <f t="shared" si="187"/>
        <v>4.3811391590038031</v>
      </c>
      <c r="BD52" s="8">
        <f t="shared" si="187"/>
        <v>4.4289079308582968</v>
      </c>
      <c r="BE52" s="8">
        <f t="shared" si="187"/>
        <v>4.535825169073739</v>
      </c>
      <c r="BF52" s="8">
        <f t="shared" si="187"/>
        <v>4.5932166686807223</v>
      </c>
      <c r="BG52" s="8">
        <f t="shared" si="187"/>
        <v>4.678779274011708</v>
      </c>
      <c r="BH52" s="8">
        <f t="shared" si="187"/>
        <v>4.9047832259794193</v>
      </c>
      <c r="BI52" s="8">
        <f t="shared" si="187"/>
        <v>4.9821086911418417</v>
      </c>
      <c r="BJ52" s="8">
        <f t="shared" si="187"/>
        <v>5.086069693340856</v>
      </c>
      <c r="BK52" s="8">
        <f t="shared" si="187"/>
        <v>5.1764300215811359</v>
      </c>
      <c r="BO52" s="24">
        <f t="shared" ref="BO52:BT52" si="188">BO40+BO46</f>
        <v>8.5133063000000018</v>
      </c>
      <c r="BP52" s="24">
        <f t="shared" si="188"/>
        <v>21.651666229427931</v>
      </c>
      <c r="BQ52" s="24">
        <f t="shared" si="188"/>
        <v>9.0015104000000026</v>
      </c>
      <c r="BR52" s="24">
        <f t="shared" si="188"/>
        <v>-4.2567952500000006</v>
      </c>
      <c r="BS52" s="24">
        <f t="shared" si="188"/>
        <v>4.9330212500000012</v>
      </c>
      <c r="BT52" s="24">
        <f t="shared" si="188"/>
        <v>6.0531253700000001</v>
      </c>
    </row>
    <row r="53" spans="1:72" x14ac:dyDescent="0.25">
      <c r="C53" s="3" t="s">
        <v>66</v>
      </c>
      <c r="D53" s="10">
        <f t="shared" ref="D53:AY53" si="189">D41+D47</f>
        <v>317.49886764999985</v>
      </c>
      <c r="E53" s="10">
        <f t="shared" si="189"/>
        <v>336.37529309000001</v>
      </c>
      <c r="F53" s="10">
        <f t="shared" si="189"/>
        <v>288.84270731000009</v>
      </c>
      <c r="G53" s="10">
        <f t="shared" si="189"/>
        <v>284.23432713000011</v>
      </c>
      <c r="H53" s="10">
        <f t="shared" si="189"/>
        <v>274.62629328000014</v>
      </c>
      <c r="I53" s="10">
        <f t="shared" si="189"/>
        <v>286.98647965999993</v>
      </c>
      <c r="J53" s="10">
        <f t="shared" si="189"/>
        <v>266.91782295000013</v>
      </c>
      <c r="K53" s="10">
        <f t="shared" si="189"/>
        <v>256.1599027900001</v>
      </c>
      <c r="L53" s="10">
        <f t="shared" si="189"/>
        <v>277.22883628999995</v>
      </c>
      <c r="M53" s="10">
        <f t="shared" si="189"/>
        <v>251.57561041000008</v>
      </c>
      <c r="N53" s="10">
        <f t="shared" si="189"/>
        <v>262.22022326000024</v>
      </c>
      <c r="O53" s="10">
        <f t="shared" si="189"/>
        <v>249.25673049000005</v>
      </c>
      <c r="P53" s="10">
        <f t="shared" si="189"/>
        <v>243.58142323000004</v>
      </c>
      <c r="Q53" s="10">
        <f t="shared" si="189"/>
        <v>274.87600925000015</v>
      </c>
      <c r="R53" s="10">
        <f t="shared" si="189"/>
        <v>251.93931285000014</v>
      </c>
      <c r="S53" s="10">
        <f t="shared" si="189"/>
        <v>242.47964207999991</v>
      </c>
      <c r="T53" s="10">
        <f t="shared" si="189"/>
        <v>237.64507542999985</v>
      </c>
      <c r="U53" s="10">
        <f t="shared" si="189"/>
        <v>252.71921688000009</v>
      </c>
      <c r="V53" s="10">
        <f t="shared" si="189"/>
        <v>238.56735513000001</v>
      </c>
      <c r="W53" s="10">
        <f t="shared" si="189"/>
        <v>243.28677844999999</v>
      </c>
      <c r="X53" s="10">
        <f t="shared" si="189"/>
        <v>271.23203524999991</v>
      </c>
      <c r="Y53" s="10">
        <f t="shared" si="189"/>
        <v>282.13544404000004</v>
      </c>
      <c r="Z53" s="10">
        <f t="shared" si="189"/>
        <v>283.79177463999997</v>
      </c>
      <c r="AA53" s="10">
        <f t="shared" si="189"/>
        <v>270.05447109000022</v>
      </c>
      <c r="AB53" s="10">
        <f t="shared" si="189"/>
        <v>261.02487088000004</v>
      </c>
      <c r="AC53" s="10">
        <f t="shared" si="189"/>
        <v>308.01683297000011</v>
      </c>
      <c r="AD53" s="10">
        <f t="shared" si="189"/>
        <v>284.13192175999995</v>
      </c>
      <c r="AE53" s="10">
        <f t="shared" si="189"/>
        <v>295.64412532000006</v>
      </c>
      <c r="AF53" s="10">
        <f t="shared" si="189"/>
        <v>287.5620141299998</v>
      </c>
      <c r="AG53" s="10">
        <f t="shared" si="189"/>
        <v>311.11522868999992</v>
      </c>
      <c r="AH53" s="10">
        <f t="shared" si="189"/>
        <v>294.06555866000002</v>
      </c>
      <c r="AI53" s="10">
        <f t="shared" si="189"/>
        <v>297.86468899000005</v>
      </c>
      <c r="AJ53" s="10">
        <f t="shared" si="189"/>
        <v>313.91816938999989</v>
      </c>
      <c r="AK53" s="10">
        <f t="shared" si="189"/>
        <v>288.31129104000013</v>
      </c>
      <c r="AL53" s="10">
        <f t="shared" si="189"/>
        <v>302.46522128000004</v>
      </c>
      <c r="AM53" s="10">
        <f t="shared" si="189"/>
        <v>293.53408996000019</v>
      </c>
      <c r="AN53" s="10">
        <f t="shared" si="189"/>
        <v>293.37994385000013</v>
      </c>
      <c r="AO53" s="10">
        <f t="shared" si="189"/>
        <v>328.76970992000008</v>
      </c>
      <c r="AP53" s="10">
        <f t="shared" si="189"/>
        <v>299.41899828999993</v>
      </c>
      <c r="AQ53" s="10">
        <f t="shared" si="189"/>
        <v>312.46371358999988</v>
      </c>
      <c r="AR53" s="10">
        <f t="shared" si="189"/>
        <v>291.90749752184263</v>
      </c>
      <c r="AS53" s="10">
        <f t="shared" si="189"/>
        <v>318.4949221600001</v>
      </c>
      <c r="AT53" s="10">
        <f t="shared" si="189"/>
        <v>0</v>
      </c>
      <c r="AU53" s="10">
        <f t="shared" si="189"/>
        <v>0</v>
      </c>
      <c r="AV53" s="10">
        <f t="shared" si="189"/>
        <v>0</v>
      </c>
      <c r="AW53" s="10">
        <f t="shared" si="189"/>
        <v>0</v>
      </c>
      <c r="AX53" s="10">
        <f t="shared" si="189"/>
        <v>0</v>
      </c>
      <c r="AY53" s="10">
        <f t="shared" si="189"/>
        <v>0</v>
      </c>
      <c r="AZ53" s="10">
        <f t="shared" ref="AZ53:BK53" si="190">AZ41+AZ47</f>
        <v>328.60312560219586</v>
      </c>
      <c r="BA53" s="10">
        <f t="shared" si="190"/>
        <v>380.49276152448414</v>
      </c>
      <c r="BB53" s="10">
        <f t="shared" si="190"/>
        <v>336.46815547445959</v>
      </c>
      <c r="BC53" s="10">
        <f t="shared" si="190"/>
        <v>357.42011367428631</v>
      </c>
      <c r="BD53" s="10">
        <f t="shared" si="190"/>
        <v>348.81919971060654</v>
      </c>
      <c r="BE53" s="10">
        <f t="shared" si="190"/>
        <v>369.02577009360999</v>
      </c>
      <c r="BF53" s="10">
        <f t="shared" si="190"/>
        <v>361.0472908502332</v>
      </c>
      <c r="BG53" s="10">
        <f t="shared" si="190"/>
        <v>367.43543930021309</v>
      </c>
      <c r="BH53" s="10">
        <f t="shared" si="190"/>
        <v>397.69100149618657</v>
      </c>
      <c r="BI53" s="10">
        <f t="shared" si="190"/>
        <v>384.61448180914851</v>
      </c>
      <c r="BJ53" s="10">
        <f t="shared" si="190"/>
        <v>398.74994940458669</v>
      </c>
      <c r="BK53" s="10">
        <f t="shared" si="190"/>
        <v>388.55724849032674</v>
      </c>
      <c r="BO53" s="23">
        <f t="shared" ref="BO53:BT53" si="191">SUM(BO50:BO52)</f>
        <v>1525.9398631718425</v>
      </c>
      <c r="BP53" s="23">
        <f t="shared" si="191"/>
        <v>1751.8033559860323</v>
      </c>
      <c r="BQ53" s="23">
        <f t="shared" si="191"/>
        <v>1234.03236565</v>
      </c>
      <c r="BR53" s="23">
        <f t="shared" si="191"/>
        <v>1436.3797650599993</v>
      </c>
      <c r="BS53" s="23">
        <f t="shared" si="191"/>
        <v>1250.5214628399995</v>
      </c>
      <c r="BT53" s="23">
        <f t="shared" si="191"/>
        <v>1501.5774884600005</v>
      </c>
    </row>
    <row r="54" spans="1:72" x14ac:dyDescent="0.25"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O54" s="18"/>
      <c r="BP54" s="18"/>
      <c r="BQ54" s="18"/>
      <c r="BR54" s="18"/>
      <c r="BS54" s="18"/>
      <c r="BT54" s="18"/>
    </row>
    <row r="55" spans="1:72" x14ac:dyDescent="0.25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O55" s="18"/>
      <c r="BP55" s="18"/>
      <c r="BQ55" s="18"/>
      <c r="BR55" s="18"/>
      <c r="BS55" s="18"/>
      <c r="BT55" s="18"/>
    </row>
    <row r="56" spans="1:72" outlineLevel="1" x14ac:dyDescent="0.25">
      <c r="A56" s="11" t="s">
        <v>64</v>
      </c>
      <c r="C56" s="2" t="s">
        <v>67</v>
      </c>
      <c r="D56" s="8">
        <f>IFERROR(
GETPIVOTDATA(
"[Base].[Importe]",
TDinamica_R!$A$5,
"[Calendario].[AñoMes]",
"[Calendario].[AñoMes].&amp;[" &amp; TEXT(D$6,"yyyymm") &amp; "]",
"[Base].[Metrica]",
"[Base].[Metrica].&amp;[" &amp; $A56 &amp; "]",
"[Base].[SEGMENTO_DESCRIP]",
"[Base].[SEGMENTO_DESCRIP].&amp;[" &amp; $C$6 &amp; "]",
"[Base].[SITUACION]",
"[Base].[SITUACION].&amp;[" &amp; $C56 &amp; "]"
),0)/1000</f>
        <v>13.849649999989611</v>
      </c>
      <c r="E56" s="8">
        <f>IFERROR(
GETPIVOTDATA(
"[Base].[Importe]",
TDinamica_R!$A$5,
"[Calendario].[AñoMes]",
"[Calendario].[AñoMes].&amp;[" &amp; TEXT(E$6,"yyyymm") &amp; "]",
"[Base].[Metrica]",
"[Base].[Metrica].&amp;[" &amp; $A56 &amp; "]",
"[Base].[SEGMENTO_DESCRIP]",
"[Base].[SEGMENTO_DESCRIP].&amp;[" &amp; $C$6 &amp; "]",
"[Base].[SITUACION]",
"[Base].[SITUACION].&amp;[" &amp; $C56 &amp; "]"
),0)/1000</f>
        <v>-72.157080000000207</v>
      </c>
      <c r="F56" s="8">
        <f>IFERROR(
GETPIVOTDATA(
"[Base].[Importe]",
TDinamica_R!$A$5,
"[Calendario].[AñoMes]",
"[Calendario].[AñoMes].&amp;[" &amp; TEXT(F$6,"yyyymm") &amp; "]",
"[Base].[Metrica]",
"[Base].[Metrica].&amp;[" &amp; $A56 &amp; "]",
"[Base].[SEGMENTO_DESCRIP]",
"[Base].[SEGMENTO_DESCRIP].&amp;[" &amp; $C$6 &amp; "]",
"[Base].[SITUACION]",
"[Base].[SITUACION].&amp;[" &amp; $C56 &amp; "]"
),0)/1000</f>
        <v>27.540810000000302</v>
      </c>
      <c r="G56" s="8">
        <f>IFERROR(
GETPIVOTDATA(
"[Base].[Importe]",
TDinamica_R!$A$5,
"[Calendario].[AñoMes]",
"[Calendario].[AñoMes].&amp;[" &amp; TEXT(G$6,"yyyymm") &amp; "]",
"[Base].[Metrica]",
"[Base].[Metrica].&amp;[" &amp; $A56 &amp; "]",
"[Base].[SEGMENTO_DESCRIP]",
"[Base].[SEGMENTO_DESCRIP].&amp;[" &amp; $C$6 &amp; "]",
"[Base].[SITUACION]",
"[Base].[SITUACION].&amp;[" &amp; $C56 &amp; "]"
),0)/1000</f>
        <v>45.623679999990948</v>
      </c>
      <c r="H56" s="8">
        <f>IFERROR(
GETPIVOTDATA(
"[Base].[Importe]",
TDinamica_R!$A$5,
"[Calendario].[AñoMes]",
"[Calendario].[AñoMes].&amp;[" &amp; TEXT(H$6,"yyyymm") &amp; "]",
"[Base].[Metrica]",
"[Base].[Metrica].&amp;[" &amp; $A56 &amp; "]",
"[Base].[SEGMENTO_DESCRIP]",
"[Base].[SEGMENTO_DESCRIP].&amp;[" &amp; $C$6 &amp; "]",
"[Base].[SITUACION]",
"[Base].[SITUACION].&amp;[" &amp; $C56 &amp; "]"
),0)/1000</f>
        <v>-2.7605799999999014</v>
      </c>
      <c r="I56" s="8">
        <f>IFERROR(
GETPIVOTDATA(
"[Base].[Importe]",
TDinamica_R!$A$5,
"[Calendario].[AñoMes]",
"[Calendario].[AñoMes].&amp;[" &amp; TEXT(I$6,"yyyymm") &amp; "]",
"[Base].[Metrica]",
"[Base].[Metrica].&amp;[" &amp; $A56 &amp; "]",
"[Base].[SEGMENTO_DESCRIP]",
"[Base].[SEGMENTO_DESCRIP].&amp;[" &amp; $C$6 &amp; "]",
"[Base].[SITUACION]",
"[Base].[SITUACION].&amp;[" &amp; $C56 &amp; "]"
),0)/1000</f>
        <v>-7.073120000001154</v>
      </c>
      <c r="J56" s="8">
        <f>IFERROR(
GETPIVOTDATA(
"[Base].[Importe]",
TDinamica_R!$A$5,
"[Calendario].[AñoMes]",
"[Calendario].[AñoMes].&amp;[" &amp; TEXT(J$6,"yyyymm") &amp; "]",
"[Base].[Metrica]",
"[Base].[Metrica].&amp;[" &amp; $A56 &amp; "]",
"[Base].[SEGMENTO_DESCRIP]",
"[Base].[SEGMENTO_DESCRIP].&amp;[" &amp; $C$6 &amp; "]",
"[Base].[SITUACION]",
"[Base].[SITUACION].&amp;[" &amp; $C56 &amp; "]"
),0)/1000</f>
        <v>-25.611039999998983</v>
      </c>
      <c r="K56" s="8">
        <f>IFERROR(
GETPIVOTDATA(
"[Base].[Importe]",
TDinamica_R!$A$5,
"[Calendario].[AñoMes]",
"[Calendario].[AñoMes].&amp;[" &amp; TEXT(K$6,"yyyymm") &amp; "]",
"[Base].[Metrica]",
"[Base].[Metrica].&amp;[" &amp; $A56 &amp; "]",
"[Base].[SEGMENTO_DESCRIP]",
"[Base].[SEGMENTO_DESCRIP].&amp;[" &amp; $C$6 &amp; "]",
"[Base].[SITUACION]",
"[Base].[SITUACION].&amp;[" &amp; $C56 &amp; "]"
),0)/1000</f>
        <v>-12.849530000000334</v>
      </c>
      <c r="L56" s="8">
        <f>IFERROR(
GETPIVOTDATA(
"[Base].[Importe]",
TDinamica_R!$A$5,
"[Calendario].[AñoMes]",
"[Calendario].[AñoMes].&amp;[" &amp; TEXT(L$6,"yyyymm") &amp; "]",
"[Base].[Metrica]",
"[Base].[Metrica].&amp;[" &amp; $A56 &amp; "]",
"[Base].[SEGMENTO_DESCRIP]",
"[Base].[SEGMENTO_DESCRIP].&amp;[" &amp; $C$6 &amp; "]",
"[Base].[SITUACION]",
"[Base].[SITUACION].&amp;[" &amp; $C56 &amp; "]"
),0)/1000</f>
        <v>-67.054568276048713</v>
      </c>
      <c r="M56" s="8">
        <f>IFERROR(
GETPIVOTDATA(
"[Base].[Importe]",
TDinamica_R!$A$5,
"[Calendario].[AñoMes]",
"[Calendario].[AñoMes].&amp;[" &amp; TEXT(M$6,"yyyymm") &amp; "]",
"[Base].[Metrica]",
"[Base].[Metrica].&amp;[" &amp; $A56 &amp; "]",
"[Base].[SEGMENTO_DESCRIP]",
"[Base].[SEGMENTO_DESCRIP].&amp;[" &amp; $C$6 &amp; "]",
"[Base].[SITUACION]",
"[Base].[SITUACION].&amp;[" &amp; $C56 &amp; "]"
),0)/1000</f>
        <v>-82.286802731357199</v>
      </c>
      <c r="N56" s="8">
        <f>IFERROR(
GETPIVOTDATA(
"[Base].[Importe]",
TDinamica_R!$A$5,
"[Calendario].[AñoMes]",
"[Calendario].[AñoMes].&amp;[" &amp; TEXT(N$6,"yyyymm") &amp; "]",
"[Base].[Metrica]",
"[Base].[Metrica].&amp;[" &amp; $A56 &amp; "]",
"[Base].[SEGMENTO_DESCRIP]",
"[Base].[SEGMENTO_DESCRIP].&amp;[" &amp; $C$6 &amp; "]",
"[Base].[SITUACION]",
"[Base].[SITUACION].&amp;[" &amp; $C56 &amp; "]"
),0)/1000</f>
        <v>-10.991486274101433</v>
      </c>
      <c r="O56" s="8">
        <f>IFERROR(
GETPIVOTDATA(
"[Base].[Importe]",
TDinamica_R!$A$5,
"[Calendario].[AñoMes]",
"[Calendario].[AñoMes].&amp;[" &amp; TEXT(O$6,"yyyymm") &amp; "]",
"[Base].[Metrica]",
"[Base].[Metrica].&amp;[" &amp; $A56 &amp; "]",
"[Base].[SEGMENTO_DESCRIP]",
"[Base].[SEGMENTO_DESCRIP].&amp;[" &amp; $C$6 &amp; "]",
"[Base].[SITUACION]",
"[Base].[SITUACION].&amp;[" &amp; $C56 &amp; "]"
),0)/1000</f>
        <v>51.253382529452921</v>
      </c>
      <c r="P56" s="8">
        <f>IFERROR(
GETPIVOTDATA(
"[Base].[Importe]",
TDinamica_R!$A$5,
"[Calendario].[AñoMes]",
"[Calendario].[AñoMes].&amp;[" &amp; TEXT(P$6,"yyyymm") &amp; "]",
"[Base].[Metrica]",
"[Base].[Metrica].&amp;[" &amp; $A56 &amp; "]",
"[Base].[SEGMENTO_DESCRIP]",
"[Base].[SEGMENTO_DESCRIP].&amp;[" &amp; $C$6 &amp; "]",
"[Base].[SITUACION]",
"[Base].[SITUACION].&amp;[" &amp; $C56 &amp; "]"
),0)/1000</f>
        <v>-43.531323917508033</v>
      </c>
      <c r="Q56" s="8">
        <f>IFERROR(
GETPIVOTDATA(
"[Base].[Importe]",
TDinamica_R!$A$5,
"[Calendario].[AñoMes]",
"[Calendario].[AñoMes].&amp;[" &amp; TEXT(Q$6,"yyyymm") &amp; "]",
"[Base].[Metrica]",
"[Base].[Metrica].&amp;[" &amp; $A56 &amp; "]",
"[Base].[SEGMENTO_DESCRIP]",
"[Base].[SEGMENTO_DESCRIP].&amp;[" &amp; $C$6 &amp; "]",
"[Base].[SITUACION]",
"[Base].[SITUACION].&amp;[" &amp; $C56 &amp; "]"
),0)/1000</f>
        <v>-38.030819842281126</v>
      </c>
      <c r="R56" s="8">
        <f>IFERROR(
GETPIVOTDATA(
"[Base].[Importe]",
TDinamica_R!$A$5,
"[Calendario].[AñoMes]",
"[Calendario].[AñoMes].&amp;[" &amp; TEXT(R$6,"yyyymm") &amp; "]",
"[Base].[Metrica]",
"[Base].[Metrica].&amp;[" &amp; $A56 &amp; "]",
"[Base].[SEGMENTO_DESCRIP]",
"[Base].[SEGMENTO_DESCRIP].&amp;[" &amp; $C$6 &amp; "]",
"[Base].[SITUACION]",
"[Base].[SITUACION].&amp;[" &amp; $C56 &amp; "]"
),0)/1000</f>
        <v>-146.28913446030833</v>
      </c>
      <c r="S56" s="8">
        <f>IFERROR(
GETPIVOTDATA(
"[Base].[Importe]",
TDinamica_R!$A$5,
"[Calendario].[AñoMes]",
"[Calendario].[AñoMes].&amp;[" &amp; TEXT(S$6,"yyyymm") &amp; "]",
"[Base].[Metrica]",
"[Base].[Metrica].&amp;[" &amp; $A56 &amp; "]",
"[Base].[SEGMENTO_DESCRIP]",
"[Base].[SEGMENTO_DESCRIP].&amp;[" &amp; $C$6 &amp; "]",
"[Base].[SITUACION]",
"[Base].[SITUACION].&amp;[" &amp; $C56 &amp; "]"
),0)/1000</f>
        <v>-37.985832192048605</v>
      </c>
      <c r="T56" s="8">
        <f>IFERROR(
GETPIVOTDATA(
"[Base].[Importe]",
TDinamica_R!$A$5,
"[Calendario].[AñoMes]",
"[Calendario].[AñoMes].&amp;[" &amp; TEXT(T$6,"yyyymm") &amp; "]",
"[Base].[Metrica]",
"[Base].[Metrica].&amp;[" &amp; $A56 &amp; "]",
"[Base].[SEGMENTO_DESCRIP]",
"[Base].[SEGMENTO_DESCRIP].&amp;[" &amp; $C$6 &amp; "]",
"[Base].[SITUACION]",
"[Base].[SITUACION].&amp;[" &amp; $C56 &amp; "]"
),0)/1000</f>
        <v>-99.800431953562736</v>
      </c>
      <c r="U56" s="8">
        <f>IFERROR(
GETPIVOTDATA(
"[Base].[Importe]",
TDinamica_R!$A$5,
"[Calendario].[AñoMes]",
"[Calendario].[AñoMes].&amp;[" &amp; TEXT(U$6,"yyyymm") &amp; "]",
"[Base].[Metrica]",
"[Base].[Metrica].&amp;[" &amp; $A56 &amp; "]",
"[Base].[SEGMENTO_DESCRIP]",
"[Base].[SEGMENTO_DESCRIP].&amp;[" &amp; $C$6 &amp; "]",
"[Base].[SITUACION]",
"[Base].[SITUACION].&amp;[" &amp; $C56 &amp; "]"
),0)/1000</f>
        <v>-29.921630000000118</v>
      </c>
      <c r="V56" s="8">
        <f>IFERROR(
GETPIVOTDATA(
"[Base].[Importe]",
TDinamica_R!$A$5,
"[Calendario].[AñoMes]",
"[Calendario].[AñoMes].&amp;[" &amp; TEXT(V$6,"yyyymm") &amp; "]",
"[Base].[Metrica]",
"[Base].[Metrica].&amp;[" &amp; $A56 &amp; "]",
"[Base].[SEGMENTO_DESCRIP]",
"[Base].[SEGMENTO_DESCRIP].&amp;[" &amp; $C$6 &amp; "]",
"[Base].[SITUACION]",
"[Base].[SITUACION].&amp;[" &amp; $C56 &amp; "]"
),0)/1000</f>
        <v>-62.567309999990186</v>
      </c>
      <c r="W56" s="8">
        <f>IFERROR(
GETPIVOTDATA(
"[Base].[Importe]",
TDinamica_R!$A$5,
"[Calendario].[AñoMes]",
"[Calendario].[AñoMes].&amp;[" &amp; TEXT(W$6,"yyyymm") &amp; "]",
"[Base].[Metrica]",
"[Base].[Metrica].&amp;[" &amp; $A56 &amp; "]",
"[Base].[SEGMENTO_DESCRIP]",
"[Base].[SEGMENTO_DESCRIP].&amp;[" &amp; $C$6 &amp; "]",
"[Base].[SITUACION]",
"[Base].[SITUACION].&amp;[" &amp; $C56 &amp; "]"
),0)/1000</f>
        <v>-7.3707768523004331</v>
      </c>
      <c r="X56" s="8">
        <f>IFERROR(
GETPIVOTDATA(
"[Base].[Importe]",
TDinamica_R!$A$5,
"[Calendario].[AñoMes]",
"[Calendario].[AñoMes].&amp;[" &amp; TEXT(X$6,"yyyymm") &amp; "]",
"[Base].[Metrica]",
"[Base].[Metrica].&amp;[" &amp; $A56 &amp; "]",
"[Base].[SEGMENTO_DESCRIP]",
"[Base].[SEGMENTO_DESCRIP].&amp;[" &amp; $C$6 &amp; "]",
"[Base].[SITUACION]",
"[Base].[SITUACION].&amp;[" &amp; $C56 &amp; "]"
),0)/1000</f>
        <v>-12.978826706720792</v>
      </c>
      <c r="Y56" s="8">
        <f>IFERROR(
GETPIVOTDATA(
"[Base].[Importe]",
TDinamica_R!$A$5,
"[Calendario].[AñoMes]",
"[Calendario].[AñoMes].&amp;[" &amp; TEXT(Y$6,"yyyymm") &amp; "]",
"[Base].[Metrica]",
"[Base].[Metrica].&amp;[" &amp; $A56 &amp; "]",
"[Base].[SEGMENTO_DESCRIP]",
"[Base].[SEGMENTO_DESCRIP].&amp;[" &amp; $C$6 &amp; "]",
"[Base].[SITUACION]",
"[Base].[SITUACION].&amp;[" &amp; $C56 &amp; "]"
),0)/1000</f>
        <v>-33.977913391749752</v>
      </c>
      <c r="Z56" s="8">
        <f>IFERROR(
GETPIVOTDATA(
"[Base].[Importe]",
TDinamica_R!$A$5,
"[Calendario].[AñoMes]",
"[Calendario].[AñoMes].&amp;[" &amp; TEXT(Z$6,"yyyymm") &amp; "]",
"[Base].[Metrica]",
"[Base].[Metrica].&amp;[" &amp; $A56 &amp; "]",
"[Base].[SEGMENTO_DESCRIP]",
"[Base].[SEGMENTO_DESCRIP].&amp;[" &amp; $C$6 &amp; "]",
"[Base].[SITUACION]",
"[Base].[SITUACION].&amp;[" &amp; $C56 &amp; "]"
),0)/1000</f>
        <v>64.977880631624771</v>
      </c>
      <c r="AA56" s="8">
        <f>IFERROR(
GETPIVOTDATA(
"[Base].[Importe]",
TDinamica_R!$A$5,
"[Calendario].[AñoMes]",
"[Calendario].[AñoMes].&amp;[" &amp; TEXT(AA$6,"yyyymm") &amp; "]",
"[Base].[Metrica]",
"[Base].[Metrica].&amp;[" &amp; $A56 &amp; "]",
"[Base].[SEGMENTO_DESCRIP]",
"[Base].[SEGMENTO_DESCRIP].&amp;[" &amp; $C$6 &amp; "]",
"[Base].[SITUACION]",
"[Base].[SITUACION].&amp;[" &amp; $C56 &amp; "]"
),0)/1000</f>
        <v>11.09401149652575</v>
      </c>
      <c r="AB56" s="8">
        <f>IFERROR(
GETPIVOTDATA(
"[Base].[Importe]",
TDinamica_R!$A$5,
"[Calendario].[AñoMes]",
"[Calendario].[AñoMes].&amp;[" &amp; TEXT(AB$6,"yyyymm") &amp; "]",
"[Base].[Metrica]",
"[Base].[Metrica].&amp;[" &amp; $A56 &amp; "]",
"[Base].[SEGMENTO_DESCRIP]",
"[Base].[SEGMENTO_DESCRIP].&amp;[" &amp; $C$6 &amp; "]",
"[Base].[SITUACION]",
"[Base].[SITUACION].&amp;[" &amp; $C56 &amp; "]"
),0)/1000</f>
        <v>-51.322234426132034</v>
      </c>
      <c r="AC56" s="8">
        <f>IFERROR(
GETPIVOTDATA(
"[Base].[Importe]",
TDinamica_R!$A$5,
"[Calendario].[AñoMes]",
"[Calendario].[AñoMes].&amp;[" &amp; TEXT(AC$6,"yyyymm") &amp; "]",
"[Base].[Metrica]",
"[Base].[Metrica].&amp;[" &amp; $A56 &amp; "]",
"[Base].[SEGMENTO_DESCRIP]",
"[Base].[SEGMENTO_DESCRIP].&amp;[" &amp; $C$6 &amp; "]",
"[Base].[SITUACION]",
"[Base].[SITUACION].&amp;[" &amp; $C56 &amp; "]"
),0)/1000</f>
        <v>63.861232670606782</v>
      </c>
      <c r="AD56" s="8">
        <f>IFERROR(
GETPIVOTDATA(
"[Base].[Importe]",
TDinamica_R!$A$5,
"[Calendario].[AñoMes]",
"[Calendario].[AñoMes].&amp;[" &amp; TEXT(AD$6,"yyyymm") &amp; "]",
"[Base].[Metrica]",
"[Base].[Metrica].&amp;[" &amp; $A56 &amp; "]",
"[Base].[SEGMENTO_DESCRIP]",
"[Base].[SEGMENTO_DESCRIP].&amp;[" &amp; $C$6 &amp; "]",
"[Base].[SITUACION]",
"[Base].[SITUACION].&amp;[" &amp; $C56 &amp; "]"
),0)/1000</f>
        <v>-4.5406399999999971</v>
      </c>
      <c r="AE56" s="8">
        <f>IFERROR(
GETPIVOTDATA(
"[Base].[Importe]",
TDinamica_R!$A$5,
"[Calendario].[AñoMes]",
"[Calendario].[AñoMes].&amp;[" &amp; TEXT(AE$6,"yyyymm") &amp; "]",
"[Base].[Metrica]",
"[Base].[Metrica].&amp;[" &amp; $A56 &amp; "]",
"[Base].[SEGMENTO_DESCRIP]",
"[Base].[SEGMENTO_DESCRIP].&amp;[" &amp; $C$6 &amp; "]",
"[Base].[SITUACION]",
"[Base].[SITUACION].&amp;[" &amp; $C56 &amp; "]"
),0)/1000</f>
        <v>-23.121149999999997</v>
      </c>
      <c r="AF56" s="8">
        <f>IFERROR(
GETPIVOTDATA(
"[Base].[Importe]",
TDinamica_R!$A$5,
"[Calendario].[AñoMes]",
"[Calendario].[AñoMes].&amp;[" &amp; TEXT(AF$6,"yyyymm") &amp; "]",
"[Base].[Metrica]",
"[Base].[Metrica].&amp;[" &amp; $A56 &amp; "]",
"[Base].[SEGMENTO_DESCRIP]",
"[Base].[SEGMENTO_DESCRIP].&amp;[" &amp; $C$6 &amp; "]",
"[Base].[SITUACION]",
"[Base].[SITUACION].&amp;[" &amp; $C56 &amp; "]"
),0)/1000</f>
        <v>-92.261830000000003</v>
      </c>
      <c r="AG56" s="8">
        <f>IFERROR(
GETPIVOTDATA(
"[Base].[Importe]",
TDinamica_R!$A$5,
"[Calendario].[AñoMes]",
"[Calendario].[AñoMes].&amp;[" &amp; TEXT(AG$6,"yyyymm") &amp; "]",
"[Base].[Metrica]",
"[Base].[Metrica].&amp;[" &amp; $A56 &amp; "]",
"[Base].[SEGMENTO_DESCRIP]",
"[Base].[SEGMENTO_DESCRIP].&amp;[" &amp; $C$6 &amp; "]",
"[Base].[SITUACION]",
"[Base].[SITUACION].&amp;[" &amp; $C56 &amp; "]"
),0)/1000</f>
        <v>20.611180000000001</v>
      </c>
      <c r="AH56" s="8">
        <f>IFERROR(
GETPIVOTDATA(
"[Base].[Importe]",
TDinamica_R!$A$5,
"[Calendario].[AñoMes]",
"[Calendario].[AñoMes].&amp;[" &amp; TEXT(AH$6,"yyyymm") &amp; "]",
"[Base].[Metrica]",
"[Base].[Metrica].&amp;[" &amp; $A56 &amp; "]",
"[Base].[SEGMENTO_DESCRIP]",
"[Base].[SEGMENTO_DESCRIP].&amp;[" &amp; $C$6 &amp; "]",
"[Base].[SITUACION]",
"[Base].[SITUACION].&amp;[" &amp; $C56 &amp; "]"
),0)/1000</f>
        <v>46.109869999999987</v>
      </c>
      <c r="AI56" s="8">
        <f>IFERROR(
GETPIVOTDATA(
"[Base].[Importe]",
TDinamica_R!$A$5,
"[Calendario].[AñoMes]",
"[Calendario].[AñoMes].&amp;[" &amp; TEXT(AI$6,"yyyymm") &amp; "]",
"[Base].[Metrica]",
"[Base].[Metrica].&amp;[" &amp; $A56 &amp; "]",
"[Base].[SEGMENTO_DESCRIP]",
"[Base].[SEGMENTO_DESCRIP].&amp;[" &amp; $C$6 &amp; "]",
"[Base].[SITUACION]",
"[Base].[SITUACION].&amp;[" &amp; $C56 &amp; "]"
),0)/1000</f>
        <v>11.608421692264699</v>
      </c>
      <c r="AJ56" s="8">
        <f>IFERROR(
GETPIVOTDATA(
"[Base].[Importe]",
TDinamica_R!$A$5,
"[Calendario].[AñoMes]",
"[Calendario].[AñoMes].&amp;[" &amp; TEXT(AJ$6,"yyyymm") &amp; "]",
"[Base].[Metrica]",
"[Base].[Metrica].&amp;[" &amp; $A56 &amp; "]",
"[Base].[SEGMENTO_DESCRIP]",
"[Base].[SEGMENTO_DESCRIP].&amp;[" &amp; $C$6 &amp; "]",
"[Base].[SITUACION]",
"[Base].[SITUACION].&amp;[" &amp; $C56 &amp; "]"
),0)/1000</f>
        <v>17.806681456859998</v>
      </c>
      <c r="AK56" s="8">
        <f>IFERROR(
GETPIVOTDATA(
"[Base].[Importe]",
TDinamica_R!$A$5,
"[Calendario].[AñoMes]",
"[Calendario].[AñoMes].&amp;[" &amp; TEXT(AK$6,"yyyymm") &amp; "]",
"[Base].[Metrica]",
"[Base].[Metrica].&amp;[" &amp; $A56 &amp; "]",
"[Base].[SEGMENTO_DESCRIP]",
"[Base].[SEGMENTO_DESCRIP].&amp;[" &amp; $C$6 &amp; "]",
"[Base].[SITUACION]",
"[Base].[SITUACION].&amp;[" &amp; $C56 &amp; "]"
),0)/1000</f>
        <v>-72.300121383285301</v>
      </c>
      <c r="AL56" s="8">
        <f>IFERROR(
GETPIVOTDATA(
"[Base].[Importe]",
TDinamica_R!$A$5,
"[Calendario].[AñoMes]",
"[Calendario].[AñoMes].&amp;[" &amp; TEXT(AL$6,"yyyymm") &amp; "]",
"[Base].[Metrica]",
"[Base].[Metrica].&amp;[" &amp; $A56 &amp; "]",
"[Base].[SEGMENTO_DESCRIP]",
"[Base].[SEGMENTO_DESCRIP].&amp;[" &amp; $C$6 &amp; "]",
"[Base].[SITUACION]",
"[Base].[SITUACION].&amp;[" &amp; $C56 &amp; "]"
),0)/1000</f>
        <v>-36.840898693333301</v>
      </c>
      <c r="AM56" s="8">
        <f>IFERROR(
GETPIVOTDATA(
"[Base].[Importe]",
TDinamica_R!$A$5,
"[Calendario].[AñoMes]",
"[Calendario].[AñoMes].&amp;[" &amp; TEXT(AM$6,"yyyymm") &amp; "]",
"[Base].[Metrica]",
"[Base].[Metrica].&amp;[" &amp; $A56 &amp; "]",
"[Base].[SEGMENTO_DESCRIP]",
"[Base].[SEGMENTO_DESCRIP].&amp;[" &amp; $C$6 &amp; "]",
"[Base].[SITUACION]",
"[Base].[SITUACION].&amp;[" &amp; $C56 &amp; "]"
),0)/1000</f>
        <v>-126.984580496728</v>
      </c>
      <c r="AN56" s="8">
        <f>IFERROR(
GETPIVOTDATA(
"[Base].[Importe]",
TDinamica_R!$A$5,
"[Calendario].[AñoMes]",
"[Calendario].[AñoMes].&amp;[" &amp; TEXT(AN$6,"yyyymm") &amp; "]",
"[Base].[Metrica]",
"[Base].[Metrica].&amp;[" &amp; $A56 &amp; "]",
"[Base].[SEGMENTO_DESCRIP]",
"[Base].[SEGMENTO_DESCRIP].&amp;[" &amp; $C$6 &amp; "]",
"[Base].[SITUACION]",
"[Base].[SITUACION].&amp;[" &amp; $C56 &amp; "]"
),0)/1000</f>
        <v>-6.9668100000000006</v>
      </c>
      <c r="AO56" s="8">
        <f>IFERROR(
GETPIVOTDATA(
"[Base].[Importe]",
TDinamica_R!$A$5,
"[Calendario].[AñoMes]",
"[Calendario].[AñoMes].&amp;[" &amp; TEXT(AO$6,"yyyymm") &amp; "]",
"[Base].[Metrica]",
"[Base].[Metrica].&amp;[" &amp; $A56 &amp; "]",
"[Base].[SEGMENTO_DESCRIP]",
"[Base].[SEGMENTO_DESCRIP].&amp;[" &amp; $C$6 &amp; "]",
"[Base].[SITUACION]",
"[Base].[SITUACION].&amp;[" &amp; $C56 &amp; "]"
),0)/1000</f>
        <v>-198.88242000000002</v>
      </c>
      <c r="AP56" s="8">
        <f>IFERROR(
GETPIVOTDATA(
"[Base].[Importe]",
TDinamica_R!$A$5,
"[Calendario].[AñoMes]",
"[Calendario].[AñoMes].&amp;[" &amp; TEXT(AP$6,"yyyymm") &amp; "]",
"[Base].[Metrica]",
"[Base].[Metrica].&amp;[" &amp; $A56 &amp; "]",
"[Base].[SEGMENTO_DESCRIP]",
"[Base].[SEGMENTO_DESCRIP].&amp;[" &amp; $C$6 &amp; "]",
"[Base].[SITUACION]",
"[Base].[SITUACION].&amp;[" &amp; $C56 &amp; "]"
),0)/1000</f>
        <v>-22.00732</v>
      </c>
      <c r="AQ56" s="8">
        <f>IFERROR(
GETPIVOTDATA(
"[Base].[Importe]",
TDinamica_R!$A$5,
"[Calendario].[AñoMes]",
"[Calendario].[AñoMes].&amp;[" &amp; TEXT(AQ$6,"yyyymm") &amp; "]",
"[Base].[Metrica]",
"[Base].[Metrica].&amp;[" &amp; $A56 &amp; "]",
"[Base].[SEGMENTO_DESCRIP]",
"[Base].[SEGMENTO_DESCRIP].&amp;[" &amp; $C$6 &amp; "]",
"[Base].[SITUACION]",
"[Base].[SITUACION].&amp;[" &amp; $C56 &amp; "]"
),0)/1000</f>
        <v>-221.25910999999999</v>
      </c>
      <c r="AR56" s="8">
        <f>IFERROR(
GETPIVOTDATA(
"[Base].[Importe]",
TDinamica_R!$A$5,
"[Calendario].[AñoMes]",
"[Calendario].[AñoMes].&amp;[" &amp; TEXT(AR$6,"yyyymm") &amp; "]",
"[Base].[Metrica]",
"[Base].[Metrica].&amp;[" &amp; $A56 &amp; "]",
"[Base].[SEGMENTO_DESCRIP]",
"[Base].[SEGMENTO_DESCRIP].&amp;[" &amp; $C$6 &amp; "]",
"[Base].[SITUACION]",
"[Base].[SITUACION].&amp;[" &amp; $C56 &amp; "]"
),0)/1000</f>
        <v>-90.81626</v>
      </c>
      <c r="AS56" s="8">
        <f>IFERROR(
GETPIVOTDATA(
"[Base].[Importe]",
TDinamica_R!$A$5,
"[Calendario].[AñoMes]",
"[Calendario].[AñoMes].&amp;[" &amp; TEXT(AS$6,"yyyymm") &amp; "]",
"[Base].[Metrica]",
"[Base].[Metrica].&amp;[" &amp; $A56 &amp; "]",
"[Base].[SEGMENTO_DESCRIP]",
"[Base].[SEGMENTO_DESCRIP].&amp;[" &amp; $C$6 &amp; "]",
"[Base].[SITUACION]",
"[Base].[SITUACION].&amp;[" &amp; $C56 &amp; "]"
),0)/1000</f>
        <v>-327.47528999999997</v>
      </c>
      <c r="AT56" s="8">
        <f>IFERROR(
GETPIVOTDATA(
"[Base].[Importe]",
TDinamica_R!$A$5,
"[Calendario].[AñoMes]",
"[Calendario].[AñoMes].&amp;[" &amp; TEXT(AT$6,"yyyymm")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U56" s="8">
        <f>IFERROR(
GETPIVOTDATA(
"[Base].[Importe]",
TDinamica_R!$A$5,
"[Calendario].[AñoMes]",
"[Calendario].[AñoMes].&amp;[" &amp; TEXT(AU$6,"yyyymm")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V56" s="8">
        <f>IFERROR(
GETPIVOTDATA(
"[Base].[Importe]",
TDinamica_R!$A$5,
"[Calendario].[AñoMes]",
"[Calendario].[AñoMes].&amp;[" &amp; TEXT(AV$6,"yyyymm")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W56" s="8">
        <f>IFERROR(
GETPIVOTDATA(
"[Base].[Importe]",
TDinamica_R!$A$5,
"[Calendario].[AñoMes]",
"[Calendario].[AñoMes].&amp;[" &amp; TEXT(AW$6,"yyyymm")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X56" s="8">
        <f>IFERROR(
GETPIVOTDATA(
"[Base].[Importe]",
TDinamica_R!$A$5,
"[Calendario].[AñoMes]",
"[Calendario].[AñoMes].&amp;[" &amp; TEXT(AX$6,"yyyymm")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Y56" s="8">
        <f>IFERROR(
GETPIVOTDATA(
"[Base].[Importe]",
TDinamica_R!$A$5,
"[Calendario].[AñoMes]",
"[Calendario].[AñoMes].&amp;[" &amp; TEXT(AY$6,"yyyymm")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Z56" s="8">
        <f>IFERROR(
GETPIVOTDATA(
"[BASE_CONVE_PPTO].[Importe]",
TDinamica_P!$A$5,
"[BASE_CONVE_PPTO].[Periodo]",
"[BASE_CONVE_PPTO].[Periodo].&amp;[" &amp; TEXT(AZ$6,"yyyymm")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1.3793184897339663</v>
      </c>
      <c r="BA56" s="8">
        <f>IFERROR(
GETPIVOTDATA(
"[BASE_CONVE_PPTO].[Importe]",
TDinamica_P!$A$5,
"[BASE_CONVE_PPTO].[Periodo]",
"[BASE_CONVE_PPTO].[Periodo].&amp;[" &amp; TEXT(BA$6,"yyyymm")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-2.6426459719859885</v>
      </c>
      <c r="BB56" s="8">
        <f>IFERROR(
GETPIVOTDATA(
"[BASE_CONVE_PPTO].[Importe]",
TDinamica_P!$A$5,
"[BASE_CONVE_PPTO].[Periodo]",
"[BASE_CONVE_PPTO].[Periodo].&amp;[" &amp; TEXT(BB$6,"yyyymm")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-6.8956662665523796</v>
      </c>
      <c r="BC56" s="8">
        <f>IFERROR(
GETPIVOTDATA(
"[BASE_CONVE_PPTO].[Importe]",
TDinamica_P!$A$5,
"[BASE_CONVE_PPTO].[Periodo]",
"[BASE_CONVE_PPTO].[Periodo].&amp;[" &amp; TEXT(BC$6,"yyyymm")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-10.178960449164972</v>
      </c>
      <c r="BD56" s="8">
        <f>IFERROR(
GETPIVOTDATA(
"[BASE_CONVE_PPTO].[Importe]",
TDinamica_P!$A$5,
"[BASE_CONVE_PPTO].[Periodo]",
"[BASE_CONVE_PPTO].[Periodo].&amp;[" &amp; TEXT(BD$6,"yyyymm")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-13.626791381751513</v>
      </c>
      <c r="BE56" s="8">
        <f>IFERROR(
GETPIVOTDATA(
"[BASE_CONVE_PPTO].[Importe]",
TDinamica_P!$A$5,
"[BASE_CONVE_PPTO].[Periodo]",
"[BASE_CONVE_PPTO].[Periodo].&amp;[" &amp; TEXT(BE$6,"yyyymm")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-17.843633666521292</v>
      </c>
      <c r="BF56" s="8">
        <f>IFERROR(
GETPIVOTDATA(
"[BASE_CONVE_PPTO].[Importe]",
TDinamica_P!$A$5,
"[BASE_CONVE_PPTO].[Periodo]",
"[BASE_CONVE_PPTO].[Periodo].&amp;[" &amp; TEXT(BF$6,"yyyymm")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-21.52314173844379</v>
      </c>
      <c r="BG56" s="8">
        <f>IFERROR(
GETPIVOTDATA(
"[BASE_CONVE_PPTO].[Importe]",
TDinamica_P!$A$5,
"[BASE_CONVE_PPTO].[Periodo]",
"[BASE_CONVE_PPTO].[Periodo].&amp;[" &amp; TEXT(BG$6,"yyyymm")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-31.716074867174136</v>
      </c>
      <c r="BH56" s="8">
        <f>IFERROR(
GETPIVOTDATA(
"[BASE_CONVE_PPTO].[Importe]",
TDinamica_P!$A$5,
"[BASE_CONVE_PPTO].[Periodo]",
"[BASE_CONVE_PPTO].[Periodo].&amp;[" &amp; TEXT(BH$6,"yyyymm")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-25.913243648342682</v>
      </c>
      <c r="BI56" s="8">
        <f>IFERROR(
GETPIVOTDATA(
"[BASE_CONVE_PPTO].[Importe]",
TDinamica_P!$A$5,
"[BASE_CONVE_PPTO].[Periodo]",
"[BASE_CONVE_PPTO].[Periodo].&amp;[" &amp; TEXT(BI$6,"yyyymm")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-31.568877117046377</v>
      </c>
      <c r="BJ56" s="8">
        <f>IFERROR(
GETPIVOTDATA(
"[BASE_CONVE_PPTO].[Importe]",
TDinamica_P!$A$5,
"[BASE_CONVE_PPTO].[Periodo]",
"[BASE_CONVE_PPTO].[Periodo].&amp;[" &amp; TEXT(BJ$6,"yyyymm")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-35.742585659272834</v>
      </c>
      <c r="BK56" s="8">
        <f>IFERROR(
GETPIVOTDATA(
"[BASE_CONVE_PPTO].[Importe]",
TDinamica_P!$A$5,
"[BASE_CONVE_PPTO].[Periodo]",
"[BASE_CONVE_PPTO].[Periodo].&amp;[" &amp; TEXT(BK$6,"yyyymm")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-37.425166562290279</v>
      </c>
      <c r="BO56" s="24">
        <f t="shared" ref="BO56:BT57" si="192">SUMIFS($D56:$BM56,$D$6:$BM$6,"&gt;="&amp;BO$2,$D$6:$BM$6,"&lt;="&amp;BO$6,$D$5:$BM$5,BO$5)</f>
        <v>-539.93191999999999</v>
      </c>
      <c r="BP56" s="24">
        <f t="shared" si="192"/>
        <v>-31.964745579720887</v>
      </c>
      <c r="BQ56" s="24">
        <f t="shared" si="192"/>
        <v>-449.11566000000005</v>
      </c>
      <c r="BR56" s="24">
        <f t="shared" si="192"/>
        <v>-107.38462175552525</v>
      </c>
      <c r="BS56" s="24">
        <f t="shared" si="192"/>
        <v>-365.63754236570884</v>
      </c>
      <c r="BT56" s="24">
        <f t="shared" si="192"/>
        <v>12.096479999980751</v>
      </c>
    </row>
    <row r="57" spans="1:72" outlineLevel="1" x14ac:dyDescent="0.25">
      <c r="A57" s="11" t="s">
        <v>65</v>
      </c>
      <c r="C57" s="2" t="s">
        <v>69</v>
      </c>
      <c r="D57" s="8">
        <f>IFERROR(
GETPIVOTDATA(
"[Base].[Importe]",
TDinamica_R!$A$5,
"[Calendario].[AñoMes]",
"[Calendario].[AñoMes].&amp;[" &amp; TEXT(D$6,"yyyymm")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E57" s="8">
        <f>IFERROR(
GETPIVOTDATA(
"[Base].[Importe]",
TDinamica_R!$A$5,
"[Calendario].[AñoMes]",
"[Calendario].[AñoMes].&amp;[" &amp; TEXT(E$6,"yyyymm")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F57" s="8">
        <f>IFERROR(
GETPIVOTDATA(
"[Base].[Importe]",
TDinamica_R!$A$5,
"[Calendario].[AñoMes]",
"[Calendario].[AñoMes].&amp;[" &amp; TEXT(F$6,"yyyymm")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G57" s="8">
        <f>IFERROR(
GETPIVOTDATA(
"[Base].[Importe]",
TDinamica_R!$A$5,
"[Calendario].[AñoMes]",
"[Calendario].[AñoMes].&amp;[" &amp; TEXT(G$6,"yyyymm")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H57" s="8">
        <f>IFERROR(
GETPIVOTDATA(
"[Base].[Importe]",
TDinamica_R!$A$5,
"[Calendario].[AñoMes]",
"[Calendario].[AñoMes].&amp;[" &amp; TEXT(H$6,"yyyymm")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I57" s="8">
        <f>IFERROR(
GETPIVOTDATA(
"[Base].[Importe]",
TDinamica_R!$A$5,
"[Calendario].[AñoMes]",
"[Calendario].[AñoMes].&amp;[" &amp; TEXT(I$6,"yyyymm")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J57" s="8">
        <f>IFERROR(
GETPIVOTDATA(
"[Base].[Importe]",
TDinamica_R!$A$5,
"[Calendario].[AñoMes]",
"[Calendario].[AñoMes].&amp;[" &amp; TEXT(J$6,"yyyymm")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K57" s="8">
        <f>IFERROR(
GETPIVOTDATA(
"[Base].[Importe]",
TDinamica_R!$A$5,
"[Calendario].[AñoMes]",
"[Calendario].[AñoMes].&amp;[" &amp; TEXT(K$6,"yyyymm")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L57" s="8">
        <f>IFERROR(
GETPIVOTDATA(
"[Base].[Importe]",
TDinamica_R!$A$5,
"[Calendario].[AñoMes]",
"[Calendario].[AñoMes].&amp;[" &amp; TEXT(L$6,"yyyymm") &amp; "]",
"[Base].[Metrica]",
"[Base].[Metrica].&amp;[" &amp; $A57 &amp; "]",
"[Base].[SEGMENTO_DESCRIP]",
"[Base].[SEGMENTO_DESCRIP].&amp;[" &amp; $C$6 &amp; "]",
"[Base].[SITUACION]",
"[Base].[SITUACION].&amp;[" &amp; $C57 &amp; "]"
),0)/1000</f>
        <v>7.8761621281736201E-3</v>
      </c>
      <c r="M57" s="8">
        <f>IFERROR(
GETPIVOTDATA(
"[Base].[Importe]",
TDinamica_R!$A$5,
"[Calendario].[AñoMes]",
"[Calendario].[AñoMes].&amp;[" &amp; TEXT(M$6,"yyyymm")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N57" s="8">
        <f>IFERROR(
GETPIVOTDATA(
"[Base].[Importe]",
TDinamica_R!$A$5,
"[Calendario].[AñoMes]",
"[Calendario].[AñoMes].&amp;[" &amp; TEXT(N$6,"yyyymm")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O57" s="8">
        <f>IFERROR(
GETPIVOTDATA(
"[Base].[Importe]",
TDinamica_R!$A$5,
"[Calendario].[AñoMes]",
"[Calendario].[AñoMes].&amp;[" &amp; TEXT(O$6,"yyyymm")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P57" s="8">
        <f>IFERROR(
GETPIVOTDATA(
"[Base].[Importe]",
TDinamica_R!$A$5,
"[Calendario].[AñoMes]",
"[Calendario].[AñoMes].&amp;[" &amp; TEXT(P$6,"yyyymm") &amp; "]",
"[Base].[Metrica]",
"[Base].[Metrica].&amp;[" &amp; $A57 &amp; "]",
"[Base].[SEGMENTO_DESCRIP]",
"[Base].[SEGMENTO_DESCRIP].&amp;[" &amp; $C$6 &amp; "]",
"[Base].[SITUACION]",
"[Base].[SITUACION].&amp;[" &amp; $C57 &amp; "]"
),0)/1000</f>
        <v>6.8947399999999996</v>
      </c>
      <c r="Q57" s="8">
        <f>IFERROR(
GETPIVOTDATA(
"[Base].[Importe]",
TDinamica_R!$A$5,
"[Calendario].[AñoMes]",
"[Calendario].[AñoMes].&amp;[" &amp; TEXT(Q$6,"yyyymm") &amp; "]",
"[Base].[Metrica]",
"[Base].[Metrica].&amp;[" &amp; $A57 &amp; "]",
"[Base].[SEGMENTO_DESCRIP]",
"[Base].[SEGMENTO_DESCRIP].&amp;[" &amp; $C$6 &amp; "]",
"[Base].[SITUACION]",
"[Base].[SITUACION].&amp;[" &amp; $C57 &amp; "]"
),0)/1000</f>
        <v>3.5377599999999996</v>
      </c>
      <c r="R57" s="8">
        <f>IFERROR(
GETPIVOTDATA(
"[Base].[Importe]",
TDinamica_R!$A$5,
"[Calendario].[AñoMes]",
"[Calendario].[AñoMes].&amp;[" &amp; TEXT(R$6,"yyyymm") &amp; "]",
"[Base].[Metrica]",
"[Base].[Metrica].&amp;[" &amp; $A57 &amp; "]",
"[Base].[SEGMENTO_DESCRIP]",
"[Base].[SEGMENTO_DESCRIP].&amp;[" &amp; $C$6 &amp; "]",
"[Base].[SITUACION]",
"[Base].[SITUACION].&amp;[" &amp; $C57 &amp; "]"
),0)/1000</f>
        <v>4</v>
      </c>
      <c r="S57" s="8">
        <f>IFERROR(
GETPIVOTDATA(
"[Base].[Importe]",
TDinamica_R!$A$5,
"[Calendario].[AñoMes]",
"[Calendario].[AñoMes].&amp;[" &amp; TEXT(S$6,"yyyymm") &amp; "]",
"[Base].[Metrica]",
"[Base].[Metrica].&amp;[" &amp; $A57 &amp; "]",
"[Base].[SEGMENTO_DESCRIP]",
"[Base].[SEGMENTO_DESCRIP].&amp;[" &amp; $C$6 &amp; "]",
"[Base].[SITUACION]",
"[Base].[SITUACION].&amp;[" &amp; $C57 &amp; "]"
),0)/1000</f>
        <v>4.0461200000000002</v>
      </c>
      <c r="T57" s="8">
        <f>IFERROR(
GETPIVOTDATA(
"[Base].[Importe]",
TDinamica_R!$A$5,
"[Calendario].[AñoMes]",
"[Calendario].[AñoMes].&amp;[" &amp; TEXT(T$6,"yyyymm") &amp; "]",
"[Base].[Metrica]",
"[Base].[Metrica].&amp;[" &amp; $A57 &amp; "]",
"[Base].[SEGMENTO_DESCRIP]",
"[Base].[SEGMENTO_DESCRIP].&amp;[" &amp; $C$6 &amp; "]",
"[Base].[SITUACION]",
"[Base].[SITUACION].&amp;[" &amp; $C57 &amp; "]"
),0)/1000</f>
        <v>2.1360000000000001E-2</v>
      </c>
      <c r="U57" s="8">
        <f>IFERROR(
GETPIVOTDATA(
"[Base].[Importe]",
TDinamica_R!$A$5,
"[Calendario].[AñoMes]",
"[Calendario].[AñoMes].&amp;[" &amp; TEXT(U$6,"yyyymm") &amp; "]",
"[Base].[Metrica]",
"[Base].[Metrica].&amp;[" &amp; $A57 &amp; "]",
"[Base].[SEGMENTO_DESCRIP]",
"[Base].[SEGMENTO_DESCRIP].&amp;[" &amp; $C$6 &amp; "]",
"[Base].[SITUACION]",
"[Base].[SITUACION].&amp;[" &amp; $C57 &amp; "]"
),0)/1000</f>
        <v>7.6695500000000001</v>
      </c>
      <c r="V57" s="8">
        <f>IFERROR(
GETPIVOTDATA(
"[Base].[Importe]",
TDinamica_R!$A$5,
"[Calendario].[AñoMes]",
"[Calendario].[AñoMes].&amp;[" &amp; TEXT(V$6,"yyyymm") &amp; "]",
"[Base].[Metrica]",
"[Base].[Metrica].&amp;[" &amp; $A57 &amp; "]",
"[Base].[SEGMENTO_DESCRIP]",
"[Base].[SEGMENTO_DESCRIP].&amp;[" &amp; $C$6 &amp; "]",
"[Base].[SITUACION]",
"[Base].[SITUACION].&amp;[" &amp; $C57 &amp; "]"
),0)/1000</f>
        <v>1.4342000000000001</v>
      </c>
      <c r="W57" s="8">
        <f>IFERROR(
GETPIVOTDATA(
"[Base].[Importe]",
TDinamica_R!$A$5,
"[Calendario].[AñoMes]",
"[Calendario].[AñoMes].&amp;[" &amp; TEXT(W$6,"yyyymm") &amp; "]",
"[Base].[Metrica]",
"[Base].[Metrica].&amp;[" &amp; $A57 &amp; "]",
"[Base].[SEGMENTO_DESCRIP]",
"[Base].[SEGMENTO_DESCRIP].&amp;[" &amp; $C$6 &amp; "]",
"[Base].[SITUACION]",
"[Base].[SITUACION].&amp;[" &amp; $C57 &amp; "]"
),0)/1000</f>
        <v>3.0068199999999998</v>
      </c>
      <c r="X57" s="8">
        <f>IFERROR(
GETPIVOTDATA(
"[Base].[Importe]",
TDinamica_R!$A$5,
"[Calendario].[AñoMes]",
"[Calendario].[AñoMes].&amp;[" &amp; TEXT(X$6,"yyyymm") &amp; "]",
"[Base].[Metrica]",
"[Base].[Metrica].&amp;[" &amp; $A57 &amp; "]",
"[Base].[SEGMENTO_DESCRIP]",
"[Base].[SEGMENTO_DESCRIP].&amp;[" &amp; $C$6 &amp; "]",
"[Base].[SITUACION]",
"[Base].[SITUACION].&amp;[" &amp; $C57 &amp; "]"
),0)/1000</f>
        <v>0.47400999999999999</v>
      </c>
      <c r="Y57" s="8">
        <f>IFERROR(
GETPIVOTDATA(
"[Base].[Importe]",
TDinamica_R!$A$5,
"[Calendario].[AñoMes]",
"[Calendario].[AñoMes].&amp;[" &amp; TEXT(Y$6,"yyyymm") &amp; "]",
"[Base].[Metrica]",
"[Base].[Metrica].&amp;[" &amp; $A57 &amp; "]",
"[Base].[SEGMENTO_DESCRIP]",
"[Base].[SEGMENTO_DESCRIP].&amp;[" &amp; $C$6 &amp; "]",
"[Base].[SITUACION]",
"[Base].[SITUACION].&amp;[" &amp; $C57 &amp; "]"
),0)/1000</f>
        <v>0.52700999999999998</v>
      </c>
      <c r="Z57" s="8">
        <f>IFERROR(
GETPIVOTDATA(
"[Base].[Importe]",
TDinamica_R!$A$5,
"[Calendario].[AñoMes]",
"[Calendario].[AñoMes].&amp;[" &amp; TEXT(Z$6,"yyyymm") &amp; "]",
"[Base].[Metrica]",
"[Base].[Metrica].&amp;[" &amp; $A57 &amp; "]",
"[Base].[SEGMENTO_DESCRIP]",
"[Base].[SEGMENTO_DESCRIP].&amp;[" &amp; $C$6 &amp; "]",
"[Base].[SITUACION]",
"[Base].[SITUACION].&amp;[" &amp; $C57 &amp; "]"
),0)/1000</f>
        <v>6.4647300000000003</v>
      </c>
      <c r="AA57" s="8">
        <f>IFERROR(
GETPIVOTDATA(
"[Base].[Importe]",
TDinamica_R!$A$5,
"[Calendario].[AñoMes]",
"[Calendario].[AñoMes].&amp;[" &amp; TEXT(AA$6,"yyyymm") &amp; "]",
"[Base].[Metrica]",
"[Base].[Metrica].&amp;[" &amp; $A57 &amp; "]",
"[Base].[SEGMENTO_DESCRIP]",
"[Base].[SEGMENTO_DESCRIP].&amp;[" &amp; $C$6 &amp; "]",
"[Base].[SITUACION]",
"[Base].[SITUACION].&amp;[" &amp; $C57 &amp; "]"
),0)/1000</f>
        <v>0.77652999999999994</v>
      </c>
      <c r="AB57" s="8">
        <f>IFERROR(
GETPIVOTDATA(
"[Base].[Importe]",
TDinamica_R!$A$5,
"[Calendario].[AñoMes]",
"[Calendario].[AñoMes].&amp;[" &amp; TEXT(AB$6,"yyyymm") &amp; "]",
"[Base].[Metrica]",
"[Base].[Metrica].&amp;[" &amp; $A57 &amp; "]",
"[Base].[SEGMENTO_DESCRIP]",
"[Base].[SEGMENTO_DESCRIP].&amp;[" &amp; $C$6 &amp; "]",
"[Base].[SITUACION]",
"[Base].[SITUACION].&amp;[" &amp; $C57 &amp; "]"
),0)/1000</f>
        <v>0.81984999999999997</v>
      </c>
      <c r="AC57" s="8">
        <f>IFERROR(
GETPIVOTDATA(
"[Base].[Importe]",
TDinamica_R!$A$5,
"[Calendario].[AñoMes]",
"[Calendario].[AñoMes].&amp;[" &amp; TEXT(AC$6,"yyyymm") &amp; "]",
"[Base].[Metrica]",
"[Base].[Metrica].&amp;[" &amp; $A57 &amp; "]",
"[Base].[SEGMENTO_DESCRIP]",
"[Base].[SEGMENTO_DESCRIP].&amp;[" &amp; $C$6 &amp; "]",
"[Base].[SITUACION]",
"[Base].[SITUACION].&amp;[" &amp; $C57 &amp; "]"
),0)/1000</f>
        <v>0.98865000000000003</v>
      </c>
      <c r="AD57" s="8">
        <f>IFERROR(
GETPIVOTDATA(
"[Base].[Importe]",
TDinamica_R!$A$5,
"[Calendario].[AñoMes]",
"[Calendario].[AñoMes].&amp;[" &amp; TEXT(AD$6,"yyyymm") &amp; "]",
"[Base].[Metrica]",
"[Base].[Metrica].&amp;[" &amp; $A57 &amp; "]",
"[Base].[SEGMENTO_DESCRIP]",
"[Base].[SEGMENTO_DESCRIP].&amp;[" &amp; $C$6 &amp; "]",
"[Base].[SITUACION]",
"[Base].[SITUACION].&amp;[" &amp; $C57 &amp; "]"
),0)/1000</f>
        <v>1.0476300000000001</v>
      </c>
      <c r="AE57" s="8">
        <f>IFERROR(
GETPIVOTDATA(
"[Base].[Importe]",
TDinamica_R!$A$5,
"[Calendario].[AñoMes]",
"[Calendario].[AñoMes].&amp;[" &amp; TEXT(AE$6,"yyyymm") &amp; "]",
"[Base].[Metrica]",
"[Base].[Metrica].&amp;[" &amp; $A57 &amp; "]",
"[Base].[SEGMENTO_DESCRIP]",
"[Base].[SEGMENTO_DESCRIP].&amp;[" &amp; $C$6 &amp; "]",
"[Base].[SITUACION]",
"[Base].[SITUACION].&amp;[" &amp; $C57 &amp; "]"
),0)/1000</f>
        <v>7.8852699999999993</v>
      </c>
      <c r="AF57" s="8">
        <f>IFERROR(
GETPIVOTDATA(
"[Base].[Importe]",
TDinamica_R!$A$5,
"[Calendario].[AñoMes]",
"[Calendario].[AñoMes].&amp;[" &amp; TEXT(AF$6,"yyyymm") &amp; "]",
"[Base].[Metrica]",
"[Base].[Metrica].&amp;[" &amp; $A57 &amp; "]",
"[Base].[SEGMENTO_DESCRIP]",
"[Base].[SEGMENTO_DESCRIP].&amp;[" &amp; $C$6 &amp; "]",
"[Base].[SITUACION]",
"[Base].[SITUACION].&amp;[" &amp; $C57 &amp; "]"
),0)/1000</f>
        <v>0.57644000000000006</v>
      </c>
      <c r="AG57" s="8">
        <f>IFERROR(
GETPIVOTDATA(
"[Base].[Importe]",
TDinamica_R!$A$5,
"[Calendario].[AñoMes]",
"[Calendario].[AñoMes].&amp;[" &amp; TEXT(AG$6,"yyyymm") &amp; "]",
"[Base].[Metrica]",
"[Base].[Metrica].&amp;[" &amp; $A57 &amp; "]",
"[Base].[SEGMENTO_DESCRIP]",
"[Base].[SEGMENTO_DESCRIP].&amp;[" &amp; $C$6 &amp; "]",
"[Base].[SITUACION]",
"[Base].[SITUACION].&amp;[" &amp; $C57 &amp; "]"
),0)/1000</f>
        <v>0.66980999999999991</v>
      </c>
      <c r="AH57" s="8">
        <f>IFERROR(
GETPIVOTDATA(
"[Base].[Importe]",
TDinamica_R!$A$5,
"[Calendario].[AñoMes]",
"[Calendario].[AñoMes].&amp;[" &amp; TEXT(AH$6,"yyyymm") &amp; "]",
"[Base].[Metrica]",
"[Base].[Metrica].&amp;[" &amp; $A57 &amp; "]",
"[Base].[SEGMENTO_DESCRIP]",
"[Base].[SEGMENTO_DESCRIP].&amp;[" &amp; $C$6 &amp; "]",
"[Base].[SITUACION]",
"[Base].[SITUACION].&amp;[" &amp; $C57 &amp; "]"
),0)/1000</f>
        <v>4.5354799999999997</v>
      </c>
      <c r="AI57" s="8">
        <f>IFERROR(
GETPIVOTDATA(
"[Base].[Importe]",
TDinamica_R!$A$5,
"[Calendario].[AñoMes]",
"[Calendario].[AñoMes].&amp;[" &amp; TEXT(AI$6,"yyyymm") &amp; "]",
"[Base].[Metrica]",
"[Base].[Metrica].&amp;[" &amp; $A57 &amp; "]",
"[Base].[SEGMENTO_DESCRIP]",
"[Base].[SEGMENTO_DESCRIP].&amp;[" &amp; $C$6 &amp; "]",
"[Base].[SITUACION]",
"[Base].[SITUACION].&amp;[" &amp; $C57 &amp; "]"
),0)/1000</f>
        <v>0.62930999999999993</v>
      </c>
      <c r="AJ57" s="8">
        <f>IFERROR(
GETPIVOTDATA(
"[Base].[Importe]",
TDinamica_R!$A$5,
"[Calendario].[AñoMes]",
"[Calendario].[AñoMes].&amp;[" &amp; TEXT(AJ$6,"yyyymm") &amp; "]",
"[Base].[Metrica]",
"[Base].[Metrica].&amp;[" &amp; $A57 &amp; "]",
"[Base].[SEGMENTO_DESCRIP]",
"[Base].[SEGMENTO_DESCRIP].&amp;[" &amp; $C$6 &amp; "]",
"[Base].[SITUACION]",
"[Base].[SITUACION].&amp;[" &amp; $C57 &amp; "]"
),0)/1000</f>
        <v>0.74892999999999998</v>
      </c>
      <c r="AK57" s="8">
        <f>IFERROR(
GETPIVOTDATA(
"[Base].[Importe]",
TDinamica_R!$A$5,
"[Calendario].[AñoMes]",
"[Calendario].[AñoMes].&amp;[" &amp; TEXT(AK$6,"yyyymm") &amp; "]",
"[Base].[Metrica]",
"[Base].[Metrica].&amp;[" &amp; $A57 &amp; "]",
"[Base].[SEGMENTO_DESCRIP]",
"[Base].[SEGMENTO_DESCRIP].&amp;[" &amp; $C$6 &amp; "]",
"[Base].[SITUACION]",
"[Base].[SITUACION].&amp;[" &amp; $C57 &amp; "]"
),0)/1000</f>
        <v>0.74892999999999998</v>
      </c>
      <c r="AL57" s="8">
        <f>IFERROR(
GETPIVOTDATA(
"[Base].[Importe]",
TDinamica_R!$A$5,
"[Calendario].[AñoMes]",
"[Calendario].[AñoMes].&amp;[" &amp; TEXT(AL$6,"yyyymm") &amp; "]",
"[Base].[Metrica]",
"[Base].[Metrica].&amp;[" &amp; $A57 &amp; "]",
"[Base].[SEGMENTO_DESCRIP]",
"[Base].[SEGMENTO_DESCRIP].&amp;[" &amp; $C$6 &amp; "]",
"[Base].[SITUACION]",
"[Base].[SITUACION].&amp;[" &amp; $C57 &amp; "]"
),0)/1000</f>
        <v>0.74892999999999998</v>
      </c>
      <c r="AM57" s="8">
        <f>IFERROR(
GETPIVOTDATA(
"[Base].[Importe]",
TDinamica_R!$A$5,
"[Calendario].[AñoMes]",
"[Calendario].[AñoMes].&amp;[" &amp; TEXT(AM$6,"yyyymm") &amp; "]",
"[Base].[Metrica]",
"[Base].[Metrica].&amp;[" &amp; $A57 &amp; "]",
"[Base].[SEGMENTO_DESCRIP]",
"[Base].[SEGMENTO_DESCRIP].&amp;[" &amp; $C$6 &amp; "]",
"[Base].[SITUACION]",
"[Base].[SITUACION].&amp;[" &amp; $C57 &amp; "]"
),0)/1000</f>
        <v>0.74892999999999998</v>
      </c>
      <c r="AN57" s="8">
        <f>IFERROR(
GETPIVOTDATA(
"[Base].[Importe]",
TDinamica_R!$A$5,
"[Calendario].[AñoMes]",
"[Calendario].[AñoMes].&amp;[" &amp; TEXT(AN$6,"yyyymm") &amp; "]",
"[Base].[Metrica]",
"[Base].[Metrica].&amp;[" &amp; $A57 &amp; "]",
"[Base].[SEGMENTO_DESCRIP]",
"[Base].[SEGMENTO_DESCRIP].&amp;[" &amp; $C$6 &amp; "]",
"[Base].[SITUACION]",
"[Base].[SITUACION].&amp;[" &amp; $C57 &amp; "]"
),0)/1000</f>
        <v>0.7114299999999999</v>
      </c>
      <c r="AO57" s="8">
        <f>IFERROR(
GETPIVOTDATA(
"[Base].[Importe]",
TDinamica_R!$A$5,
"[Calendario].[AñoMes]",
"[Calendario].[AñoMes].&amp;[" &amp; TEXT(AO$6,"yyyymm") &amp; "]",
"[Base].[Metrica]",
"[Base].[Metrica].&amp;[" &amp; $A57 &amp; "]",
"[Base].[SEGMENTO_DESCRIP]",
"[Base].[SEGMENTO_DESCRIP].&amp;[" &amp; $C$6 &amp; "]",
"[Base].[SITUACION]",
"[Base].[SITUACION].&amp;[" &amp; $C57 &amp; "]"
),0)/1000</f>
        <v>0.78104999999999991</v>
      </c>
      <c r="AP57" s="8">
        <f>IFERROR(
GETPIVOTDATA(
"[Base].[Importe]",
TDinamica_R!$A$5,
"[Calendario].[AñoMes]",
"[Calendario].[AñoMes].&amp;[" &amp; TEXT(AP$6,"yyyymm") &amp; "]",
"[Base].[Metrica]",
"[Base].[Metrica].&amp;[" &amp; $A57 &amp; "]",
"[Base].[SEGMENTO_DESCRIP]",
"[Base].[SEGMENTO_DESCRIP].&amp;[" &amp; $C$6 &amp; "]",
"[Base].[SITUACION]",
"[Base].[SITUACION].&amp;[" &amp; $C57 &amp; "]"
),0)/1000</f>
        <v>0.28543000000000002</v>
      </c>
      <c r="AQ57" s="8">
        <f>IFERROR(
GETPIVOTDATA(
"[Base].[Importe]",
TDinamica_R!$A$5,
"[Calendario].[AñoMes]",
"[Calendario].[AñoMes].&amp;[" &amp; TEXT(AQ$6,"yyyymm") &amp; "]",
"[Base].[Metrica]",
"[Base].[Metrica].&amp;[" &amp; $A57 &amp; "]",
"[Base].[SEGMENTO_DESCRIP]",
"[Base].[SEGMENTO_DESCRIP].&amp;[" &amp; $C$6 &amp; "]",
"[Base].[SITUACION]",
"[Base].[SITUACION].&amp;[" &amp; $C57 &amp; "]"
),0)/1000</f>
        <v>0.51229999999999998</v>
      </c>
      <c r="AR57" s="8">
        <f>IFERROR(
GETPIVOTDATA(
"[Base].[Importe]",
TDinamica_R!$A$5,
"[Calendario].[AñoMes]",
"[Calendario].[AñoMes].&amp;[" &amp; TEXT(AR$6,"yyyymm") &amp; "]",
"[Base].[Metrica]",
"[Base].[Metrica].&amp;[" &amp; $A57 &amp; "]",
"[Base].[SEGMENTO_DESCRIP]",
"[Base].[SEGMENTO_DESCRIP].&amp;[" &amp; $C$6 &amp; "]",
"[Base].[SITUACION]",
"[Base].[SITUACION].&amp;[" &amp; $C57 &amp; "]"
),0)/1000</f>
        <v>0.50424999999999998</v>
      </c>
      <c r="AS57" s="8">
        <f>IFERROR(
GETPIVOTDATA(
"[Base].[Importe]",
TDinamica_R!$A$5,
"[Calendario].[AñoMes]",
"[Calendario].[AñoMes].&amp;[" &amp; TEXT(AS$6,"yyyymm") &amp; "]",
"[Base].[Metrica]",
"[Base].[Metrica].&amp;[" &amp; $A57 &amp; "]",
"[Base].[SEGMENTO_DESCRIP]",
"[Base].[SEGMENTO_DESCRIP].&amp;[" &amp; $C$6 &amp; "]",
"[Base].[SITUACION]",
"[Base].[SITUACION].&amp;[" &amp; $C57 &amp; "]"
),0)/1000</f>
        <v>0.50424999999999998</v>
      </c>
      <c r="AT57" s="8">
        <f>IFERROR(
GETPIVOTDATA(
"[Base].[Importe]",
TDinamica_R!$A$5,
"[Calendario].[AñoMes]",
"[Calendario].[AñoMes].&amp;[" &amp; TEXT(AT$6,"yyyymm")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U57" s="8">
        <f>IFERROR(
GETPIVOTDATA(
"[Base].[Importe]",
TDinamica_R!$A$5,
"[Calendario].[AñoMes]",
"[Calendario].[AñoMes].&amp;[" &amp; TEXT(AU$6,"yyyymm")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V57" s="8">
        <f>IFERROR(
GETPIVOTDATA(
"[Base].[Importe]",
TDinamica_R!$A$5,
"[Calendario].[AñoMes]",
"[Calendario].[AñoMes].&amp;[" &amp; TEXT(AV$6,"yyyymm")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W57" s="8">
        <f>IFERROR(
GETPIVOTDATA(
"[Base].[Importe]",
TDinamica_R!$A$5,
"[Calendario].[AñoMes]",
"[Calendario].[AñoMes].&amp;[" &amp; TEXT(AW$6,"yyyymm")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X57" s="8">
        <f>IFERROR(
GETPIVOTDATA(
"[Base].[Importe]",
TDinamica_R!$A$5,
"[Calendario].[AñoMes]",
"[Calendario].[AñoMes].&amp;[" &amp; TEXT(AX$6,"yyyymm")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Y57" s="8">
        <f>IFERROR(
GETPIVOTDATA(
"[Base].[Importe]",
TDinamica_R!$A$5,
"[Calendario].[AñoMes]",
"[Calendario].[AñoMes].&amp;[" &amp; TEXT(AY$6,"yyyymm")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Z57" s="8">
        <f>IFERROR(
GETPIVOTDATA(
"[BASE_CONVE_PPTO].[Importe]",
TDinamica_P!$A$5,
"[BASE_CONVE_PPTO].[Periodo]",
"[BASE_CONVE_PPTO].[Periodo].&amp;[" &amp; TEXT(AZ$6,"yyyymm")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0</v>
      </c>
      <c r="BA57" s="8">
        <f>IFERROR(
GETPIVOTDATA(
"[BASE_CONVE_PPTO].[Importe]",
TDinamica_P!$A$5,
"[BASE_CONVE_PPTO].[Periodo]",
"[BASE_CONVE_PPTO].[Periodo].&amp;[" &amp; TEXT(BA$6,"yyyymm")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1.1059612421344649</v>
      </c>
      <c r="BB57" s="8">
        <f>IFERROR(
GETPIVOTDATA(
"[BASE_CONVE_PPTO].[Importe]",
TDinamica_P!$A$5,
"[BASE_CONVE_PPTO].[Periodo]",
"[BASE_CONVE_PPTO].[Periodo].&amp;[" &amp; TEXT(BB$6,"yyyymm")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0</v>
      </c>
      <c r="BC57" s="8">
        <f>IFERROR(
GETPIVOTDATA(
"[BASE_CONVE_PPTO].[Importe]",
TDinamica_P!$A$5,
"[BASE_CONVE_PPTO].[Periodo]",
"[BASE_CONVE_PPTO].[Periodo].&amp;[" &amp; TEXT(BC$6,"yyyymm")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25.126566197668502</v>
      </c>
      <c r="BD57" s="8">
        <f>IFERROR(
GETPIVOTDATA(
"[BASE_CONVE_PPTO].[Importe]",
TDinamica_P!$A$5,
"[BASE_CONVE_PPTO].[Periodo]",
"[BASE_CONVE_PPTO].[Periodo].&amp;[" &amp; TEXT(BD$6,"yyyymm")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1.509318783290858E-4</v>
      </c>
      <c r="BE57" s="8">
        <f>IFERROR(
GETPIVOTDATA(
"[BASE_CONVE_PPTO].[Importe]",
TDinamica_P!$A$5,
"[BASE_CONVE_PPTO].[Periodo]",
"[BASE_CONVE_PPTO].[Periodo].&amp;[" &amp; TEXT(BE$6,"yyyymm")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14.252272789411768</v>
      </c>
      <c r="BF57" s="8">
        <f>IFERROR(
GETPIVOTDATA(
"[BASE_CONVE_PPTO].[Importe]",
TDinamica_P!$A$5,
"[BASE_CONVE_PPTO].[Periodo]",
"[BASE_CONVE_PPTO].[Periodo].&amp;[" &amp; TEXT(BF$6,"yyyymm")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2.0892139775999312</v>
      </c>
      <c r="BG57" s="8">
        <f>IFERROR(
GETPIVOTDATA(
"[BASE_CONVE_PPTO].[Importe]",
TDinamica_P!$A$5,
"[BASE_CONVE_PPTO].[Periodo]",
"[BASE_CONVE_PPTO].[Periodo].&amp;[" &amp; TEXT(BG$6,"yyyymm")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0</v>
      </c>
      <c r="BH57" s="8">
        <f>IFERROR(
GETPIVOTDATA(
"[BASE_CONVE_PPTO].[Importe]",
TDinamica_P!$A$5,
"[BASE_CONVE_PPTO].[Periodo]",
"[BASE_CONVE_PPTO].[Periodo].&amp;[" &amp; TEXT(BH$6,"yyyymm")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0</v>
      </c>
      <c r="BI57" s="8">
        <f>IFERROR(
GETPIVOTDATA(
"[BASE_CONVE_PPTO].[Importe]",
TDinamica_P!$A$5,
"[BASE_CONVE_PPTO].[Periodo]",
"[BASE_CONVE_PPTO].[Periodo].&amp;[" &amp; TEXT(BI$6,"yyyymm")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0</v>
      </c>
      <c r="BJ57" s="8">
        <f>IFERROR(
GETPIVOTDATA(
"[BASE_CONVE_PPTO].[Importe]",
TDinamica_P!$A$5,
"[BASE_CONVE_PPTO].[Periodo]",
"[BASE_CONVE_PPTO].[Periodo].&amp;[" &amp; TEXT(BJ$6,"yyyymm")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6.8798419431454727</v>
      </c>
      <c r="BK57" s="8">
        <f>IFERROR(
GETPIVOTDATA(
"[BASE_CONVE_PPTO].[Importe]",
TDinamica_P!$A$5,
"[BASE_CONVE_PPTO].[Periodo]",
"[BASE_CONVE_PPTO].[Periodo].&amp;[" &amp; TEXT(BK$6,"yyyymm")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0</v>
      </c>
      <c r="BO57" s="24">
        <f t="shared" si="192"/>
        <v>2.7944599999999999</v>
      </c>
      <c r="BP57" s="24">
        <f t="shared" si="192"/>
        <v>26.232678371681299</v>
      </c>
      <c r="BQ57" s="24">
        <f t="shared" si="192"/>
        <v>2.2902100000000001</v>
      </c>
      <c r="BR57" s="24">
        <f t="shared" si="192"/>
        <v>11.317839999999999</v>
      </c>
      <c r="BS57" s="24">
        <f t="shared" si="192"/>
        <v>18.499980000000001</v>
      </c>
      <c r="BT57" s="24">
        <f t="shared" si="192"/>
        <v>0</v>
      </c>
    </row>
    <row r="58" spans="1:72" x14ac:dyDescent="0.25">
      <c r="C58" s="3" t="s">
        <v>68</v>
      </c>
      <c r="D58" s="10">
        <f t="shared" ref="D58:AY58" si="193">SUM(D56:D57)</f>
        <v>13.849649999989611</v>
      </c>
      <c r="E58" s="10">
        <f t="shared" si="193"/>
        <v>-72.157080000000207</v>
      </c>
      <c r="F58" s="10">
        <f t="shared" si="193"/>
        <v>27.540810000000302</v>
      </c>
      <c r="G58" s="10">
        <f t="shared" si="193"/>
        <v>45.623679999990948</v>
      </c>
      <c r="H58" s="10">
        <f t="shared" si="193"/>
        <v>-2.7605799999999014</v>
      </c>
      <c r="I58" s="10">
        <f t="shared" si="193"/>
        <v>-7.073120000001154</v>
      </c>
      <c r="J58" s="10">
        <f t="shared" si="193"/>
        <v>-25.611039999998983</v>
      </c>
      <c r="K58" s="10">
        <f t="shared" si="193"/>
        <v>-12.849530000000334</v>
      </c>
      <c r="L58" s="10">
        <f t="shared" si="193"/>
        <v>-67.046692113920543</v>
      </c>
      <c r="M58" s="10">
        <f t="shared" si="193"/>
        <v>-82.286802731357199</v>
      </c>
      <c r="N58" s="10">
        <f t="shared" si="193"/>
        <v>-10.991486274101433</v>
      </c>
      <c r="O58" s="10">
        <f t="shared" si="193"/>
        <v>51.253382529452921</v>
      </c>
      <c r="P58" s="10">
        <f t="shared" si="193"/>
        <v>-36.636583917508034</v>
      </c>
      <c r="Q58" s="10">
        <f t="shared" si="193"/>
        <v>-34.493059842281127</v>
      </c>
      <c r="R58" s="10">
        <f t="shared" si="193"/>
        <v>-142.28913446030833</v>
      </c>
      <c r="S58" s="10">
        <f t="shared" si="193"/>
        <v>-33.939712192048603</v>
      </c>
      <c r="T58" s="10">
        <f t="shared" si="193"/>
        <v>-99.779071953562735</v>
      </c>
      <c r="U58" s="10">
        <f t="shared" si="193"/>
        <v>-22.252080000000117</v>
      </c>
      <c r="V58" s="10">
        <f t="shared" si="193"/>
        <v>-61.133109999990189</v>
      </c>
      <c r="W58" s="10">
        <f t="shared" si="193"/>
        <v>-4.3639568523004328</v>
      </c>
      <c r="X58" s="10">
        <f t="shared" si="193"/>
        <v>-12.504816706720792</v>
      </c>
      <c r="Y58" s="10">
        <f t="shared" si="193"/>
        <v>-33.450903391749755</v>
      </c>
      <c r="Z58" s="10">
        <f t="shared" si="193"/>
        <v>71.442610631624774</v>
      </c>
      <c r="AA58" s="10">
        <f t="shared" si="193"/>
        <v>11.87054149652575</v>
      </c>
      <c r="AB58" s="10">
        <f t="shared" si="193"/>
        <v>-50.502384426132032</v>
      </c>
      <c r="AC58" s="10">
        <f t="shared" si="193"/>
        <v>64.849882670606789</v>
      </c>
      <c r="AD58" s="10">
        <f t="shared" si="193"/>
        <v>-3.4930099999999973</v>
      </c>
      <c r="AE58" s="10">
        <f t="shared" si="193"/>
        <v>-15.235879999999998</v>
      </c>
      <c r="AF58" s="10">
        <f t="shared" si="193"/>
        <v>-91.685389999999998</v>
      </c>
      <c r="AG58" s="10">
        <f t="shared" si="193"/>
        <v>21.280989999999999</v>
      </c>
      <c r="AH58" s="10">
        <f t="shared" si="193"/>
        <v>50.645349999999986</v>
      </c>
      <c r="AI58" s="10">
        <f t="shared" si="193"/>
        <v>12.237731692264699</v>
      </c>
      <c r="AJ58" s="10">
        <f t="shared" si="193"/>
        <v>18.555611456859999</v>
      </c>
      <c r="AK58" s="10">
        <f t="shared" si="193"/>
        <v>-71.5511913832853</v>
      </c>
      <c r="AL58" s="10">
        <f t="shared" si="193"/>
        <v>-36.0919686933333</v>
      </c>
      <c r="AM58" s="10">
        <f t="shared" si="193"/>
        <v>-126.235650496728</v>
      </c>
      <c r="AN58" s="10">
        <f t="shared" si="193"/>
        <v>-6.2553800000000006</v>
      </c>
      <c r="AO58" s="10">
        <f t="shared" si="193"/>
        <v>-198.10137000000003</v>
      </c>
      <c r="AP58" s="10">
        <f t="shared" si="193"/>
        <v>-21.721889999999998</v>
      </c>
      <c r="AQ58" s="10">
        <f t="shared" si="193"/>
        <v>-220.74680999999998</v>
      </c>
      <c r="AR58" s="10">
        <f t="shared" si="193"/>
        <v>-90.312010000000001</v>
      </c>
      <c r="AS58" s="10">
        <f t="shared" si="193"/>
        <v>-326.97103999999996</v>
      </c>
      <c r="AT58" s="10">
        <f t="shared" si="193"/>
        <v>0</v>
      </c>
      <c r="AU58" s="10">
        <f t="shared" si="193"/>
        <v>0</v>
      </c>
      <c r="AV58" s="10">
        <f t="shared" si="193"/>
        <v>0</v>
      </c>
      <c r="AW58" s="10">
        <f t="shared" si="193"/>
        <v>0</v>
      </c>
      <c r="AX58" s="10">
        <f t="shared" si="193"/>
        <v>0</v>
      </c>
      <c r="AY58" s="10">
        <f t="shared" si="193"/>
        <v>0</v>
      </c>
      <c r="AZ58" s="10">
        <f t="shared" ref="AZ58:BK58" si="194">SUM(AZ56:AZ57)</f>
        <v>1.3793184897339663</v>
      </c>
      <c r="BA58" s="10">
        <f t="shared" si="194"/>
        <v>-1.5366847298515236</v>
      </c>
      <c r="BB58" s="10">
        <f t="shared" si="194"/>
        <v>-6.8956662665523796</v>
      </c>
      <c r="BC58" s="10">
        <f t="shared" si="194"/>
        <v>14.947605748503531</v>
      </c>
      <c r="BD58" s="10">
        <f t="shared" si="194"/>
        <v>-13.626640449873184</v>
      </c>
      <c r="BE58" s="10">
        <f t="shared" si="194"/>
        <v>-3.5913608771095245</v>
      </c>
      <c r="BF58" s="10">
        <f t="shared" si="194"/>
        <v>-19.433927760843858</v>
      </c>
      <c r="BG58" s="10">
        <f t="shared" si="194"/>
        <v>-31.716074867174136</v>
      </c>
      <c r="BH58" s="10">
        <f t="shared" si="194"/>
        <v>-25.913243648342682</v>
      </c>
      <c r="BI58" s="10">
        <f t="shared" si="194"/>
        <v>-31.568877117046377</v>
      </c>
      <c r="BJ58" s="10">
        <f t="shared" si="194"/>
        <v>-28.862743716127362</v>
      </c>
      <c r="BK58" s="10">
        <f t="shared" si="194"/>
        <v>-37.425166562290279</v>
      </c>
      <c r="BO58" s="23">
        <f>SUM(BO56:BO57)</f>
        <v>-537.13746000000003</v>
      </c>
      <c r="BP58" s="23">
        <f t="shared" ref="BP58:BT58" si="195">SUM(BP56:BP57)</f>
        <v>-5.732067208039588</v>
      </c>
      <c r="BQ58" s="23">
        <f t="shared" si="195"/>
        <v>-446.82545000000005</v>
      </c>
      <c r="BR58" s="23">
        <f t="shared" si="195"/>
        <v>-96.066781755525241</v>
      </c>
      <c r="BS58" s="23">
        <f t="shared" si="195"/>
        <v>-347.13756236570885</v>
      </c>
      <c r="BT58" s="23">
        <f t="shared" si="195"/>
        <v>12.096479999980751</v>
      </c>
    </row>
    <row r="60" spans="1:72" x14ac:dyDescent="0.25">
      <c r="C60" s="3" t="s">
        <v>70</v>
      </c>
      <c r="D60" s="10">
        <f>D53+D58</f>
        <v>331.34851764998945</v>
      </c>
      <c r="E60" s="10">
        <f t="shared" ref="E60:BK60" si="196">E53+E58</f>
        <v>264.21821308999984</v>
      </c>
      <c r="F60" s="10">
        <f t="shared" si="196"/>
        <v>316.3835173100004</v>
      </c>
      <c r="G60" s="10">
        <f t="shared" si="196"/>
        <v>329.85800712999105</v>
      </c>
      <c r="H60" s="10">
        <f t="shared" si="196"/>
        <v>271.86571328000025</v>
      </c>
      <c r="I60" s="10">
        <f t="shared" si="196"/>
        <v>279.91335965999878</v>
      </c>
      <c r="J60" s="10">
        <f t="shared" si="196"/>
        <v>241.30678295000115</v>
      </c>
      <c r="K60" s="10">
        <f t="shared" si="196"/>
        <v>243.31037278999978</v>
      </c>
      <c r="L60" s="10">
        <f t="shared" si="196"/>
        <v>210.18214417607942</v>
      </c>
      <c r="M60" s="10">
        <f t="shared" si="196"/>
        <v>169.28880767864288</v>
      </c>
      <c r="N60" s="10">
        <f t="shared" si="196"/>
        <v>251.22873698589882</v>
      </c>
      <c r="O60" s="10">
        <f t="shared" si="196"/>
        <v>300.510113019453</v>
      </c>
      <c r="P60" s="10">
        <f t="shared" si="196"/>
        <v>206.94483931249201</v>
      </c>
      <c r="Q60" s="10">
        <f t="shared" si="196"/>
        <v>240.38294940771902</v>
      </c>
      <c r="R60" s="10">
        <f t="shared" si="196"/>
        <v>109.6501783896918</v>
      </c>
      <c r="S60" s="10">
        <f t="shared" si="196"/>
        <v>208.5399298879513</v>
      </c>
      <c r="T60" s="10">
        <f t="shared" si="196"/>
        <v>137.86600347643713</v>
      </c>
      <c r="U60" s="10">
        <f t="shared" si="196"/>
        <v>230.46713687999997</v>
      </c>
      <c r="V60" s="10">
        <f t="shared" si="196"/>
        <v>177.43424513000983</v>
      </c>
      <c r="W60" s="10">
        <f t="shared" si="196"/>
        <v>238.92282159769957</v>
      </c>
      <c r="X60" s="10">
        <f t="shared" si="196"/>
        <v>258.72721854327909</v>
      </c>
      <c r="Y60" s="10">
        <f t="shared" si="196"/>
        <v>248.68454064825028</v>
      </c>
      <c r="Z60" s="10">
        <f t="shared" si="196"/>
        <v>355.23438527162477</v>
      </c>
      <c r="AA60" s="10">
        <f t="shared" si="196"/>
        <v>281.92501258652595</v>
      </c>
      <c r="AB60" s="10">
        <f t="shared" si="196"/>
        <v>210.522486453868</v>
      </c>
      <c r="AC60" s="10">
        <f t="shared" si="196"/>
        <v>372.86671564060691</v>
      </c>
      <c r="AD60" s="10">
        <f t="shared" si="196"/>
        <v>280.63891175999998</v>
      </c>
      <c r="AE60" s="10">
        <f t="shared" si="196"/>
        <v>280.40824532000005</v>
      </c>
      <c r="AF60" s="10">
        <f t="shared" si="196"/>
        <v>195.87662412999981</v>
      </c>
      <c r="AG60" s="10">
        <f t="shared" si="196"/>
        <v>332.3962186899999</v>
      </c>
      <c r="AH60" s="10">
        <f t="shared" si="196"/>
        <v>344.71090866000003</v>
      </c>
      <c r="AI60" s="10">
        <f t="shared" si="196"/>
        <v>310.10242068226472</v>
      </c>
      <c r="AJ60" s="10">
        <f t="shared" si="196"/>
        <v>332.47378084685988</v>
      </c>
      <c r="AK60" s="10">
        <f t="shared" si="196"/>
        <v>216.76009965671483</v>
      </c>
      <c r="AL60" s="10">
        <f t="shared" si="196"/>
        <v>266.37325258666675</v>
      </c>
      <c r="AM60" s="10">
        <f t="shared" si="196"/>
        <v>167.29843946327219</v>
      </c>
      <c r="AN60" s="10">
        <f t="shared" si="196"/>
        <v>287.12456385000013</v>
      </c>
      <c r="AO60" s="10">
        <f t="shared" si="196"/>
        <v>130.66833992000005</v>
      </c>
      <c r="AP60" s="10">
        <f t="shared" si="196"/>
        <v>277.69710828999996</v>
      </c>
      <c r="AQ60" s="10">
        <f t="shared" si="196"/>
        <v>91.716903589999902</v>
      </c>
      <c r="AR60" s="10">
        <f t="shared" si="196"/>
        <v>201.59548752184264</v>
      </c>
      <c r="AS60" s="10">
        <f t="shared" si="196"/>
        <v>-8.4761178399998585</v>
      </c>
      <c r="AT60" s="10">
        <f t="shared" si="196"/>
        <v>0</v>
      </c>
      <c r="AU60" s="10">
        <f t="shared" si="196"/>
        <v>0</v>
      </c>
      <c r="AV60" s="10">
        <f t="shared" si="196"/>
        <v>0</v>
      </c>
      <c r="AW60" s="10">
        <f t="shared" si="196"/>
        <v>0</v>
      </c>
      <c r="AX60" s="10">
        <f t="shared" si="196"/>
        <v>0</v>
      </c>
      <c r="AY60" s="10">
        <f t="shared" si="196"/>
        <v>0</v>
      </c>
      <c r="AZ60" s="10">
        <f t="shared" si="196"/>
        <v>329.98244409192984</v>
      </c>
      <c r="BA60" s="10">
        <f t="shared" si="196"/>
        <v>378.95607679463262</v>
      </c>
      <c r="BB60" s="10">
        <f t="shared" si="196"/>
        <v>329.57248920790721</v>
      </c>
      <c r="BC60" s="10">
        <f t="shared" si="196"/>
        <v>372.36771942278983</v>
      </c>
      <c r="BD60" s="10">
        <f t="shared" si="196"/>
        <v>335.19255926073333</v>
      </c>
      <c r="BE60" s="10">
        <f t="shared" si="196"/>
        <v>365.43440921650046</v>
      </c>
      <c r="BF60" s="10">
        <f t="shared" si="196"/>
        <v>341.61336308938934</v>
      </c>
      <c r="BG60" s="10">
        <f t="shared" si="196"/>
        <v>335.71936443303895</v>
      </c>
      <c r="BH60" s="10">
        <f t="shared" si="196"/>
        <v>371.77775784784387</v>
      </c>
      <c r="BI60" s="10">
        <f t="shared" si="196"/>
        <v>353.04560469210213</v>
      </c>
      <c r="BJ60" s="10">
        <f t="shared" si="196"/>
        <v>369.88720568845935</v>
      </c>
      <c r="BK60" s="10">
        <f t="shared" si="196"/>
        <v>351.13208192803648</v>
      </c>
      <c r="BO60" s="23">
        <f>BO53+BO58</f>
        <v>988.80240317184246</v>
      </c>
      <c r="BP60" s="23">
        <f t="shared" ref="BP60:BT60" si="197">BP53+BP58</f>
        <v>1746.0712887779928</v>
      </c>
      <c r="BQ60" s="23">
        <f t="shared" si="197"/>
        <v>787.20691564999993</v>
      </c>
      <c r="BR60" s="23">
        <f t="shared" si="197"/>
        <v>1340.3129833044741</v>
      </c>
      <c r="BS60" s="23">
        <f t="shared" si="197"/>
        <v>903.38390047429061</v>
      </c>
      <c r="BT60" s="23">
        <f t="shared" si="197"/>
        <v>1513.6739684599813</v>
      </c>
    </row>
    <row r="63" spans="1:72" outlineLevel="1" x14ac:dyDescent="0.25">
      <c r="A63" s="11" t="s">
        <v>71</v>
      </c>
      <c r="C63" s="2" t="s">
        <v>74</v>
      </c>
      <c r="D63" s="8">
        <f>IFERROR(
GETPIVOTDATA(
"[Base].[Importe]",
TDinamica_R!$A$5,
"[Calendario].[AñoMes]",
"[Calendario].[AñoMes].&amp;[" &amp; TEXT(D$6,"yyyymm") &amp; "]",
"[Base].[Metrica]",
"[Base].[Metrica].&amp;[" &amp; $A63 &amp; "]",
"[Base].[SEGMENTO_DESCRIP]",
"[Base].[SEGMENTO_DESCRIP].&amp;[" &amp; $C$6 &amp; "]",
"[Base].[SITUACION]",
"[Base].[SITUACION].&amp;[" &amp; $C63 &amp; "]"
),0)/1000</f>
        <v>8.9111637429999995</v>
      </c>
      <c r="E63" s="8">
        <f>IFERROR(
GETPIVOTDATA(
"[Base].[Importe]",
TDinamica_R!$A$5,
"[Calendario].[AñoMes]",
"[Calendario].[AñoMes].&amp;[" &amp; TEXT(E$6,"yyyymm") &amp; "]",
"[Base].[Metrica]",
"[Base].[Metrica].&amp;[" &amp; $A63 &amp; "]",
"[Base].[SEGMENTO_DESCRIP]",
"[Base].[SEGMENTO_DESCRIP].&amp;[" &amp; $C$6 &amp; "]",
"[Base].[SITUACION]",
"[Base].[SITUACION].&amp;[" &amp; $C63 &amp; "]"
),0)/1000</f>
        <v>7.1727490380000001</v>
      </c>
      <c r="F63" s="8">
        <f>IFERROR(
GETPIVOTDATA(
"[Base].[Importe]",
TDinamica_R!$A$5,
"[Calendario].[AñoMes]",
"[Calendario].[AñoMes].&amp;[" &amp; TEXT(F$6,"yyyymm") &amp; "]",
"[Base].[Metrica]",
"[Base].[Metrica].&amp;[" &amp; $A63 &amp; "]",
"[Base].[SEGMENTO_DESCRIP]",
"[Base].[SEGMENTO_DESCRIP].&amp;[" &amp; $C$6 &amp; "]",
"[Base].[SITUACION]",
"[Base].[SITUACION].&amp;[" &amp; $C63 &amp; "]"
),0)/1000</f>
        <v>7.6055921089999998</v>
      </c>
      <c r="G63" s="8">
        <f>IFERROR(
GETPIVOTDATA(
"[Base].[Importe]",
TDinamica_R!$A$5,
"[Calendario].[AñoMes]",
"[Calendario].[AñoMes].&amp;[" &amp; TEXT(G$6,"yyyymm") &amp; "]",
"[Base].[Metrica]",
"[Base].[Metrica].&amp;[" &amp; $A63 &amp; "]",
"[Base].[SEGMENTO_DESCRIP]",
"[Base].[SEGMENTO_DESCRIP].&amp;[" &amp; $C$6 &amp; "]",
"[Base].[SITUACION]",
"[Base].[SITUACION].&amp;[" &amp; $C63 &amp; "]"
),0)/1000</f>
        <v>7.5823674899999993</v>
      </c>
      <c r="H63" s="8">
        <f>IFERROR(
GETPIVOTDATA(
"[Base].[Importe]",
TDinamica_R!$A$5,
"[Calendario].[AñoMes]",
"[Calendario].[AñoMes].&amp;[" &amp; TEXT(H$6,"yyyymm") &amp; "]",
"[Base].[Metrica]",
"[Base].[Metrica].&amp;[" &amp; $A63 &amp; "]",
"[Base].[SEGMENTO_DESCRIP]",
"[Base].[SEGMENTO_DESCRIP].&amp;[" &amp; $C$6 &amp; "]",
"[Base].[SITUACION]",
"[Base].[SITUACION].&amp;[" &amp; $C63 &amp; "]"
),0)/1000</f>
        <v>7.6429697470000004</v>
      </c>
      <c r="I63" s="8">
        <f>IFERROR(
GETPIVOTDATA(
"[Base].[Importe]",
TDinamica_R!$A$5,
"[Calendario].[AñoMes]",
"[Calendario].[AñoMes].&amp;[" &amp; TEXT(I$6,"yyyymm") &amp; "]",
"[Base].[Metrica]",
"[Base].[Metrica].&amp;[" &amp; $A63 &amp; "]",
"[Base].[SEGMENTO_DESCRIP]",
"[Base].[SEGMENTO_DESCRIP].&amp;[" &amp; $C$6 &amp; "]",
"[Base].[SITUACION]",
"[Base].[SITUACION].&amp;[" &amp; $C63 &amp; "]"
),0)/1000</f>
        <v>8.2284708510000009</v>
      </c>
      <c r="J63" s="8">
        <f>IFERROR(
GETPIVOTDATA(
"[Base].[Importe]",
TDinamica_R!$A$5,
"[Calendario].[AñoMes]",
"[Calendario].[AñoMes].&amp;[" &amp; TEXT(J$6,"yyyymm") &amp; "]",
"[Base].[Metrica]",
"[Base].[Metrica].&amp;[" &amp; $A63 &amp; "]",
"[Base].[SEGMENTO_DESCRIP]",
"[Base].[SEGMENTO_DESCRIP].&amp;[" &amp; $C$6 &amp; "]",
"[Base].[SITUACION]",
"[Base].[SITUACION].&amp;[" &amp; $C63 &amp; "]"
),0)/1000</f>
        <v>8.3356849719999992</v>
      </c>
      <c r="K63" s="8">
        <f>IFERROR(
GETPIVOTDATA(
"[Base].[Importe]",
TDinamica_R!$A$5,
"[Calendario].[AñoMes]",
"[Calendario].[AñoMes].&amp;[" &amp; TEXT(K$6,"yyyymm") &amp; "]",
"[Base].[Metrica]",
"[Base].[Metrica].&amp;[" &amp; $A63 &amp; "]",
"[Base].[SEGMENTO_DESCRIP]",
"[Base].[SEGMENTO_DESCRIP].&amp;[" &amp; $C$6 &amp; "]",
"[Base].[SITUACION]",
"[Base].[SITUACION].&amp;[" &amp; $C63 &amp; "]"
),0)/1000</f>
        <v>8.4450038920000008</v>
      </c>
      <c r="L63" s="8">
        <f>IFERROR(
GETPIVOTDATA(
"[Base].[Importe]",
TDinamica_R!$A$5,
"[Calendario].[AñoMes]",
"[Calendario].[AñoMes].&amp;[" &amp; TEXT(L$6,"yyyymm") &amp; "]",
"[Base].[Metrica]",
"[Base].[Metrica].&amp;[" &amp; $A63 &amp; "]",
"[Base].[SEGMENTO_DESCRIP]",
"[Base].[SEGMENTO_DESCRIP].&amp;[" &amp; $C$6 &amp; "]",
"[Base].[SITUACION]",
"[Base].[SITUACION].&amp;[" &amp; $C63 &amp; "]"
),0)/1000</f>
        <v>8.5377822370000001</v>
      </c>
      <c r="M63" s="8">
        <f>IFERROR(
GETPIVOTDATA(
"[Base].[Importe]",
TDinamica_R!$A$5,
"[Calendario].[AñoMes]",
"[Calendario].[AñoMes].&amp;[" &amp; TEXT(M$6,"yyyymm") &amp; "]",
"[Base].[Metrica]",
"[Base].[Metrica].&amp;[" &amp; $A63 &amp; "]",
"[Base].[SEGMENTO_DESCRIP]",
"[Base].[SEGMENTO_DESCRIP].&amp;[" &amp; $C$6 &amp; "]",
"[Base].[SITUACION]",
"[Base].[SITUACION].&amp;[" &amp; $C63 &amp; "]"
),0)/1000</f>
        <v>8.4503194009999998</v>
      </c>
      <c r="N63" s="8">
        <f>IFERROR(
GETPIVOTDATA(
"[Base].[Importe]",
TDinamica_R!$A$5,
"[Calendario].[AñoMes]",
"[Calendario].[AñoMes].&amp;[" &amp; TEXT(N$6,"yyyymm") &amp; "]",
"[Base].[Metrica]",
"[Base].[Metrica].&amp;[" &amp; $A63 &amp; "]",
"[Base].[SEGMENTO_DESCRIP]",
"[Base].[SEGMENTO_DESCRIP].&amp;[" &amp; $C$6 &amp; "]",
"[Base].[SITUACION]",
"[Base].[SITUACION].&amp;[" &amp; $C63 &amp; "]"
),0)/1000</f>
        <v>8.4677571320000009</v>
      </c>
      <c r="O63" s="8">
        <f>IFERROR(
GETPIVOTDATA(
"[Base].[Importe]",
TDinamica_R!$A$5,
"[Calendario].[AñoMes]",
"[Calendario].[AñoMes].&amp;[" &amp; TEXT(O$6,"yyyymm") &amp; "]",
"[Base].[Metrica]",
"[Base].[Metrica].&amp;[" &amp; $A63 &amp; "]",
"[Base].[SEGMENTO_DESCRIP]",
"[Base].[SEGMENTO_DESCRIP].&amp;[" &amp; $C$6 &amp; "]",
"[Base].[SITUACION]",
"[Base].[SITUACION].&amp;[" &amp; $C63 &amp; "]"
),0)/1000</f>
        <v>8.2614167510000005</v>
      </c>
      <c r="P63" s="8">
        <f>IFERROR(
GETPIVOTDATA(
"[Base].[Importe]",
TDinamica_R!$A$5,
"[Calendario].[AñoMes]",
"[Calendario].[AñoMes].&amp;[" &amp; TEXT(P$6,"yyyymm") &amp; "]",
"[Base].[Metrica]",
"[Base].[Metrica].&amp;[" &amp; $A63 &amp; "]",
"[Base].[SEGMENTO_DESCRIP]",
"[Base].[SEGMENTO_DESCRIP].&amp;[" &amp; $C$6 &amp; "]",
"[Base].[SITUACION]",
"[Base].[SITUACION].&amp;[" &amp; $C63 &amp; "]"
),0)/1000</f>
        <v>8.1962125710000002</v>
      </c>
      <c r="Q63" s="8">
        <f>IFERROR(
GETPIVOTDATA(
"[Base].[Importe]",
TDinamica_R!$A$5,
"[Calendario].[AñoMes]",
"[Calendario].[AñoMes].&amp;[" &amp; TEXT(Q$6,"yyyymm") &amp; "]",
"[Base].[Metrica]",
"[Base].[Metrica].&amp;[" &amp; $A63 &amp; "]",
"[Base].[SEGMENTO_DESCRIP]",
"[Base].[SEGMENTO_DESCRIP].&amp;[" &amp; $C$6 &amp; "]",
"[Base].[SITUACION]",
"[Base].[SITUACION].&amp;[" &amp; $C63 &amp; "]"
),0)/1000</f>
        <v>8.2800288819999999</v>
      </c>
      <c r="R63" s="8">
        <f>IFERROR(
GETPIVOTDATA(
"[Base].[Importe]",
TDinamica_R!$A$5,
"[Calendario].[AñoMes]",
"[Calendario].[AñoMes].&amp;[" &amp; TEXT(R$6,"yyyymm") &amp; "]",
"[Base].[Metrica]",
"[Base].[Metrica].&amp;[" &amp; $A63 &amp; "]",
"[Base].[SEGMENTO_DESCRIP]",
"[Base].[SEGMENTO_DESCRIP].&amp;[" &amp; $C$6 &amp; "]",
"[Base].[SITUACION]",
"[Base].[SITUACION].&amp;[" &amp; $C63 &amp; "]"
),0)/1000</f>
        <v>8.1950650779999989</v>
      </c>
      <c r="S63" s="8">
        <f>IFERROR(
GETPIVOTDATA(
"[Base].[Importe]",
TDinamica_R!$A$5,
"[Calendario].[AñoMes]",
"[Calendario].[AñoMes].&amp;[" &amp; TEXT(S$6,"yyyymm") &amp; "]",
"[Base].[Metrica]",
"[Base].[Metrica].&amp;[" &amp; $A63 &amp; "]",
"[Base].[SEGMENTO_DESCRIP]",
"[Base].[SEGMENTO_DESCRIP].&amp;[" &amp; $C$6 &amp; "]",
"[Base].[SITUACION]",
"[Base].[SITUACION].&amp;[" &amp; $C63 &amp; "]"
),0)/1000</f>
        <v>8.653804409000001</v>
      </c>
      <c r="T63" s="8">
        <f>IFERROR(
GETPIVOTDATA(
"[Base].[Importe]",
TDinamica_R!$A$5,
"[Calendario].[AñoMes]",
"[Calendario].[AñoMes].&amp;[" &amp; TEXT(T$6,"yyyymm") &amp; "]",
"[Base].[Metrica]",
"[Base].[Metrica].&amp;[" &amp; $A63 &amp; "]",
"[Base].[SEGMENTO_DESCRIP]",
"[Base].[SEGMENTO_DESCRIP].&amp;[" &amp; $C$6 &amp; "]",
"[Base].[SITUACION]",
"[Base].[SITUACION].&amp;[" &amp; $C63 &amp; "]"
),0)/1000</f>
        <v>7.7911281170000004</v>
      </c>
      <c r="U63" s="8">
        <f>IFERROR(
GETPIVOTDATA(
"[Base].[Importe]",
TDinamica_R!$A$5,
"[Calendario].[AñoMes]",
"[Calendario].[AñoMes].&amp;[" &amp; TEXT(U$6,"yyyymm") &amp; "]",
"[Base].[Metrica]",
"[Base].[Metrica].&amp;[" &amp; $A63 &amp; "]",
"[Base].[SEGMENTO_DESCRIP]",
"[Base].[SEGMENTO_DESCRIP].&amp;[" &amp; $C$6 &amp; "]",
"[Base].[SITUACION]",
"[Base].[SITUACION].&amp;[" &amp; $C63 &amp; "]"
),0)/1000</f>
        <v>8.5354472030000004</v>
      </c>
      <c r="V63" s="8">
        <f>IFERROR(
GETPIVOTDATA(
"[Base].[Importe]",
TDinamica_R!$A$5,
"[Calendario].[AñoMes]",
"[Calendario].[AñoMes].&amp;[" &amp; TEXT(V$6,"yyyymm") &amp; "]",
"[Base].[Metrica]",
"[Base].[Metrica].&amp;[" &amp; $A63 &amp; "]",
"[Base].[SEGMENTO_DESCRIP]",
"[Base].[SEGMENTO_DESCRIP].&amp;[" &amp; $C$6 &amp; "]",
"[Base].[SITUACION]",
"[Base].[SITUACION].&amp;[" &amp; $C63 &amp; "]"
),0)/1000</f>
        <v>8.5458473059999989</v>
      </c>
      <c r="W63" s="8">
        <f>IFERROR(
GETPIVOTDATA(
"[Base].[Importe]",
TDinamica_R!$A$5,
"[Calendario].[AñoMes]",
"[Calendario].[AñoMes].&amp;[" &amp; TEXT(W$6,"yyyymm") &amp; "]",
"[Base].[Metrica]",
"[Base].[Metrica].&amp;[" &amp; $A63 &amp; "]",
"[Base].[SEGMENTO_DESCRIP]",
"[Base].[SEGMENTO_DESCRIP].&amp;[" &amp; $C$6 &amp; "]",
"[Base].[SITUACION]",
"[Base].[SITUACION].&amp;[" &amp; $C63 &amp; "]"
),0)/1000</f>
        <v>8.5813154049999998</v>
      </c>
      <c r="X63" s="8">
        <f>IFERROR(
GETPIVOTDATA(
"[Base].[Importe]",
TDinamica_R!$A$5,
"[Calendario].[AñoMes]",
"[Calendario].[AñoMes].&amp;[" &amp; TEXT(X$6,"yyyymm") &amp; "]",
"[Base].[Metrica]",
"[Base].[Metrica].&amp;[" &amp; $A63 &amp; "]",
"[Base].[SEGMENTO_DESCRIP]",
"[Base].[SEGMENTO_DESCRIP].&amp;[" &amp; $C$6 &amp; "]",
"[Base].[SITUACION]",
"[Base].[SITUACION].&amp;[" &amp; $C63 &amp; "]"
),0)/1000</f>
        <v>18.071828590000003</v>
      </c>
      <c r="Y63" s="8">
        <f>IFERROR(
GETPIVOTDATA(
"[Base].[Importe]",
TDinamica_R!$A$5,
"[Calendario].[AñoMes]",
"[Calendario].[AñoMes].&amp;[" &amp; TEXT(Y$6,"yyyymm") &amp; "]",
"[Base].[Metrica]",
"[Base].[Metrica].&amp;[" &amp; $A63 &amp; "]",
"[Base].[SEGMENTO_DESCRIP]",
"[Base].[SEGMENTO_DESCRIP].&amp;[" &amp; $C$6 &amp; "]",
"[Base].[SITUACION]",
"[Base].[SITUACION].&amp;[" &amp; $C63 &amp; "]"
),0)/1000</f>
        <v>-0.28087068310000002</v>
      </c>
      <c r="Z63" s="8">
        <f>IFERROR(
GETPIVOTDATA(
"[Base].[Importe]",
TDinamica_R!$A$5,
"[Calendario].[AñoMes]",
"[Calendario].[AñoMes].&amp;[" &amp; TEXT(Z$6,"yyyymm") &amp; "]",
"[Base].[Metrica]",
"[Base].[Metrica].&amp;[" &amp; $A63 &amp; "]",
"[Base].[SEGMENTO_DESCRIP]",
"[Base].[SEGMENTO_DESCRIP].&amp;[" &amp; $C$6 &amp; "]",
"[Base].[SITUACION]",
"[Base].[SITUACION].&amp;[" &amp; $C63 &amp; "]"
),0)/1000</f>
        <v>8.88443556</v>
      </c>
      <c r="AA63" s="8">
        <f>IFERROR(
GETPIVOTDATA(
"[Base].[Importe]",
TDinamica_R!$A$5,
"[Calendario].[AñoMes]",
"[Calendario].[AñoMes].&amp;[" &amp; TEXT(AA$6,"yyyymm") &amp; "]",
"[Base].[Metrica]",
"[Base].[Metrica].&amp;[" &amp; $A63 &amp; "]",
"[Base].[SEGMENTO_DESCRIP]",
"[Base].[SEGMENTO_DESCRIP].&amp;[" &amp; $C$6 &amp; "]",
"[Base].[SITUACION]",
"[Base].[SITUACION].&amp;[" &amp; $C63 &amp; "]"
),0)/1000</f>
        <v>8.5716997699999986</v>
      </c>
      <c r="AB63" s="8">
        <f>IFERROR(
GETPIVOTDATA(
"[Base].[Importe]",
TDinamica_R!$A$5,
"[Calendario].[AñoMes]",
"[Calendario].[AñoMes].&amp;[" &amp; TEXT(AB$6,"yyyymm") &amp; "]",
"[Base].[Metrica]",
"[Base].[Metrica].&amp;[" &amp; $A63 &amp; "]",
"[Base].[SEGMENTO_DESCRIP]",
"[Base].[SEGMENTO_DESCRIP].&amp;[" &amp; $C$6 &amp; "]",
"[Base].[SITUACION]",
"[Base].[SITUACION].&amp;[" &amp; $C63 &amp; "]"
),0)/1000</f>
        <v>8.9779511749999994</v>
      </c>
      <c r="AC63" s="8">
        <f>IFERROR(
GETPIVOTDATA(
"[Base].[Importe]",
TDinamica_R!$A$5,
"[Calendario].[AñoMes]",
"[Calendario].[AñoMes].&amp;[" &amp; TEXT(AC$6,"yyyymm") &amp; "]",
"[Base].[Metrica]",
"[Base].[Metrica].&amp;[" &amp; $A63 &amp; "]",
"[Base].[SEGMENTO_DESCRIP]",
"[Base].[SEGMENTO_DESCRIP].&amp;[" &amp; $C$6 &amp; "]",
"[Base].[SITUACION]",
"[Base].[SITUACION].&amp;[" &amp; $C63 &amp; "]"
),0)/1000</f>
        <v>7.6283820069999999</v>
      </c>
      <c r="AD63" s="8">
        <f>IFERROR(
GETPIVOTDATA(
"[Base].[Importe]",
TDinamica_R!$A$5,
"[Calendario].[AñoMes]",
"[Calendario].[AñoMes].&amp;[" &amp; TEXT(AD$6,"yyyymm") &amp; "]",
"[Base].[Metrica]",
"[Base].[Metrica].&amp;[" &amp; $A63 &amp; "]",
"[Base].[SEGMENTO_DESCRIP]",
"[Base].[SEGMENTO_DESCRIP].&amp;[" &amp; $C$6 &amp; "]",
"[Base].[SITUACION]",
"[Base].[SITUACION].&amp;[" &amp; $C63 &amp; "]"
),0)/1000</f>
        <v>7.7517134390000004</v>
      </c>
      <c r="AE63" s="8">
        <f>IFERROR(
GETPIVOTDATA(
"[Base].[Importe]",
TDinamica_R!$A$5,
"[Calendario].[AñoMes]",
"[Calendario].[AñoMes].&amp;[" &amp; TEXT(AE$6,"yyyymm") &amp; "]",
"[Base].[Metrica]",
"[Base].[Metrica].&amp;[" &amp; $A63 &amp; "]",
"[Base].[SEGMENTO_DESCRIP]",
"[Base].[SEGMENTO_DESCRIP].&amp;[" &amp; $C$6 &amp; "]",
"[Base].[SITUACION]",
"[Base].[SITUACION].&amp;[" &amp; $C63 &amp; "]"
),0)/1000</f>
        <v>7.7720196589999997</v>
      </c>
      <c r="AF63" s="8">
        <f>IFERROR(
GETPIVOTDATA(
"[Base].[Importe]",
TDinamica_R!$A$5,
"[Calendario].[AñoMes]",
"[Calendario].[AñoMes].&amp;[" &amp; TEXT(AF$6,"yyyymm") &amp; "]",
"[Base].[Metrica]",
"[Base].[Metrica].&amp;[" &amp; $A63 &amp; "]",
"[Base].[SEGMENTO_DESCRIP]",
"[Base].[SEGMENTO_DESCRIP].&amp;[" &amp; $C$6 &amp; "]",
"[Base].[SITUACION]",
"[Base].[SITUACION].&amp;[" &amp; $C63 &amp; "]"
),0)/1000</f>
        <v>7.5634491859999997</v>
      </c>
      <c r="AG63" s="8">
        <f>IFERROR(
GETPIVOTDATA(
"[Base].[Importe]",
TDinamica_R!$A$5,
"[Calendario].[AñoMes]",
"[Calendario].[AñoMes].&amp;[" &amp; TEXT(AG$6,"yyyymm") &amp; "]",
"[Base].[Metrica]",
"[Base].[Metrica].&amp;[" &amp; $A63 &amp; "]",
"[Base].[SEGMENTO_DESCRIP]",
"[Base].[SEGMENTO_DESCRIP].&amp;[" &amp; $C$6 &amp; "]",
"[Base].[SITUACION]",
"[Base].[SITUACION].&amp;[" &amp; $C63 &amp; "]"
),0)/1000</f>
        <v>8.0705744020000001</v>
      </c>
      <c r="AH63" s="8">
        <f>IFERROR(
GETPIVOTDATA(
"[Base].[Importe]",
TDinamica_R!$A$5,
"[Calendario].[AñoMes]",
"[Calendario].[AñoMes].&amp;[" &amp; TEXT(AH$6,"yyyymm") &amp; "]",
"[Base].[Metrica]",
"[Base].[Metrica].&amp;[" &amp; $A63 &amp; "]",
"[Base].[SEGMENTO_DESCRIP]",
"[Base].[SEGMENTO_DESCRIP].&amp;[" &amp; $C$6 &amp; "]",
"[Base].[SITUACION]",
"[Base].[SITUACION].&amp;[" &amp; $C63 &amp; "]"
),0)/1000</f>
        <v>7.7691548700000004</v>
      </c>
      <c r="AI63" s="8">
        <f>IFERROR(
GETPIVOTDATA(
"[Base].[Importe]",
TDinamica_R!$A$5,
"[Calendario].[AñoMes]",
"[Calendario].[AñoMes].&amp;[" &amp; TEXT(AI$6,"yyyymm") &amp; "]",
"[Base].[Metrica]",
"[Base].[Metrica].&amp;[" &amp; $A63 &amp; "]",
"[Base].[SEGMENTO_DESCRIP]",
"[Base].[SEGMENTO_DESCRIP].&amp;[" &amp; $C$6 &amp; "]",
"[Base].[SITUACION]",
"[Base].[SITUACION].&amp;[" &amp; $C63 &amp; "]"
),0)/1000</f>
        <v>8.4276113640000005</v>
      </c>
      <c r="AJ63" s="8">
        <f>IFERROR(
GETPIVOTDATA(
"[Base].[Importe]",
TDinamica_R!$A$5,
"[Calendario].[AñoMes]",
"[Calendario].[AñoMes].&amp;[" &amp; TEXT(AJ$6,"yyyymm") &amp; "]",
"[Base].[Metrica]",
"[Base].[Metrica].&amp;[" &amp; $A63 &amp; "]",
"[Base].[SEGMENTO_DESCRIP]",
"[Base].[SEGMENTO_DESCRIP].&amp;[" &amp; $C$6 &amp; "]",
"[Base].[SITUACION]",
"[Base].[SITUACION].&amp;[" &amp; $C63 &amp; "]"
),0)/1000</f>
        <v>7.9425700619999997</v>
      </c>
      <c r="AK63" s="8">
        <f>IFERROR(
GETPIVOTDATA(
"[Base].[Importe]",
TDinamica_R!$A$5,
"[Calendario].[AñoMes]",
"[Calendario].[AñoMes].&amp;[" &amp; TEXT(AK$6,"yyyymm") &amp; "]",
"[Base].[Metrica]",
"[Base].[Metrica].&amp;[" &amp; $A63 &amp; "]",
"[Base].[SEGMENTO_DESCRIP]",
"[Base].[SEGMENTO_DESCRIP].&amp;[" &amp; $C$6 &amp; "]",
"[Base].[SITUACION]",
"[Base].[SITUACION].&amp;[" &amp; $C63 &amp; "]"
),0)/1000</f>
        <v>7.7978523869999998</v>
      </c>
      <c r="AL63" s="8">
        <f>IFERROR(
GETPIVOTDATA(
"[Base].[Importe]",
TDinamica_R!$A$5,
"[Calendario].[AñoMes]",
"[Calendario].[AñoMes].&amp;[" &amp; TEXT(AL$6,"yyyymm") &amp; "]",
"[Base].[Metrica]",
"[Base].[Metrica].&amp;[" &amp; $A63 &amp; "]",
"[Base].[SEGMENTO_DESCRIP]",
"[Base].[SEGMENTO_DESCRIP].&amp;[" &amp; $C$6 &amp; "]",
"[Base].[SITUACION]",
"[Base].[SITUACION].&amp;[" &amp; $C63 &amp; "]"
),0)/1000</f>
        <v>8.7154882659999995</v>
      </c>
      <c r="AM63" s="8">
        <f>IFERROR(
GETPIVOTDATA(
"[Base].[Importe]",
TDinamica_R!$A$5,
"[Calendario].[AñoMes]",
"[Calendario].[AñoMes].&amp;[" &amp; TEXT(AM$6,"yyyymm") &amp; "]",
"[Base].[Metrica]",
"[Base].[Metrica].&amp;[" &amp; $A63 &amp; "]",
"[Base].[SEGMENTO_DESCRIP]",
"[Base].[SEGMENTO_DESCRIP].&amp;[" &amp; $C$6 &amp; "]",
"[Base].[SITUACION]",
"[Base].[SITUACION].&amp;[" &amp; $C63 &amp; "]"
),0)/1000</f>
        <v>7.8957854709999999</v>
      </c>
      <c r="AN63" s="8">
        <f>IFERROR(
GETPIVOTDATA(
"[Base].[Importe]",
TDinamica_R!$A$5,
"[Calendario].[AñoMes]",
"[Calendario].[AñoMes].&amp;[" &amp; TEXT(AN$6,"yyyymm") &amp; "]",
"[Base].[Metrica]",
"[Base].[Metrica].&amp;[" &amp; $A63 &amp; "]",
"[Base].[SEGMENTO_DESCRIP]",
"[Base].[SEGMENTO_DESCRIP].&amp;[" &amp; $C$6 &amp; "]",
"[Base].[SITUACION]",
"[Base].[SITUACION].&amp;[" &amp; $C63 &amp; "]"
),0)/1000</f>
        <v>7.6939448037083817</v>
      </c>
      <c r="AO63" s="8">
        <f>IFERROR(
GETPIVOTDATA(
"[Base].[Importe]",
TDinamica_R!$A$5,
"[Calendario].[AñoMes]",
"[Calendario].[AñoMes].&amp;[" &amp; TEXT(AO$6,"yyyymm") &amp; "]",
"[Base].[Metrica]",
"[Base].[Metrica].&amp;[" &amp; $A63 &amp; "]",
"[Base].[SEGMENTO_DESCRIP]",
"[Base].[SEGMENTO_DESCRIP].&amp;[" &amp; $C$6 &amp; "]",
"[Base].[SITUACION]",
"[Base].[SITUACION].&amp;[" &amp; $C63 &amp; "]"
),0)/1000</f>
        <v>7.6419725749689418</v>
      </c>
      <c r="AP63" s="8">
        <f>IFERROR(
GETPIVOTDATA(
"[Base].[Importe]",
TDinamica_R!$A$5,
"[Calendario].[AñoMes]",
"[Calendario].[AñoMes].&amp;[" &amp; TEXT(AP$6,"yyyymm") &amp; "]",
"[Base].[Metrica]",
"[Base].[Metrica].&amp;[" &amp; $A63 &amp; "]",
"[Base].[SEGMENTO_DESCRIP]",
"[Base].[SEGMENTO_DESCRIP].&amp;[" &amp; $C$6 &amp; "]",
"[Base].[SITUACION]",
"[Base].[SITUACION].&amp;[" &amp; $C63 &amp; "]"
),0)/1000</f>
        <v>7.6391191636673392</v>
      </c>
      <c r="AQ63" s="8">
        <f>IFERROR(
GETPIVOTDATA(
"[Base].[Importe]",
TDinamica_R!$A$5,
"[Calendario].[AñoMes]",
"[Calendario].[AñoMes].&amp;[" &amp; TEXT(AQ$6,"yyyymm") &amp; "]",
"[Base].[Metrica]",
"[Base].[Metrica].&amp;[" &amp; $A63 &amp; "]",
"[Base].[SEGMENTO_DESCRIP]",
"[Base].[SEGMENTO_DESCRIP].&amp;[" &amp; $C$6 &amp; "]",
"[Base].[SITUACION]",
"[Base].[SITUACION].&amp;[" &amp; $C63 &amp; "]"
),0)/1000</f>
        <v>7.7820707465318133</v>
      </c>
      <c r="AR63" s="8">
        <f>IFERROR(
GETPIVOTDATA(
"[Base].[Importe]",
TDinamica_R!$A$5,
"[Calendario].[AñoMes]",
"[Calendario].[AñoMes].&amp;[" &amp; TEXT(AR$6,"yyyymm") &amp; "]",
"[Base].[Metrica]",
"[Base].[Metrica].&amp;[" &amp; $A63 &amp; "]",
"[Base].[SEGMENTO_DESCRIP]",
"[Base].[SEGMENTO_DESCRIP].&amp;[" &amp; $C$6 &amp; "]",
"[Base].[SITUACION]",
"[Base].[SITUACION].&amp;[" &amp; $C63 &amp; "]"
),0)/1000</f>
        <v>7.9753572109380624</v>
      </c>
      <c r="AS63" s="8">
        <f>IFERROR(
GETPIVOTDATA(
"[Base].[Importe]",
TDinamica_R!$A$5,
"[Calendario].[AñoMes]",
"[Calendario].[AñoMes].&amp;[" &amp; TEXT(AS$6,"yyyymm") &amp; "]",
"[Base].[Metrica]",
"[Base].[Metrica].&amp;[" &amp; $A63 &amp; "]",
"[Base].[SEGMENTO_DESCRIP]",
"[Base].[SEGMENTO_DESCRIP].&amp;[" &amp; $C$6 &amp; "]",
"[Base].[SITUACION]",
"[Base].[SITUACION].&amp;[" &amp; $C63 &amp; "]"
),0)/1000</f>
        <v>8.2099439066902118</v>
      </c>
      <c r="AT63" s="8">
        <f>IFERROR(
GETPIVOTDATA(
"[Base].[Importe]",
TDinamica_R!$A$5,
"[Calendario].[AñoMes]",
"[Calendario].[AñoMes].&amp;[" &amp; TEXT(AT$6,"yyyymm")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U63" s="8">
        <f>IFERROR(
GETPIVOTDATA(
"[Base].[Importe]",
TDinamica_R!$A$5,
"[Calendario].[AñoMes]",
"[Calendario].[AñoMes].&amp;[" &amp; TEXT(AU$6,"yyyymm")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V63" s="8">
        <f>IFERROR(
GETPIVOTDATA(
"[Base].[Importe]",
TDinamica_R!$A$5,
"[Calendario].[AñoMes]",
"[Calendario].[AñoMes].&amp;[" &amp; TEXT(AV$6,"yyyymm")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W63" s="8">
        <f>IFERROR(
GETPIVOTDATA(
"[Base].[Importe]",
TDinamica_R!$A$5,
"[Calendario].[AñoMes]",
"[Calendario].[AñoMes].&amp;[" &amp; TEXT(AW$6,"yyyymm")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X63" s="8">
        <f>IFERROR(
GETPIVOTDATA(
"[Base].[Importe]",
TDinamica_R!$A$5,
"[Calendario].[AñoMes]",
"[Calendario].[AñoMes].&amp;[" &amp; TEXT(AX$6,"yyyymm")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Y63" s="8">
        <f>IFERROR(
GETPIVOTDATA(
"[Base].[Importe]",
TDinamica_R!$A$5,
"[Calendario].[AñoMes]",
"[Calendario].[AñoMes].&amp;[" &amp; TEXT(AY$6,"yyyymm")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Z63" s="8">
        <f>IFERROR(
GETPIVOTDATA(
"[BASE_CONVE_PPTO].[Importe]",
TDinamica_P!$A$5,
"[BASE_CONVE_PPTO].[Periodo]",
"[BASE_CONVE_PPTO].[Periodo].&amp;[" &amp; TEXT(AZ$6,"yyyymm")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8.0995945830233964</v>
      </c>
      <c r="BA63" s="8">
        <f>IFERROR(
GETPIVOTDATA(
"[BASE_CONVE_PPTO].[Importe]",
TDinamica_P!$A$5,
"[BASE_CONVE_PPTO].[Periodo]",
"[BASE_CONVE_PPTO].[Periodo].&amp;[" &amp; TEXT(BA$6,"yyyymm")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8.1369986097109077</v>
      </c>
      <c r="BB63" s="8">
        <f>IFERROR(
GETPIVOTDATA(
"[BASE_CONVE_PPTO].[Importe]",
TDinamica_P!$A$5,
"[BASE_CONVE_PPTO].[Periodo]",
"[BASE_CONVE_PPTO].[Periodo].&amp;[" &amp; TEXT(BB$6,"yyyymm")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8.1737734528656869</v>
      </c>
      <c r="BC63" s="8">
        <f>IFERROR(
GETPIVOTDATA(
"[BASE_CONVE_PPTO].[Importe]",
TDinamica_P!$A$5,
"[BASE_CONVE_PPTO].[Periodo]",
"[BASE_CONVE_PPTO].[Periodo].&amp;[" &amp; TEXT(BC$6,"yyyymm")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8.1943241049503097</v>
      </c>
      <c r="BD63" s="8">
        <f>IFERROR(
GETPIVOTDATA(
"[BASE_CONVE_PPTO].[Importe]",
TDinamica_P!$A$5,
"[BASE_CONVE_PPTO].[Periodo]",
"[BASE_CONVE_PPTO].[Periodo].&amp;[" &amp; TEXT(BD$6,"yyyymm")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8.2303473215170602</v>
      </c>
      <c r="BE63" s="8">
        <f>IFERROR(
GETPIVOTDATA(
"[BASE_CONVE_PPTO].[Importe]",
TDinamica_P!$A$5,
"[BASE_CONVE_PPTO].[Periodo]",
"[BASE_CONVE_PPTO].[Periodo].&amp;[" &amp; TEXT(BE$6,"yyyymm")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8.2912624837305096</v>
      </c>
      <c r="BF63" s="8">
        <f>IFERROR(
GETPIVOTDATA(
"[BASE_CONVE_PPTO].[Importe]",
TDinamica_P!$A$5,
"[BASE_CONVE_PPTO].[Periodo]",
"[BASE_CONVE_PPTO].[Periodo].&amp;[" &amp; TEXT(BF$6,"yyyymm")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8.3286145137360847</v>
      </c>
      <c r="BG63" s="8">
        <f>IFERROR(
GETPIVOTDATA(
"[BASE_CONVE_PPTO].[Importe]",
TDinamica_P!$A$5,
"[BASE_CONVE_PPTO].[Periodo]",
"[BASE_CONVE_PPTO].[Periodo].&amp;[" &amp; TEXT(BG$6,"yyyymm")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8.3643566294404952</v>
      </c>
      <c r="BH63" s="8">
        <f>IFERROR(
GETPIVOTDATA(
"[BASE_CONVE_PPTO].[Importe]",
TDinamica_P!$A$5,
"[BASE_CONVE_PPTO].[Periodo]",
"[BASE_CONVE_PPTO].[Periodo].&amp;[" &amp; TEXT(BH$6,"yyyymm")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8.4097327035952745</v>
      </c>
      <c r="BI63" s="8">
        <f>IFERROR(
GETPIVOTDATA(
"[BASE_CONVE_PPTO].[Importe]",
TDinamica_P!$A$5,
"[BASE_CONVE_PPTO].[Periodo]",
"[BASE_CONVE_PPTO].[Periodo].&amp;[" &amp; TEXT(BI$6,"yyyymm")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8.4462460459494171</v>
      </c>
      <c r="BJ63" s="8">
        <f>IFERROR(
GETPIVOTDATA(
"[BASE_CONVE_PPTO].[Importe]",
TDinamica_P!$A$5,
"[BASE_CONVE_PPTO].[Periodo]",
"[BASE_CONVE_PPTO].[Periodo].&amp;[" &amp; TEXT(BJ$6,"yyyymm")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8.4827760598261879</v>
      </c>
      <c r="BK63" s="8">
        <f>IFERROR(
GETPIVOTDATA(
"[BASE_CONVE_PPTO].[Importe]",
TDinamica_P!$A$5,
"[BASE_CONVE_PPTO].[Periodo]",
"[BASE_CONVE_PPTO].[Periodo].&amp;[" &amp; TEXT(BK$6,"yyyymm")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8.5111097327742531</v>
      </c>
      <c r="BO63" s="24">
        <f t="shared" ref="BO63:BT72" si="198">SUMIFS($D63:$BM63,$D$6:$BM$6,"&gt;="&amp;BO$2,$D$6:$BM$6,"&lt;="&amp;BO$6,$D$5:$BM$5,BO$5)</f>
        <v>38.73246449981454</v>
      </c>
      <c r="BP63" s="24">
        <f t="shared" si="198"/>
        <v>40.835038072067363</v>
      </c>
      <c r="BQ63" s="24">
        <f t="shared" si="198"/>
        <v>30.757107288876476</v>
      </c>
      <c r="BR63" s="24">
        <f t="shared" si="198"/>
        <v>39.693515466000001</v>
      </c>
      <c r="BS63" s="24">
        <f t="shared" si="198"/>
        <v>41.116239057000001</v>
      </c>
      <c r="BT63" s="24">
        <f t="shared" si="198"/>
        <v>38.914842127</v>
      </c>
    </row>
    <row r="64" spans="1:72" outlineLevel="1" x14ac:dyDescent="0.25">
      <c r="A64" s="11" t="s">
        <v>71</v>
      </c>
      <c r="C64" s="2" t="s">
        <v>72</v>
      </c>
      <c r="D64" s="8">
        <f>IFERROR(
GETPIVOTDATA(
"[Base].[Importe]",
TDinamica_R!$A$5,
"[Calendario].[AñoMes]",
"[Calendario].[AñoMes].&amp;[" &amp; TEXT(D$6,"yyyymm") &amp; "]",
"[Base].[Metrica]",
"[Base].[Metrica].&amp;[" &amp; $A64 &amp; "]",
"[Base].[SEGMENTO_DESCRIP]",
"[Base].[SEGMENTO_DESCRIP].&amp;[" &amp; $C$6 &amp; "]",
"[Base].[SITUACION]",
"[Base].[SITUACION].&amp;[" &amp; $C64 &amp; "]"
),0)/1000</f>
        <v>5.8710000000000004</v>
      </c>
      <c r="E64" s="8">
        <f>IFERROR(
GETPIVOTDATA(
"[Base].[Importe]",
TDinamica_R!$A$5,
"[Calendario].[AñoMes]",
"[Calendario].[AñoMes].&amp;[" &amp; TEXT(E$6,"yyyymm") &amp; "]",
"[Base].[Metrica]",
"[Base].[Metrica].&amp;[" &amp; $A64 &amp; "]",
"[Base].[SEGMENTO_DESCRIP]",
"[Base].[SEGMENTO_DESCRIP].&amp;[" &amp; $C$6 &amp; "]",
"[Base].[SITUACION]",
"[Base].[SITUACION].&amp;[" &amp; $C64 &amp; "]"
),0)/1000</f>
        <v>5.7264399999999993</v>
      </c>
      <c r="F64" s="8">
        <f>IFERROR(
GETPIVOTDATA(
"[Base].[Importe]",
TDinamica_R!$A$5,
"[Calendario].[AñoMes]",
"[Calendario].[AñoMes].&amp;[" &amp; TEXT(F$6,"yyyymm") &amp; "]",
"[Base].[Metrica]",
"[Base].[Metrica].&amp;[" &amp; $A64 &amp; "]",
"[Base].[SEGMENTO_DESCRIP]",
"[Base].[SEGMENTO_DESCRIP].&amp;[" &amp; $C$6 &amp; "]",
"[Base].[SITUACION]",
"[Base].[SITUACION].&amp;[" &amp; $C64 &amp; "]"
),0)/1000</f>
        <v>5.6660000000000004</v>
      </c>
      <c r="G64" s="8">
        <f>IFERROR(
GETPIVOTDATA(
"[Base].[Importe]",
TDinamica_R!$A$5,
"[Calendario].[AñoMes]",
"[Calendario].[AñoMes].&amp;[" &amp; TEXT(G$6,"yyyymm") &amp; "]",
"[Base].[Metrica]",
"[Base].[Metrica].&amp;[" &amp; $A64 &amp; "]",
"[Base].[SEGMENTO_DESCRIP]",
"[Base].[SEGMENTO_DESCRIP].&amp;[" &amp; $C$6 &amp; "]",
"[Base].[SITUACION]",
"[Base].[SITUACION].&amp;[" &amp; $C64 &amp; "]"
),0)/1000</f>
        <v>5.6150000000000002</v>
      </c>
      <c r="H64" s="8">
        <f>IFERROR(
GETPIVOTDATA(
"[Base].[Importe]",
TDinamica_R!$A$5,
"[Calendario].[AñoMes]",
"[Calendario].[AñoMes].&amp;[" &amp; TEXT(H$6,"yyyymm") &amp; "]",
"[Base].[Metrica]",
"[Base].[Metrica].&amp;[" &amp; $A64 &amp; "]",
"[Base].[SEGMENTO_DESCRIP]",
"[Base].[SEGMENTO_DESCRIP].&amp;[" &amp; $C$6 &amp; "]",
"[Base].[SITUACION]",
"[Base].[SITUACION].&amp;[" &amp; $C64 &amp; "]"
),0)/1000</f>
        <v>5.4960699999999996</v>
      </c>
      <c r="I64" s="8">
        <f>IFERROR(
GETPIVOTDATA(
"[Base].[Importe]",
TDinamica_R!$A$5,
"[Calendario].[AñoMes]",
"[Calendario].[AñoMes].&amp;[" &amp; TEXT(I$6,"yyyymm") &amp; "]",
"[Base].[Metrica]",
"[Base].[Metrica].&amp;[" &amp; $A64 &amp; "]",
"[Base].[SEGMENTO_DESCRIP]",
"[Base].[SEGMENTO_DESCRIP].&amp;[" &amp; $C$6 &amp; "]",
"[Base].[SITUACION]",
"[Base].[SITUACION].&amp;[" &amp; $C64 &amp; "]"
),0)/1000</f>
        <v>5.71089</v>
      </c>
      <c r="J64" s="8">
        <f>IFERROR(
GETPIVOTDATA(
"[Base].[Importe]",
TDinamica_R!$A$5,
"[Calendario].[AñoMes]",
"[Calendario].[AñoMes].&amp;[" &amp; TEXT(J$6,"yyyymm") &amp; "]",
"[Base].[Metrica]",
"[Base].[Metrica].&amp;[" &amp; $A64 &amp; "]",
"[Base].[SEGMENTO_DESCRIP]",
"[Base].[SEGMENTO_DESCRIP].&amp;[" &amp; $C$6 &amp; "]",
"[Base].[SITUACION]",
"[Base].[SITUACION].&amp;[" &amp; $C64 &amp; "]"
),0)/1000</f>
        <v>5.6397399999999998</v>
      </c>
      <c r="K64" s="8">
        <f>IFERROR(
GETPIVOTDATA(
"[Base].[Importe]",
TDinamica_R!$A$5,
"[Calendario].[AñoMes]",
"[Calendario].[AñoMes].&amp;[" &amp; TEXT(K$6,"yyyymm") &amp; "]",
"[Base].[Metrica]",
"[Base].[Metrica].&amp;[" &amp; $A64 &amp; "]",
"[Base].[SEGMENTO_DESCRIP]",
"[Base].[SEGMENTO_DESCRIP].&amp;[" &amp; $C$6 &amp; "]",
"[Base].[SITUACION]",
"[Base].[SITUACION].&amp;[" &amp; $C64 &amp; "]"
),0)/1000</f>
        <v>5.5875000000000004</v>
      </c>
      <c r="L64" s="8">
        <f>IFERROR(
GETPIVOTDATA(
"[Base].[Importe]",
TDinamica_R!$A$5,
"[Calendario].[AñoMes]",
"[Calendario].[AñoMes].&amp;[" &amp; TEXT(L$6,"yyyymm") &amp; "]",
"[Base].[Metrica]",
"[Base].[Metrica].&amp;[" &amp; $A64 &amp; "]",
"[Base].[SEGMENTO_DESCRIP]",
"[Base].[SEGMENTO_DESCRIP].&amp;[" &amp; $C$6 &amp; "]",
"[Base].[SITUACION]",
"[Base].[SITUACION].&amp;[" &amp; $C64 &amp; "]"
),0)/1000</f>
        <v>5.4880000000000004</v>
      </c>
      <c r="M64" s="8">
        <f>IFERROR(
GETPIVOTDATA(
"[Base].[Importe]",
TDinamica_R!$A$5,
"[Calendario].[AñoMes]",
"[Calendario].[AñoMes].&amp;[" &amp; TEXT(M$6,"yyyymm") &amp; "]",
"[Base].[Metrica]",
"[Base].[Metrica].&amp;[" &amp; $A64 &amp; "]",
"[Base].[SEGMENTO_DESCRIP]",
"[Base].[SEGMENTO_DESCRIP].&amp;[" &amp; $C$6 &amp; "]",
"[Base].[SITUACION]",
"[Base].[SITUACION].&amp;[" &amp; $C64 &amp; "]"
),0)/1000</f>
        <v>5.3682499999999997</v>
      </c>
      <c r="N64" s="8">
        <f>IFERROR(
GETPIVOTDATA(
"[Base].[Importe]",
TDinamica_R!$A$5,
"[Calendario].[AñoMes]",
"[Calendario].[AñoMes].&amp;[" &amp; TEXT(N$6,"yyyymm") &amp; "]",
"[Base].[Metrica]",
"[Base].[Metrica].&amp;[" &amp; $A64 &amp; "]",
"[Base].[SEGMENTO_DESCRIP]",
"[Base].[SEGMENTO_DESCRIP].&amp;[" &amp; $C$6 &amp; "]",
"[Base].[SITUACION]",
"[Base].[SITUACION].&amp;[" &amp; $C64 &amp; "]"
),0)/1000</f>
        <v>5.4967299999999994</v>
      </c>
      <c r="O64" s="8">
        <f>IFERROR(
GETPIVOTDATA(
"[Base].[Importe]",
TDinamica_R!$A$5,
"[Calendario].[AñoMes]",
"[Calendario].[AñoMes].&amp;[" &amp; TEXT(O$6,"yyyymm") &amp; "]",
"[Base].[Metrica]",
"[Base].[Metrica].&amp;[" &amp; $A64 &amp; "]",
"[Base].[SEGMENTO_DESCRIP]",
"[Base].[SEGMENTO_DESCRIP].&amp;[" &amp; $C$6 &amp; "]",
"[Base].[SITUACION]",
"[Base].[SITUACION].&amp;[" &amp; $C64 &amp; "]"
),0)/1000</f>
        <v>5.5094700000000003</v>
      </c>
      <c r="P64" s="8">
        <f>IFERROR(
GETPIVOTDATA(
"[Base].[Importe]",
TDinamica_R!$A$5,
"[Calendario].[AñoMes]",
"[Calendario].[AñoMes].&amp;[" &amp; TEXT(P$6,"yyyymm") &amp; "]",
"[Base].[Metrica]",
"[Base].[Metrica].&amp;[" &amp; $A64 &amp; "]",
"[Base].[SEGMENTO_DESCRIP]",
"[Base].[SEGMENTO_DESCRIP].&amp;[" &amp; $C$6 &amp; "]",
"[Base].[SITUACION]",
"[Base].[SITUACION].&amp;[" &amp; $C64 &amp; "]"
),0)/1000</f>
        <v>5.5198</v>
      </c>
      <c r="Q64" s="8">
        <f>IFERROR(
GETPIVOTDATA(
"[Base].[Importe]",
TDinamica_R!$A$5,
"[Calendario].[AñoMes]",
"[Calendario].[AñoMes].&amp;[" &amp; TEXT(Q$6,"yyyymm") &amp; "]",
"[Base].[Metrica]",
"[Base].[Metrica].&amp;[" &amp; $A64 &amp; "]",
"[Base].[SEGMENTO_DESCRIP]",
"[Base].[SEGMENTO_DESCRIP].&amp;[" &amp; $C$6 &amp; "]",
"[Base].[SITUACION]",
"[Base].[SITUACION].&amp;[" &amp; $C64 &amp; "]"
),0)/1000</f>
        <v>5.4695</v>
      </c>
      <c r="R64" s="8">
        <f>IFERROR(
GETPIVOTDATA(
"[Base].[Importe]",
TDinamica_R!$A$5,
"[Calendario].[AñoMes]",
"[Calendario].[AñoMes].&amp;[" &amp; TEXT(R$6,"yyyymm") &amp; "]",
"[Base].[Metrica]",
"[Base].[Metrica].&amp;[" &amp; $A64 &amp; "]",
"[Base].[SEGMENTO_DESCRIP]",
"[Base].[SEGMENTO_DESCRIP].&amp;[" &amp; $C$6 &amp; "]",
"[Base].[SITUACION]",
"[Base].[SITUACION].&amp;[" &amp; $C64 &amp; "]"
),0)/1000</f>
        <v>5.4104999999999999</v>
      </c>
      <c r="S64" s="8">
        <f>IFERROR(
GETPIVOTDATA(
"[Base].[Importe]",
TDinamica_R!$A$5,
"[Calendario].[AñoMes]",
"[Calendario].[AñoMes].&amp;[" &amp; TEXT(S$6,"yyyymm") &amp; "]",
"[Base].[Metrica]",
"[Base].[Metrica].&amp;[" &amp; $A64 &amp; "]",
"[Base].[SEGMENTO_DESCRIP]",
"[Base].[SEGMENTO_DESCRIP].&amp;[" &amp; $C$6 &amp; "]",
"[Base].[SITUACION]",
"[Base].[SITUACION].&amp;[" &amp; $C64 &amp; "]"
),0)/1000</f>
        <v>5.4195000000000002</v>
      </c>
      <c r="T64" s="8">
        <f>IFERROR(
GETPIVOTDATA(
"[Base].[Importe]",
TDinamica_R!$A$5,
"[Calendario].[AñoMes]",
"[Calendario].[AñoMes].&amp;[" &amp; TEXT(T$6,"yyyymm") &amp; "]",
"[Base].[Metrica]",
"[Base].[Metrica].&amp;[" &amp; $A64 &amp; "]",
"[Base].[SEGMENTO_DESCRIP]",
"[Base].[SEGMENTO_DESCRIP].&amp;[" &amp; $C$6 &amp; "]",
"[Base].[SITUACION]",
"[Base].[SITUACION].&amp;[" &amp; $C64 &amp; "]"
),0)/1000</f>
        <v>5.5585900000000006</v>
      </c>
      <c r="U64" s="8">
        <f>IFERROR(
GETPIVOTDATA(
"[Base].[Importe]",
TDinamica_R!$A$5,
"[Calendario].[AñoMes]",
"[Calendario].[AñoMes].&amp;[" &amp; TEXT(U$6,"yyyymm") &amp; "]",
"[Base].[Metrica]",
"[Base].[Metrica].&amp;[" &amp; $A64 &amp; "]",
"[Base].[SEGMENTO_DESCRIP]",
"[Base].[SEGMENTO_DESCRIP].&amp;[" &amp; $C$6 &amp; "]",
"[Base].[SITUACION]",
"[Base].[SITUACION].&amp;[" &amp; $C64 &amp; "]"
),0)/1000</f>
        <v>5.5463199999999997</v>
      </c>
      <c r="V64" s="8">
        <f>IFERROR(
GETPIVOTDATA(
"[Base].[Importe]",
TDinamica_R!$A$5,
"[Calendario].[AñoMes]",
"[Calendario].[AñoMes].&amp;[" &amp; TEXT(V$6,"yyyymm") &amp; "]",
"[Base].[Metrica]",
"[Base].[Metrica].&amp;[" &amp; $A64 &amp; "]",
"[Base].[SEGMENTO_DESCRIP]",
"[Base].[SEGMENTO_DESCRIP].&amp;[" &amp; $C$6 &amp; "]",
"[Base].[SITUACION]",
"[Base].[SITUACION].&amp;[" &amp; $C64 &amp; "]"
),0)/1000</f>
        <v>5.5411999999999999</v>
      </c>
      <c r="W64" s="8">
        <f>IFERROR(
GETPIVOTDATA(
"[Base].[Importe]",
TDinamica_R!$A$5,
"[Calendario].[AñoMes]",
"[Calendario].[AñoMes].&amp;[" &amp; TEXT(W$6,"yyyymm") &amp; "]",
"[Base].[Metrica]",
"[Base].[Metrica].&amp;[" &amp; $A64 &amp; "]",
"[Base].[SEGMENTO_DESCRIP]",
"[Base].[SEGMENTO_DESCRIP].&amp;[" &amp; $C$6 &amp; "]",
"[Base].[SITUACION]",
"[Base].[SITUACION].&amp;[" &amp; $C64 &amp; "]"
),0)/1000</f>
        <v>5.6014999999999997</v>
      </c>
      <c r="X64" s="8">
        <f>IFERROR(
GETPIVOTDATA(
"[Base].[Importe]",
TDinamica_R!$A$5,
"[Calendario].[AñoMes]",
"[Calendario].[AñoMes].&amp;[" &amp; TEXT(X$6,"yyyymm") &amp; "]",
"[Base].[Metrica]",
"[Base].[Metrica].&amp;[" &amp; $A64 &amp; "]",
"[Base].[SEGMENTO_DESCRIP]",
"[Base].[SEGMENTO_DESCRIP].&amp;[" &amp; $C$6 &amp; "]",
"[Base].[SITUACION]",
"[Base].[SITUACION].&amp;[" &amp; $C64 &amp; "]"
),0)/1000</f>
        <v>5.7525000000000004</v>
      </c>
      <c r="Y64" s="8">
        <f>IFERROR(
GETPIVOTDATA(
"[Base].[Importe]",
TDinamica_R!$A$5,
"[Calendario].[AñoMes]",
"[Calendario].[AñoMes].&amp;[" &amp; TEXT(Y$6,"yyyymm") &amp; "]",
"[Base].[Metrica]",
"[Base].[Metrica].&amp;[" &amp; $A64 &amp; "]",
"[Base].[SEGMENTO_DESCRIP]",
"[Base].[SEGMENTO_DESCRIP].&amp;[" &amp; $C$6 &amp; "]",
"[Base].[SITUACION]",
"[Base].[SITUACION].&amp;[" &amp; $C64 &amp; "]"
),0)/1000</f>
        <v>5.7859699999999998</v>
      </c>
      <c r="Z64" s="8">
        <f>IFERROR(
GETPIVOTDATA(
"[Base].[Importe]",
TDinamica_R!$A$5,
"[Calendario].[AñoMes]",
"[Calendario].[AñoMes].&amp;[" &amp; TEXT(Z$6,"yyyymm") &amp; "]",
"[Base].[Metrica]",
"[Base].[Metrica].&amp;[" &amp; $A64 &amp; "]",
"[Base].[SEGMENTO_DESCRIP]",
"[Base].[SEGMENTO_DESCRIP].&amp;[" &amp; $C$6 &amp; "]",
"[Base].[SITUACION]",
"[Base].[SITUACION].&amp;[" &amp; $C64 &amp; "]"
),0)/1000</f>
        <v>5.7525000000000004</v>
      </c>
      <c r="AA64" s="8">
        <f>IFERROR(
GETPIVOTDATA(
"[Base].[Importe]",
TDinamica_R!$A$5,
"[Calendario].[AñoMes]",
"[Calendario].[AñoMes].&amp;[" &amp; TEXT(AA$6,"yyyymm") &amp; "]",
"[Base].[Metrica]",
"[Base].[Metrica].&amp;[" &amp; $A64 &amp; "]",
"[Base].[SEGMENTO_DESCRIP]",
"[Base].[SEGMENTO_DESCRIP].&amp;[" &amp; $C$6 &amp; "]",
"[Base].[SITUACION]",
"[Base].[SITUACION].&amp;[" &amp; $C64 &amp; "]"
),0)/1000</f>
        <v>5.7080000000000002</v>
      </c>
      <c r="AB64" s="8">
        <f>IFERROR(
GETPIVOTDATA(
"[Base].[Importe]",
TDinamica_R!$A$5,
"[Calendario].[AñoMes]",
"[Calendario].[AñoMes].&amp;[" &amp; TEXT(AB$6,"yyyymm") &amp; "]",
"[Base].[Metrica]",
"[Base].[Metrica].&amp;[" &amp; $A64 &amp; "]",
"[Base].[SEGMENTO_DESCRIP]",
"[Base].[SEGMENTO_DESCRIP].&amp;[" &amp; $C$6 &amp; "]",
"[Base].[SITUACION]",
"[Base].[SITUACION].&amp;[" &amp; $C64 &amp; "]"
),0)/1000</f>
        <v>5.5880000000000001</v>
      </c>
      <c r="AC64" s="8">
        <f>IFERROR(
GETPIVOTDATA(
"[Base].[Importe]",
TDinamica_R!$A$5,
"[Calendario].[AñoMes]",
"[Calendario].[AñoMes].&amp;[" &amp; TEXT(AC$6,"yyyymm") &amp; "]",
"[Base].[Metrica]",
"[Base].[Metrica].&amp;[" &amp; $A64 &amp; "]",
"[Base].[SEGMENTO_DESCRIP]",
"[Base].[SEGMENTO_DESCRIP].&amp;[" &amp; $C$6 &amp; "]",
"[Base].[SITUACION]",
"[Base].[SITUACION].&amp;[" &amp; $C64 &amp; "]"
),0)/1000</f>
        <v>5.3878999999999992</v>
      </c>
      <c r="AD64" s="8">
        <f>IFERROR(
GETPIVOTDATA(
"[Base].[Importe]",
TDinamica_R!$A$5,
"[Calendario].[AñoMes]",
"[Calendario].[AñoMes].&amp;[" &amp; TEXT(AD$6,"yyyymm") &amp; "]",
"[Base].[Metrica]",
"[Base].[Metrica].&amp;[" &amp; $A64 &amp; "]",
"[Base].[SEGMENTO_DESCRIP]",
"[Base].[SEGMENTO_DESCRIP].&amp;[" &amp; $C$6 &amp; "]",
"[Base].[SITUACION]",
"[Base].[SITUACION].&amp;[" &amp; $C64 &amp; "]"
),0)/1000</f>
        <v>5.6108599999999997</v>
      </c>
      <c r="AE64" s="8">
        <f>IFERROR(
GETPIVOTDATA(
"[Base].[Importe]",
TDinamica_R!$A$5,
"[Calendario].[AñoMes]",
"[Calendario].[AñoMes].&amp;[" &amp; TEXT(AE$6,"yyyymm") &amp; "]",
"[Base].[Metrica]",
"[Base].[Metrica].&amp;[" &amp; $A64 &amp; "]",
"[Base].[SEGMENTO_DESCRIP]",
"[Base].[SEGMENTO_DESCRIP].&amp;[" &amp; $C$6 &amp; "]",
"[Base].[SITUACION]",
"[Base].[SITUACION].&amp;[" &amp; $C64 &amp; "]"
),0)/1000</f>
        <v>5.4926400000000006</v>
      </c>
      <c r="AF64" s="8">
        <f>IFERROR(
GETPIVOTDATA(
"[Base].[Importe]",
TDinamica_R!$A$5,
"[Calendario].[AñoMes]",
"[Calendario].[AñoMes].&amp;[" &amp; TEXT(AF$6,"yyyymm") &amp; "]",
"[Base].[Metrica]",
"[Base].[Metrica].&amp;[" &amp; $A64 &amp; "]",
"[Base].[SEGMENTO_DESCRIP]",
"[Base].[SEGMENTO_DESCRIP].&amp;[" &amp; $C$6 &amp; "]",
"[Base].[SITUACION]",
"[Base].[SITUACION].&amp;[" &amp; $C64 &amp; "]"
),0)/1000</f>
        <v>5.5475000000000003</v>
      </c>
      <c r="AG64" s="8">
        <f>IFERROR(
GETPIVOTDATA(
"[Base].[Importe]",
TDinamica_R!$A$5,
"[Calendario].[AñoMes]",
"[Calendario].[AñoMes].&amp;[" &amp; TEXT(AG$6,"yyyymm") &amp; "]",
"[Base].[Metrica]",
"[Base].[Metrica].&amp;[" &amp; $A64 &amp; "]",
"[Base].[SEGMENTO_DESCRIP]",
"[Base].[SEGMENTO_DESCRIP].&amp;[" &amp; $C$6 &amp; "]",
"[Base].[SITUACION]",
"[Base].[SITUACION].&amp;[" &amp; $C64 &amp; "]"
),0)/1000</f>
        <v>5.673</v>
      </c>
      <c r="AH64" s="8">
        <f>IFERROR(
GETPIVOTDATA(
"[Base].[Importe]",
TDinamica_R!$A$5,
"[Calendario].[AñoMes]",
"[Calendario].[AñoMes].&amp;[" &amp; TEXT(AH$6,"yyyymm") &amp; "]",
"[Base].[Metrica]",
"[Base].[Metrica].&amp;[" &amp; $A64 &amp; "]",
"[Base].[SEGMENTO_DESCRIP]",
"[Base].[SEGMENTO_DESCRIP].&amp;[" &amp; $C$6 &amp; "]",
"[Base].[SITUACION]",
"[Base].[SITUACION].&amp;[" &amp; $C64 &amp; "]"
),0)/1000</f>
        <v>5.6360000000000001</v>
      </c>
      <c r="AI64" s="8">
        <f>IFERROR(
GETPIVOTDATA(
"[Base].[Importe]",
TDinamica_R!$A$5,
"[Calendario].[AñoMes]",
"[Calendario].[AñoMes].&amp;[" &amp; TEXT(AI$6,"yyyymm") &amp; "]",
"[Base].[Metrica]",
"[Base].[Metrica].&amp;[" &amp; $A64 &amp; "]",
"[Base].[SEGMENTO_DESCRIP]",
"[Base].[SEGMENTO_DESCRIP].&amp;[" &amp; $C$6 &amp; "]",
"[Base].[SITUACION]",
"[Base].[SITUACION].&amp;[" &amp; $C64 &amp; "]"
),0)/1000</f>
        <v>5.7344999999999997</v>
      </c>
      <c r="AJ64" s="8">
        <f>IFERROR(
GETPIVOTDATA(
"[Base].[Importe]",
TDinamica_R!$A$5,
"[Calendario].[AñoMes]",
"[Calendario].[AñoMes].&amp;[" &amp; TEXT(AJ$6,"yyyymm") &amp; "]",
"[Base].[Metrica]",
"[Base].[Metrica].&amp;[" &amp; $A64 &amp; "]",
"[Base].[SEGMENTO_DESCRIP]",
"[Base].[SEGMENTO_DESCRIP].&amp;[" &amp; $C$6 &amp; "]",
"[Base].[SITUACION]",
"[Base].[SITUACION].&amp;[" &amp; $C64 &amp; "]"
),0)/1000</f>
        <v>5.4935</v>
      </c>
      <c r="AK64" s="8">
        <f>IFERROR(
GETPIVOTDATA(
"[Base].[Importe]",
TDinamica_R!$A$5,
"[Calendario].[AñoMes]",
"[Calendario].[AñoMes].&amp;[" &amp; TEXT(AK$6,"yyyymm") &amp; "]",
"[Base].[Metrica]",
"[Base].[Metrica].&amp;[" &amp; $A64 &amp; "]",
"[Base].[SEGMENTO_DESCRIP]",
"[Base].[SEGMENTO_DESCRIP].&amp;[" &amp; $C$6 &amp; "]",
"[Base].[SITUACION]",
"[Base].[SITUACION].&amp;[" &amp; $C64 &amp; "]"
),0)/1000</f>
        <v>5.3940000000000001</v>
      </c>
      <c r="AL64" s="8">
        <f>IFERROR(
GETPIVOTDATA(
"[Base].[Importe]",
TDinamica_R!$A$5,
"[Calendario].[AñoMes]",
"[Calendario].[AñoMes].&amp;[" &amp; TEXT(AL$6,"yyyymm") &amp; "]",
"[Base].[Metrica]",
"[Base].[Metrica].&amp;[" &amp; $A64 &amp; "]",
"[Base].[SEGMENTO_DESCRIP]",
"[Base].[SEGMENTO_DESCRIP].&amp;[" &amp; $C$6 &amp; "]",
"[Base].[SITUACION]",
"[Base].[SITUACION].&amp;[" &amp; $C64 &amp; "]"
),0)/1000</f>
        <v>5.4625000000000004</v>
      </c>
      <c r="AM64" s="8">
        <f>IFERROR(
GETPIVOTDATA(
"[Base].[Importe]",
TDinamica_R!$A$5,
"[Calendario].[AñoMes]",
"[Calendario].[AñoMes].&amp;[" &amp; TEXT(AM$6,"yyyymm") &amp; "]",
"[Base].[Metrica]",
"[Base].[Metrica].&amp;[" &amp; $A64 &amp; "]",
"[Base].[SEGMENTO_DESCRIP]",
"[Base].[SEGMENTO_DESCRIP].&amp;[" &amp; $C$6 &amp; "]",
"[Base].[SITUACION]",
"[Base].[SITUACION].&amp;[" &amp; $C64 &amp; "]"
),0)/1000</f>
        <v>5.3438699999999999</v>
      </c>
      <c r="AN64" s="8">
        <f>IFERROR(
GETPIVOTDATA(
"[Base].[Importe]",
TDinamica_R!$A$5,
"[Calendario].[AñoMes]",
"[Calendario].[AñoMes].&amp;[" &amp; TEXT(AN$6,"yyyymm") &amp; "]",
"[Base].[Metrica]",
"[Base].[Metrica].&amp;[" &amp; $A64 &amp; "]",
"[Base].[SEGMENTO_DESCRIP]",
"[Base].[SEGMENTO_DESCRIP].&amp;[" &amp; $C$6 &amp; "]",
"[Base].[SITUACION]",
"[Base].[SITUACION].&amp;[" &amp; $C64 &amp; "]"
),0)/1000</f>
        <v>5.3585000000000003</v>
      </c>
      <c r="AO64" s="8">
        <f>IFERROR(
GETPIVOTDATA(
"[Base].[Importe]",
TDinamica_R!$A$5,
"[Calendario].[AñoMes]",
"[Calendario].[AñoMes].&amp;[" &amp; TEXT(AO$6,"yyyymm") &amp; "]",
"[Base].[Metrica]",
"[Base].[Metrica].&amp;[" &amp; $A64 &amp; "]",
"[Base].[SEGMENTO_DESCRIP]",
"[Base].[SEGMENTO_DESCRIP].&amp;[" &amp; $C$6 &amp; "]",
"[Base].[SITUACION]",
"[Base].[SITUACION].&amp;[" &amp; $C64 &amp; "]"
),0)/1000</f>
        <v>5.2240000000000002</v>
      </c>
      <c r="AP64" s="8">
        <f>IFERROR(
GETPIVOTDATA(
"[Base].[Importe]",
TDinamica_R!$A$5,
"[Calendario].[AñoMes]",
"[Calendario].[AñoMes].&amp;[" &amp; TEXT(AP$6,"yyyymm") &amp; "]",
"[Base].[Metrica]",
"[Base].[Metrica].&amp;[" &amp; $A64 &amp; "]",
"[Base].[SEGMENTO_DESCRIP]",
"[Base].[SEGMENTO_DESCRIP].&amp;[" &amp; $C$6 &amp; "]",
"[Base].[SITUACION]",
"[Base].[SITUACION].&amp;[" &amp; $C64 &amp; "]"
),0)/1000</f>
        <v>5.1875</v>
      </c>
      <c r="AQ64" s="8">
        <f>IFERROR(
GETPIVOTDATA(
"[Base].[Importe]",
TDinamica_R!$A$5,
"[Calendario].[AñoMes]",
"[Calendario].[AñoMes].&amp;[" &amp; TEXT(AQ$6,"yyyymm") &amp; "]",
"[Base].[Metrica]",
"[Base].[Metrica].&amp;[" &amp; $A64 &amp; "]",
"[Base].[SEGMENTO_DESCRIP]",
"[Base].[SEGMENTO_DESCRIP].&amp;[" &amp; $C$6 &amp; "]",
"[Base].[SITUACION]",
"[Base].[SITUACION].&amp;[" &amp; $C64 &amp; "]"
),0)/1000</f>
        <v>5.1384999999999996</v>
      </c>
      <c r="AR64" s="8">
        <f>IFERROR(
GETPIVOTDATA(
"[Base].[Importe]",
TDinamica_R!$A$5,
"[Calendario].[AñoMes]",
"[Calendario].[AñoMes].&amp;[" &amp; TEXT(AR$6,"yyyymm") &amp; "]",
"[Base].[Metrica]",
"[Base].[Metrica].&amp;[" &amp; $A64 &amp; "]",
"[Base].[SEGMENTO_DESCRIP]",
"[Base].[SEGMENTO_DESCRIP].&amp;[" &amp; $C$6 &amp; "]",
"[Base].[SITUACION]",
"[Base].[SITUACION].&amp;[" &amp; $C64 &amp; "]"
),0)/1000</f>
        <v>5.1875</v>
      </c>
      <c r="AS64" s="8">
        <f>IFERROR(
GETPIVOTDATA(
"[Base].[Importe]",
TDinamica_R!$A$5,
"[Calendario].[AñoMes]",
"[Calendario].[AñoMes].&amp;[" &amp; TEXT(AS$6,"yyyymm") &amp; "]",
"[Base].[Metrica]",
"[Base].[Metrica].&amp;[" &amp; $A64 &amp; "]",
"[Base].[SEGMENTO_DESCRIP]",
"[Base].[SEGMENTO_DESCRIP].&amp;[" &amp; $C$6 &amp; "]",
"[Base].[SITUACION]",
"[Base].[SITUACION].&amp;[" &amp; $C64 &amp; "]"
),0)/1000</f>
        <v>5.1420000000000003</v>
      </c>
      <c r="AT64" s="8">
        <f>IFERROR(
GETPIVOTDATA(
"[Base].[Importe]",
TDinamica_R!$A$5,
"[Calendario].[AñoMes]",
"[Calendario].[AñoMes].&amp;[" &amp; TEXT(AT$6,"yyyymm")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U64" s="8">
        <f>IFERROR(
GETPIVOTDATA(
"[Base].[Importe]",
TDinamica_R!$A$5,
"[Calendario].[AñoMes]",
"[Calendario].[AñoMes].&amp;[" &amp; TEXT(AU$6,"yyyymm")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V64" s="8">
        <f>IFERROR(
GETPIVOTDATA(
"[Base].[Importe]",
TDinamica_R!$A$5,
"[Calendario].[AñoMes]",
"[Calendario].[AñoMes].&amp;[" &amp; TEXT(AV$6,"yyyymm")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W64" s="8">
        <f>IFERROR(
GETPIVOTDATA(
"[Base].[Importe]",
TDinamica_R!$A$5,
"[Calendario].[AñoMes]",
"[Calendario].[AñoMes].&amp;[" &amp; TEXT(AW$6,"yyyymm")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X64" s="8">
        <f>IFERROR(
GETPIVOTDATA(
"[Base].[Importe]",
TDinamica_R!$A$5,
"[Calendario].[AñoMes]",
"[Calendario].[AñoMes].&amp;[" &amp; TEXT(AX$6,"yyyymm")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Y64" s="8">
        <f>IFERROR(
GETPIVOTDATA(
"[Base].[Importe]",
TDinamica_R!$A$5,
"[Calendario].[AñoMes]",
"[Calendario].[AñoMes].&amp;[" &amp; TEXT(AY$6,"yyyymm")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Z64" s="8">
        <f>IFERROR(
GETPIVOTDATA(
"[BASE_CONVE_PPTO].[Importe]",
TDinamica_P!$A$5,
"[BASE_CONVE_PPTO].[Periodo]",
"[BASE_CONVE_PPTO].[Periodo].&amp;[" &amp; TEXT(AZ$6,"yyyymm")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5.6112943513674667</v>
      </c>
      <c r="BA64" s="8">
        <f>IFERROR(
GETPIVOTDATA(
"[BASE_CONVE_PPTO].[Importe]",
TDinamica_P!$A$5,
"[BASE_CONVE_PPTO].[Periodo]",
"[BASE_CONVE_PPTO].[Periodo].&amp;[" &amp; TEXT(BA$6,"yyyymm")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5.5899659654762663</v>
      </c>
      <c r="BB64" s="8">
        <f>IFERROR(
GETPIVOTDATA(
"[BASE_CONVE_PPTO].[Importe]",
TDinamica_P!$A$5,
"[BASE_CONVE_PPTO].[Periodo]",
"[BASE_CONVE_PPTO].[Periodo].&amp;[" &amp; TEXT(BB$6,"yyyymm")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5.5577891933471708</v>
      </c>
      <c r="BC64" s="8">
        <f>IFERROR(
GETPIVOTDATA(
"[BASE_CONVE_PPTO].[Importe]",
TDinamica_P!$A$5,
"[BASE_CONVE_PPTO].[Periodo]",
"[BASE_CONVE_PPTO].[Periodo].&amp;[" &amp; TEXT(BC$6,"yyyymm")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5.529963997554189</v>
      </c>
      <c r="BD64" s="8">
        <f>IFERROR(
GETPIVOTDATA(
"[BASE_CONVE_PPTO].[Importe]",
TDinamica_P!$A$5,
"[BASE_CONVE_PPTO].[Periodo]",
"[BASE_CONVE_PPTO].[Periodo].&amp;[" &amp; TEXT(BD$6,"yyyymm")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5.487360997720069</v>
      </c>
      <c r="BE64" s="8">
        <f>IFERROR(
GETPIVOTDATA(
"[BASE_CONVE_PPTO].[Importe]",
TDinamica_P!$A$5,
"[BASE_CONVE_PPTO].[Periodo]",
"[BASE_CONVE_PPTO].[Periodo].&amp;[" &amp; TEXT(BE$6,"yyyymm")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5.4634739631431364</v>
      </c>
      <c r="BF64" s="8">
        <f>IFERROR(
GETPIVOTDATA(
"[BASE_CONVE_PPTO].[Importe]",
TDinamica_P!$A$5,
"[BASE_CONVE_PPTO].[Periodo]",
"[BASE_CONVE_PPTO].[Periodo].&amp;[" &amp; TEXT(BF$6,"yyyymm")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5.4411295184146686</v>
      </c>
      <c r="BG64" s="8">
        <f>IFERROR(
GETPIVOTDATA(
"[BASE_CONVE_PPTO].[Importe]",
TDinamica_P!$A$5,
"[BASE_CONVE_PPTO].[Periodo]",
"[BASE_CONVE_PPTO].[Periodo].&amp;[" &amp; TEXT(BG$6,"yyyymm")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5.4148562067159993</v>
      </c>
      <c r="BH64" s="8">
        <f>IFERROR(
GETPIVOTDATA(
"[BASE_CONVE_PPTO].[Importe]",
TDinamica_P!$A$5,
"[BASE_CONVE_PPTO].[Periodo]",
"[BASE_CONVE_PPTO].[Periodo].&amp;[" &amp; TEXT(BH$6,"yyyymm")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5.3877693361883567</v>
      </c>
      <c r="BI64" s="8">
        <f>IFERROR(
GETPIVOTDATA(
"[BASE_CONVE_PPTO].[Importe]",
TDinamica_P!$A$5,
"[BASE_CONVE_PPTO].[Periodo]",
"[BASE_CONVE_PPTO].[Periodo].&amp;[" &amp; TEXT(BI$6,"yyyymm")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5.3596293369354902</v>
      </c>
      <c r="BJ64" s="8">
        <f>IFERROR(
GETPIVOTDATA(
"[BASE_CONVE_PPTO].[Importe]",
TDinamica_P!$A$5,
"[BASE_CONVE_PPTO].[Periodo]",
"[BASE_CONVE_PPTO].[Periodo].&amp;[" &amp; TEXT(BJ$6,"yyyymm")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5.3307026768787811</v>
      </c>
      <c r="BK64" s="8">
        <f>IFERROR(
GETPIVOTDATA(
"[BASE_CONVE_PPTO].[Importe]",
TDinamica_P!$A$5,
"[BASE_CONVE_PPTO].[Periodo]",
"[BASE_CONVE_PPTO].[Periodo].&amp;[" &amp; TEXT(BK$6,"yyyymm")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5.3016111388735698</v>
      </c>
      <c r="BO64" s="24">
        <f t="shared" si="198"/>
        <v>26.096</v>
      </c>
      <c r="BP64" s="24">
        <f t="shared" si="198"/>
        <v>27.776374505465164</v>
      </c>
      <c r="BQ64" s="24">
        <f t="shared" si="198"/>
        <v>20.9085</v>
      </c>
      <c r="BR64" s="24">
        <f t="shared" si="198"/>
        <v>27.626899999999999</v>
      </c>
      <c r="BS64" s="24">
        <f t="shared" si="198"/>
        <v>27.377890000000001</v>
      </c>
      <c r="BT64" s="24">
        <f t="shared" si="198"/>
        <v>28.374509999999997</v>
      </c>
    </row>
    <row r="65" spans="1:72" outlineLevel="1" x14ac:dyDescent="0.25">
      <c r="A65" s="11" t="s">
        <v>71</v>
      </c>
      <c r="C65" s="2" t="s">
        <v>73</v>
      </c>
      <c r="D65" s="8">
        <f>IFERROR(
GETPIVOTDATA(
"[Base].[Importe]",
TDinamica_R!$A$5,
"[Calendario].[AñoMes]",
"[Calendario].[AñoMes].&amp;[" &amp; TEXT(D$6,"yyyymm") &amp; "]",
"[Base].[Metrica]",
"[Base].[Metrica].&amp;[" &amp; $A65 &amp; "]",
"[Base].[SEGMENTO_DESCRIP]",
"[Base].[SEGMENTO_DESCRIP].&amp;[" &amp; $C$6 &amp; "]",
"[Base].[SITUACION]",
"[Base].[SITUACION].&amp;[" &amp; $C65 &amp; "]"
),0)/1000</f>
        <v>-1.7665586043000001</v>
      </c>
      <c r="E65" s="8">
        <f>IFERROR(
GETPIVOTDATA(
"[Base].[Importe]",
TDinamica_R!$A$5,
"[Calendario].[AñoMes]",
"[Calendario].[AñoMes].&amp;[" &amp; TEXT(E$6,"yyyymm") &amp; "]",
"[Base].[Metrica]",
"[Base].[Metrica].&amp;[" &amp; $A65 &amp; "]",
"[Base].[SEGMENTO_DESCRIP]",
"[Base].[SEGMENTO_DESCRIP].&amp;[" &amp; $C$6 &amp; "]",
"[Base].[SITUACION]",
"[Base].[SITUACION].&amp;[" &amp; $C65 &amp; "]"
),0)/1000</f>
        <v>-2.6853894782999999</v>
      </c>
      <c r="F65" s="8">
        <f>IFERROR(
GETPIVOTDATA(
"[Base].[Importe]",
TDinamica_R!$A$5,
"[Calendario].[AñoMes]",
"[Calendario].[AñoMes].&amp;[" &amp; TEXT(F$6,"yyyymm") &amp; "]",
"[Base].[Metrica]",
"[Base].[Metrica].&amp;[" &amp; $A65 &amp; "]",
"[Base].[SEGMENTO_DESCRIP]",
"[Base].[SEGMENTO_DESCRIP].&amp;[" &amp; $C$6 &amp; "]",
"[Base].[SITUACION]",
"[Base].[SITUACION].&amp;[" &amp; $C65 &amp; "]"
),0)/1000</f>
        <v>-4.1023432128000001</v>
      </c>
      <c r="G65" s="8">
        <f>IFERROR(
GETPIVOTDATA(
"[Base].[Importe]",
TDinamica_R!$A$5,
"[Calendario].[AñoMes]",
"[Calendario].[AñoMes].&amp;[" &amp; TEXT(G$6,"yyyymm") &amp; "]",
"[Base].[Metrica]",
"[Base].[Metrica].&amp;[" &amp; $A65 &amp; "]",
"[Base].[SEGMENTO_DESCRIP]",
"[Base].[SEGMENTO_DESCRIP].&amp;[" &amp; $C$6 &amp; "]",
"[Base].[SITUACION]",
"[Base].[SITUACION].&amp;[" &amp; $C65 &amp; "]"
),0)/1000</f>
        <v>-3.9808849909999999</v>
      </c>
      <c r="H65" s="8">
        <f>IFERROR(
GETPIVOTDATA(
"[Base].[Importe]",
TDinamica_R!$A$5,
"[Calendario].[AñoMes]",
"[Calendario].[AñoMes].&amp;[" &amp; TEXT(H$6,"yyyymm") &amp; "]",
"[Base].[Metrica]",
"[Base].[Metrica].&amp;[" &amp; $A65 &amp; "]",
"[Base].[SEGMENTO_DESCRIP]",
"[Base].[SEGMENTO_DESCRIP].&amp;[" &amp; $C$6 &amp; "]",
"[Base].[SITUACION]",
"[Base].[SITUACION].&amp;[" &amp; $C65 &amp; "]"
),0)/1000</f>
        <v>-3.1716099459999998</v>
      </c>
      <c r="I65" s="8">
        <f>IFERROR(
GETPIVOTDATA(
"[Base].[Importe]",
TDinamica_R!$A$5,
"[Calendario].[AñoMes]",
"[Calendario].[AñoMes].&amp;[" &amp; TEXT(I$6,"yyyymm") &amp; "]",
"[Base].[Metrica]",
"[Base].[Metrica].&amp;[" &amp; $A65 &amp; "]",
"[Base].[SEGMENTO_DESCRIP]",
"[Base].[SEGMENTO_DESCRIP].&amp;[" &amp; $C$6 &amp; "]",
"[Base].[SITUACION]",
"[Base].[SITUACION].&amp;[" &amp; $C65 &amp; "]"
),0)/1000</f>
        <v>-5.21286351</v>
      </c>
      <c r="J65" s="8">
        <f>IFERROR(
GETPIVOTDATA(
"[Base].[Importe]",
TDinamica_R!$A$5,
"[Calendario].[AñoMes]",
"[Calendario].[AñoMes].&amp;[" &amp; TEXT(J$6,"yyyymm") &amp; "]",
"[Base].[Metrica]",
"[Base].[Metrica].&amp;[" &amp; $A65 &amp; "]",
"[Base].[SEGMENTO_DESCRIP]",
"[Base].[SEGMENTO_DESCRIP].&amp;[" &amp; $C$6 &amp; "]",
"[Base].[SITUACION]",
"[Base].[SITUACION].&amp;[" &amp; $C65 &amp; "]"
),0)/1000</f>
        <v>-4.1083674439999998</v>
      </c>
      <c r="K65" s="8">
        <f>IFERROR(
GETPIVOTDATA(
"[Base].[Importe]",
TDinamica_R!$A$5,
"[Calendario].[AñoMes]",
"[Calendario].[AñoMes].&amp;[" &amp; TEXT(K$6,"yyyymm") &amp; "]",
"[Base].[Metrica]",
"[Base].[Metrica].&amp;[" &amp; $A65 &amp; "]",
"[Base].[SEGMENTO_DESCRIP]",
"[Base].[SEGMENTO_DESCRIP].&amp;[" &amp; $C$6 &amp; "]",
"[Base].[SITUACION]",
"[Base].[SITUACION].&amp;[" &amp; $C65 &amp; "]"
),0)/1000</f>
        <v>-4.7271577520000001</v>
      </c>
      <c r="L65" s="8">
        <f>IFERROR(
GETPIVOTDATA(
"[Base].[Importe]",
TDinamica_R!$A$5,
"[Calendario].[AñoMes]",
"[Calendario].[AñoMes].&amp;[" &amp; TEXT(L$6,"yyyymm") &amp; "]",
"[Base].[Metrica]",
"[Base].[Metrica].&amp;[" &amp; $A65 &amp; "]",
"[Base].[SEGMENTO_DESCRIP]",
"[Base].[SEGMENTO_DESCRIP].&amp;[" &amp; $C$6 &amp; "]",
"[Base].[SITUACION]",
"[Base].[SITUACION].&amp;[" &amp; $C65 &amp; "]"
),0)/1000</f>
        <v>-4.2909344339999995</v>
      </c>
      <c r="M65" s="8">
        <f>IFERROR(
GETPIVOTDATA(
"[Base].[Importe]",
TDinamica_R!$A$5,
"[Calendario].[AñoMes]",
"[Calendario].[AñoMes].&amp;[" &amp; TEXT(M$6,"yyyymm") &amp; "]",
"[Base].[Metrica]",
"[Base].[Metrica].&amp;[" &amp; $A65 &amp; "]",
"[Base].[SEGMENTO_DESCRIP]",
"[Base].[SEGMENTO_DESCRIP].&amp;[" &amp; $C$6 &amp; "]",
"[Base].[SITUACION]",
"[Base].[SITUACION].&amp;[" &amp; $C65 &amp; "]"
),0)/1000</f>
        <v>-5.2254741720000002</v>
      </c>
      <c r="N65" s="8">
        <f>IFERROR(
GETPIVOTDATA(
"[Base].[Importe]",
TDinamica_R!$A$5,
"[Calendario].[AñoMes]",
"[Calendario].[AñoMes].&amp;[" &amp; TEXT(N$6,"yyyymm") &amp; "]",
"[Base].[Metrica]",
"[Base].[Metrica].&amp;[" &amp; $A65 &amp; "]",
"[Base].[SEGMENTO_DESCRIP]",
"[Base].[SEGMENTO_DESCRIP].&amp;[" &amp; $C$6 &amp; "]",
"[Base].[SITUACION]",
"[Base].[SITUACION].&amp;[" &amp; $C65 &amp; "]"
),0)/1000</f>
        <v>-3.3708941678</v>
      </c>
      <c r="O65" s="8">
        <f>IFERROR(
GETPIVOTDATA(
"[Base].[Importe]",
TDinamica_R!$A$5,
"[Calendario].[AñoMes]",
"[Calendario].[AñoMes].&amp;[" &amp; TEXT(O$6,"yyyymm") &amp; "]",
"[Base].[Metrica]",
"[Base].[Metrica].&amp;[" &amp; $A65 &amp; "]",
"[Base].[SEGMENTO_DESCRIP]",
"[Base].[SEGMENTO_DESCRIP].&amp;[" &amp; $C$6 &amp; "]",
"[Base].[SITUACION]",
"[Base].[SITUACION].&amp;[" &amp; $C65 &amp; "]"
),0)/1000</f>
        <v>-6.116924246</v>
      </c>
      <c r="P65" s="8">
        <f>IFERROR(
GETPIVOTDATA(
"[Base].[Importe]",
TDinamica_R!$A$5,
"[Calendario].[AñoMes]",
"[Calendario].[AñoMes].&amp;[" &amp; TEXT(P$6,"yyyymm") &amp; "]",
"[Base].[Metrica]",
"[Base].[Metrica].&amp;[" &amp; $A65 &amp; "]",
"[Base].[SEGMENTO_DESCRIP]",
"[Base].[SEGMENTO_DESCRIP].&amp;[" &amp; $C$6 &amp; "]",
"[Base].[SITUACION]",
"[Base].[SITUACION].&amp;[" &amp; $C65 &amp; "]"
),0)/1000</f>
        <v>-4.7693379949999999</v>
      </c>
      <c r="Q65" s="8">
        <f>IFERROR(
GETPIVOTDATA(
"[Base].[Importe]",
TDinamica_R!$A$5,
"[Calendario].[AñoMes]",
"[Calendario].[AñoMes].&amp;[" &amp; TEXT(Q$6,"yyyymm") &amp; "]",
"[Base].[Metrica]",
"[Base].[Metrica].&amp;[" &amp; $A65 &amp; "]",
"[Base].[SEGMENTO_DESCRIP]",
"[Base].[SEGMENTO_DESCRIP].&amp;[" &amp; $C$6 &amp; "]",
"[Base].[SITUACION]",
"[Base].[SITUACION].&amp;[" &amp; $C65 &amp; "]"
),0)/1000</f>
        <v>-5.4595192339999992</v>
      </c>
      <c r="R65" s="8">
        <f>IFERROR(
GETPIVOTDATA(
"[Base].[Importe]",
TDinamica_R!$A$5,
"[Calendario].[AñoMes]",
"[Calendario].[AñoMes].&amp;[" &amp; TEXT(R$6,"yyyymm") &amp; "]",
"[Base].[Metrica]",
"[Base].[Metrica].&amp;[" &amp; $A65 &amp; "]",
"[Base].[SEGMENTO_DESCRIP]",
"[Base].[SEGMENTO_DESCRIP].&amp;[" &amp; $C$6 &amp; "]",
"[Base].[SITUACION]",
"[Base].[SITUACION].&amp;[" &amp; $C65 &amp; "]"
),0)/1000</f>
        <v>-4.29583841</v>
      </c>
      <c r="S65" s="8">
        <f>IFERROR(
GETPIVOTDATA(
"[Base].[Importe]",
TDinamica_R!$A$5,
"[Calendario].[AñoMes]",
"[Calendario].[AñoMes].&amp;[" &amp; TEXT(S$6,"yyyymm") &amp; "]",
"[Base].[Metrica]",
"[Base].[Metrica].&amp;[" &amp; $A65 &amp; "]",
"[Base].[SEGMENTO_DESCRIP]",
"[Base].[SEGMENTO_DESCRIP].&amp;[" &amp; $C$6 &amp; "]",
"[Base].[SITUACION]",
"[Base].[SITUACION].&amp;[" &amp; $C65 &amp; "]"
),0)/1000</f>
        <v>-5.6041263189999997</v>
      </c>
      <c r="T65" s="8">
        <f>IFERROR(
GETPIVOTDATA(
"[Base].[Importe]",
TDinamica_R!$A$5,
"[Calendario].[AñoMes]",
"[Calendario].[AñoMes].&amp;[" &amp; TEXT(T$6,"yyyymm") &amp; "]",
"[Base].[Metrica]",
"[Base].[Metrica].&amp;[" &amp; $A65 &amp; "]",
"[Base].[SEGMENTO_DESCRIP]",
"[Base].[SEGMENTO_DESCRIP].&amp;[" &amp; $C$6 &amp; "]",
"[Base].[SITUACION]",
"[Base].[SITUACION].&amp;[" &amp; $C65 &amp; "]"
),0)/1000</f>
        <v>-5.3973211450000003</v>
      </c>
      <c r="U65" s="8">
        <f>IFERROR(
GETPIVOTDATA(
"[Base].[Importe]",
TDinamica_R!$A$5,
"[Calendario].[AñoMes]",
"[Calendario].[AñoMes].&amp;[" &amp; TEXT(U$6,"yyyymm") &amp; "]",
"[Base].[Metrica]",
"[Base].[Metrica].&amp;[" &amp; $A65 &amp; "]",
"[Base].[SEGMENTO_DESCRIP]",
"[Base].[SEGMENTO_DESCRIP].&amp;[" &amp; $C$6 &amp; "]",
"[Base].[SITUACION]",
"[Base].[SITUACION].&amp;[" &amp; $C65 &amp; "]"
),0)/1000</f>
        <v>-5.6689485249999993</v>
      </c>
      <c r="V65" s="8">
        <f>IFERROR(
GETPIVOTDATA(
"[Base].[Importe]",
TDinamica_R!$A$5,
"[Calendario].[AñoMes]",
"[Calendario].[AñoMes].&amp;[" &amp; TEXT(V$6,"yyyymm") &amp; "]",
"[Base].[Metrica]",
"[Base].[Metrica].&amp;[" &amp; $A65 &amp; "]",
"[Base].[SEGMENTO_DESCRIP]",
"[Base].[SEGMENTO_DESCRIP].&amp;[" &amp; $C$6 &amp; "]",
"[Base].[SITUACION]",
"[Base].[SITUACION].&amp;[" &amp; $C65 &amp; "]"
),0)/1000</f>
        <v>-3.6878496886999996</v>
      </c>
      <c r="W65" s="8">
        <f>IFERROR(
GETPIVOTDATA(
"[Base].[Importe]",
TDinamica_R!$A$5,
"[Calendario].[AñoMes]",
"[Calendario].[AñoMes].&amp;[" &amp; TEXT(W$6,"yyyymm") &amp; "]",
"[Base].[Metrica]",
"[Base].[Metrica].&amp;[" &amp; $A65 &amp; "]",
"[Base].[SEGMENTO_DESCRIP]",
"[Base].[SEGMENTO_DESCRIP].&amp;[" &amp; $C$6 &amp; "]",
"[Base].[SITUACION]",
"[Base].[SITUACION].&amp;[" &amp; $C65 &amp; "]"
),0)/1000</f>
        <v>-5.6326614460000002</v>
      </c>
      <c r="X65" s="8">
        <f>IFERROR(
GETPIVOTDATA(
"[Base].[Importe]",
TDinamica_R!$A$5,
"[Calendario].[AñoMes]",
"[Calendario].[AñoMes].&amp;[" &amp; TEXT(X$6,"yyyymm") &amp; "]",
"[Base].[Metrica]",
"[Base].[Metrica].&amp;[" &amp; $A65 &amp; "]",
"[Base].[SEGMENTO_DESCRIP]",
"[Base].[SEGMENTO_DESCRIP].&amp;[" &amp; $C$6 &amp; "]",
"[Base].[SITUACION]",
"[Base].[SITUACION].&amp;[" &amp; $C65 &amp; "]"
),0)/1000</f>
        <v>-6.4150251970000012</v>
      </c>
      <c r="Y65" s="8">
        <f>IFERROR(
GETPIVOTDATA(
"[Base].[Importe]",
TDinamica_R!$A$5,
"[Calendario].[AñoMes]",
"[Calendario].[AñoMes].&amp;[" &amp; TEXT(Y$6,"yyyymm") &amp; "]",
"[Base].[Metrica]",
"[Base].[Metrica].&amp;[" &amp; $A65 &amp; "]",
"[Base].[SEGMENTO_DESCRIP]",
"[Base].[SEGMENTO_DESCRIP].&amp;[" &amp; $C$6 &amp; "]",
"[Base].[SITUACION]",
"[Base].[SITUACION].&amp;[" &amp; $C65 &amp; "]"
),0)/1000</f>
        <v>-3.9669088690000005</v>
      </c>
      <c r="Z65" s="8">
        <f>IFERROR(
GETPIVOTDATA(
"[Base].[Importe]",
TDinamica_R!$A$5,
"[Calendario].[AñoMes]",
"[Calendario].[AñoMes].&amp;[" &amp; TEXT(Z$6,"yyyymm") &amp; "]",
"[Base].[Metrica]",
"[Base].[Metrica].&amp;[" &amp; $A65 &amp; "]",
"[Base].[SEGMENTO_DESCRIP]",
"[Base].[SEGMENTO_DESCRIP].&amp;[" &amp; $C$6 &amp; "]",
"[Base].[SITUACION]",
"[Base].[SITUACION].&amp;[" &amp; $C65 &amp; "]"
),0)/1000</f>
        <v>-9.066481521</v>
      </c>
      <c r="AA65" s="8">
        <f>IFERROR(
GETPIVOTDATA(
"[Base].[Importe]",
TDinamica_R!$A$5,
"[Calendario].[AñoMes]",
"[Calendario].[AñoMes].&amp;[" &amp; TEXT(AA$6,"yyyymm") &amp; "]",
"[Base].[Metrica]",
"[Base].[Metrica].&amp;[" &amp; $A65 &amp; "]",
"[Base].[SEGMENTO_DESCRIP]",
"[Base].[SEGMENTO_DESCRIP].&amp;[" &amp; $C$6 &amp; "]",
"[Base].[SITUACION]",
"[Base].[SITUACION].&amp;[" &amp; $C65 &amp; "]"
),0)/1000</f>
        <v>-0.65577884293199995</v>
      </c>
      <c r="AB65" s="8">
        <f>IFERROR(
GETPIVOTDATA(
"[Base].[Importe]",
TDinamica_R!$A$5,
"[Calendario].[AñoMes]",
"[Calendario].[AñoMes].&amp;[" &amp; TEXT(AB$6,"yyyymm") &amp; "]",
"[Base].[Metrica]",
"[Base].[Metrica].&amp;[" &amp; $A65 &amp; "]",
"[Base].[SEGMENTO_DESCRIP]",
"[Base].[SEGMENTO_DESCRIP].&amp;[" &amp; $C$6 &amp; "]",
"[Base].[SITUACION]",
"[Base].[SITUACION].&amp;[" &amp; $C65 &amp; "]"
),0)/1000</f>
        <v>-5.654386336</v>
      </c>
      <c r="AC65" s="8">
        <f>IFERROR(
GETPIVOTDATA(
"[Base].[Importe]",
TDinamica_R!$A$5,
"[Calendario].[AñoMes]",
"[Calendario].[AñoMes].&amp;[" &amp; TEXT(AC$6,"yyyymm") &amp; "]",
"[Base].[Metrica]",
"[Base].[Metrica].&amp;[" &amp; $A65 &amp; "]",
"[Base].[SEGMENTO_DESCRIP]",
"[Base].[SEGMENTO_DESCRIP].&amp;[" &amp; $C$6 &amp; "]",
"[Base].[SITUACION]",
"[Base].[SITUACION].&amp;[" &amp; $C65 &amp; "]"
),0)/1000</f>
        <v>-5.404084385</v>
      </c>
      <c r="AD65" s="8">
        <f>IFERROR(
GETPIVOTDATA(
"[Base].[Importe]",
TDinamica_R!$A$5,
"[Calendario].[AñoMes]",
"[Calendario].[AñoMes].&amp;[" &amp; TEXT(AD$6,"yyyymm") &amp; "]",
"[Base].[Metrica]",
"[Base].[Metrica].&amp;[" &amp; $A65 &amp; "]",
"[Base].[SEGMENTO_DESCRIP]",
"[Base].[SEGMENTO_DESCRIP].&amp;[" &amp; $C$6 &amp; "]",
"[Base].[SITUACION]",
"[Base].[SITUACION].&amp;[" &amp; $C65 &amp; "]"
),0)/1000</f>
        <v>-4.7190841070000005</v>
      </c>
      <c r="AE65" s="8">
        <f>IFERROR(
GETPIVOTDATA(
"[Base].[Importe]",
TDinamica_R!$A$5,
"[Calendario].[AñoMes]",
"[Calendario].[AñoMes].&amp;[" &amp; TEXT(AE$6,"yyyymm") &amp; "]",
"[Base].[Metrica]",
"[Base].[Metrica].&amp;[" &amp; $A65 &amp; "]",
"[Base].[SEGMENTO_DESCRIP]",
"[Base].[SEGMENTO_DESCRIP].&amp;[" &amp; $C$6 &amp; "]",
"[Base].[SITUACION]",
"[Base].[SITUACION].&amp;[" &amp; $C65 &amp; "]"
),0)/1000</f>
        <v>-5.1241135720000006</v>
      </c>
      <c r="AF65" s="8">
        <f>IFERROR(
GETPIVOTDATA(
"[Base].[Importe]",
TDinamica_R!$A$5,
"[Calendario].[AñoMes]",
"[Calendario].[AñoMes].&amp;[" &amp; TEXT(AF$6,"yyyymm") &amp; "]",
"[Base].[Metrica]",
"[Base].[Metrica].&amp;[" &amp; $A65 &amp; "]",
"[Base].[SEGMENTO_DESCRIP]",
"[Base].[SEGMENTO_DESCRIP].&amp;[" &amp; $C$6 &amp; "]",
"[Base].[SITUACION]",
"[Base].[SITUACION].&amp;[" &amp; $C65 &amp; "]"
),0)/1000</f>
        <v>-2.5913642703999997</v>
      </c>
      <c r="AG65" s="8">
        <f>IFERROR(
GETPIVOTDATA(
"[Base].[Importe]",
TDinamica_R!$A$5,
"[Calendario].[AñoMes]",
"[Calendario].[AñoMes].&amp;[" &amp; TEXT(AG$6,"yyyymm") &amp; "]",
"[Base].[Metrica]",
"[Base].[Metrica].&amp;[" &amp; $A65 &amp; "]",
"[Base].[SEGMENTO_DESCRIP]",
"[Base].[SEGMENTO_DESCRIP].&amp;[" &amp; $C$6 &amp; "]",
"[Base].[SITUACION]",
"[Base].[SITUACION].&amp;[" &amp; $C65 &amp; "]"
),0)/1000</f>
        <v>-2.7284664353000001</v>
      </c>
      <c r="AH65" s="8">
        <f>IFERROR(
GETPIVOTDATA(
"[Base].[Importe]",
TDinamica_R!$A$5,
"[Calendario].[AñoMes]",
"[Calendario].[AñoMes].&amp;[" &amp; TEXT(AH$6,"yyyymm") &amp; "]",
"[Base].[Metrica]",
"[Base].[Metrica].&amp;[" &amp; $A65 &amp; "]",
"[Base].[SEGMENTO_DESCRIP]",
"[Base].[SEGMENTO_DESCRIP].&amp;[" &amp; $C$6 &amp; "]",
"[Base].[SITUACION]",
"[Base].[SITUACION].&amp;[" &amp; $C65 &amp; "]"
),0)/1000</f>
        <v>-2.6855373327000001</v>
      </c>
      <c r="AI65" s="8">
        <f>IFERROR(
GETPIVOTDATA(
"[Base].[Importe]",
TDinamica_R!$A$5,
"[Calendario].[AñoMes]",
"[Calendario].[AñoMes].&amp;[" &amp; TEXT(AI$6,"yyyymm") &amp; "]",
"[Base].[Metrica]",
"[Base].[Metrica].&amp;[" &amp; $A65 &amp; "]",
"[Base].[SEGMENTO_DESCRIP]",
"[Base].[SEGMENTO_DESCRIP].&amp;[" &amp; $C$6 &amp; "]",
"[Base].[SITUACION]",
"[Base].[SITUACION].&amp;[" &amp; $C65 &amp; "]"
),0)/1000</f>
        <v>-5.6001542470000008</v>
      </c>
      <c r="AJ65" s="8">
        <f>IFERROR(
GETPIVOTDATA(
"[Base].[Importe]",
TDinamica_R!$A$5,
"[Calendario].[AñoMes]",
"[Calendario].[AñoMes].&amp;[" &amp; TEXT(AJ$6,"yyyymm") &amp; "]",
"[Base].[Metrica]",
"[Base].[Metrica].&amp;[" &amp; $A65 &amp; "]",
"[Base].[SEGMENTO_DESCRIP]",
"[Base].[SEGMENTO_DESCRIP].&amp;[" &amp; $C$6 &amp; "]",
"[Base].[SITUACION]",
"[Base].[SITUACION].&amp;[" &amp; $C65 &amp; "]"
),0)/1000</f>
        <v>0.31868847579999998</v>
      </c>
      <c r="AK65" s="8">
        <f>IFERROR(
GETPIVOTDATA(
"[Base].[Importe]",
TDinamica_R!$A$5,
"[Calendario].[AñoMes]",
"[Calendario].[AñoMes].&amp;[" &amp; TEXT(AK$6,"yyyymm") &amp; "]",
"[Base].[Metrica]",
"[Base].[Metrica].&amp;[" &amp; $A65 &amp; "]",
"[Base].[SEGMENTO_DESCRIP]",
"[Base].[SEGMENTO_DESCRIP].&amp;[" &amp; $C$6 &amp; "]",
"[Base].[SITUACION]",
"[Base].[SITUACION].&amp;[" &amp; $C65 &amp; "]"
),0)/1000</f>
        <v>-2.3788872344500001</v>
      </c>
      <c r="AL65" s="8">
        <f>IFERROR(
GETPIVOTDATA(
"[Base].[Importe]",
TDinamica_R!$A$5,
"[Calendario].[AñoMes]",
"[Calendario].[AñoMes].&amp;[" &amp; TEXT(AL$6,"yyyymm") &amp; "]",
"[Base].[Metrica]",
"[Base].[Metrica].&amp;[" &amp; $A65 &amp; "]",
"[Base].[SEGMENTO_DESCRIP]",
"[Base].[SEGMENTO_DESCRIP].&amp;[" &amp; $C$6 &amp; "]",
"[Base].[SITUACION]",
"[Base].[SITUACION].&amp;[" &amp; $C65 &amp; "]"
),0)/1000</f>
        <v>-3.550167364</v>
      </c>
      <c r="AM65" s="8">
        <f>IFERROR(
GETPIVOTDATA(
"[Base].[Importe]",
TDinamica_R!$A$5,
"[Calendario].[AñoMes]",
"[Calendario].[AñoMes].&amp;[" &amp; TEXT(AM$6,"yyyymm") &amp; "]",
"[Base].[Metrica]",
"[Base].[Metrica].&amp;[" &amp; $A65 &amp; "]",
"[Base].[SEGMENTO_DESCRIP]",
"[Base].[SEGMENTO_DESCRIP].&amp;[" &amp; $C$6 &amp; "]",
"[Base].[SITUACION]",
"[Base].[SITUACION].&amp;[" &amp; $C65 &amp; "]"
),0)/1000</f>
        <v>-2.344729359</v>
      </c>
      <c r="AN65" s="8">
        <f>IFERROR(
GETPIVOTDATA(
"[Base].[Importe]",
TDinamica_R!$A$5,
"[Calendario].[AñoMes]",
"[Calendario].[AñoMes].&amp;[" &amp; TEXT(AN$6,"yyyymm") &amp; "]",
"[Base].[Metrica]",
"[Base].[Metrica].&amp;[" &amp; $A65 &amp; "]",
"[Base].[SEGMENTO_DESCRIP]",
"[Base].[SEGMENTO_DESCRIP].&amp;[" &amp; $C$6 &amp; "]",
"[Base].[SITUACION]",
"[Base].[SITUACION].&amp;[" &amp; $C65 &amp; "]"
),0)/1000</f>
        <v>-4.3225164435483894</v>
      </c>
      <c r="AO65" s="8">
        <f>IFERROR(
GETPIVOTDATA(
"[Base].[Importe]",
TDinamica_R!$A$5,
"[Calendario].[AñoMes]",
"[Calendario].[AñoMes].&amp;[" &amp; TEXT(AO$6,"yyyymm") &amp; "]",
"[Base].[Metrica]",
"[Base].[Metrica].&amp;[" &amp; $A65 &amp; "]",
"[Base].[SEGMENTO_DESCRIP]",
"[Base].[SEGMENTO_DESCRIP].&amp;[" &amp; $C$6 &amp; "]",
"[Base].[SITUACION]",
"[Base].[SITUACION].&amp;[" &amp; $C65 &amp; "]"
),0)/1000</f>
        <v>-1.2324655903201929</v>
      </c>
      <c r="AP65" s="8">
        <f>IFERROR(
GETPIVOTDATA(
"[Base].[Importe]",
TDinamica_R!$A$5,
"[Calendario].[AñoMes]",
"[Calendario].[AñoMes].&amp;[" &amp; TEXT(AP$6,"yyyymm") &amp; "]",
"[Base].[Metrica]",
"[Base].[Metrica].&amp;[" &amp; $A65 &amp; "]",
"[Base].[SEGMENTO_DESCRIP]",
"[Base].[SEGMENTO_DESCRIP].&amp;[" &amp; $C$6 &amp; "]",
"[Base].[SITUACION]",
"[Base].[SITUACION].&amp;[" &amp; $C65 &amp; "]"
),0)/1000</f>
        <v>-4.6818762596583898</v>
      </c>
      <c r="AQ65" s="8">
        <f>IFERROR(
GETPIVOTDATA(
"[Base].[Importe]",
TDinamica_R!$A$5,
"[Calendario].[AñoMes]",
"[Calendario].[AñoMes].&amp;[" &amp; TEXT(AQ$6,"yyyymm") &amp; "]",
"[Base].[Metrica]",
"[Base].[Metrica].&amp;[" &amp; $A65 &amp; "]",
"[Base].[SEGMENTO_DESCRIP]",
"[Base].[SEGMENTO_DESCRIP].&amp;[" &amp; $C$6 &amp; "]",
"[Base].[SITUACION]",
"[Base].[SITUACION].&amp;[" &amp; $C65 &amp; "]"
),0)/1000</f>
        <v>-0.79064486098587006</v>
      </c>
      <c r="AR65" s="8">
        <f>IFERROR(
GETPIVOTDATA(
"[Base].[Importe]",
TDinamica_R!$A$5,
"[Calendario].[AñoMes]",
"[Calendario].[AñoMes].&amp;[" &amp; TEXT(AR$6,"yyyymm") &amp; "]",
"[Base].[Metrica]",
"[Base].[Metrica].&amp;[" &amp; $A65 &amp; "]",
"[Base].[SEGMENTO_DESCRIP]",
"[Base].[SEGMENTO_DESCRIP].&amp;[" &amp; $C$6 &amp; "]",
"[Base].[SITUACION]",
"[Base].[SITUACION].&amp;[" &amp; $C65 &amp; "]"
),0)/1000</f>
        <v>-4.5521829810505805</v>
      </c>
      <c r="AS65" s="8">
        <f>IFERROR(
GETPIVOTDATA(
"[Base].[Importe]",
TDinamica_R!$A$5,
"[Calendario].[AñoMes]",
"[Calendario].[AñoMes].&amp;[" &amp; TEXT(AS$6,"yyyymm") &amp; "]",
"[Base].[Metrica]",
"[Base].[Metrica].&amp;[" &amp; $A65 &amp; "]",
"[Base].[SEGMENTO_DESCRIP]",
"[Base].[SEGMENTO_DESCRIP].&amp;[" &amp; $C$6 &amp; "]",
"[Base].[SITUACION]",
"[Base].[SITUACION].&amp;[" &amp; $C65 &amp; "]"
),0)/1000</f>
        <v>-1.130141234603856</v>
      </c>
      <c r="AT65" s="8">
        <f>IFERROR(
GETPIVOTDATA(
"[Base].[Importe]",
TDinamica_R!$A$5,
"[Calendario].[AñoMes]",
"[Calendario].[AñoMes].&amp;[" &amp; TEXT(AT$6,"yyyymm")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U65" s="8">
        <f>IFERROR(
GETPIVOTDATA(
"[Base].[Importe]",
TDinamica_R!$A$5,
"[Calendario].[AñoMes]",
"[Calendario].[AñoMes].&amp;[" &amp; TEXT(AU$6,"yyyymm")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V65" s="8">
        <f>IFERROR(
GETPIVOTDATA(
"[Base].[Importe]",
TDinamica_R!$A$5,
"[Calendario].[AñoMes]",
"[Calendario].[AñoMes].&amp;[" &amp; TEXT(AV$6,"yyyymm")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W65" s="8">
        <f>IFERROR(
GETPIVOTDATA(
"[Base].[Importe]",
TDinamica_R!$A$5,
"[Calendario].[AñoMes]",
"[Calendario].[AñoMes].&amp;[" &amp; TEXT(AW$6,"yyyymm")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X65" s="8">
        <f>IFERROR(
GETPIVOTDATA(
"[Base].[Importe]",
TDinamica_R!$A$5,
"[Calendario].[AñoMes]",
"[Calendario].[AñoMes].&amp;[" &amp; TEXT(AX$6,"yyyymm")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Y65" s="8">
        <f>IFERROR(
GETPIVOTDATA(
"[Base].[Importe]",
TDinamica_R!$A$5,
"[Calendario].[AñoMes]",
"[Calendario].[AñoMes].&amp;[" &amp; TEXT(AY$6,"yyyymm")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Z65" s="8">
        <f>IFERROR(
GETPIVOTDATA(
"[BASE_CONVE_PPTO].[Importe]",
TDinamica_P!$A$5,
"[BASE_CONVE_PPTO].[Periodo]",
"[BASE_CONVE_PPTO].[Periodo].&amp;[" &amp; TEXT(AZ$6,"yyyymm")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-4.6542246886844127</v>
      </c>
      <c r="BA65" s="8">
        <f>IFERROR(
GETPIVOTDATA(
"[BASE_CONVE_PPTO].[Importe]",
TDinamica_P!$A$5,
"[BASE_CONVE_PPTO].[Periodo]",
"[BASE_CONVE_PPTO].[Periodo].&amp;[" &amp; TEXT(BA$6,"yyyymm")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-4.6359748062878205</v>
      </c>
      <c r="BB65" s="8">
        <f>IFERROR(
GETPIVOTDATA(
"[BASE_CONVE_PPTO].[Importe]",
TDinamica_P!$A$5,
"[BASE_CONVE_PPTO].[Periodo]",
"[BASE_CONVE_PPTO].[Periodo].&amp;[" &amp; TEXT(BB$6,"yyyymm")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-4.7615096380894029</v>
      </c>
      <c r="BC65" s="8">
        <f>IFERROR(
GETPIVOTDATA(
"[BASE_CONVE_PPTO].[Importe]",
TDinamica_P!$A$5,
"[BASE_CONVE_PPTO].[Periodo]",
"[BASE_CONVE_PPTO].[Periodo].&amp;[" &amp; TEXT(BC$6,"yyyymm")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-4.7777374582337231</v>
      </c>
      <c r="BD65" s="8">
        <f>IFERROR(
GETPIVOTDATA(
"[BASE_CONVE_PPTO].[Importe]",
TDinamica_P!$A$5,
"[BASE_CONVE_PPTO].[Periodo]",
"[BASE_CONVE_PPTO].[Periodo].&amp;[" &amp; TEXT(BD$6,"yyyymm")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-5.574319768073793</v>
      </c>
      <c r="BE65" s="8">
        <f>IFERROR(
GETPIVOTDATA(
"[BASE_CONVE_PPTO].[Importe]",
TDinamica_P!$A$5,
"[BASE_CONVE_PPTO].[Periodo]",
"[BASE_CONVE_PPTO].[Periodo].&amp;[" &amp; TEXT(BE$6,"yyyymm")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-6.2478094165176321</v>
      </c>
      <c r="BF65" s="8">
        <f>IFERROR(
GETPIVOTDATA(
"[BASE_CONVE_PPTO].[Importe]",
TDinamica_P!$A$5,
"[BASE_CONVE_PPTO].[Periodo]",
"[BASE_CONVE_PPTO].[Periodo].&amp;[" &amp; TEXT(BF$6,"yyyymm")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-6.8905123337027439</v>
      </c>
      <c r="BG65" s="8">
        <f>IFERROR(
GETPIVOTDATA(
"[BASE_CONVE_PPTO].[Importe]",
TDinamica_P!$A$5,
"[BASE_CONVE_PPTO].[Periodo]",
"[BASE_CONVE_PPTO].[Periodo].&amp;[" &amp; TEXT(BG$6,"yyyymm")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-6.9713726246352108</v>
      </c>
      <c r="BH65" s="8">
        <f>IFERROR(
GETPIVOTDATA(
"[BASE_CONVE_PPTO].[Importe]",
TDinamica_P!$A$5,
"[BASE_CONVE_PPTO].[Periodo]",
"[BASE_CONVE_PPTO].[Periodo].&amp;[" &amp; TEXT(BH$6,"yyyymm")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-7.5825099054154146</v>
      </c>
      <c r="BI65" s="8">
        <f>IFERROR(
GETPIVOTDATA(
"[BASE_CONVE_PPTO].[Importe]",
TDinamica_P!$A$5,
"[BASE_CONVE_PPTO].[Periodo]",
"[BASE_CONVE_PPTO].[Periodo].&amp;[" &amp; TEXT(BI$6,"yyyymm")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-7.5896134181848227</v>
      </c>
      <c r="BJ65" s="8">
        <f>IFERROR(
GETPIVOTDATA(
"[BASE_CONVE_PPTO].[Importe]",
TDinamica_P!$A$5,
"[BASE_CONVE_PPTO].[Periodo]",
"[BASE_CONVE_PPTO].[Periodo].&amp;[" &amp; TEXT(BJ$6,"yyyymm")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-8.6916432225016909</v>
      </c>
      <c r="BK65" s="8">
        <f>IFERROR(
GETPIVOTDATA(
"[BASE_CONVE_PPTO].[Importe]",
TDinamica_P!$A$5,
"[BASE_CONVE_PPTO].[Periodo]",
"[BASE_CONVE_PPTO].[Periodo].&amp;[" &amp; TEXT(BK$6,"yyyymm")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-8.6713776675918091</v>
      </c>
      <c r="BO65" s="24">
        <f t="shared" si="198"/>
        <v>-15.579686135563421</v>
      </c>
      <c r="BP65" s="24">
        <f t="shared" si="198"/>
        <v>-24.403766359369151</v>
      </c>
      <c r="BQ65" s="24">
        <f t="shared" si="198"/>
        <v>-11.027503154512841</v>
      </c>
      <c r="BR65" s="24">
        <f t="shared" si="198"/>
        <v>-23.493032670399998</v>
      </c>
      <c r="BS65" s="24">
        <f t="shared" si="198"/>
        <v>-25.526143102999999</v>
      </c>
      <c r="BT65" s="24">
        <f t="shared" si="198"/>
        <v>-15.706786232399999</v>
      </c>
    </row>
    <row r="66" spans="1:72" outlineLevel="1" x14ac:dyDescent="0.25">
      <c r="A66" s="11" t="s">
        <v>71</v>
      </c>
      <c r="C66" s="2"/>
      <c r="D66" s="8">
        <f>IFERROR(
GETPIVOTDATA(
"[Base].[Importe]",
TDinamica_R!$A$5,
"[Calendario].[AñoMes]",
"[Calendario].[AñoMes].&amp;[" &amp; TEXT(D$6,"yyyymm")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E66" s="8">
        <f>IFERROR(
GETPIVOTDATA(
"[Base].[Importe]",
TDinamica_R!$A$5,
"[Calendario].[AñoMes]",
"[Calendario].[AñoMes].&amp;[" &amp; TEXT(E$6,"yyyymm")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F66" s="8">
        <f>IFERROR(
GETPIVOTDATA(
"[Base].[Importe]",
TDinamica_R!$A$5,
"[Calendario].[AñoMes]",
"[Calendario].[AñoMes].&amp;[" &amp; TEXT(F$6,"yyyymm")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G66" s="8">
        <f>IFERROR(
GETPIVOTDATA(
"[Base].[Importe]",
TDinamica_R!$A$5,
"[Calendario].[AñoMes]",
"[Calendario].[AñoMes].&amp;[" &amp; TEXT(G$6,"yyyymm")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H66" s="8">
        <f>IFERROR(
GETPIVOTDATA(
"[Base].[Importe]",
TDinamica_R!$A$5,
"[Calendario].[AñoMes]",
"[Calendario].[AñoMes].&amp;[" &amp; TEXT(H$6,"yyyymm")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I66" s="8">
        <f>IFERROR(
GETPIVOTDATA(
"[Base].[Importe]",
TDinamica_R!$A$5,
"[Calendario].[AñoMes]",
"[Calendario].[AñoMes].&amp;[" &amp; TEXT(I$6,"yyyymm")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J66" s="8">
        <f>IFERROR(
GETPIVOTDATA(
"[Base].[Importe]",
TDinamica_R!$A$5,
"[Calendario].[AñoMes]",
"[Calendario].[AñoMes].&amp;[" &amp; TEXT(J$6,"yyyymm")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K66" s="8">
        <f>IFERROR(
GETPIVOTDATA(
"[Base].[Importe]",
TDinamica_R!$A$5,
"[Calendario].[AñoMes]",
"[Calendario].[AñoMes].&amp;[" &amp; TEXT(K$6,"yyyymm")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L66" s="8">
        <f>IFERROR(
GETPIVOTDATA(
"[Base].[Importe]",
TDinamica_R!$A$5,
"[Calendario].[AñoMes]",
"[Calendario].[AñoMes].&amp;[" &amp; TEXT(L$6,"yyyymm")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M66" s="8">
        <f>IFERROR(
GETPIVOTDATA(
"[Base].[Importe]",
TDinamica_R!$A$5,
"[Calendario].[AñoMes]",
"[Calendario].[AñoMes].&amp;[" &amp; TEXT(M$6,"yyyymm")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N66" s="8">
        <f>IFERROR(
GETPIVOTDATA(
"[Base].[Importe]",
TDinamica_R!$A$5,
"[Calendario].[AñoMes]",
"[Calendario].[AñoMes].&amp;[" &amp; TEXT(N$6,"yyyymm")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O66" s="8">
        <f>IFERROR(
GETPIVOTDATA(
"[Base].[Importe]",
TDinamica_R!$A$5,
"[Calendario].[AñoMes]",
"[Calendario].[AñoMes].&amp;[" &amp; TEXT(O$6,"yyyymm")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P66" s="8">
        <f>IFERROR(
GETPIVOTDATA(
"[Base].[Importe]",
TDinamica_R!$A$5,
"[Calendario].[AñoMes]",
"[Calendario].[AñoMes].&amp;[" &amp; TEXT(P$6,"yyyymm")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Q66" s="8">
        <f>IFERROR(
GETPIVOTDATA(
"[Base].[Importe]",
TDinamica_R!$A$5,
"[Calendario].[AñoMes]",
"[Calendario].[AñoMes].&amp;[" &amp; TEXT(Q$6,"yyyymm")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R66" s="8">
        <f>IFERROR(
GETPIVOTDATA(
"[Base].[Importe]",
TDinamica_R!$A$5,
"[Calendario].[AñoMes]",
"[Calendario].[AñoMes].&amp;[" &amp; TEXT(R$6,"yyyymm")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S66" s="8">
        <f>IFERROR(
GETPIVOTDATA(
"[Base].[Importe]",
TDinamica_R!$A$5,
"[Calendario].[AñoMes]",
"[Calendario].[AñoMes].&amp;[" &amp; TEXT(S$6,"yyyymm")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T66" s="8">
        <f>IFERROR(
GETPIVOTDATA(
"[Base].[Importe]",
TDinamica_R!$A$5,
"[Calendario].[AñoMes]",
"[Calendario].[AñoMes].&amp;[" &amp; TEXT(T$6,"yyyymm")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U66" s="8">
        <f>IFERROR(
GETPIVOTDATA(
"[Base].[Importe]",
TDinamica_R!$A$5,
"[Calendario].[AñoMes]",
"[Calendario].[AñoMes].&amp;[" &amp; TEXT(U$6,"yyyymm")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V66" s="8">
        <f>IFERROR(
GETPIVOTDATA(
"[Base].[Importe]",
TDinamica_R!$A$5,
"[Calendario].[AñoMes]",
"[Calendario].[AñoMes].&amp;[" &amp; TEXT(V$6,"yyyymm")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W66" s="8">
        <f>IFERROR(
GETPIVOTDATA(
"[Base].[Importe]",
TDinamica_R!$A$5,
"[Calendario].[AñoMes]",
"[Calendario].[AñoMes].&amp;[" &amp; TEXT(W$6,"yyyymm")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X66" s="8">
        <f>IFERROR(
GETPIVOTDATA(
"[Base].[Importe]",
TDinamica_R!$A$5,
"[Calendario].[AñoMes]",
"[Calendario].[AñoMes].&amp;[" &amp; TEXT(X$6,"yyyymm")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Y66" s="8">
        <f>IFERROR(
GETPIVOTDATA(
"[Base].[Importe]",
TDinamica_R!$A$5,
"[Calendario].[AñoMes]",
"[Calendario].[AñoMes].&amp;[" &amp; TEXT(Y$6,"yyyymm")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Z66" s="8">
        <f>IFERROR(
GETPIVOTDATA(
"[Base].[Importe]",
TDinamica_R!$A$5,
"[Calendario].[AñoMes]",
"[Calendario].[AñoMes].&amp;[" &amp; TEXT(Z$6,"yyyymm")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A66" s="8">
        <f>IFERROR(
GETPIVOTDATA(
"[Base].[Importe]",
TDinamica_R!$A$5,
"[Calendario].[AñoMes]",
"[Calendario].[AñoMes].&amp;[" &amp; TEXT(AA$6,"yyyymm")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B66" s="8">
        <f>IFERROR(
GETPIVOTDATA(
"[Base].[Importe]",
TDinamica_R!$A$5,
"[Calendario].[AñoMes]",
"[Calendario].[AñoMes].&amp;[" &amp; TEXT(AB$6,"yyyymm")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C66" s="8">
        <f>IFERROR(
GETPIVOTDATA(
"[Base].[Importe]",
TDinamica_R!$A$5,
"[Calendario].[AñoMes]",
"[Calendario].[AñoMes].&amp;[" &amp; TEXT(AC$6,"yyyymm")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D66" s="8">
        <f>IFERROR(
GETPIVOTDATA(
"[Base].[Importe]",
TDinamica_R!$A$5,
"[Calendario].[AñoMes]",
"[Calendario].[AñoMes].&amp;[" &amp; TEXT(AD$6,"yyyymm")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E66" s="8">
        <f>IFERROR(
GETPIVOTDATA(
"[Base].[Importe]",
TDinamica_R!$A$5,
"[Calendario].[AñoMes]",
"[Calendario].[AñoMes].&amp;[" &amp; TEXT(AE$6,"yyyymm")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F66" s="8">
        <f>IFERROR(
GETPIVOTDATA(
"[Base].[Importe]",
TDinamica_R!$A$5,
"[Calendario].[AñoMes]",
"[Calendario].[AñoMes].&amp;[" &amp; TEXT(AF$6,"yyyymm")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G66" s="8">
        <f>IFERROR(
GETPIVOTDATA(
"[Base].[Importe]",
TDinamica_R!$A$5,
"[Calendario].[AñoMes]",
"[Calendario].[AñoMes].&amp;[" &amp; TEXT(AG$6,"yyyymm")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H66" s="8">
        <f>IFERROR(
GETPIVOTDATA(
"[Base].[Importe]",
TDinamica_R!$A$5,
"[Calendario].[AñoMes]",
"[Calendario].[AñoMes].&amp;[" &amp; TEXT(AH$6,"yyyymm")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I66" s="8">
        <f>IFERROR(
GETPIVOTDATA(
"[Base].[Importe]",
TDinamica_R!$A$5,
"[Calendario].[AñoMes]",
"[Calendario].[AñoMes].&amp;[" &amp; TEXT(AI$6,"yyyymm")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J66" s="8">
        <f>IFERROR(
GETPIVOTDATA(
"[Base].[Importe]",
TDinamica_R!$A$5,
"[Calendario].[AñoMes]",
"[Calendario].[AñoMes].&amp;[" &amp; TEXT(AJ$6,"yyyymm")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K66" s="8">
        <f>IFERROR(
GETPIVOTDATA(
"[Base].[Importe]",
TDinamica_R!$A$5,
"[Calendario].[AñoMes]",
"[Calendario].[AñoMes].&amp;[" &amp; TEXT(AK$6,"yyyymm")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L66" s="8">
        <f>IFERROR(
GETPIVOTDATA(
"[Base].[Importe]",
TDinamica_R!$A$5,
"[Calendario].[AñoMes]",
"[Calendario].[AñoMes].&amp;[" &amp; TEXT(AL$6,"yyyymm")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M66" s="8">
        <f>IFERROR(
GETPIVOTDATA(
"[Base].[Importe]",
TDinamica_R!$A$5,
"[Calendario].[AñoMes]",
"[Calendario].[AñoMes].&amp;[" &amp; TEXT(AM$6,"yyyymm")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N66" s="8">
        <f>IFERROR(
GETPIVOTDATA(
"[Base].[Importe]",
TDinamica_R!$A$5,
"[Calendario].[AñoMes]",
"[Calendario].[AñoMes].&amp;[" &amp; TEXT(AN$6,"yyyymm")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O66" s="8">
        <f>IFERROR(
GETPIVOTDATA(
"[Base].[Importe]",
TDinamica_R!$A$5,
"[Calendario].[AñoMes]",
"[Calendario].[AñoMes].&amp;[" &amp; TEXT(AO$6,"yyyymm")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P66" s="8">
        <f>IFERROR(
GETPIVOTDATA(
"[Base].[Importe]",
TDinamica_R!$A$5,
"[Calendario].[AñoMes]",
"[Calendario].[AñoMes].&amp;[" &amp; TEXT(AP$6,"yyyymm")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Q66" s="8">
        <f>IFERROR(
GETPIVOTDATA(
"[Base].[Importe]",
TDinamica_R!$A$5,
"[Calendario].[AñoMes]",
"[Calendario].[AñoMes].&amp;[" &amp; TEXT(AQ$6,"yyyymm")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R66" s="8">
        <f>IFERROR(
GETPIVOTDATA(
"[Base].[Importe]",
TDinamica_R!$A$5,
"[Calendario].[AñoMes]",
"[Calendario].[AñoMes].&amp;[" &amp; TEXT(AR$6,"yyyymm")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S66" s="8">
        <f>IFERROR(
GETPIVOTDATA(
"[Base].[Importe]",
TDinamica_R!$A$5,
"[Calendario].[AñoMes]",
"[Calendario].[AñoMes].&amp;[" &amp; TEXT(AS$6,"yyyymm")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T66" s="8">
        <f>IFERROR(
GETPIVOTDATA(
"[Base].[Importe]",
TDinamica_R!$A$5,
"[Calendario].[AñoMes]",
"[Calendario].[AñoMes].&amp;[" &amp; TEXT(AT$6,"yyyymm")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U66" s="8">
        <f>IFERROR(
GETPIVOTDATA(
"[Base].[Importe]",
TDinamica_R!$A$5,
"[Calendario].[AñoMes]",
"[Calendario].[AñoMes].&amp;[" &amp; TEXT(AU$6,"yyyymm")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V66" s="8">
        <f>IFERROR(
GETPIVOTDATA(
"[Base].[Importe]",
TDinamica_R!$A$5,
"[Calendario].[AñoMes]",
"[Calendario].[AñoMes].&amp;[" &amp; TEXT(AV$6,"yyyymm")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W66" s="8">
        <f>IFERROR(
GETPIVOTDATA(
"[Base].[Importe]",
TDinamica_R!$A$5,
"[Calendario].[AñoMes]",
"[Calendario].[AñoMes].&amp;[" &amp; TEXT(AW$6,"yyyymm")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X66" s="8">
        <f>IFERROR(
GETPIVOTDATA(
"[Base].[Importe]",
TDinamica_R!$A$5,
"[Calendario].[AñoMes]",
"[Calendario].[AñoMes].&amp;[" &amp; TEXT(AX$6,"yyyymm")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Y66" s="8">
        <f>IFERROR(
GETPIVOTDATA(
"[Base].[Importe]",
TDinamica_R!$A$5,
"[Calendario].[AñoMes]",
"[Calendario].[AñoMes].&amp;[" &amp; TEXT(AY$6,"yyyymm")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Z66" s="8">
        <f>IFERROR(
GETPIVOTDATA(
"[BASE_CONVE_PPTO].[Importe]",
TDinamica_P!$A$5,
"[BASE_CONVE_PPTO].[Periodo]",
"[BASE_CONVE_PPTO].[Periodo].&amp;[" &amp; TEXT(AZ$6,"yyyymm")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A66" s="8">
        <f>IFERROR(
GETPIVOTDATA(
"[BASE_CONVE_PPTO].[Importe]",
TDinamica_P!$A$5,
"[BASE_CONVE_PPTO].[Periodo]",
"[BASE_CONVE_PPTO].[Periodo].&amp;[" &amp; TEXT(BA$6,"yyyymm")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B66" s="8">
        <f>IFERROR(
GETPIVOTDATA(
"[BASE_CONVE_PPTO].[Importe]",
TDinamica_P!$A$5,
"[BASE_CONVE_PPTO].[Periodo]",
"[BASE_CONVE_PPTO].[Periodo].&amp;[" &amp; TEXT(BB$6,"yyyymm")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C66" s="8">
        <f>IFERROR(
GETPIVOTDATA(
"[BASE_CONVE_PPTO].[Importe]",
TDinamica_P!$A$5,
"[BASE_CONVE_PPTO].[Periodo]",
"[BASE_CONVE_PPTO].[Periodo].&amp;[" &amp; TEXT(BC$6,"yyyymm")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D66" s="8">
        <f>IFERROR(
GETPIVOTDATA(
"[BASE_CONVE_PPTO].[Importe]",
TDinamica_P!$A$5,
"[BASE_CONVE_PPTO].[Periodo]",
"[BASE_CONVE_PPTO].[Periodo].&amp;[" &amp; TEXT(BD$6,"yyyymm")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E66" s="8">
        <f>IFERROR(
GETPIVOTDATA(
"[BASE_CONVE_PPTO].[Importe]",
TDinamica_P!$A$5,
"[BASE_CONVE_PPTO].[Periodo]",
"[BASE_CONVE_PPTO].[Periodo].&amp;[" &amp; TEXT(BE$6,"yyyymm")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F66" s="8">
        <f>IFERROR(
GETPIVOTDATA(
"[BASE_CONVE_PPTO].[Importe]",
TDinamica_P!$A$5,
"[BASE_CONVE_PPTO].[Periodo]",
"[BASE_CONVE_PPTO].[Periodo].&amp;[" &amp; TEXT(BF$6,"yyyymm")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G66" s="8">
        <f>IFERROR(
GETPIVOTDATA(
"[BASE_CONVE_PPTO].[Importe]",
TDinamica_P!$A$5,
"[BASE_CONVE_PPTO].[Periodo]",
"[BASE_CONVE_PPTO].[Periodo].&amp;[" &amp; TEXT(BG$6,"yyyymm")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H66" s="8">
        <f>IFERROR(
GETPIVOTDATA(
"[BASE_CONVE_PPTO].[Importe]",
TDinamica_P!$A$5,
"[BASE_CONVE_PPTO].[Periodo]",
"[BASE_CONVE_PPTO].[Periodo].&amp;[" &amp; TEXT(BH$6,"yyyymm")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I66" s="8">
        <f>IFERROR(
GETPIVOTDATA(
"[BASE_CONVE_PPTO].[Importe]",
TDinamica_P!$A$5,
"[BASE_CONVE_PPTO].[Periodo]",
"[BASE_CONVE_PPTO].[Periodo].&amp;[" &amp; TEXT(BI$6,"yyyymm")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J66" s="8">
        <f>IFERROR(
GETPIVOTDATA(
"[BASE_CONVE_PPTO].[Importe]",
TDinamica_P!$A$5,
"[BASE_CONVE_PPTO].[Periodo]",
"[BASE_CONVE_PPTO].[Periodo].&amp;[" &amp; TEXT(BJ$6,"yyyymm")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K66" s="8">
        <f>IFERROR(
GETPIVOTDATA(
"[BASE_CONVE_PPTO].[Importe]",
TDinamica_P!$A$5,
"[BASE_CONVE_PPTO].[Periodo]",
"[BASE_CONVE_PPTO].[Periodo].&amp;[" &amp; TEXT(BK$6,"yyyymm")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O66" s="24">
        <f t="shared" si="198"/>
        <v>0</v>
      </c>
      <c r="BP66" s="24">
        <f t="shared" si="198"/>
        <v>0</v>
      </c>
      <c r="BQ66" s="24">
        <f t="shared" si="198"/>
        <v>0</v>
      </c>
      <c r="BR66" s="24">
        <f t="shared" si="198"/>
        <v>0</v>
      </c>
      <c r="BS66" s="24">
        <f t="shared" si="198"/>
        <v>0</v>
      </c>
      <c r="BT66" s="24">
        <f t="shared" si="198"/>
        <v>0</v>
      </c>
    </row>
    <row r="67" spans="1:72" outlineLevel="1" x14ac:dyDescent="0.25">
      <c r="A67" s="11" t="s">
        <v>71</v>
      </c>
      <c r="C67" s="2"/>
      <c r="D67" s="8">
        <f>IFERROR(
GETPIVOTDATA(
"[Base].[Importe]",
TDinamica_R!$A$5,
"[Calendario].[AñoMes]",
"[Calendario].[AñoMes].&amp;[" &amp; TEXT(D$6,"yyyymm")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E67" s="8">
        <f>IFERROR(
GETPIVOTDATA(
"[Base].[Importe]",
TDinamica_R!$A$5,
"[Calendario].[AñoMes]",
"[Calendario].[AñoMes].&amp;[" &amp; TEXT(E$6,"yyyymm")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F67" s="8">
        <f>IFERROR(
GETPIVOTDATA(
"[Base].[Importe]",
TDinamica_R!$A$5,
"[Calendario].[AñoMes]",
"[Calendario].[AñoMes].&amp;[" &amp; TEXT(F$6,"yyyymm")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G67" s="8">
        <f>IFERROR(
GETPIVOTDATA(
"[Base].[Importe]",
TDinamica_R!$A$5,
"[Calendario].[AñoMes]",
"[Calendario].[AñoMes].&amp;[" &amp; TEXT(G$6,"yyyymm")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H67" s="8">
        <f>IFERROR(
GETPIVOTDATA(
"[Base].[Importe]",
TDinamica_R!$A$5,
"[Calendario].[AñoMes]",
"[Calendario].[AñoMes].&amp;[" &amp; TEXT(H$6,"yyyymm")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I67" s="8">
        <f>IFERROR(
GETPIVOTDATA(
"[Base].[Importe]",
TDinamica_R!$A$5,
"[Calendario].[AñoMes]",
"[Calendario].[AñoMes].&amp;[" &amp; TEXT(I$6,"yyyymm")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J67" s="8">
        <f>IFERROR(
GETPIVOTDATA(
"[Base].[Importe]",
TDinamica_R!$A$5,
"[Calendario].[AñoMes]",
"[Calendario].[AñoMes].&amp;[" &amp; TEXT(J$6,"yyyymm")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K67" s="8">
        <f>IFERROR(
GETPIVOTDATA(
"[Base].[Importe]",
TDinamica_R!$A$5,
"[Calendario].[AñoMes]",
"[Calendario].[AñoMes].&amp;[" &amp; TEXT(K$6,"yyyymm")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L67" s="8">
        <f>IFERROR(
GETPIVOTDATA(
"[Base].[Importe]",
TDinamica_R!$A$5,
"[Calendario].[AñoMes]",
"[Calendario].[AñoMes].&amp;[" &amp; TEXT(L$6,"yyyymm")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M67" s="8">
        <f>IFERROR(
GETPIVOTDATA(
"[Base].[Importe]",
TDinamica_R!$A$5,
"[Calendario].[AñoMes]",
"[Calendario].[AñoMes].&amp;[" &amp; TEXT(M$6,"yyyymm")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N67" s="8">
        <f>IFERROR(
GETPIVOTDATA(
"[Base].[Importe]",
TDinamica_R!$A$5,
"[Calendario].[AñoMes]",
"[Calendario].[AñoMes].&amp;[" &amp; TEXT(N$6,"yyyymm")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O67" s="8">
        <f>IFERROR(
GETPIVOTDATA(
"[Base].[Importe]",
TDinamica_R!$A$5,
"[Calendario].[AñoMes]",
"[Calendario].[AñoMes].&amp;[" &amp; TEXT(O$6,"yyyymm")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P67" s="8">
        <f>IFERROR(
GETPIVOTDATA(
"[Base].[Importe]",
TDinamica_R!$A$5,
"[Calendario].[AñoMes]",
"[Calendario].[AñoMes].&amp;[" &amp; TEXT(P$6,"yyyymm")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Q67" s="8">
        <f>IFERROR(
GETPIVOTDATA(
"[Base].[Importe]",
TDinamica_R!$A$5,
"[Calendario].[AñoMes]",
"[Calendario].[AñoMes].&amp;[" &amp; TEXT(Q$6,"yyyymm")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R67" s="8">
        <f>IFERROR(
GETPIVOTDATA(
"[Base].[Importe]",
TDinamica_R!$A$5,
"[Calendario].[AñoMes]",
"[Calendario].[AñoMes].&amp;[" &amp; TEXT(R$6,"yyyymm")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S67" s="8">
        <f>IFERROR(
GETPIVOTDATA(
"[Base].[Importe]",
TDinamica_R!$A$5,
"[Calendario].[AñoMes]",
"[Calendario].[AñoMes].&amp;[" &amp; TEXT(S$6,"yyyymm")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T67" s="8">
        <f>IFERROR(
GETPIVOTDATA(
"[Base].[Importe]",
TDinamica_R!$A$5,
"[Calendario].[AñoMes]",
"[Calendario].[AñoMes].&amp;[" &amp; TEXT(T$6,"yyyymm")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U67" s="8">
        <f>IFERROR(
GETPIVOTDATA(
"[Base].[Importe]",
TDinamica_R!$A$5,
"[Calendario].[AñoMes]",
"[Calendario].[AñoMes].&amp;[" &amp; TEXT(U$6,"yyyymm")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V67" s="8">
        <f>IFERROR(
GETPIVOTDATA(
"[Base].[Importe]",
TDinamica_R!$A$5,
"[Calendario].[AñoMes]",
"[Calendario].[AñoMes].&amp;[" &amp; TEXT(V$6,"yyyymm")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W67" s="8">
        <f>IFERROR(
GETPIVOTDATA(
"[Base].[Importe]",
TDinamica_R!$A$5,
"[Calendario].[AñoMes]",
"[Calendario].[AñoMes].&amp;[" &amp; TEXT(W$6,"yyyymm")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X67" s="8">
        <f>IFERROR(
GETPIVOTDATA(
"[Base].[Importe]",
TDinamica_R!$A$5,
"[Calendario].[AñoMes]",
"[Calendario].[AñoMes].&amp;[" &amp; TEXT(X$6,"yyyymm")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Y67" s="8">
        <f>IFERROR(
GETPIVOTDATA(
"[Base].[Importe]",
TDinamica_R!$A$5,
"[Calendario].[AñoMes]",
"[Calendario].[AñoMes].&amp;[" &amp; TEXT(Y$6,"yyyymm")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Z67" s="8">
        <f>IFERROR(
GETPIVOTDATA(
"[Base].[Importe]",
TDinamica_R!$A$5,
"[Calendario].[AñoMes]",
"[Calendario].[AñoMes].&amp;[" &amp; TEXT(Z$6,"yyyymm")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A67" s="8">
        <f>IFERROR(
GETPIVOTDATA(
"[Base].[Importe]",
TDinamica_R!$A$5,
"[Calendario].[AñoMes]",
"[Calendario].[AñoMes].&amp;[" &amp; TEXT(AA$6,"yyyymm")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B67" s="8">
        <f>IFERROR(
GETPIVOTDATA(
"[Base].[Importe]",
TDinamica_R!$A$5,
"[Calendario].[AñoMes]",
"[Calendario].[AñoMes].&amp;[" &amp; TEXT(AB$6,"yyyymm")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C67" s="8">
        <f>IFERROR(
GETPIVOTDATA(
"[Base].[Importe]",
TDinamica_R!$A$5,
"[Calendario].[AñoMes]",
"[Calendario].[AñoMes].&amp;[" &amp; TEXT(AC$6,"yyyymm")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D67" s="8">
        <f>IFERROR(
GETPIVOTDATA(
"[Base].[Importe]",
TDinamica_R!$A$5,
"[Calendario].[AñoMes]",
"[Calendario].[AñoMes].&amp;[" &amp; TEXT(AD$6,"yyyymm")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E67" s="8">
        <f>IFERROR(
GETPIVOTDATA(
"[Base].[Importe]",
TDinamica_R!$A$5,
"[Calendario].[AñoMes]",
"[Calendario].[AñoMes].&amp;[" &amp; TEXT(AE$6,"yyyymm")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F67" s="8">
        <f>IFERROR(
GETPIVOTDATA(
"[Base].[Importe]",
TDinamica_R!$A$5,
"[Calendario].[AñoMes]",
"[Calendario].[AñoMes].&amp;[" &amp; TEXT(AF$6,"yyyymm")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G67" s="8">
        <f>IFERROR(
GETPIVOTDATA(
"[Base].[Importe]",
TDinamica_R!$A$5,
"[Calendario].[AñoMes]",
"[Calendario].[AñoMes].&amp;[" &amp; TEXT(AG$6,"yyyymm")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H67" s="8">
        <f>IFERROR(
GETPIVOTDATA(
"[Base].[Importe]",
TDinamica_R!$A$5,
"[Calendario].[AñoMes]",
"[Calendario].[AñoMes].&amp;[" &amp; TEXT(AH$6,"yyyymm")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I67" s="8">
        <f>IFERROR(
GETPIVOTDATA(
"[Base].[Importe]",
TDinamica_R!$A$5,
"[Calendario].[AñoMes]",
"[Calendario].[AñoMes].&amp;[" &amp; TEXT(AI$6,"yyyymm")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J67" s="8">
        <f>IFERROR(
GETPIVOTDATA(
"[Base].[Importe]",
TDinamica_R!$A$5,
"[Calendario].[AñoMes]",
"[Calendario].[AñoMes].&amp;[" &amp; TEXT(AJ$6,"yyyymm")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K67" s="8">
        <f>IFERROR(
GETPIVOTDATA(
"[Base].[Importe]",
TDinamica_R!$A$5,
"[Calendario].[AñoMes]",
"[Calendario].[AñoMes].&amp;[" &amp; TEXT(AK$6,"yyyymm")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L67" s="8">
        <f>IFERROR(
GETPIVOTDATA(
"[Base].[Importe]",
TDinamica_R!$A$5,
"[Calendario].[AñoMes]",
"[Calendario].[AñoMes].&amp;[" &amp; TEXT(AL$6,"yyyymm")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M67" s="8">
        <f>IFERROR(
GETPIVOTDATA(
"[Base].[Importe]",
TDinamica_R!$A$5,
"[Calendario].[AñoMes]",
"[Calendario].[AñoMes].&amp;[" &amp; TEXT(AM$6,"yyyymm")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N67" s="8">
        <f>IFERROR(
GETPIVOTDATA(
"[Base].[Importe]",
TDinamica_R!$A$5,
"[Calendario].[AñoMes]",
"[Calendario].[AñoMes].&amp;[" &amp; TEXT(AN$6,"yyyymm")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O67" s="8">
        <f>IFERROR(
GETPIVOTDATA(
"[Base].[Importe]",
TDinamica_R!$A$5,
"[Calendario].[AñoMes]",
"[Calendario].[AñoMes].&amp;[" &amp; TEXT(AO$6,"yyyymm")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P67" s="8">
        <f>IFERROR(
GETPIVOTDATA(
"[Base].[Importe]",
TDinamica_R!$A$5,
"[Calendario].[AñoMes]",
"[Calendario].[AñoMes].&amp;[" &amp; TEXT(AP$6,"yyyymm")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Q67" s="8">
        <f>IFERROR(
GETPIVOTDATA(
"[Base].[Importe]",
TDinamica_R!$A$5,
"[Calendario].[AñoMes]",
"[Calendario].[AñoMes].&amp;[" &amp; TEXT(AQ$6,"yyyymm")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R67" s="8">
        <f>IFERROR(
GETPIVOTDATA(
"[Base].[Importe]",
TDinamica_R!$A$5,
"[Calendario].[AñoMes]",
"[Calendario].[AñoMes].&amp;[" &amp; TEXT(AR$6,"yyyymm")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S67" s="8">
        <f>IFERROR(
GETPIVOTDATA(
"[Base].[Importe]",
TDinamica_R!$A$5,
"[Calendario].[AñoMes]",
"[Calendario].[AñoMes].&amp;[" &amp; TEXT(AS$6,"yyyymm")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T67" s="8">
        <f>IFERROR(
GETPIVOTDATA(
"[Base].[Importe]",
TDinamica_R!$A$5,
"[Calendario].[AñoMes]",
"[Calendario].[AñoMes].&amp;[" &amp; TEXT(AT$6,"yyyymm")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U67" s="8">
        <f>IFERROR(
GETPIVOTDATA(
"[Base].[Importe]",
TDinamica_R!$A$5,
"[Calendario].[AñoMes]",
"[Calendario].[AñoMes].&amp;[" &amp; TEXT(AU$6,"yyyymm")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V67" s="8">
        <f>IFERROR(
GETPIVOTDATA(
"[Base].[Importe]",
TDinamica_R!$A$5,
"[Calendario].[AñoMes]",
"[Calendario].[AñoMes].&amp;[" &amp; TEXT(AV$6,"yyyymm")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W67" s="8">
        <f>IFERROR(
GETPIVOTDATA(
"[Base].[Importe]",
TDinamica_R!$A$5,
"[Calendario].[AñoMes]",
"[Calendario].[AñoMes].&amp;[" &amp; TEXT(AW$6,"yyyymm")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X67" s="8">
        <f>IFERROR(
GETPIVOTDATA(
"[Base].[Importe]",
TDinamica_R!$A$5,
"[Calendario].[AñoMes]",
"[Calendario].[AñoMes].&amp;[" &amp; TEXT(AX$6,"yyyymm")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Y67" s="8">
        <f>IFERROR(
GETPIVOTDATA(
"[Base].[Importe]",
TDinamica_R!$A$5,
"[Calendario].[AñoMes]",
"[Calendario].[AñoMes].&amp;[" &amp; TEXT(AY$6,"yyyymm")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Z67" s="8">
        <f>IFERROR(
GETPIVOTDATA(
"[BASE_CONVE_PPTO].[Importe]",
TDinamica_P!$A$5,
"[BASE_CONVE_PPTO].[Periodo]",
"[BASE_CONVE_PPTO].[Periodo].&amp;[" &amp; TEXT(AZ$6,"yyyymm")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A67" s="8">
        <f>IFERROR(
GETPIVOTDATA(
"[BASE_CONVE_PPTO].[Importe]",
TDinamica_P!$A$5,
"[BASE_CONVE_PPTO].[Periodo]",
"[BASE_CONVE_PPTO].[Periodo].&amp;[" &amp; TEXT(BA$6,"yyyymm")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B67" s="8">
        <f>IFERROR(
GETPIVOTDATA(
"[BASE_CONVE_PPTO].[Importe]",
TDinamica_P!$A$5,
"[BASE_CONVE_PPTO].[Periodo]",
"[BASE_CONVE_PPTO].[Periodo].&amp;[" &amp; TEXT(BB$6,"yyyymm")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C67" s="8">
        <f>IFERROR(
GETPIVOTDATA(
"[BASE_CONVE_PPTO].[Importe]",
TDinamica_P!$A$5,
"[BASE_CONVE_PPTO].[Periodo]",
"[BASE_CONVE_PPTO].[Periodo].&amp;[" &amp; TEXT(BC$6,"yyyymm")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D67" s="8">
        <f>IFERROR(
GETPIVOTDATA(
"[BASE_CONVE_PPTO].[Importe]",
TDinamica_P!$A$5,
"[BASE_CONVE_PPTO].[Periodo]",
"[BASE_CONVE_PPTO].[Periodo].&amp;[" &amp; TEXT(BD$6,"yyyymm")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E67" s="8">
        <f>IFERROR(
GETPIVOTDATA(
"[BASE_CONVE_PPTO].[Importe]",
TDinamica_P!$A$5,
"[BASE_CONVE_PPTO].[Periodo]",
"[BASE_CONVE_PPTO].[Periodo].&amp;[" &amp; TEXT(BE$6,"yyyymm")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F67" s="8">
        <f>IFERROR(
GETPIVOTDATA(
"[BASE_CONVE_PPTO].[Importe]",
TDinamica_P!$A$5,
"[BASE_CONVE_PPTO].[Periodo]",
"[BASE_CONVE_PPTO].[Periodo].&amp;[" &amp; TEXT(BF$6,"yyyymm")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G67" s="8">
        <f>IFERROR(
GETPIVOTDATA(
"[BASE_CONVE_PPTO].[Importe]",
TDinamica_P!$A$5,
"[BASE_CONVE_PPTO].[Periodo]",
"[BASE_CONVE_PPTO].[Periodo].&amp;[" &amp; TEXT(BG$6,"yyyymm")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H67" s="8">
        <f>IFERROR(
GETPIVOTDATA(
"[BASE_CONVE_PPTO].[Importe]",
TDinamica_P!$A$5,
"[BASE_CONVE_PPTO].[Periodo]",
"[BASE_CONVE_PPTO].[Periodo].&amp;[" &amp; TEXT(BH$6,"yyyymm")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I67" s="8">
        <f>IFERROR(
GETPIVOTDATA(
"[BASE_CONVE_PPTO].[Importe]",
TDinamica_P!$A$5,
"[BASE_CONVE_PPTO].[Periodo]",
"[BASE_CONVE_PPTO].[Periodo].&amp;[" &amp; TEXT(BI$6,"yyyymm")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J67" s="8">
        <f>IFERROR(
GETPIVOTDATA(
"[BASE_CONVE_PPTO].[Importe]",
TDinamica_P!$A$5,
"[BASE_CONVE_PPTO].[Periodo]",
"[BASE_CONVE_PPTO].[Periodo].&amp;[" &amp; TEXT(BJ$6,"yyyymm")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K67" s="8">
        <f>IFERROR(
GETPIVOTDATA(
"[BASE_CONVE_PPTO].[Importe]",
TDinamica_P!$A$5,
"[BASE_CONVE_PPTO].[Periodo]",
"[BASE_CONVE_PPTO].[Periodo].&amp;[" &amp; TEXT(BK$6,"yyyymm")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O67" s="24">
        <f t="shared" si="198"/>
        <v>0</v>
      </c>
      <c r="BP67" s="24">
        <f t="shared" si="198"/>
        <v>0</v>
      </c>
      <c r="BQ67" s="24">
        <f t="shared" si="198"/>
        <v>0</v>
      </c>
      <c r="BR67" s="24">
        <f t="shared" si="198"/>
        <v>0</v>
      </c>
      <c r="BS67" s="24">
        <f t="shared" si="198"/>
        <v>0</v>
      </c>
      <c r="BT67" s="24">
        <f t="shared" si="198"/>
        <v>0</v>
      </c>
    </row>
    <row r="68" spans="1:72" outlineLevel="1" x14ac:dyDescent="0.25">
      <c r="A68" s="11" t="s">
        <v>71</v>
      </c>
      <c r="C68" s="2"/>
      <c r="D68" s="8">
        <f>IFERROR(
GETPIVOTDATA(
"[Base].[Importe]",
TDinamica_R!$A$5,
"[Calendario].[AñoMes]",
"[Calendario].[AñoMes].&amp;[" &amp; TEXT(D$6,"yyyymm")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E68" s="8">
        <f>IFERROR(
GETPIVOTDATA(
"[Base].[Importe]",
TDinamica_R!$A$5,
"[Calendario].[AñoMes]",
"[Calendario].[AñoMes].&amp;[" &amp; TEXT(E$6,"yyyymm")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F68" s="8">
        <f>IFERROR(
GETPIVOTDATA(
"[Base].[Importe]",
TDinamica_R!$A$5,
"[Calendario].[AñoMes]",
"[Calendario].[AñoMes].&amp;[" &amp; TEXT(F$6,"yyyymm")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G68" s="8">
        <f>IFERROR(
GETPIVOTDATA(
"[Base].[Importe]",
TDinamica_R!$A$5,
"[Calendario].[AñoMes]",
"[Calendario].[AñoMes].&amp;[" &amp; TEXT(G$6,"yyyymm")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H68" s="8">
        <f>IFERROR(
GETPIVOTDATA(
"[Base].[Importe]",
TDinamica_R!$A$5,
"[Calendario].[AñoMes]",
"[Calendario].[AñoMes].&amp;[" &amp; TEXT(H$6,"yyyymm")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I68" s="8">
        <f>IFERROR(
GETPIVOTDATA(
"[Base].[Importe]",
TDinamica_R!$A$5,
"[Calendario].[AñoMes]",
"[Calendario].[AñoMes].&amp;[" &amp; TEXT(I$6,"yyyymm")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J68" s="8">
        <f>IFERROR(
GETPIVOTDATA(
"[Base].[Importe]",
TDinamica_R!$A$5,
"[Calendario].[AñoMes]",
"[Calendario].[AñoMes].&amp;[" &amp; TEXT(J$6,"yyyymm")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K68" s="8">
        <f>IFERROR(
GETPIVOTDATA(
"[Base].[Importe]",
TDinamica_R!$A$5,
"[Calendario].[AñoMes]",
"[Calendario].[AñoMes].&amp;[" &amp; TEXT(K$6,"yyyymm")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L68" s="8">
        <f>IFERROR(
GETPIVOTDATA(
"[Base].[Importe]",
TDinamica_R!$A$5,
"[Calendario].[AñoMes]",
"[Calendario].[AñoMes].&amp;[" &amp; TEXT(L$6,"yyyymm")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M68" s="8">
        <f>IFERROR(
GETPIVOTDATA(
"[Base].[Importe]",
TDinamica_R!$A$5,
"[Calendario].[AñoMes]",
"[Calendario].[AñoMes].&amp;[" &amp; TEXT(M$6,"yyyymm")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N68" s="8">
        <f>IFERROR(
GETPIVOTDATA(
"[Base].[Importe]",
TDinamica_R!$A$5,
"[Calendario].[AñoMes]",
"[Calendario].[AñoMes].&amp;[" &amp; TEXT(N$6,"yyyymm")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O68" s="8">
        <f>IFERROR(
GETPIVOTDATA(
"[Base].[Importe]",
TDinamica_R!$A$5,
"[Calendario].[AñoMes]",
"[Calendario].[AñoMes].&amp;[" &amp; TEXT(O$6,"yyyymm")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P68" s="8">
        <f>IFERROR(
GETPIVOTDATA(
"[Base].[Importe]",
TDinamica_R!$A$5,
"[Calendario].[AñoMes]",
"[Calendario].[AñoMes].&amp;[" &amp; TEXT(P$6,"yyyymm")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Q68" s="8">
        <f>IFERROR(
GETPIVOTDATA(
"[Base].[Importe]",
TDinamica_R!$A$5,
"[Calendario].[AñoMes]",
"[Calendario].[AñoMes].&amp;[" &amp; TEXT(Q$6,"yyyymm")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R68" s="8">
        <f>IFERROR(
GETPIVOTDATA(
"[Base].[Importe]",
TDinamica_R!$A$5,
"[Calendario].[AñoMes]",
"[Calendario].[AñoMes].&amp;[" &amp; TEXT(R$6,"yyyymm")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S68" s="8">
        <f>IFERROR(
GETPIVOTDATA(
"[Base].[Importe]",
TDinamica_R!$A$5,
"[Calendario].[AñoMes]",
"[Calendario].[AñoMes].&amp;[" &amp; TEXT(S$6,"yyyymm")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T68" s="8">
        <f>IFERROR(
GETPIVOTDATA(
"[Base].[Importe]",
TDinamica_R!$A$5,
"[Calendario].[AñoMes]",
"[Calendario].[AñoMes].&amp;[" &amp; TEXT(T$6,"yyyymm")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U68" s="8">
        <f>IFERROR(
GETPIVOTDATA(
"[Base].[Importe]",
TDinamica_R!$A$5,
"[Calendario].[AñoMes]",
"[Calendario].[AñoMes].&amp;[" &amp; TEXT(U$6,"yyyymm")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V68" s="8">
        <f>IFERROR(
GETPIVOTDATA(
"[Base].[Importe]",
TDinamica_R!$A$5,
"[Calendario].[AñoMes]",
"[Calendario].[AñoMes].&amp;[" &amp; TEXT(V$6,"yyyymm")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W68" s="8">
        <f>IFERROR(
GETPIVOTDATA(
"[Base].[Importe]",
TDinamica_R!$A$5,
"[Calendario].[AñoMes]",
"[Calendario].[AñoMes].&amp;[" &amp; TEXT(W$6,"yyyymm")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X68" s="8">
        <f>IFERROR(
GETPIVOTDATA(
"[Base].[Importe]",
TDinamica_R!$A$5,
"[Calendario].[AñoMes]",
"[Calendario].[AñoMes].&amp;[" &amp; TEXT(X$6,"yyyymm")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Y68" s="8">
        <f>IFERROR(
GETPIVOTDATA(
"[Base].[Importe]",
TDinamica_R!$A$5,
"[Calendario].[AñoMes]",
"[Calendario].[AñoMes].&amp;[" &amp; TEXT(Y$6,"yyyymm")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Z68" s="8">
        <f>IFERROR(
GETPIVOTDATA(
"[Base].[Importe]",
TDinamica_R!$A$5,
"[Calendario].[AñoMes]",
"[Calendario].[AñoMes].&amp;[" &amp; TEXT(Z$6,"yyyymm")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A68" s="8">
        <f>IFERROR(
GETPIVOTDATA(
"[Base].[Importe]",
TDinamica_R!$A$5,
"[Calendario].[AñoMes]",
"[Calendario].[AñoMes].&amp;[" &amp; TEXT(AA$6,"yyyymm")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B68" s="8">
        <f>IFERROR(
GETPIVOTDATA(
"[Base].[Importe]",
TDinamica_R!$A$5,
"[Calendario].[AñoMes]",
"[Calendario].[AñoMes].&amp;[" &amp; TEXT(AB$6,"yyyymm")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C68" s="8">
        <f>IFERROR(
GETPIVOTDATA(
"[Base].[Importe]",
TDinamica_R!$A$5,
"[Calendario].[AñoMes]",
"[Calendario].[AñoMes].&amp;[" &amp; TEXT(AC$6,"yyyymm")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D68" s="8">
        <f>IFERROR(
GETPIVOTDATA(
"[Base].[Importe]",
TDinamica_R!$A$5,
"[Calendario].[AñoMes]",
"[Calendario].[AñoMes].&amp;[" &amp; TEXT(AD$6,"yyyymm")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E68" s="8">
        <f>IFERROR(
GETPIVOTDATA(
"[Base].[Importe]",
TDinamica_R!$A$5,
"[Calendario].[AñoMes]",
"[Calendario].[AñoMes].&amp;[" &amp; TEXT(AE$6,"yyyymm")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F68" s="8">
        <f>IFERROR(
GETPIVOTDATA(
"[Base].[Importe]",
TDinamica_R!$A$5,
"[Calendario].[AñoMes]",
"[Calendario].[AñoMes].&amp;[" &amp; TEXT(AF$6,"yyyymm")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G68" s="8">
        <f>IFERROR(
GETPIVOTDATA(
"[Base].[Importe]",
TDinamica_R!$A$5,
"[Calendario].[AñoMes]",
"[Calendario].[AñoMes].&amp;[" &amp; TEXT(AG$6,"yyyymm")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H68" s="8">
        <f>IFERROR(
GETPIVOTDATA(
"[Base].[Importe]",
TDinamica_R!$A$5,
"[Calendario].[AñoMes]",
"[Calendario].[AñoMes].&amp;[" &amp; TEXT(AH$6,"yyyymm")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I68" s="8">
        <f>IFERROR(
GETPIVOTDATA(
"[Base].[Importe]",
TDinamica_R!$A$5,
"[Calendario].[AñoMes]",
"[Calendario].[AñoMes].&amp;[" &amp; TEXT(AI$6,"yyyymm")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J68" s="8">
        <f>IFERROR(
GETPIVOTDATA(
"[Base].[Importe]",
TDinamica_R!$A$5,
"[Calendario].[AñoMes]",
"[Calendario].[AñoMes].&amp;[" &amp; TEXT(AJ$6,"yyyymm")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K68" s="8">
        <f>IFERROR(
GETPIVOTDATA(
"[Base].[Importe]",
TDinamica_R!$A$5,
"[Calendario].[AñoMes]",
"[Calendario].[AñoMes].&amp;[" &amp; TEXT(AK$6,"yyyymm")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L68" s="8">
        <f>IFERROR(
GETPIVOTDATA(
"[Base].[Importe]",
TDinamica_R!$A$5,
"[Calendario].[AñoMes]",
"[Calendario].[AñoMes].&amp;[" &amp; TEXT(AL$6,"yyyymm")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M68" s="8">
        <f>IFERROR(
GETPIVOTDATA(
"[Base].[Importe]",
TDinamica_R!$A$5,
"[Calendario].[AñoMes]",
"[Calendario].[AñoMes].&amp;[" &amp; TEXT(AM$6,"yyyymm")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N68" s="8">
        <f>IFERROR(
GETPIVOTDATA(
"[Base].[Importe]",
TDinamica_R!$A$5,
"[Calendario].[AñoMes]",
"[Calendario].[AñoMes].&amp;[" &amp; TEXT(AN$6,"yyyymm")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O68" s="8">
        <f>IFERROR(
GETPIVOTDATA(
"[Base].[Importe]",
TDinamica_R!$A$5,
"[Calendario].[AñoMes]",
"[Calendario].[AñoMes].&amp;[" &amp; TEXT(AO$6,"yyyymm")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P68" s="8">
        <f>IFERROR(
GETPIVOTDATA(
"[Base].[Importe]",
TDinamica_R!$A$5,
"[Calendario].[AñoMes]",
"[Calendario].[AñoMes].&amp;[" &amp; TEXT(AP$6,"yyyymm")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Q68" s="8">
        <f>IFERROR(
GETPIVOTDATA(
"[Base].[Importe]",
TDinamica_R!$A$5,
"[Calendario].[AñoMes]",
"[Calendario].[AñoMes].&amp;[" &amp; TEXT(AQ$6,"yyyymm")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R68" s="8">
        <f>IFERROR(
GETPIVOTDATA(
"[Base].[Importe]",
TDinamica_R!$A$5,
"[Calendario].[AñoMes]",
"[Calendario].[AñoMes].&amp;[" &amp; TEXT(AR$6,"yyyymm")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S68" s="8">
        <f>IFERROR(
GETPIVOTDATA(
"[Base].[Importe]",
TDinamica_R!$A$5,
"[Calendario].[AñoMes]",
"[Calendario].[AñoMes].&amp;[" &amp; TEXT(AS$6,"yyyymm")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T68" s="8">
        <f>IFERROR(
GETPIVOTDATA(
"[Base].[Importe]",
TDinamica_R!$A$5,
"[Calendario].[AñoMes]",
"[Calendario].[AñoMes].&amp;[" &amp; TEXT(AT$6,"yyyymm")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U68" s="8">
        <f>IFERROR(
GETPIVOTDATA(
"[Base].[Importe]",
TDinamica_R!$A$5,
"[Calendario].[AñoMes]",
"[Calendario].[AñoMes].&amp;[" &amp; TEXT(AU$6,"yyyymm")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V68" s="8">
        <f>IFERROR(
GETPIVOTDATA(
"[Base].[Importe]",
TDinamica_R!$A$5,
"[Calendario].[AñoMes]",
"[Calendario].[AñoMes].&amp;[" &amp; TEXT(AV$6,"yyyymm")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W68" s="8">
        <f>IFERROR(
GETPIVOTDATA(
"[Base].[Importe]",
TDinamica_R!$A$5,
"[Calendario].[AñoMes]",
"[Calendario].[AñoMes].&amp;[" &amp; TEXT(AW$6,"yyyymm")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X68" s="8">
        <f>IFERROR(
GETPIVOTDATA(
"[Base].[Importe]",
TDinamica_R!$A$5,
"[Calendario].[AñoMes]",
"[Calendario].[AñoMes].&amp;[" &amp; TEXT(AX$6,"yyyymm")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Y68" s="8">
        <f>IFERROR(
GETPIVOTDATA(
"[Base].[Importe]",
TDinamica_R!$A$5,
"[Calendario].[AñoMes]",
"[Calendario].[AñoMes].&amp;[" &amp; TEXT(AY$6,"yyyymm")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Z68" s="8">
        <f>IFERROR(
GETPIVOTDATA(
"[BASE_CONVE_PPTO].[Importe]",
TDinamica_P!$A$5,
"[BASE_CONVE_PPTO].[Periodo]",
"[BASE_CONVE_PPTO].[Periodo].&amp;[" &amp; TEXT(AZ$6,"yyyymm")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A68" s="8">
        <f>IFERROR(
GETPIVOTDATA(
"[BASE_CONVE_PPTO].[Importe]",
TDinamica_P!$A$5,
"[BASE_CONVE_PPTO].[Periodo]",
"[BASE_CONVE_PPTO].[Periodo].&amp;[" &amp; TEXT(BA$6,"yyyymm")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B68" s="8">
        <f>IFERROR(
GETPIVOTDATA(
"[BASE_CONVE_PPTO].[Importe]",
TDinamica_P!$A$5,
"[BASE_CONVE_PPTO].[Periodo]",
"[BASE_CONVE_PPTO].[Periodo].&amp;[" &amp; TEXT(BB$6,"yyyymm")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C68" s="8">
        <f>IFERROR(
GETPIVOTDATA(
"[BASE_CONVE_PPTO].[Importe]",
TDinamica_P!$A$5,
"[BASE_CONVE_PPTO].[Periodo]",
"[BASE_CONVE_PPTO].[Periodo].&amp;[" &amp; TEXT(BC$6,"yyyymm")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D68" s="8">
        <f>IFERROR(
GETPIVOTDATA(
"[BASE_CONVE_PPTO].[Importe]",
TDinamica_P!$A$5,
"[BASE_CONVE_PPTO].[Periodo]",
"[BASE_CONVE_PPTO].[Periodo].&amp;[" &amp; TEXT(BD$6,"yyyymm")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E68" s="8">
        <f>IFERROR(
GETPIVOTDATA(
"[BASE_CONVE_PPTO].[Importe]",
TDinamica_P!$A$5,
"[BASE_CONVE_PPTO].[Periodo]",
"[BASE_CONVE_PPTO].[Periodo].&amp;[" &amp; TEXT(BE$6,"yyyymm")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F68" s="8">
        <f>IFERROR(
GETPIVOTDATA(
"[BASE_CONVE_PPTO].[Importe]",
TDinamica_P!$A$5,
"[BASE_CONVE_PPTO].[Periodo]",
"[BASE_CONVE_PPTO].[Periodo].&amp;[" &amp; TEXT(BF$6,"yyyymm")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G68" s="8">
        <f>IFERROR(
GETPIVOTDATA(
"[BASE_CONVE_PPTO].[Importe]",
TDinamica_P!$A$5,
"[BASE_CONVE_PPTO].[Periodo]",
"[BASE_CONVE_PPTO].[Periodo].&amp;[" &amp; TEXT(BG$6,"yyyymm")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H68" s="8">
        <f>IFERROR(
GETPIVOTDATA(
"[BASE_CONVE_PPTO].[Importe]",
TDinamica_P!$A$5,
"[BASE_CONVE_PPTO].[Periodo]",
"[BASE_CONVE_PPTO].[Periodo].&amp;[" &amp; TEXT(BH$6,"yyyymm")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I68" s="8">
        <f>IFERROR(
GETPIVOTDATA(
"[BASE_CONVE_PPTO].[Importe]",
TDinamica_P!$A$5,
"[BASE_CONVE_PPTO].[Periodo]",
"[BASE_CONVE_PPTO].[Periodo].&amp;[" &amp; TEXT(BI$6,"yyyymm")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J68" s="8">
        <f>IFERROR(
GETPIVOTDATA(
"[BASE_CONVE_PPTO].[Importe]",
TDinamica_P!$A$5,
"[BASE_CONVE_PPTO].[Periodo]",
"[BASE_CONVE_PPTO].[Periodo].&amp;[" &amp; TEXT(BJ$6,"yyyymm")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K68" s="8">
        <f>IFERROR(
GETPIVOTDATA(
"[BASE_CONVE_PPTO].[Importe]",
TDinamica_P!$A$5,
"[BASE_CONVE_PPTO].[Periodo]",
"[BASE_CONVE_PPTO].[Periodo].&amp;[" &amp; TEXT(BK$6,"yyyymm")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O68" s="24">
        <f t="shared" si="198"/>
        <v>0</v>
      </c>
      <c r="BP68" s="24">
        <f t="shared" si="198"/>
        <v>0</v>
      </c>
      <c r="BQ68" s="24">
        <f t="shared" si="198"/>
        <v>0</v>
      </c>
      <c r="BR68" s="24">
        <f t="shared" si="198"/>
        <v>0</v>
      </c>
      <c r="BS68" s="24">
        <f t="shared" si="198"/>
        <v>0</v>
      </c>
      <c r="BT68" s="24">
        <f t="shared" si="198"/>
        <v>0</v>
      </c>
    </row>
    <row r="69" spans="1:72" outlineLevel="1" x14ac:dyDescent="0.25">
      <c r="A69" s="11" t="s">
        <v>71</v>
      </c>
      <c r="C69" s="2"/>
      <c r="D69" s="8">
        <f>IFERROR(
GETPIVOTDATA(
"[Base].[Importe]",
TDinamica_R!$A$5,
"[Calendario].[AñoMes]",
"[Calendario].[AñoMes].&amp;[" &amp; TEXT(D$6,"yyyymm")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E69" s="8">
        <f>IFERROR(
GETPIVOTDATA(
"[Base].[Importe]",
TDinamica_R!$A$5,
"[Calendario].[AñoMes]",
"[Calendario].[AñoMes].&amp;[" &amp; TEXT(E$6,"yyyymm")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F69" s="8">
        <f>IFERROR(
GETPIVOTDATA(
"[Base].[Importe]",
TDinamica_R!$A$5,
"[Calendario].[AñoMes]",
"[Calendario].[AñoMes].&amp;[" &amp; TEXT(F$6,"yyyymm")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G69" s="8">
        <f>IFERROR(
GETPIVOTDATA(
"[Base].[Importe]",
TDinamica_R!$A$5,
"[Calendario].[AñoMes]",
"[Calendario].[AñoMes].&amp;[" &amp; TEXT(G$6,"yyyymm")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H69" s="8">
        <f>IFERROR(
GETPIVOTDATA(
"[Base].[Importe]",
TDinamica_R!$A$5,
"[Calendario].[AñoMes]",
"[Calendario].[AñoMes].&amp;[" &amp; TEXT(H$6,"yyyymm")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I69" s="8">
        <f>IFERROR(
GETPIVOTDATA(
"[Base].[Importe]",
TDinamica_R!$A$5,
"[Calendario].[AñoMes]",
"[Calendario].[AñoMes].&amp;[" &amp; TEXT(I$6,"yyyymm")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J69" s="8">
        <f>IFERROR(
GETPIVOTDATA(
"[Base].[Importe]",
TDinamica_R!$A$5,
"[Calendario].[AñoMes]",
"[Calendario].[AñoMes].&amp;[" &amp; TEXT(J$6,"yyyymm")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K69" s="8">
        <f>IFERROR(
GETPIVOTDATA(
"[Base].[Importe]",
TDinamica_R!$A$5,
"[Calendario].[AñoMes]",
"[Calendario].[AñoMes].&amp;[" &amp; TEXT(K$6,"yyyymm")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L69" s="8">
        <f>IFERROR(
GETPIVOTDATA(
"[Base].[Importe]",
TDinamica_R!$A$5,
"[Calendario].[AñoMes]",
"[Calendario].[AñoMes].&amp;[" &amp; TEXT(L$6,"yyyymm")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M69" s="8">
        <f>IFERROR(
GETPIVOTDATA(
"[Base].[Importe]",
TDinamica_R!$A$5,
"[Calendario].[AñoMes]",
"[Calendario].[AñoMes].&amp;[" &amp; TEXT(M$6,"yyyymm")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N69" s="8">
        <f>IFERROR(
GETPIVOTDATA(
"[Base].[Importe]",
TDinamica_R!$A$5,
"[Calendario].[AñoMes]",
"[Calendario].[AñoMes].&amp;[" &amp; TEXT(N$6,"yyyymm")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O69" s="8">
        <f>IFERROR(
GETPIVOTDATA(
"[Base].[Importe]",
TDinamica_R!$A$5,
"[Calendario].[AñoMes]",
"[Calendario].[AñoMes].&amp;[" &amp; TEXT(O$6,"yyyymm")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P69" s="8">
        <f>IFERROR(
GETPIVOTDATA(
"[Base].[Importe]",
TDinamica_R!$A$5,
"[Calendario].[AñoMes]",
"[Calendario].[AñoMes].&amp;[" &amp; TEXT(P$6,"yyyymm")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Q69" s="8">
        <f>IFERROR(
GETPIVOTDATA(
"[Base].[Importe]",
TDinamica_R!$A$5,
"[Calendario].[AñoMes]",
"[Calendario].[AñoMes].&amp;[" &amp; TEXT(Q$6,"yyyymm")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R69" s="8">
        <f>IFERROR(
GETPIVOTDATA(
"[Base].[Importe]",
TDinamica_R!$A$5,
"[Calendario].[AñoMes]",
"[Calendario].[AñoMes].&amp;[" &amp; TEXT(R$6,"yyyymm")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S69" s="8">
        <f>IFERROR(
GETPIVOTDATA(
"[Base].[Importe]",
TDinamica_R!$A$5,
"[Calendario].[AñoMes]",
"[Calendario].[AñoMes].&amp;[" &amp; TEXT(S$6,"yyyymm")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T69" s="8">
        <f>IFERROR(
GETPIVOTDATA(
"[Base].[Importe]",
TDinamica_R!$A$5,
"[Calendario].[AñoMes]",
"[Calendario].[AñoMes].&amp;[" &amp; TEXT(T$6,"yyyymm")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U69" s="8">
        <f>IFERROR(
GETPIVOTDATA(
"[Base].[Importe]",
TDinamica_R!$A$5,
"[Calendario].[AñoMes]",
"[Calendario].[AñoMes].&amp;[" &amp; TEXT(U$6,"yyyymm")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V69" s="8">
        <f>IFERROR(
GETPIVOTDATA(
"[Base].[Importe]",
TDinamica_R!$A$5,
"[Calendario].[AñoMes]",
"[Calendario].[AñoMes].&amp;[" &amp; TEXT(V$6,"yyyymm")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W69" s="8">
        <f>IFERROR(
GETPIVOTDATA(
"[Base].[Importe]",
TDinamica_R!$A$5,
"[Calendario].[AñoMes]",
"[Calendario].[AñoMes].&amp;[" &amp; TEXT(W$6,"yyyymm")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X69" s="8">
        <f>IFERROR(
GETPIVOTDATA(
"[Base].[Importe]",
TDinamica_R!$A$5,
"[Calendario].[AñoMes]",
"[Calendario].[AñoMes].&amp;[" &amp; TEXT(X$6,"yyyymm")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Y69" s="8">
        <f>IFERROR(
GETPIVOTDATA(
"[Base].[Importe]",
TDinamica_R!$A$5,
"[Calendario].[AñoMes]",
"[Calendario].[AñoMes].&amp;[" &amp; TEXT(Y$6,"yyyymm")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Z69" s="8">
        <f>IFERROR(
GETPIVOTDATA(
"[Base].[Importe]",
TDinamica_R!$A$5,
"[Calendario].[AñoMes]",
"[Calendario].[AñoMes].&amp;[" &amp; TEXT(Z$6,"yyyymm")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A69" s="8">
        <f>IFERROR(
GETPIVOTDATA(
"[Base].[Importe]",
TDinamica_R!$A$5,
"[Calendario].[AñoMes]",
"[Calendario].[AñoMes].&amp;[" &amp; TEXT(AA$6,"yyyymm")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B69" s="8">
        <f>IFERROR(
GETPIVOTDATA(
"[Base].[Importe]",
TDinamica_R!$A$5,
"[Calendario].[AñoMes]",
"[Calendario].[AñoMes].&amp;[" &amp; TEXT(AB$6,"yyyymm")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C69" s="8">
        <f>IFERROR(
GETPIVOTDATA(
"[Base].[Importe]",
TDinamica_R!$A$5,
"[Calendario].[AñoMes]",
"[Calendario].[AñoMes].&amp;[" &amp; TEXT(AC$6,"yyyymm")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D69" s="8">
        <f>IFERROR(
GETPIVOTDATA(
"[Base].[Importe]",
TDinamica_R!$A$5,
"[Calendario].[AñoMes]",
"[Calendario].[AñoMes].&amp;[" &amp; TEXT(AD$6,"yyyymm")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E69" s="8">
        <f>IFERROR(
GETPIVOTDATA(
"[Base].[Importe]",
TDinamica_R!$A$5,
"[Calendario].[AñoMes]",
"[Calendario].[AñoMes].&amp;[" &amp; TEXT(AE$6,"yyyymm")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F69" s="8">
        <f>IFERROR(
GETPIVOTDATA(
"[Base].[Importe]",
TDinamica_R!$A$5,
"[Calendario].[AñoMes]",
"[Calendario].[AñoMes].&amp;[" &amp; TEXT(AF$6,"yyyymm")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G69" s="8">
        <f>IFERROR(
GETPIVOTDATA(
"[Base].[Importe]",
TDinamica_R!$A$5,
"[Calendario].[AñoMes]",
"[Calendario].[AñoMes].&amp;[" &amp; TEXT(AG$6,"yyyymm")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H69" s="8">
        <f>IFERROR(
GETPIVOTDATA(
"[Base].[Importe]",
TDinamica_R!$A$5,
"[Calendario].[AñoMes]",
"[Calendario].[AñoMes].&amp;[" &amp; TEXT(AH$6,"yyyymm")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I69" s="8">
        <f>IFERROR(
GETPIVOTDATA(
"[Base].[Importe]",
TDinamica_R!$A$5,
"[Calendario].[AñoMes]",
"[Calendario].[AñoMes].&amp;[" &amp; TEXT(AI$6,"yyyymm")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J69" s="8">
        <f>IFERROR(
GETPIVOTDATA(
"[Base].[Importe]",
TDinamica_R!$A$5,
"[Calendario].[AñoMes]",
"[Calendario].[AñoMes].&amp;[" &amp; TEXT(AJ$6,"yyyymm")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K69" s="8">
        <f>IFERROR(
GETPIVOTDATA(
"[Base].[Importe]",
TDinamica_R!$A$5,
"[Calendario].[AñoMes]",
"[Calendario].[AñoMes].&amp;[" &amp; TEXT(AK$6,"yyyymm")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L69" s="8">
        <f>IFERROR(
GETPIVOTDATA(
"[Base].[Importe]",
TDinamica_R!$A$5,
"[Calendario].[AñoMes]",
"[Calendario].[AñoMes].&amp;[" &amp; TEXT(AL$6,"yyyymm")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M69" s="8">
        <f>IFERROR(
GETPIVOTDATA(
"[Base].[Importe]",
TDinamica_R!$A$5,
"[Calendario].[AñoMes]",
"[Calendario].[AñoMes].&amp;[" &amp; TEXT(AM$6,"yyyymm")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N69" s="8">
        <f>IFERROR(
GETPIVOTDATA(
"[Base].[Importe]",
TDinamica_R!$A$5,
"[Calendario].[AñoMes]",
"[Calendario].[AñoMes].&amp;[" &amp; TEXT(AN$6,"yyyymm")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O69" s="8">
        <f>IFERROR(
GETPIVOTDATA(
"[Base].[Importe]",
TDinamica_R!$A$5,
"[Calendario].[AñoMes]",
"[Calendario].[AñoMes].&amp;[" &amp; TEXT(AO$6,"yyyymm")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P69" s="8">
        <f>IFERROR(
GETPIVOTDATA(
"[Base].[Importe]",
TDinamica_R!$A$5,
"[Calendario].[AñoMes]",
"[Calendario].[AñoMes].&amp;[" &amp; TEXT(AP$6,"yyyymm")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Q69" s="8">
        <f>IFERROR(
GETPIVOTDATA(
"[Base].[Importe]",
TDinamica_R!$A$5,
"[Calendario].[AñoMes]",
"[Calendario].[AñoMes].&amp;[" &amp; TEXT(AQ$6,"yyyymm")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R69" s="8">
        <f>IFERROR(
GETPIVOTDATA(
"[Base].[Importe]",
TDinamica_R!$A$5,
"[Calendario].[AñoMes]",
"[Calendario].[AñoMes].&amp;[" &amp; TEXT(AR$6,"yyyymm")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S69" s="8">
        <f>IFERROR(
GETPIVOTDATA(
"[Base].[Importe]",
TDinamica_R!$A$5,
"[Calendario].[AñoMes]",
"[Calendario].[AñoMes].&amp;[" &amp; TEXT(AS$6,"yyyymm")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T69" s="8">
        <f>IFERROR(
GETPIVOTDATA(
"[Base].[Importe]",
TDinamica_R!$A$5,
"[Calendario].[AñoMes]",
"[Calendario].[AñoMes].&amp;[" &amp; TEXT(AT$6,"yyyymm")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U69" s="8">
        <f>IFERROR(
GETPIVOTDATA(
"[Base].[Importe]",
TDinamica_R!$A$5,
"[Calendario].[AñoMes]",
"[Calendario].[AñoMes].&amp;[" &amp; TEXT(AU$6,"yyyymm")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V69" s="8">
        <f>IFERROR(
GETPIVOTDATA(
"[Base].[Importe]",
TDinamica_R!$A$5,
"[Calendario].[AñoMes]",
"[Calendario].[AñoMes].&amp;[" &amp; TEXT(AV$6,"yyyymm")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W69" s="8">
        <f>IFERROR(
GETPIVOTDATA(
"[Base].[Importe]",
TDinamica_R!$A$5,
"[Calendario].[AñoMes]",
"[Calendario].[AñoMes].&amp;[" &amp; TEXT(AW$6,"yyyymm")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X69" s="8">
        <f>IFERROR(
GETPIVOTDATA(
"[Base].[Importe]",
TDinamica_R!$A$5,
"[Calendario].[AñoMes]",
"[Calendario].[AñoMes].&amp;[" &amp; TEXT(AX$6,"yyyymm")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Y69" s="8">
        <f>IFERROR(
GETPIVOTDATA(
"[Base].[Importe]",
TDinamica_R!$A$5,
"[Calendario].[AñoMes]",
"[Calendario].[AñoMes].&amp;[" &amp; TEXT(AY$6,"yyyymm")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Z69" s="8">
        <f>IFERROR(
GETPIVOTDATA(
"[BASE_CONVE_PPTO].[Importe]",
TDinamica_P!$A$5,
"[BASE_CONVE_PPTO].[Periodo]",
"[BASE_CONVE_PPTO].[Periodo].&amp;[" &amp; TEXT(AZ$6,"yyyymm")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A69" s="8">
        <f>IFERROR(
GETPIVOTDATA(
"[BASE_CONVE_PPTO].[Importe]",
TDinamica_P!$A$5,
"[BASE_CONVE_PPTO].[Periodo]",
"[BASE_CONVE_PPTO].[Periodo].&amp;[" &amp; TEXT(BA$6,"yyyymm")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B69" s="8">
        <f>IFERROR(
GETPIVOTDATA(
"[BASE_CONVE_PPTO].[Importe]",
TDinamica_P!$A$5,
"[BASE_CONVE_PPTO].[Periodo]",
"[BASE_CONVE_PPTO].[Periodo].&amp;[" &amp; TEXT(BB$6,"yyyymm")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C69" s="8">
        <f>IFERROR(
GETPIVOTDATA(
"[BASE_CONVE_PPTO].[Importe]",
TDinamica_P!$A$5,
"[BASE_CONVE_PPTO].[Periodo]",
"[BASE_CONVE_PPTO].[Periodo].&amp;[" &amp; TEXT(BC$6,"yyyymm")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D69" s="8">
        <f>IFERROR(
GETPIVOTDATA(
"[BASE_CONVE_PPTO].[Importe]",
TDinamica_P!$A$5,
"[BASE_CONVE_PPTO].[Periodo]",
"[BASE_CONVE_PPTO].[Periodo].&amp;[" &amp; TEXT(BD$6,"yyyymm")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E69" s="8">
        <f>IFERROR(
GETPIVOTDATA(
"[BASE_CONVE_PPTO].[Importe]",
TDinamica_P!$A$5,
"[BASE_CONVE_PPTO].[Periodo]",
"[BASE_CONVE_PPTO].[Periodo].&amp;[" &amp; TEXT(BE$6,"yyyymm")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F69" s="8">
        <f>IFERROR(
GETPIVOTDATA(
"[BASE_CONVE_PPTO].[Importe]",
TDinamica_P!$A$5,
"[BASE_CONVE_PPTO].[Periodo]",
"[BASE_CONVE_PPTO].[Periodo].&amp;[" &amp; TEXT(BF$6,"yyyymm")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G69" s="8">
        <f>IFERROR(
GETPIVOTDATA(
"[BASE_CONVE_PPTO].[Importe]",
TDinamica_P!$A$5,
"[BASE_CONVE_PPTO].[Periodo]",
"[BASE_CONVE_PPTO].[Periodo].&amp;[" &amp; TEXT(BG$6,"yyyymm")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H69" s="8">
        <f>IFERROR(
GETPIVOTDATA(
"[BASE_CONVE_PPTO].[Importe]",
TDinamica_P!$A$5,
"[BASE_CONVE_PPTO].[Periodo]",
"[BASE_CONVE_PPTO].[Periodo].&amp;[" &amp; TEXT(BH$6,"yyyymm")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I69" s="8">
        <f>IFERROR(
GETPIVOTDATA(
"[BASE_CONVE_PPTO].[Importe]",
TDinamica_P!$A$5,
"[BASE_CONVE_PPTO].[Periodo]",
"[BASE_CONVE_PPTO].[Periodo].&amp;[" &amp; TEXT(BI$6,"yyyymm")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J69" s="8">
        <f>IFERROR(
GETPIVOTDATA(
"[BASE_CONVE_PPTO].[Importe]",
TDinamica_P!$A$5,
"[BASE_CONVE_PPTO].[Periodo]",
"[BASE_CONVE_PPTO].[Periodo].&amp;[" &amp; TEXT(BJ$6,"yyyymm")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K69" s="8">
        <f>IFERROR(
GETPIVOTDATA(
"[BASE_CONVE_PPTO].[Importe]",
TDinamica_P!$A$5,
"[BASE_CONVE_PPTO].[Periodo]",
"[BASE_CONVE_PPTO].[Periodo].&amp;[" &amp; TEXT(BK$6,"yyyymm")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O69" s="24">
        <f t="shared" si="198"/>
        <v>0</v>
      </c>
      <c r="BP69" s="24">
        <f t="shared" si="198"/>
        <v>0</v>
      </c>
      <c r="BQ69" s="24">
        <f t="shared" si="198"/>
        <v>0</v>
      </c>
      <c r="BR69" s="24">
        <f t="shared" si="198"/>
        <v>0</v>
      </c>
      <c r="BS69" s="24">
        <f t="shared" si="198"/>
        <v>0</v>
      </c>
      <c r="BT69" s="24">
        <f t="shared" si="198"/>
        <v>0</v>
      </c>
    </row>
    <row r="70" spans="1:72" outlineLevel="1" x14ac:dyDescent="0.25">
      <c r="A70" s="11" t="s">
        <v>71</v>
      </c>
      <c r="C70" s="2"/>
      <c r="D70" s="8">
        <f>IFERROR(
GETPIVOTDATA(
"[Base].[Importe]",
TDinamica_R!$A$5,
"[Calendario].[AñoMes]",
"[Calendario].[AñoMes].&amp;[" &amp; TEXT(D$6,"yyyymm")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E70" s="8">
        <f>IFERROR(
GETPIVOTDATA(
"[Base].[Importe]",
TDinamica_R!$A$5,
"[Calendario].[AñoMes]",
"[Calendario].[AñoMes].&amp;[" &amp; TEXT(E$6,"yyyymm")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F70" s="8">
        <f>IFERROR(
GETPIVOTDATA(
"[Base].[Importe]",
TDinamica_R!$A$5,
"[Calendario].[AñoMes]",
"[Calendario].[AñoMes].&amp;[" &amp; TEXT(F$6,"yyyymm")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G70" s="8">
        <f>IFERROR(
GETPIVOTDATA(
"[Base].[Importe]",
TDinamica_R!$A$5,
"[Calendario].[AñoMes]",
"[Calendario].[AñoMes].&amp;[" &amp; TEXT(G$6,"yyyymm")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H70" s="8">
        <f>IFERROR(
GETPIVOTDATA(
"[Base].[Importe]",
TDinamica_R!$A$5,
"[Calendario].[AñoMes]",
"[Calendario].[AñoMes].&amp;[" &amp; TEXT(H$6,"yyyymm")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I70" s="8">
        <f>IFERROR(
GETPIVOTDATA(
"[Base].[Importe]",
TDinamica_R!$A$5,
"[Calendario].[AñoMes]",
"[Calendario].[AñoMes].&amp;[" &amp; TEXT(I$6,"yyyymm")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J70" s="8">
        <f>IFERROR(
GETPIVOTDATA(
"[Base].[Importe]",
TDinamica_R!$A$5,
"[Calendario].[AñoMes]",
"[Calendario].[AñoMes].&amp;[" &amp; TEXT(J$6,"yyyymm")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K70" s="8">
        <f>IFERROR(
GETPIVOTDATA(
"[Base].[Importe]",
TDinamica_R!$A$5,
"[Calendario].[AñoMes]",
"[Calendario].[AñoMes].&amp;[" &amp; TEXT(K$6,"yyyymm")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L70" s="8">
        <f>IFERROR(
GETPIVOTDATA(
"[Base].[Importe]",
TDinamica_R!$A$5,
"[Calendario].[AñoMes]",
"[Calendario].[AñoMes].&amp;[" &amp; TEXT(L$6,"yyyymm")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M70" s="8">
        <f>IFERROR(
GETPIVOTDATA(
"[Base].[Importe]",
TDinamica_R!$A$5,
"[Calendario].[AñoMes]",
"[Calendario].[AñoMes].&amp;[" &amp; TEXT(M$6,"yyyymm")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N70" s="8">
        <f>IFERROR(
GETPIVOTDATA(
"[Base].[Importe]",
TDinamica_R!$A$5,
"[Calendario].[AñoMes]",
"[Calendario].[AñoMes].&amp;[" &amp; TEXT(N$6,"yyyymm")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O70" s="8">
        <f>IFERROR(
GETPIVOTDATA(
"[Base].[Importe]",
TDinamica_R!$A$5,
"[Calendario].[AñoMes]",
"[Calendario].[AñoMes].&amp;[" &amp; TEXT(O$6,"yyyymm")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P70" s="8">
        <f>IFERROR(
GETPIVOTDATA(
"[Base].[Importe]",
TDinamica_R!$A$5,
"[Calendario].[AñoMes]",
"[Calendario].[AñoMes].&amp;[" &amp; TEXT(P$6,"yyyymm")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Q70" s="8">
        <f>IFERROR(
GETPIVOTDATA(
"[Base].[Importe]",
TDinamica_R!$A$5,
"[Calendario].[AñoMes]",
"[Calendario].[AñoMes].&amp;[" &amp; TEXT(Q$6,"yyyymm")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R70" s="8">
        <f>IFERROR(
GETPIVOTDATA(
"[Base].[Importe]",
TDinamica_R!$A$5,
"[Calendario].[AñoMes]",
"[Calendario].[AñoMes].&amp;[" &amp; TEXT(R$6,"yyyymm")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S70" s="8">
        <f>IFERROR(
GETPIVOTDATA(
"[Base].[Importe]",
TDinamica_R!$A$5,
"[Calendario].[AñoMes]",
"[Calendario].[AñoMes].&amp;[" &amp; TEXT(S$6,"yyyymm")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T70" s="8">
        <f>IFERROR(
GETPIVOTDATA(
"[Base].[Importe]",
TDinamica_R!$A$5,
"[Calendario].[AñoMes]",
"[Calendario].[AñoMes].&amp;[" &amp; TEXT(T$6,"yyyymm")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U70" s="8">
        <f>IFERROR(
GETPIVOTDATA(
"[Base].[Importe]",
TDinamica_R!$A$5,
"[Calendario].[AñoMes]",
"[Calendario].[AñoMes].&amp;[" &amp; TEXT(U$6,"yyyymm")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V70" s="8">
        <f>IFERROR(
GETPIVOTDATA(
"[Base].[Importe]",
TDinamica_R!$A$5,
"[Calendario].[AñoMes]",
"[Calendario].[AñoMes].&amp;[" &amp; TEXT(V$6,"yyyymm")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W70" s="8">
        <f>IFERROR(
GETPIVOTDATA(
"[Base].[Importe]",
TDinamica_R!$A$5,
"[Calendario].[AñoMes]",
"[Calendario].[AñoMes].&amp;[" &amp; TEXT(W$6,"yyyymm")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X70" s="8">
        <f>IFERROR(
GETPIVOTDATA(
"[Base].[Importe]",
TDinamica_R!$A$5,
"[Calendario].[AñoMes]",
"[Calendario].[AñoMes].&amp;[" &amp; TEXT(X$6,"yyyymm")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Y70" s="8">
        <f>IFERROR(
GETPIVOTDATA(
"[Base].[Importe]",
TDinamica_R!$A$5,
"[Calendario].[AñoMes]",
"[Calendario].[AñoMes].&amp;[" &amp; TEXT(Y$6,"yyyymm")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Z70" s="8">
        <f>IFERROR(
GETPIVOTDATA(
"[Base].[Importe]",
TDinamica_R!$A$5,
"[Calendario].[AñoMes]",
"[Calendario].[AñoMes].&amp;[" &amp; TEXT(Z$6,"yyyymm")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A70" s="8">
        <f>IFERROR(
GETPIVOTDATA(
"[Base].[Importe]",
TDinamica_R!$A$5,
"[Calendario].[AñoMes]",
"[Calendario].[AñoMes].&amp;[" &amp; TEXT(AA$6,"yyyymm")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B70" s="8">
        <f>IFERROR(
GETPIVOTDATA(
"[Base].[Importe]",
TDinamica_R!$A$5,
"[Calendario].[AñoMes]",
"[Calendario].[AñoMes].&amp;[" &amp; TEXT(AB$6,"yyyymm")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C70" s="8">
        <f>IFERROR(
GETPIVOTDATA(
"[Base].[Importe]",
TDinamica_R!$A$5,
"[Calendario].[AñoMes]",
"[Calendario].[AñoMes].&amp;[" &amp; TEXT(AC$6,"yyyymm")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D70" s="8">
        <f>IFERROR(
GETPIVOTDATA(
"[Base].[Importe]",
TDinamica_R!$A$5,
"[Calendario].[AñoMes]",
"[Calendario].[AñoMes].&amp;[" &amp; TEXT(AD$6,"yyyymm")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E70" s="8">
        <f>IFERROR(
GETPIVOTDATA(
"[Base].[Importe]",
TDinamica_R!$A$5,
"[Calendario].[AñoMes]",
"[Calendario].[AñoMes].&amp;[" &amp; TEXT(AE$6,"yyyymm")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F70" s="8">
        <f>IFERROR(
GETPIVOTDATA(
"[Base].[Importe]",
TDinamica_R!$A$5,
"[Calendario].[AñoMes]",
"[Calendario].[AñoMes].&amp;[" &amp; TEXT(AF$6,"yyyymm")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G70" s="8">
        <f>IFERROR(
GETPIVOTDATA(
"[Base].[Importe]",
TDinamica_R!$A$5,
"[Calendario].[AñoMes]",
"[Calendario].[AñoMes].&amp;[" &amp; TEXT(AG$6,"yyyymm")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H70" s="8">
        <f>IFERROR(
GETPIVOTDATA(
"[Base].[Importe]",
TDinamica_R!$A$5,
"[Calendario].[AñoMes]",
"[Calendario].[AñoMes].&amp;[" &amp; TEXT(AH$6,"yyyymm")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I70" s="8">
        <f>IFERROR(
GETPIVOTDATA(
"[Base].[Importe]",
TDinamica_R!$A$5,
"[Calendario].[AñoMes]",
"[Calendario].[AñoMes].&amp;[" &amp; TEXT(AI$6,"yyyymm")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J70" s="8">
        <f>IFERROR(
GETPIVOTDATA(
"[Base].[Importe]",
TDinamica_R!$A$5,
"[Calendario].[AñoMes]",
"[Calendario].[AñoMes].&amp;[" &amp; TEXT(AJ$6,"yyyymm")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K70" s="8">
        <f>IFERROR(
GETPIVOTDATA(
"[Base].[Importe]",
TDinamica_R!$A$5,
"[Calendario].[AñoMes]",
"[Calendario].[AñoMes].&amp;[" &amp; TEXT(AK$6,"yyyymm")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L70" s="8">
        <f>IFERROR(
GETPIVOTDATA(
"[Base].[Importe]",
TDinamica_R!$A$5,
"[Calendario].[AñoMes]",
"[Calendario].[AñoMes].&amp;[" &amp; TEXT(AL$6,"yyyymm")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M70" s="8">
        <f>IFERROR(
GETPIVOTDATA(
"[Base].[Importe]",
TDinamica_R!$A$5,
"[Calendario].[AñoMes]",
"[Calendario].[AñoMes].&amp;[" &amp; TEXT(AM$6,"yyyymm")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N70" s="8">
        <f>IFERROR(
GETPIVOTDATA(
"[Base].[Importe]",
TDinamica_R!$A$5,
"[Calendario].[AñoMes]",
"[Calendario].[AñoMes].&amp;[" &amp; TEXT(AN$6,"yyyymm")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O70" s="8">
        <f>IFERROR(
GETPIVOTDATA(
"[Base].[Importe]",
TDinamica_R!$A$5,
"[Calendario].[AñoMes]",
"[Calendario].[AñoMes].&amp;[" &amp; TEXT(AO$6,"yyyymm")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P70" s="8">
        <f>IFERROR(
GETPIVOTDATA(
"[Base].[Importe]",
TDinamica_R!$A$5,
"[Calendario].[AñoMes]",
"[Calendario].[AñoMes].&amp;[" &amp; TEXT(AP$6,"yyyymm")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Q70" s="8">
        <f>IFERROR(
GETPIVOTDATA(
"[Base].[Importe]",
TDinamica_R!$A$5,
"[Calendario].[AñoMes]",
"[Calendario].[AñoMes].&amp;[" &amp; TEXT(AQ$6,"yyyymm")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R70" s="8">
        <f>IFERROR(
GETPIVOTDATA(
"[Base].[Importe]",
TDinamica_R!$A$5,
"[Calendario].[AñoMes]",
"[Calendario].[AñoMes].&amp;[" &amp; TEXT(AR$6,"yyyymm")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S70" s="8">
        <f>IFERROR(
GETPIVOTDATA(
"[Base].[Importe]",
TDinamica_R!$A$5,
"[Calendario].[AñoMes]",
"[Calendario].[AñoMes].&amp;[" &amp; TEXT(AS$6,"yyyymm")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T70" s="8">
        <f>IFERROR(
GETPIVOTDATA(
"[Base].[Importe]",
TDinamica_R!$A$5,
"[Calendario].[AñoMes]",
"[Calendario].[AñoMes].&amp;[" &amp; TEXT(AT$6,"yyyymm")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U70" s="8">
        <f>IFERROR(
GETPIVOTDATA(
"[Base].[Importe]",
TDinamica_R!$A$5,
"[Calendario].[AñoMes]",
"[Calendario].[AñoMes].&amp;[" &amp; TEXT(AU$6,"yyyymm")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V70" s="8">
        <f>IFERROR(
GETPIVOTDATA(
"[Base].[Importe]",
TDinamica_R!$A$5,
"[Calendario].[AñoMes]",
"[Calendario].[AñoMes].&amp;[" &amp; TEXT(AV$6,"yyyymm")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W70" s="8">
        <f>IFERROR(
GETPIVOTDATA(
"[Base].[Importe]",
TDinamica_R!$A$5,
"[Calendario].[AñoMes]",
"[Calendario].[AñoMes].&amp;[" &amp; TEXT(AW$6,"yyyymm")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X70" s="8">
        <f>IFERROR(
GETPIVOTDATA(
"[Base].[Importe]",
TDinamica_R!$A$5,
"[Calendario].[AñoMes]",
"[Calendario].[AñoMes].&amp;[" &amp; TEXT(AX$6,"yyyymm")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Y70" s="8">
        <f>IFERROR(
GETPIVOTDATA(
"[Base].[Importe]",
TDinamica_R!$A$5,
"[Calendario].[AñoMes]",
"[Calendario].[AñoMes].&amp;[" &amp; TEXT(AY$6,"yyyymm")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Z70" s="8">
        <f>IFERROR(
GETPIVOTDATA(
"[BASE_CONVE_PPTO].[Importe]",
TDinamica_P!$A$5,
"[BASE_CONVE_PPTO].[Periodo]",
"[BASE_CONVE_PPTO].[Periodo].&amp;[" &amp; TEXT(AZ$6,"yyyymm")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A70" s="8">
        <f>IFERROR(
GETPIVOTDATA(
"[BASE_CONVE_PPTO].[Importe]",
TDinamica_P!$A$5,
"[BASE_CONVE_PPTO].[Periodo]",
"[BASE_CONVE_PPTO].[Periodo].&amp;[" &amp; TEXT(BA$6,"yyyymm")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B70" s="8">
        <f>IFERROR(
GETPIVOTDATA(
"[BASE_CONVE_PPTO].[Importe]",
TDinamica_P!$A$5,
"[BASE_CONVE_PPTO].[Periodo]",
"[BASE_CONVE_PPTO].[Periodo].&amp;[" &amp; TEXT(BB$6,"yyyymm")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C70" s="8">
        <f>IFERROR(
GETPIVOTDATA(
"[BASE_CONVE_PPTO].[Importe]",
TDinamica_P!$A$5,
"[BASE_CONVE_PPTO].[Periodo]",
"[BASE_CONVE_PPTO].[Periodo].&amp;[" &amp; TEXT(BC$6,"yyyymm")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D70" s="8">
        <f>IFERROR(
GETPIVOTDATA(
"[BASE_CONVE_PPTO].[Importe]",
TDinamica_P!$A$5,
"[BASE_CONVE_PPTO].[Periodo]",
"[BASE_CONVE_PPTO].[Periodo].&amp;[" &amp; TEXT(BD$6,"yyyymm")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E70" s="8">
        <f>IFERROR(
GETPIVOTDATA(
"[BASE_CONVE_PPTO].[Importe]",
TDinamica_P!$A$5,
"[BASE_CONVE_PPTO].[Periodo]",
"[BASE_CONVE_PPTO].[Periodo].&amp;[" &amp; TEXT(BE$6,"yyyymm")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F70" s="8">
        <f>IFERROR(
GETPIVOTDATA(
"[BASE_CONVE_PPTO].[Importe]",
TDinamica_P!$A$5,
"[BASE_CONVE_PPTO].[Periodo]",
"[BASE_CONVE_PPTO].[Periodo].&amp;[" &amp; TEXT(BF$6,"yyyymm")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G70" s="8">
        <f>IFERROR(
GETPIVOTDATA(
"[BASE_CONVE_PPTO].[Importe]",
TDinamica_P!$A$5,
"[BASE_CONVE_PPTO].[Periodo]",
"[BASE_CONVE_PPTO].[Periodo].&amp;[" &amp; TEXT(BG$6,"yyyymm")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H70" s="8">
        <f>IFERROR(
GETPIVOTDATA(
"[BASE_CONVE_PPTO].[Importe]",
TDinamica_P!$A$5,
"[BASE_CONVE_PPTO].[Periodo]",
"[BASE_CONVE_PPTO].[Periodo].&amp;[" &amp; TEXT(BH$6,"yyyymm")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I70" s="8">
        <f>IFERROR(
GETPIVOTDATA(
"[BASE_CONVE_PPTO].[Importe]",
TDinamica_P!$A$5,
"[BASE_CONVE_PPTO].[Periodo]",
"[BASE_CONVE_PPTO].[Periodo].&amp;[" &amp; TEXT(BI$6,"yyyymm")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J70" s="8">
        <f>IFERROR(
GETPIVOTDATA(
"[BASE_CONVE_PPTO].[Importe]",
TDinamica_P!$A$5,
"[BASE_CONVE_PPTO].[Periodo]",
"[BASE_CONVE_PPTO].[Periodo].&amp;[" &amp; TEXT(BJ$6,"yyyymm")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K70" s="8">
        <f>IFERROR(
GETPIVOTDATA(
"[BASE_CONVE_PPTO].[Importe]",
TDinamica_P!$A$5,
"[BASE_CONVE_PPTO].[Periodo]",
"[BASE_CONVE_PPTO].[Periodo].&amp;[" &amp; TEXT(BK$6,"yyyymm")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O70" s="24">
        <f t="shared" si="198"/>
        <v>0</v>
      </c>
      <c r="BP70" s="24">
        <f t="shared" si="198"/>
        <v>0</v>
      </c>
      <c r="BQ70" s="24">
        <f t="shared" si="198"/>
        <v>0</v>
      </c>
      <c r="BR70" s="24">
        <f t="shared" si="198"/>
        <v>0</v>
      </c>
      <c r="BS70" s="24">
        <f t="shared" si="198"/>
        <v>0</v>
      </c>
      <c r="BT70" s="24">
        <f t="shared" si="198"/>
        <v>0</v>
      </c>
    </row>
    <row r="71" spans="1:72" outlineLevel="1" x14ac:dyDescent="0.25">
      <c r="A71" s="11" t="s">
        <v>71</v>
      </c>
      <c r="C71" s="2"/>
      <c r="D71" s="8">
        <f>IFERROR(
GETPIVOTDATA(
"[Base].[Importe]",
TDinamica_R!$A$5,
"[Calendario].[AñoMes]",
"[Calendario].[AñoMes].&amp;[" &amp; TEXT(D$6,"yyyymm")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E71" s="8">
        <f>IFERROR(
GETPIVOTDATA(
"[Base].[Importe]",
TDinamica_R!$A$5,
"[Calendario].[AñoMes]",
"[Calendario].[AñoMes].&amp;[" &amp; TEXT(E$6,"yyyymm")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F71" s="8">
        <f>IFERROR(
GETPIVOTDATA(
"[Base].[Importe]",
TDinamica_R!$A$5,
"[Calendario].[AñoMes]",
"[Calendario].[AñoMes].&amp;[" &amp; TEXT(F$6,"yyyymm")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G71" s="8">
        <f>IFERROR(
GETPIVOTDATA(
"[Base].[Importe]",
TDinamica_R!$A$5,
"[Calendario].[AñoMes]",
"[Calendario].[AñoMes].&amp;[" &amp; TEXT(G$6,"yyyymm")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H71" s="8">
        <f>IFERROR(
GETPIVOTDATA(
"[Base].[Importe]",
TDinamica_R!$A$5,
"[Calendario].[AñoMes]",
"[Calendario].[AñoMes].&amp;[" &amp; TEXT(H$6,"yyyymm")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I71" s="8">
        <f>IFERROR(
GETPIVOTDATA(
"[Base].[Importe]",
TDinamica_R!$A$5,
"[Calendario].[AñoMes]",
"[Calendario].[AñoMes].&amp;[" &amp; TEXT(I$6,"yyyymm")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J71" s="8">
        <f>IFERROR(
GETPIVOTDATA(
"[Base].[Importe]",
TDinamica_R!$A$5,
"[Calendario].[AñoMes]",
"[Calendario].[AñoMes].&amp;[" &amp; TEXT(J$6,"yyyymm")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K71" s="8">
        <f>IFERROR(
GETPIVOTDATA(
"[Base].[Importe]",
TDinamica_R!$A$5,
"[Calendario].[AñoMes]",
"[Calendario].[AñoMes].&amp;[" &amp; TEXT(K$6,"yyyymm")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L71" s="8">
        <f>IFERROR(
GETPIVOTDATA(
"[Base].[Importe]",
TDinamica_R!$A$5,
"[Calendario].[AñoMes]",
"[Calendario].[AñoMes].&amp;[" &amp; TEXT(L$6,"yyyymm")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M71" s="8">
        <f>IFERROR(
GETPIVOTDATA(
"[Base].[Importe]",
TDinamica_R!$A$5,
"[Calendario].[AñoMes]",
"[Calendario].[AñoMes].&amp;[" &amp; TEXT(M$6,"yyyymm")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N71" s="8">
        <f>IFERROR(
GETPIVOTDATA(
"[Base].[Importe]",
TDinamica_R!$A$5,
"[Calendario].[AñoMes]",
"[Calendario].[AñoMes].&amp;[" &amp; TEXT(N$6,"yyyymm")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O71" s="8">
        <f>IFERROR(
GETPIVOTDATA(
"[Base].[Importe]",
TDinamica_R!$A$5,
"[Calendario].[AñoMes]",
"[Calendario].[AñoMes].&amp;[" &amp; TEXT(O$6,"yyyymm")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P71" s="8">
        <f>IFERROR(
GETPIVOTDATA(
"[Base].[Importe]",
TDinamica_R!$A$5,
"[Calendario].[AñoMes]",
"[Calendario].[AñoMes].&amp;[" &amp; TEXT(P$6,"yyyymm")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Q71" s="8">
        <f>IFERROR(
GETPIVOTDATA(
"[Base].[Importe]",
TDinamica_R!$A$5,
"[Calendario].[AñoMes]",
"[Calendario].[AñoMes].&amp;[" &amp; TEXT(Q$6,"yyyymm")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R71" s="8">
        <f>IFERROR(
GETPIVOTDATA(
"[Base].[Importe]",
TDinamica_R!$A$5,
"[Calendario].[AñoMes]",
"[Calendario].[AñoMes].&amp;[" &amp; TEXT(R$6,"yyyymm")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S71" s="8">
        <f>IFERROR(
GETPIVOTDATA(
"[Base].[Importe]",
TDinamica_R!$A$5,
"[Calendario].[AñoMes]",
"[Calendario].[AñoMes].&amp;[" &amp; TEXT(S$6,"yyyymm")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T71" s="8">
        <f>IFERROR(
GETPIVOTDATA(
"[Base].[Importe]",
TDinamica_R!$A$5,
"[Calendario].[AñoMes]",
"[Calendario].[AñoMes].&amp;[" &amp; TEXT(T$6,"yyyymm")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U71" s="8">
        <f>IFERROR(
GETPIVOTDATA(
"[Base].[Importe]",
TDinamica_R!$A$5,
"[Calendario].[AñoMes]",
"[Calendario].[AñoMes].&amp;[" &amp; TEXT(U$6,"yyyymm")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V71" s="8">
        <f>IFERROR(
GETPIVOTDATA(
"[Base].[Importe]",
TDinamica_R!$A$5,
"[Calendario].[AñoMes]",
"[Calendario].[AñoMes].&amp;[" &amp; TEXT(V$6,"yyyymm")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W71" s="8">
        <f>IFERROR(
GETPIVOTDATA(
"[Base].[Importe]",
TDinamica_R!$A$5,
"[Calendario].[AñoMes]",
"[Calendario].[AñoMes].&amp;[" &amp; TEXT(W$6,"yyyymm")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X71" s="8">
        <f>IFERROR(
GETPIVOTDATA(
"[Base].[Importe]",
TDinamica_R!$A$5,
"[Calendario].[AñoMes]",
"[Calendario].[AñoMes].&amp;[" &amp; TEXT(X$6,"yyyymm")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Y71" s="8">
        <f>IFERROR(
GETPIVOTDATA(
"[Base].[Importe]",
TDinamica_R!$A$5,
"[Calendario].[AñoMes]",
"[Calendario].[AñoMes].&amp;[" &amp; TEXT(Y$6,"yyyymm")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Z71" s="8">
        <f>IFERROR(
GETPIVOTDATA(
"[Base].[Importe]",
TDinamica_R!$A$5,
"[Calendario].[AñoMes]",
"[Calendario].[AñoMes].&amp;[" &amp; TEXT(Z$6,"yyyymm")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A71" s="8">
        <f>IFERROR(
GETPIVOTDATA(
"[Base].[Importe]",
TDinamica_R!$A$5,
"[Calendario].[AñoMes]",
"[Calendario].[AñoMes].&amp;[" &amp; TEXT(AA$6,"yyyymm")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B71" s="8">
        <f>IFERROR(
GETPIVOTDATA(
"[Base].[Importe]",
TDinamica_R!$A$5,
"[Calendario].[AñoMes]",
"[Calendario].[AñoMes].&amp;[" &amp; TEXT(AB$6,"yyyymm")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C71" s="8">
        <f>IFERROR(
GETPIVOTDATA(
"[Base].[Importe]",
TDinamica_R!$A$5,
"[Calendario].[AñoMes]",
"[Calendario].[AñoMes].&amp;[" &amp; TEXT(AC$6,"yyyymm")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D71" s="8">
        <f>IFERROR(
GETPIVOTDATA(
"[Base].[Importe]",
TDinamica_R!$A$5,
"[Calendario].[AñoMes]",
"[Calendario].[AñoMes].&amp;[" &amp; TEXT(AD$6,"yyyymm")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E71" s="8">
        <f>IFERROR(
GETPIVOTDATA(
"[Base].[Importe]",
TDinamica_R!$A$5,
"[Calendario].[AñoMes]",
"[Calendario].[AñoMes].&amp;[" &amp; TEXT(AE$6,"yyyymm")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F71" s="8">
        <f>IFERROR(
GETPIVOTDATA(
"[Base].[Importe]",
TDinamica_R!$A$5,
"[Calendario].[AñoMes]",
"[Calendario].[AñoMes].&amp;[" &amp; TEXT(AF$6,"yyyymm")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G71" s="8">
        <f>IFERROR(
GETPIVOTDATA(
"[Base].[Importe]",
TDinamica_R!$A$5,
"[Calendario].[AñoMes]",
"[Calendario].[AñoMes].&amp;[" &amp; TEXT(AG$6,"yyyymm")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H71" s="8">
        <f>IFERROR(
GETPIVOTDATA(
"[Base].[Importe]",
TDinamica_R!$A$5,
"[Calendario].[AñoMes]",
"[Calendario].[AñoMes].&amp;[" &amp; TEXT(AH$6,"yyyymm")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I71" s="8">
        <f>IFERROR(
GETPIVOTDATA(
"[Base].[Importe]",
TDinamica_R!$A$5,
"[Calendario].[AñoMes]",
"[Calendario].[AñoMes].&amp;[" &amp; TEXT(AI$6,"yyyymm")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J71" s="8">
        <f>IFERROR(
GETPIVOTDATA(
"[Base].[Importe]",
TDinamica_R!$A$5,
"[Calendario].[AñoMes]",
"[Calendario].[AñoMes].&amp;[" &amp; TEXT(AJ$6,"yyyymm")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K71" s="8">
        <f>IFERROR(
GETPIVOTDATA(
"[Base].[Importe]",
TDinamica_R!$A$5,
"[Calendario].[AñoMes]",
"[Calendario].[AñoMes].&amp;[" &amp; TEXT(AK$6,"yyyymm")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L71" s="8">
        <f>IFERROR(
GETPIVOTDATA(
"[Base].[Importe]",
TDinamica_R!$A$5,
"[Calendario].[AñoMes]",
"[Calendario].[AñoMes].&amp;[" &amp; TEXT(AL$6,"yyyymm")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M71" s="8">
        <f>IFERROR(
GETPIVOTDATA(
"[Base].[Importe]",
TDinamica_R!$A$5,
"[Calendario].[AñoMes]",
"[Calendario].[AñoMes].&amp;[" &amp; TEXT(AM$6,"yyyymm")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N71" s="8">
        <f>IFERROR(
GETPIVOTDATA(
"[Base].[Importe]",
TDinamica_R!$A$5,
"[Calendario].[AñoMes]",
"[Calendario].[AñoMes].&amp;[" &amp; TEXT(AN$6,"yyyymm")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O71" s="8">
        <f>IFERROR(
GETPIVOTDATA(
"[Base].[Importe]",
TDinamica_R!$A$5,
"[Calendario].[AñoMes]",
"[Calendario].[AñoMes].&amp;[" &amp; TEXT(AO$6,"yyyymm")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P71" s="8">
        <f>IFERROR(
GETPIVOTDATA(
"[Base].[Importe]",
TDinamica_R!$A$5,
"[Calendario].[AñoMes]",
"[Calendario].[AñoMes].&amp;[" &amp; TEXT(AP$6,"yyyymm")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Q71" s="8">
        <f>IFERROR(
GETPIVOTDATA(
"[Base].[Importe]",
TDinamica_R!$A$5,
"[Calendario].[AñoMes]",
"[Calendario].[AñoMes].&amp;[" &amp; TEXT(AQ$6,"yyyymm")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R71" s="8">
        <f>IFERROR(
GETPIVOTDATA(
"[Base].[Importe]",
TDinamica_R!$A$5,
"[Calendario].[AñoMes]",
"[Calendario].[AñoMes].&amp;[" &amp; TEXT(AR$6,"yyyymm")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S71" s="8">
        <f>IFERROR(
GETPIVOTDATA(
"[Base].[Importe]",
TDinamica_R!$A$5,
"[Calendario].[AñoMes]",
"[Calendario].[AñoMes].&amp;[" &amp; TEXT(AS$6,"yyyymm")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T71" s="8">
        <f>IFERROR(
GETPIVOTDATA(
"[Base].[Importe]",
TDinamica_R!$A$5,
"[Calendario].[AñoMes]",
"[Calendario].[AñoMes].&amp;[" &amp; TEXT(AT$6,"yyyymm")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U71" s="8">
        <f>IFERROR(
GETPIVOTDATA(
"[Base].[Importe]",
TDinamica_R!$A$5,
"[Calendario].[AñoMes]",
"[Calendario].[AñoMes].&amp;[" &amp; TEXT(AU$6,"yyyymm")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V71" s="8">
        <f>IFERROR(
GETPIVOTDATA(
"[Base].[Importe]",
TDinamica_R!$A$5,
"[Calendario].[AñoMes]",
"[Calendario].[AñoMes].&amp;[" &amp; TEXT(AV$6,"yyyymm")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W71" s="8">
        <f>IFERROR(
GETPIVOTDATA(
"[Base].[Importe]",
TDinamica_R!$A$5,
"[Calendario].[AñoMes]",
"[Calendario].[AñoMes].&amp;[" &amp; TEXT(AW$6,"yyyymm")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X71" s="8">
        <f>IFERROR(
GETPIVOTDATA(
"[Base].[Importe]",
TDinamica_R!$A$5,
"[Calendario].[AñoMes]",
"[Calendario].[AñoMes].&amp;[" &amp; TEXT(AX$6,"yyyymm")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Y71" s="8">
        <f>IFERROR(
GETPIVOTDATA(
"[Base].[Importe]",
TDinamica_R!$A$5,
"[Calendario].[AñoMes]",
"[Calendario].[AñoMes].&amp;[" &amp; TEXT(AY$6,"yyyymm")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Z71" s="8">
        <f>IFERROR(
GETPIVOTDATA(
"[BASE_CONVE_PPTO].[Importe]",
TDinamica_P!$A$5,
"[BASE_CONVE_PPTO].[Periodo]",
"[BASE_CONVE_PPTO].[Periodo].&amp;[" &amp; TEXT(AZ$6,"yyyymm")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A71" s="8">
        <f>IFERROR(
GETPIVOTDATA(
"[BASE_CONVE_PPTO].[Importe]",
TDinamica_P!$A$5,
"[BASE_CONVE_PPTO].[Periodo]",
"[BASE_CONVE_PPTO].[Periodo].&amp;[" &amp; TEXT(BA$6,"yyyymm")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B71" s="8">
        <f>IFERROR(
GETPIVOTDATA(
"[BASE_CONVE_PPTO].[Importe]",
TDinamica_P!$A$5,
"[BASE_CONVE_PPTO].[Periodo]",
"[BASE_CONVE_PPTO].[Periodo].&amp;[" &amp; TEXT(BB$6,"yyyymm")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C71" s="8">
        <f>IFERROR(
GETPIVOTDATA(
"[BASE_CONVE_PPTO].[Importe]",
TDinamica_P!$A$5,
"[BASE_CONVE_PPTO].[Periodo]",
"[BASE_CONVE_PPTO].[Periodo].&amp;[" &amp; TEXT(BC$6,"yyyymm")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D71" s="8">
        <f>IFERROR(
GETPIVOTDATA(
"[BASE_CONVE_PPTO].[Importe]",
TDinamica_P!$A$5,
"[BASE_CONVE_PPTO].[Periodo]",
"[BASE_CONVE_PPTO].[Periodo].&amp;[" &amp; TEXT(BD$6,"yyyymm")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E71" s="8">
        <f>IFERROR(
GETPIVOTDATA(
"[BASE_CONVE_PPTO].[Importe]",
TDinamica_P!$A$5,
"[BASE_CONVE_PPTO].[Periodo]",
"[BASE_CONVE_PPTO].[Periodo].&amp;[" &amp; TEXT(BE$6,"yyyymm")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F71" s="8">
        <f>IFERROR(
GETPIVOTDATA(
"[BASE_CONVE_PPTO].[Importe]",
TDinamica_P!$A$5,
"[BASE_CONVE_PPTO].[Periodo]",
"[BASE_CONVE_PPTO].[Periodo].&amp;[" &amp; TEXT(BF$6,"yyyymm")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G71" s="8">
        <f>IFERROR(
GETPIVOTDATA(
"[BASE_CONVE_PPTO].[Importe]",
TDinamica_P!$A$5,
"[BASE_CONVE_PPTO].[Periodo]",
"[BASE_CONVE_PPTO].[Periodo].&amp;[" &amp; TEXT(BG$6,"yyyymm")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H71" s="8">
        <f>IFERROR(
GETPIVOTDATA(
"[BASE_CONVE_PPTO].[Importe]",
TDinamica_P!$A$5,
"[BASE_CONVE_PPTO].[Periodo]",
"[BASE_CONVE_PPTO].[Periodo].&amp;[" &amp; TEXT(BH$6,"yyyymm")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I71" s="8">
        <f>IFERROR(
GETPIVOTDATA(
"[BASE_CONVE_PPTO].[Importe]",
TDinamica_P!$A$5,
"[BASE_CONVE_PPTO].[Periodo]",
"[BASE_CONVE_PPTO].[Periodo].&amp;[" &amp; TEXT(BI$6,"yyyymm")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J71" s="8">
        <f>IFERROR(
GETPIVOTDATA(
"[BASE_CONVE_PPTO].[Importe]",
TDinamica_P!$A$5,
"[BASE_CONVE_PPTO].[Periodo]",
"[BASE_CONVE_PPTO].[Periodo].&amp;[" &amp; TEXT(BJ$6,"yyyymm")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K71" s="8">
        <f>IFERROR(
GETPIVOTDATA(
"[BASE_CONVE_PPTO].[Importe]",
TDinamica_P!$A$5,
"[BASE_CONVE_PPTO].[Periodo]",
"[BASE_CONVE_PPTO].[Periodo].&amp;[" &amp; TEXT(BK$6,"yyyymm")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O71" s="24">
        <f t="shared" si="198"/>
        <v>0</v>
      </c>
      <c r="BP71" s="24">
        <f t="shared" si="198"/>
        <v>0</v>
      </c>
      <c r="BQ71" s="24">
        <f t="shared" si="198"/>
        <v>0</v>
      </c>
      <c r="BR71" s="24">
        <f t="shared" si="198"/>
        <v>0</v>
      </c>
      <c r="BS71" s="24">
        <f t="shared" si="198"/>
        <v>0</v>
      </c>
      <c r="BT71" s="24">
        <f t="shared" si="198"/>
        <v>0</v>
      </c>
    </row>
    <row r="72" spans="1:72" outlineLevel="1" x14ac:dyDescent="0.25">
      <c r="A72" s="11" t="s">
        <v>71</v>
      </c>
      <c r="C72" s="2"/>
      <c r="D72" s="8">
        <f>IFERROR(
GETPIVOTDATA(
"[Base].[Importe]",
TDinamica_R!$A$5,
"[Calendario].[AñoMes]",
"[Calendario].[AñoMes].&amp;[" &amp; TEXT(D$6,"yyyymm")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E72" s="8">
        <f>IFERROR(
GETPIVOTDATA(
"[Base].[Importe]",
TDinamica_R!$A$5,
"[Calendario].[AñoMes]",
"[Calendario].[AñoMes].&amp;[" &amp; TEXT(E$6,"yyyymm")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F72" s="8">
        <f>IFERROR(
GETPIVOTDATA(
"[Base].[Importe]",
TDinamica_R!$A$5,
"[Calendario].[AñoMes]",
"[Calendario].[AñoMes].&amp;[" &amp; TEXT(F$6,"yyyymm")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G72" s="8">
        <f>IFERROR(
GETPIVOTDATA(
"[Base].[Importe]",
TDinamica_R!$A$5,
"[Calendario].[AñoMes]",
"[Calendario].[AñoMes].&amp;[" &amp; TEXT(G$6,"yyyymm")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H72" s="8">
        <f>IFERROR(
GETPIVOTDATA(
"[Base].[Importe]",
TDinamica_R!$A$5,
"[Calendario].[AñoMes]",
"[Calendario].[AñoMes].&amp;[" &amp; TEXT(H$6,"yyyymm")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I72" s="8">
        <f>IFERROR(
GETPIVOTDATA(
"[Base].[Importe]",
TDinamica_R!$A$5,
"[Calendario].[AñoMes]",
"[Calendario].[AñoMes].&amp;[" &amp; TEXT(I$6,"yyyymm")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J72" s="8">
        <f>IFERROR(
GETPIVOTDATA(
"[Base].[Importe]",
TDinamica_R!$A$5,
"[Calendario].[AñoMes]",
"[Calendario].[AñoMes].&amp;[" &amp; TEXT(J$6,"yyyymm")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K72" s="8">
        <f>IFERROR(
GETPIVOTDATA(
"[Base].[Importe]",
TDinamica_R!$A$5,
"[Calendario].[AñoMes]",
"[Calendario].[AñoMes].&amp;[" &amp; TEXT(K$6,"yyyymm")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L72" s="8">
        <f>IFERROR(
GETPIVOTDATA(
"[Base].[Importe]",
TDinamica_R!$A$5,
"[Calendario].[AñoMes]",
"[Calendario].[AñoMes].&amp;[" &amp; TEXT(L$6,"yyyymm")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M72" s="8">
        <f>IFERROR(
GETPIVOTDATA(
"[Base].[Importe]",
TDinamica_R!$A$5,
"[Calendario].[AñoMes]",
"[Calendario].[AñoMes].&amp;[" &amp; TEXT(M$6,"yyyymm")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N72" s="8">
        <f>IFERROR(
GETPIVOTDATA(
"[Base].[Importe]",
TDinamica_R!$A$5,
"[Calendario].[AñoMes]",
"[Calendario].[AñoMes].&amp;[" &amp; TEXT(N$6,"yyyymm")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O72" s="8">
        <f>IFERROR(
GETPIVOTDATA(
"[Base].[Importe]",
TDinamica_R!$A$5,
"[Calendario].[AñoMes]",
"[Calendario].[AñoMes].&amp;[" &amp; TEXT(O$6,"yyyymm")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P72" s="8">
        <f>IFERROR(
GETPIVOTDATA(
"[Base].[Importe]",
TDinamica_R!$A$5,
"[Calendario].[AñoMes]",
"[Calendario].[AñoMes].&amp;[" &amp; TEXT(P$6,"yyyymm")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Q72" s="8">
        <f>IFERROR(
GETPIVOTDATA(
"[Base].[Importe]",
TDinamica_R!$A$5,
"[Calendario].[AñoMes]",
"[Calendario].[AñoMes].&amp;[" &amp; TEXT(Q$6,"yyyymm")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R72" s="8">
        <f>IFERROR(
GETPIVOTDATA(
"[Base].[Importe]",
TDinamica_R!$A$5,
"[Calendario].[AñoMes]",
"[Calendario].[AñoMes].&amp;[" &amp; TEXT(R$6,"yyyymm")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S72" s="8">
        <f>IFERROR(
GETPIVOTDATA(
"[Base].[Importe]",
TDinamica_R!$A$5,
"[Calendario].[AñoMes]",
"[Calendario].[AñoMes].&amp;[" &amp; TEXT(S$6,"yyyymm")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T72" s="8">
        <f>IFERROR(
GETPIVOTDATA(
"[Base].[Importe]",
TDinamica_R!$A$5,
"[Calendario].[AñoMes]",
"[Calendario].[AñoMes].&amp;[" &amp; TEXT(T$6,"yyyymm")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U72" s="8">
        <f>IFERROR(
GETPIVOTDATA(
"[Base].[Importe]",
TDinamica_R!$A$5,
"[Calendario].[AñoMes]",
"[Calendario].[AñoMes].&amp;[" &amp; TEXT(U$6,"yyyymm")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V72" s="8">
        <f>IFERROR(
GETPIVOTDATA(
"[Base].[Importe]",
TDinamica_R!$A$5,
"[Calendario].[AñoMes]",
"[Calendario].[AñoMes].&amp;[" &amp; TEXT(V$6,"yyyymm")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W72" s="8">
        <f>IFERROR(
GETPIVOTDATA(
"[Base].[Importe]",
TDinamica_R!$A$5,
"[Calendario].[AñoMes]",
"[Calendario].[AñoMes].&amp;[" &amp; TEXT(W$6,"yyyymm")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X72" s="8">
        <f>IFERROR(
GETPIVOTDATA(
"[Base].[Importe]",
TDinamica_R!$A$5,
"[Calendario].[AñoMes]",
"[Calendario].[AñoMes].&amp;[" &amp; TEXT(X$6,"yyyymm")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Y72" s="8">
        <f>IFERROR(
GETPIVOTDATA(
"[Base].[Importe]",
TDinamica_R!$A$5,
"[Calendario].[AñoMes]",
"[Calendario].[AñoMes].&amp;[" &amp; TEXT(Y$6,"yyyymm")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Z72" s="8">
        <f>IFERROR(
GETPIVOTDATA(
"[Base].[Importe]",
TDinamica_R!$A$5,
"[Calendario].[AñoMes]",
"[Calendario].[AñoMes].&amp;[" &amp; TEXT(Z$6,"yyyymm")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A72" s="8">
        <f>IFERROR(
GETPIVOTDATA(
"[Base].[Importe]",
TDinamica_R!$A$5,
"[Calendario].[AñoMes]",
"[Calendario].[AñoMes].&amp;[" &amp; TEXT(AA$6,"yyyymm")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B72" s="8">
        <f>IFERROR(
GETPIVOTDATA(
"[Base].[Importe]",
TDinamica_R!$A$5,
"[Calendario].[AñoMes]",
"[Calendario].[AñoMes].&amp;[" &amp; TEXT(AB$6,"yyyymm")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C72" s="8">
        <f>IFERROR(
GETPIVOTDATA(
"[Base].[Importe]",
TDinamica_R!$A$5,
"[Calendario].[AñoMes]",
"[Calendario].[AñoMes].&amp;[" &amp; TEXT(AC$6,"yyyymm")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D72" s="8">
        <f>IFERROR(
GETPIVOTDATA(
"[Base].[Importe]",
TDinamica_R!$A$5,
"[Calendario].[AñoMes]",
"[Calendario].[AñoMes].&amp;[" &amp; TEXT(AD$6,"yyyymm")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E72" s="8">
        <f>IFERROR(
GETPIVOTDATA(
"[Base].[Importe]",
TDinamica_R!$A$5,
"[Calendario].[AñoMes]",
"[Calendario].[AñoMes].&amp;[" &amp; TEXT(AE$6,"yyyymm")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F72" s="8">
        <f>IFERROR(
GETPIVOTDATA(
"[Base].[Importe]",
TDinamica_R!$A$5,
"[Calendario].[AñoMes]",
"[Calendario].[AñoMes].&amp;[" &amp; TEXT(AF$6,"yyyymm")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G72" s="8">
        <f>IFERROR(
GETPIVOTDATA(
"[Base].[Importe]",
TDinamica_R!$A$5,
"[Calendario].[AñoMes]",
"[Calendario].[AñoMes].&amp;[" &amp; TEXT(AG$6,"yyyymm")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H72" s="8">
        <f>IFERROR(
GETPIVOTDATA(
"[Base].[Importe]",
TDinamica_R!$A$5,
"[Calendario].[AñoMes]",
"[Calendario].[AñoMes].&amp;[" &amp; TEXT(AH$6,"yyyymm")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I72" s="8">
        <f>IFERROR(
GETPIVOTDATA(
"[Base].[Importe]",
TDinamica_R!$A$5,
"[Calendario].[AñoMes]",
"[Calendario].[AñoMes].&amp;[" &amp; TEXT(AI$6,"yyyymm")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J72" s="8">
        <f>IFERROR(
GETPIVOTDATA(
"[Base].[Importe]",
TDinamica_R!$A$5,
"[Calendario].[AñoMes]",
"[Calendario].[AñoMes].&amp;[" &amp; TEXT(AJ$6,"yyyymm")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K72" s="8">
        <f>IFERROR(
GETPIVOTDATA(
"[Base].[Importe]",
TDinamica_R!$A$5,
"[Calendario].[AñoMes]",
"[Calendario].[AñoMes].&amp;[" &amp; TEXT(AK$6,"yyyymm")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L72" s="8">
        <f>IFERROR(
GETPIVOTDATA(
"[Base].[Importe]",
TDinamica_R!$A$5,
"[Calendario].[AñoMes]",
"[Calendario].[AñoMes].&amp;[" &amp; TEXT(AL$6,"yyyymm")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M72" s="8">
        <f>IFERROR(
GETPIVOTDATA(
"[Base].[Importe]",
TDinamica_R!$A$5,
"[Calendario].[AñoMes]",
"[Calendario].[AñoMes].&amp;[" &amp; TEXT(AM$6,"yyyymm")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N72" s="8">
        <f>IFERROR(
GETPIVOTDATA(
"[Base].[Importe]",
TDinamica_R!$A$5,
"[Calendario].[AñoMes]",
"[Calendario].[AñoMes].&amp;[" &amp; TEXT(AN$6,"yyyymm")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O72" s="8">
        <f>IFERROR(
GETPIVOTDATA(
"[Base].[Importe]",
TDinamica_R!$A$5,
"[Calendario].[AñoMes]",
"[Calendario].[AñoMes].&amp;[" &amp; TEXT(AO$6,"yyyymm")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P72" s="8">
        <f>IFERROR(
GETPIVOTDATA(
"[Base].[Importe]",
TDinamica_R!$A$5,
"[Calendario].[AñoMes]",
"[Calendario].[AñoMes].&amp;[" &amp; TEXT(AP$6,"yyyymm")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Q72" s="8">
        <f>IFERROR(
GETPIVOTDATA(
"[Base].[Importe]",
TDinamica_R!$A$5,
"[Calendario].[AñoMes]",
"[Calendario].[AñoMes].&amp;[" &amp; TEXT(AQ$6,"yyyymm")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R72" s="8">
        <f>IFERROR(
GETPIVOTDATA(
"[Base].[Importe]",
TDinamica_R!$A$5,
"[Calendario].[AñoMes]",
"[Calendario].[AñoMes].&amp;[" &amp; TEXT(AR$6,"yyyymm")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S72" s="8">
        <f>IFERROR(
GETPIVOTDATA(
"[Base].[Importe]",
TDinamica_R!$A$5,
"[Calendario].[AñoMes]",
"[Calendario].[AñoMes].&amp;[" &amp; TEXT(AS$6,"yyyymm")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T72" s="8">
        <f>IFERROR(
GETPIVOTDATA(
"[Base].[Importe]",
TDinamica_R!$A$5,
"[Calendario].[AñoMes]",
"[Calendario].[AñoMes].&amp;[" &amp; TEXT(AT$6,"yyyymm")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U72" s="8">
        <f>IFERROR(
GETPIVOTDATA(
"[Base].[Importe]",
TDinamica_R!$A$5,
"[Calendario].[AñoMes]",
"[Calendario].[AñoMes].&amp;[" &amp; TEXT(AU$6,"yyyymm")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V72" s="8">
        <f>IFERROR(
GETPIVOTDATA(
"[Base].[Importe]",
TDinamica_R!$A$5,
"[Calendario].[AñoMes]",
"[Calendario].[AñoMes].&amp;[" &amp; TEXT(AV$6,"yyyymm")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W72" s="8">
        <f>IFERROR(
GETPIVOTDATA(
"[Base].[Importe]",
TDinamica_R!$A$5,
"[Calendario].[AñoMes]",
"[Calendario].[AñoMes].&amp;[" &amp; TEXT(AW$6,"yyyymm")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X72" s="8">
        <f>IFERROR(
GETPIVOTDATA(
"[Base].[Importe]",
TDinamica_R!$A$5,
"[Calendario].[AñoMes]",
"[Calendario].[AñoMes].&amp;[" &amp; TEXT(AX$6,"yyyymm")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Y72" s="8">
        <f>IFERROR(
GETPIVOTDATA(
"[Base].[Importe]",
TDinamica_R!$A$5,
"[Calendario].[AñoMes]",
"[Calendario].[AñoMes].&amp;[" &amp; TEXT(AY$6,"yyyymm")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Z72" s="8">
        <f>IFERROR(
GETPIVOTDATA(
"[BASE_CONVE_PPTO].[Importe]",
TDinamica_P!$A$5,
"[BASE_CONVE_PPTO].[Periodo]",
"[BASE_CONVE_PPTO].[Periodo].&amp;[" &amp; TEXT(AZ$6,"yyyymm")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A72" s="8">
        <f>IFERROR(
GETPIVOTDATA(
"[BASE_CONVE_PPTO].[Importe]",
TDinamica_P!$A$5,
"[BASE_CONVE_PPTO].[Periodo]",
"[BASE_CONVE_PPTO].[Periodo].&amp;[" &amp; TEXT(BA$6,"yyyymm")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B72" s="8">
        <f>IFERROR(
GETPIVOTDATA(
"[BASE_CONVE_PPTO].[Importe]",
TDinamica_P!$A$5,
"[BASE_CONVE_PPTO].[Periodo]",
"[BASE_CONVE_PPTO].[Periodo].&amp;[" &amp; TEXT(BB$6,"yyyymm")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C72" s="8">
        <f>IFERROR(
GETPIVOTDATA(
"[BASE_CONVE_PPTO].[Importe]",
TDinamica_P!$A$5,
"[BASE_CONVE_PPTO].[Periodo]",
"[BASE_CONVE_PPTO].[Periodo].&amp;[" &amp; TEXT(BC$6,"yyyymm")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D72" s="8">
        <f>IFERROR(
GETPIVOTDATA(
"[BASE_CONVE_PPTO].[Importe]",
TDinamica_P!$A$5,
"[BASE_CONVE_PPTO].[Periodo]",
"[BASE_CONVE_PPTO].[Periodo].&amp;[" &amp; TEXT(BD$6,"yyyymm")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E72" s="8">
        <f>IFERROR(
GETPIVOTDATA(
"[BASE_CONVE_PPTO].[Importe]",
TDinamica_P!$A$5,
"[BASE_CONVE_PPTO].[Periodo]",
"[BASE_CONVE_PPTO].[Periodo].&amp;[" &amp; TEXT(BE$6,"yyyymm")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F72" s="8">
        <f>IFERROR(
GETPIVOTDATA(
"[BASE_CONVE_PPTO].[Importe]",
TDinamica_P!$A$5,
"[BASE_CONVE_PPTO].[Periodo]",
"[BASE_CONVE_PPTO].[Periodo].&amp;[" &amp; TEXT(BF$6,"yyyymm")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G72" s="8">
        <f>IFERROR(
GETPIVOTDATA(
"[BASE_CONVE_PPTO].[Importe]",
TDinamica_P!$A$5,
"[BASE_CONVE_PPTO].[Periodo]",
"[BASE_CONVE_PPTO].[Periodo].&amp;[" &amp; TEXT(BG$6,"yyyymm")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H72" s="8">
        <f>IFERROR(
GETPIVOTDATA(
"[BASE_CONVE_PPTO].[Importe]",
TDinamica_P!$A$5,
"[BASE_CONVE_PPTO].[Periodo]",
"[BASE_CONVE_PPTO].[Periodo].&amp;[" &amp; TEXT(BH$6,"yyyymm")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I72" s="8">
        <f>IFERROR(
GETPIVOTDATA(
"[BASE_CONVE_PPTO].[Importe]",
TDinamica_P!$A$5,
"[BASE_CONVE_PPTO].[Periodo]",
"[BASE_CONVE_PPTO].[Periodo].&amp;[" &amp; TEXT(BI$6,"yyyymm")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J72" s="8">
        <f>IFERROR(
GETPIVOTDATA(
"[BASE_CONVE_PPTO].[Importe]",
TDinamica_P!$A$5,
"[BASE_CONVE_PPTO].[Periodo]",
"[BASE_CONVE_PPTO].[Periodo].&amp;[" &amp; TEXT(BJ$6,"yyyymm")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K72" s="8">
        <f>IFERROR(
GETPIVOTDATA(
"[BASE_CONVE_PPTO].[Importe]",
TDinamica_P!$A$5,
"[BASE_CONVE_PPTO].[Periodo]",
"[BASE_CONVE_PPTO].[Periodo].&amp;[" &amp; TEXT(BK$6,"yyyymm")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O72" s="24">
        <f t="shared" si="198"/>
        <v>0</v>
      </c>
      <c r="BP72" s="24">
        <f t="shared" si="198"/>
        <v>0</v>
      </c>
      <c r="BQ72" s="24">
        <f t="shared" si="198"/>
        <v>0</v>
      </c>
      <c r="BR72" s="24">
        <f t="shared" si="198"/>
        <v>0</v>
      </c>
      <c r="BS72" s="24">
        <f t="shared" si="198"/>
        <v>0</v>
      </c>
      <c r="BT72" s="24">
        <f t="shared" si="198"/>
        <v>0</v>
      </c>
    </row>
    <row r="73" spans="1:72" outlineLevel="1" x14ac:dyDescent="0.25">
      <c r="A73" s="11" t="s">
        <v>71</v>
      </c>
      <c r="C73" s="2"/>
      <c r="D73" s="8">
        <f>IFERROR(
GETPIVOTDATA(
"[Base].[Importe]",
TDinamica_R!$A$5,
"[Calendario].[AñoMes]",
"[Calendario].[AñoMes].&amp;[" &amp; TEXT(D$6,"yyyymm")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E73" s="8">
        <f>IFERROR(
GETPIVOTDATA(
"[Base].[Importe]",
TDinamica_R!$A$5,
"[Calendario].[AñoMes]",
"[Calendario].[AñoMes].&amp;[" &amp; TEXT(E$6,"yyyymm")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F73" s="8">
        <f>IFERROR(
GETPIVOTDATA(
"[Base].[Importe]",
TDinamica_R!$A$5,
"[Calendario].[AñoMes]",
"[Calendario].[AñoMes].&amp;[" &amp; TEXT(F$6,"yyyymm")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G73" s="8">
        <f>IFERROR(
GETPIVOTDATA(
"[Base].[Importe]",
TDinamica_R!$A$5,
"[Calendario].[AñoMes]",
"[Calendario].[AñoMes].&amp;[" &amp; TEXT(G$6,"yyyymm")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H73" s="8">
        <f>IFERROR(
GETPIVOTDATA(
"[Base].[Importe]",
TDinamica_R!$A$5,
"[Calendario].[AñoMes]",
"[Calendario].[AñoMes].&amp;[" &amp; TEXT(H$6,"yyyymm")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I73" s="8">
        <f>IFERROR(
GETPIVOTDATA(
"[Base].[Importe]",
TDinamica_R!$A$5,
"[Calendario].[AñoMes]",
"[Calendario].[AñoMes].&amp;[" &amp; TEXT(I$6,"yyyymm")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J73" s="8">
        <f>IFERROR(
GETPIVOTDATA(
"[Base].[Importe]",
TDinamica_R!$A$5,
"[Calendario].[AñoMes]",
"[Calendario].[AñoMes].&amp;[" &amp; TEXT(J$6,"yyyymm")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K73" s="8">
        <f>IFERROR(
GETPIVOTDATA(
"[Base].[Importe]",
TDinamica_R!$A$5,
"[Calendario].[AñoMes]",
"[Calendario].[AñoMes].&amp;[" &amp; TEXT(K$6,"yyyymm")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L73" s="8">
        <f>IFERROR(
GETPIVOTDATA(
"[Base].[Importe]",
TDinamica_R!$A$5,
"[Calendario].[AñoMes]",
"[Calendario].[AñoMes].&amp;[" &amp; TEXT(L$6,"yyyymm")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M73" s="8">
        <f>IFERROR(
GETPIVOTDATA(
"[Base].[Importe]",
TDinamica_R!$A$5,
"[Calendario].[AñoMes]",
"[Calendario].[AñoMes].&amp;[" &amp; TEXT(M$6,"yyyymm")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N73" s="8">
        <f>IFERROR(
GETPIVOTDATA(
"[Base].[Importe]",
TDinamica_R!$A$5,
"[Calendario].[AñoMes]",
"[Calendario].[AñoMes].&amp;[" &amp; TEXT(N$6,"yyyymm")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O73" s="8">
        <f>IFERROR(
GETPIVOTDATA(
"[Base].[Importe]",
TDinamica_R!$A$5,
"[Calendario].[AñoMes]",
"[Calendario].[AñoMes].&amp;[" &amp; TEXT(O$6,"yyyymm")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P73" s="8">
        <f>IFERROR(
GETPIVOTDATA(
"[Base].[Importe]",
TDinamica_R!$A$5,
"[Calendario].[AñoMes]",
"[Calendario].[AñoMes].&amp;[" &amp; TEXT(P$6,"yyyymm")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Q73" s="8">
        <f>IFERROR(
GETPIVOTDATA(
"[Base].[Importe]",
TDinamica_R!$A$5,
"[Calendario].[AñoMes]",
"[Calendario].[AñoMes].&amp;[" &amp; TEXT(Q$6,"yyyymm")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R73" s="8">
        <f>IFERROR(
GETPIVOTDATA(
"[Base].[Importe]",
TDinamica_R!$A$5,
"[Calendario].[AñoMes]",
"[Calendario].[AñoMes].&amp;[" &amp; TEXT(R$6,"yyyymm")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S73" s="8">
        <f>IFERROR(
GETPIVOTDATA(
"[Base].[Importe]",
TDinamica_R!$A$5,
"[Calendario].[AñoMes]",
"[Calendario].[AñoMes].&amp;[" &amp; TEXT(S$6,"yyyymm")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T73" s="8">
        <f>IFERROR(
GETPIVOTDATA(
"[Base].[Importe]",
TDinamica_R!$A$5,
"[Calendario].[AñoMes]",
"[Calendario].[AñoMes].&amp;[" &amp; TEXT(T$6,"yyyymm")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U73" s="8">
        <f>IFERROR(
GETPIVOTDATA(
"[Base].[Importe]",
TDinamica_R!$A$5,
"[Calendario].[AñoMes]",
"[Calendario].[AñoMes].&amp;[" &amp; TEXT(U$6,"yyyymm")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V73" s="8">
        <f>IFERROR(
GETPIVOTDATA(
"[Base].[Importe]",
TDinamica_R!$A$5,
"[Calendario].[AñoMes]",
"[Calendario].[AñoMes].&amp;[" &amp; TEXT(V$6,"yyyymm")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W73" s="8">
        <f>IFERROR(
GETPIVOTDATA(
"[Base].[Importe]",
TDinamica_R!$A$5,
"[Calendario].[AñoMes]",
"[Calendario].[AñoMes].&amp;[" &amp; TEXT(W$6,"yyyymm")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X73" s="8">
        <f>IFERROR(
GETPIVOTDATA(
"[Base].[Importe]",
TDinamica_R!$A$5,
"[Calendario].[AñoMes]",
"[Calendario].[AñoMes].&amp;[" &amp; TEXT(X$6,"yyyymm")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Y73" s="8">
        <f>IFERROR(
GETPIVOTDATA(
"[Base].[Importe]",
TDinamica_R!$A$5,
"[Calendario].[AñoMes]",
"[Calendario].[AñoMes].&amp;[" &amp; TEXT(Y$6,"yyyymm")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Z73" s="8">
        <f>IFERROR(
GETPIVOTDATA(
"[Base].[Importe]",
TDinamica_R!$A$5,
"[Calendario].[AñoMes]",
"[Calendario].[AñoMes].&amp;[" &amp; TEXT(Z$6,"yyyymm")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A73" s="8">
        <f>IFERROR(
GETPIVOTDATA(
"[Base].[Importe]",
TDinamica_R!$A$5,
"[Calendario].[AñoMes]",
"[Calendario].[AñoMes].&amp;[" &amp; TEXT(AA$6,"yyyymm")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B73" s="8">
        <f>IFERROR(
GETPIVOTDATA(
"[Base].[Importe]",
TDinamica_R!$A$5,
"[Calendario].[AñoMes]",
"[Calendario].[AñoMes].&amp;[" &amp; TEXT(AB$6,"yyyymm")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C73" s="8">
        <f>IFERROR(
GETPIVOTDATA(
"[Base].[Importe]",
TDinamica_R!$A$5,
"[Calendario].[AñoMes]",
"[Calendario].[AñoMes].&amp;[" &amp; TEXT(AC$6,"yyyymm")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D73" s="8">
        <f>IFERROR(
GETPIVOTDATA(
"[Base].[Importe]",
TDinamica_R!$A$5,
"[Calendario].[AñoMes]",
"[Calendario].[AñoMes].&amp;[" &amp; TEXT(AD$6,"yyyymm")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E73" s="8">
        <f>IFERROR(
GETPIVOTDATA(
"[Base].[Importe]",
TDinamica_R!$A$5,
"[Calendario].[AñoMes]",
"[Calendario].[AñoMes].&amp;[" &amp; TEXT(AE$6,"yyyymm")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F73" s="8">
        <f>IFERROR(
GETPIVOTDATA(
"[Base].[Importe]",
TDinamica_R!$A$5,
"[Calendario].[AñoMes]",
"[Calendario].[AñoMes].&amp;[" &amp; TEXT(AF$6,"yyyymm")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G73" s="8">
        <f>IFERROR(
GETPIVOTDATA(
"[Base].[Importe]",
TDinamica_R!$A$5,
"[Calendario].[AñoMes]",
"[Calendario].[AñoMes].&amp;[" &amp; TEXT(AG$6,"yyyymm")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H73" s="8">
        <f>IFERROR(
GETPIVOTDATA(
"[Base].[Importe]",
TDinamica_R!$A$5,
"[Calendario].[AñoMes]",
"[Calendario].[AñoMes].&amp;[" &amp; TEXT(AH$6,"yyyymm")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I73" s="8">
        <f>IFERROR(
GETPIVOTDATA(
"[Base].[Importe]",
TDinamica_R!$A$5,
"[Calendario].[AñoMes]",
"[Calendario].[AñoMes].&amp;[" &amp; TEXT(AI$6,"yyyymm")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J73" s="8">
        <f>IFERROR(
GETPIVOTDATA(
"[Base].[Importe]",
TDinamica_R!$A$5,
"[Calendario].[AñoMes]",
"[Calendario].[AñoMes].&amp;[" &amp; TEXT(AJ$6,"yyyymm")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K73" s="8">
        <f>IFERROR(
GETPIVOTDATA(
"[Base].[Importe]",
TDinamica_R!$A$5,
"[Calendario].[AñoMes]",
"[Calendario].[AñoMes].&amp;[" &amp; TEXT(AK$6,"yyyymm")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L73" s="8">
        <f>IFERROR(
GETPIVOTDATA(
"[Base].[Importe]",
TDinamica_R!$A$5,
"[Calendario].[AñoMes]",
"[Calendario].[AñoMes].&amp;[" &amp; TEXT(AL$6,"yyyymm")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M73" s="8">
        <f>IFERROR(
GETPIVOTDATA(
"[Base].[Importe]",
TDinamica_R!$A$5,
"[Calendario].[AñoMes]",
"[Calendario].[AñoMes].&amp;[" &amp; TEXT(AM$6,"yyyymm")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N73" s="8">
        <f>IFERROR(
GETPIVOTDATA(
"[Base].[Importe]",
TDinamica_R!$A$5,
"[Calendario].[AñoMes]",
"[Calendario].[AñoMes].&amp;[" &amp; TEXT(AN$6,"yyyymm")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O73" s="8">
        <f>IFERROR(
GETPIVOTDATA(
"[Base].[Importe]",
TDinamica_R!$A$5,
"[Calendario].[AñoMes]",
"[Calendario].[AñoMes].&amp;[" &amp; TEXT(AO$6,"yyyymm")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P73" s="8">
        <f>IFERROR(
GETPIVOTDATA(
"[Base].[Importe]",
TDinamica_R!$A$5,
"[Calendario].[AñoMes]",
"[Calendario].[AñoMes].&amp;[" &amp; TEXT(AP$6,"yyyymm")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Q73" s="8">
        <f>IFERROR(
GETPIVOTDATA(
"[Base].[Importe]",
TDinamica_R!$A$5,
"[Calendario].[AñoMes]",
"[Calendario].[AñoMes].&amp;[" &amp; TEXT(AQ$6,"yyyymm")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R73" s="8">
        <f>IFERROR(
GETPIVOTDATA(
"[Base].[Importe]",
TDinamica_R!$A$5,
"[Calendario].[AñoMes]",
"[Calendario].[AñoMes].&amp;[" &amp; TEXT(AR$6,"yyyymm")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S73" s="8">
        <f>IFERROR(
GETPIVOTDATA(
"[Base].[Importe]",
TDinamica_R!$A$5,
"[Calendario].[AñoMes]",
"[Calendario].[AñoMes].&amp;[" &amp; TEXT(AS$6,"yyyymm")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T73" s="8">
        <f>IFERROR(
GETPIVOTDATA(
"[Base].[Importe]",
TDinamica_R!$A$5,
"[Calendario].[AñoMes]",
"[Calendario].[AñoMes].&amp;[" &amp; TEXT(AT$6,"yyyymm")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U73" s="8">
        <f>IFERROR(
GETPIVOTDATA(
"[Base].[Importe]",
TDinamica_R!$A$5,
"[Calendario].[AñoMes]",
"[Calendario].[AñoMes].&amp;[" &amp; TEXT(AU$6,"yyyymm")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V73" s="8">
        <f>IFERROR(
GETPIVOTDATA(
"[Base].[Importe]",
TDinamica_R!$A$5,
"[Calendario].[AñoMes]",
"[Calendario].[AñoMes].&amp;[" &amp; TEXT(AV$6,"yyyymm")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W73" s="8">
        <f>IFERROR(
GETPIVOTDATA(
"[Base].[Importe]",
TDinamica_R!$A$5,
"[Calendario].[AñoMes]",
"[Calendario].[AñoMes].&amp;[" &amp; TEXT(AW$6,"yyyymm")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X73" s="8">
        <f>IFERROR(
GETPIVOTDATA(
"[Base].[Importe]",
TDinamica_R!$A$5,
"[Calendario].[AñoMes]",
"[Calendario].[AñoMes].&amp;[" &amp; TEXT(AX$6,"yyyymm")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Y73" s="8">
        <f>IFERROR(
GETPIVOTDATA(
"[Base].[Importe]",
TDinamica_R!$A$5,
"[Calendario].[AñoMes]",
"[Calendario].[AñoMes].&amp;[" &amp; TEXT(AY$6,"yyyymm")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Z73" s="8">
        <f>IFERROR(
GETPIVOTDATA(
"[BASE_CONVE_PPTO].[Importe]",
TDinamica_P!$A$5,
"[BASE_CONVE_PPTO].[Periodo]",
"[BASE_CONVE_PPTO].[Periodo].&amp;[" &amp; TEXT(AZ$6,"yyyymm")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A73" s="8">
        <f>IFERROR(
GETPIVOTDATA(
"[BASE_CONVE_PPTO].[Importe]",
TDinamica_P!$A$5,
"[BASE_CONVE_PPTO].[Periodo]",
"[BASE_CONVE_PPTO].[Periodo].&amp;[" &amp; TEXT(BA$6,"yyyymm")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B73" s="8">
        <f>IFERROR(
GETPIVOTDATA(
"[BASE_CONVE_PPTO].[Importe]",
TDinamica_P!$A$5,
"[BASE_CONVE_PPTO].[Periodo]",
"[BASE_CONVE_PPTO].[Periodo].&amp;[" &amp; TEXT(BB$6,"yyyymm")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C73" s="8">
        <f>IFERROR(
GETPIVOTDATA(
"[BASE_CONVE_PPTO].[Importe]",
TDinamica_P!$A$5,
"[BASE_CONVE_PPTO].[Periodo]",
"[BASE_CONVE_PPTO].[Periodo].&amp;[" &amp; TEXT(BC$6,"yyyymm")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D73" s="8">
        <f>IFERROR(
GETPIVOTDATA(
"[BASE_CONVE_PPTO].[Importe]",
TDinamica_P!$A$5,
"[BASE_CONVE_PPTO].[Periodo]",
"[BASE_CONVE_PPTO].[Periodo].&amp;[" &amp; TEXT(BD$6,"yyyymm")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E73" s="8">
        <f>IFERROR(
GETPIVOTDATA(
"[BASE_CONVE_PPTO].[Importe]",
TDinamica_P!$A$5,
"[BASE_CONVE_PPTO].[Periodo]",
"[BASE_CONVE_PPTO].[Periodo].&amp;[" &amp; TEXT(BE$6,"yyyymm")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F73" s="8">
        <f>IFERROR(
GETPIVOTDATA(
"[BASE_CONVE_PPTO].[Importe]",
TDinamica_P!$A$5,
"[BASE_CONVE_PPTO].[Periodo]",
"[BASE_CONVE_PPTO].[Periodo].&amp;[" &amp; TEXT(BF$6,"yyyymm")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G73" s="8">
        <f>IFERROR(
GETPIVOTDATA(
"[BASE_CONVE_PPTO].[Importe]",
TDinamica_P!$A$5,
"[BASE_CONVE_PPTO].[Periodo]",
"[BASE_CONVE_PPTO].[Periodo].&amp;[" &amp; TEXT(BG$6,"yyyymm")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H73" s="8">
        <f>IFERROR(
GETPIVOTDATA(
"[BASE_CONVE_PPTO].[Importe]",
TDinamica_P!$A$5,
"[BASE_CONVE_PPTO].[Periodo]",
"[BASE_CONVE_PPTO].[Periodo].&amp;[" &amp; TEXT(BH$6,"yyyymm")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I73" s="8">
        <f>IFERROR(
GETPIVOTDATA(
"[BASE_CONVE_PPTO].[Importe]",
TDinamica_P!$A$5,
"[BASE_CONVE_PPTO].[Periodo]",
"[BASE_CONVE_PPTO].[Periodo].&amp;[" &amp; TEXT(BI$6,"yyyymm")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J73" s="8">
        <f>IFERROR(
GETPIVOTDATA(
"[BASE_CONVE_PPTO].[Importe]",
TDinamica_P!$A$5,
"[BASE_CONVE_PPTO].[Periodo]",
"[BASE_CONVE_PPTO].[Periodo].&amp;[" &amp; TEXT(BJ$6,"yyyymm")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K73" s="8">
        <f>IFERROR(
GETPIVOTDATA(
"[BASE_CONVE_PPTO].[Importe]",
TDinamica_P!$A$5,
"[BASE_CONVE_PPTO].[Periodo]",
"[BASE_CONVE_PPTO].[Periodo].&amp;[" &amp; TEXT(BK$6,"yyyymm")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O73" s="24">
        <f t="shared" ref="BO73:BT82" si="199">SUMIFS($D73:$BM73,$D$6:$BM$6,"&gt;="&amp;BO$2,$D$6:$BM$6,"&lt;="&amp;BO$6,$D$5:$BM$5,BO$5)</f>
        <v>0</v>
      </c>
      <c r="BP73" s="24">
        <f t="shared" si="199"/>
        <v>0</v>
      </c>
      <c r="BQ73" s="24">
        <f t="shared" si="199"/>
        <v>0</v>
      </c>
      <c r="BR73" s="24">
        <f t="shared" si="199"/>
        <v>0</v>
      </c>
      <c r="BS73" s="24">
        <f t="shared" si="199"/>
        <v>0</v>
      </c>
      <c r="BT73" s="24">
        <f t="shared" si="199"/>
        <v>0</v>
      </c>
    </row>
    <row r="74" spans="1:72" outlineLevel="1" x14ac:dyDescent="0.25">
      <c r="A74" s="11" t="s">
        <v>71</v>
      </c>
      <c r="C74" s="2"/>
      <c r="D74" s="8">
        <f>IFERROR(
GETPIVOTDATA(
"[Base].[Importe]",
TDinamica_R!$A$5,
"[Calendario].[AñoMes]",
"[Calendario].[AñoMes].&amp;[" &amp; TEXT(D$6,"yyyymm")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E74" s="8">
        <f>IFERROR(
GETPIVOTDATA(
"[Base].[Importe]",
TDinamica_R!$A$5,
"[Calendario].[AñoMes]",
"[Calendario].[AñoMes].&amp;[" &amp; TEXT(E$6,"yyyymm")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F74" s="8">
        <f>IFERROR(
GETPIVOTDATA(
"[Base].[Importe]",
TDinamica_R!$A$5,
"[Calendario].[AñoMes]",
"[Calendario].[AñoMes].&amp;[" &amp; TEXT(F$6,"yyyymm")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G74" s="8">
        <f>IFERROR(
GETPIVOTDATA(
"[Base].[Importe]",
TDinamica_R!$A$5,
"[Calendario].[AñoMes]",
"[Calendario].[AñoMes].&amp;[" &amp; TEXT(G$6,"yyyymm")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H74" s="8">
        <f>IFERROR(
GETPIVOTDATA(
"[Base].[Importe]",
TDinamica_R!$A$5,
"[Calendario].[AñoMes]",
"[Calendario].[AñoMes].&amp;[" &amp; TEXT(H$6,"yyyymm")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I74" s="8">
        <f>IFERROR(
GETPIVOTDATA(
"[Base].[Importe]",
TDinamica_R!$A$5,
"[Calendario].[AñoMes]",
"[Calendario].[AñoMes].&amp;[" &amp; TEXT(I$6,"yyyymm")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J74" s="8">
        <f>IFERROR(
GETPIVOTDATA(
"[Base].[Importe]",
TDinamica_R!$A$5,
"[Calendario].[AñoMes]",
"[Calendario].[AñoMes].&amp;[" &amp; TEXT(J$6,"yyyymm")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K74" s="8">
        <f>IFERROR(
GETPIVOTDATA(
"[Base].[Importe]",
TDinamica_R!$A$5,
"[Calendario].[AñoMes]",
"[Calendario].[AñoMes].&amp;[" &amp; TEXT(K$6,"yyyymm")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L74" s="8">
        <f>IFERROR(
GETPIVOTDATA(
"[Base].[Importe]",
TDinamica_R!$A$5,
"[Calendario].[AñoMes]",
"[Calendario].[AñoMes].&amp;[" &amp; TEXT(L$6,"yyyymm")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M74" s="8">
        <f>IFERROR(
GETPIVOTDATA(
"[Base].[Importe]",
TDinamica_R!$A$5,
"[Calendario].[AñoMes]",
"[Calendario].[AñoMes].&amp;[" &amp; TEXT(M$6,"yyyymm")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N74" s="8">
        <f>IFERROR(
GETPIVOTDATA(
"[Base].[Importe]",
TDinamica_R!$A$5,
"[Calendario].[AñoMes]",
"[Calendario].[AñoMes].&amp;[" &amp; TEXT(N$6,"yyyymm")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O74" s="8">
        <f>IFERROR(
GETPIVOTDATA(
"[Base].[Importe]",
TDinamica_R!$A$5,
"[Calendario].[AñoMes]",
"[Calendario].[AñoMes].&amp;[" &amp; TEXT(O$6,"yyyymm")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P74" s="8">
        <f>IFERROR(
GETPIVOTDATA(
"[Base].[Importe]",
TDinamica_R!$A$5,
"[Calendario].[AñoMes]",
"[Calendario].[AñoMes].&amp;[" &amp; TEXT(P$6,"yyyymm")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Q74" s="8">
        <f>IFERROR(
GETPIVOTDATA(
"[Base].[Importe]",
TDinamica_R!$A$5,
"[Calendario].[AñoMes]",
"[Calendario].[AñoMes].&amp;[" &amp; TEXT(Q$6,"yyyymm")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R74" s="8">
        <f>IFERROR(
GETPIVOTDATA(
"[Base].[Importe]",
TDinamica_R!$A$5,
"[Calendario].[AñoMes]",
"[Calendario].[AñoMes].&amp;[" &amp; TEXT(R$6,"yyyymm")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S74" s="8">
        <f>IFERROR(
GETPIVOTDATA(
"[Base].[Importe]",
TDinamica_R!$A$5,
"[Calendario].[AñoMes]",
"[Calendario].[AñoMes].&amp;[" &amp; TEXT(S$6,"yyyymm")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T74" s="8">
        <f>IFERROR(
GETPIVOTDATA(
"[Base].[Importe]",
TDinamica_R!$A$5,
"[Calendario].[AñoMes]",
"[Calendario].[AñoMes].&amp;[" &amp; TEXT(T$6,"yyyymm")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U74" s="8">
        <f>IFERROR(
GETPIVOTDATA(
"[Base].[Importe]",
TDinamica_R!$A$5,
"[Calendario].[AñoMes]",
"[Calendario].[AñoMes].&amp;[" &amp; TEXT(U$6,"yyyymm")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V74" s="8">
        <f>IFERROR(
GETPIVOTDATA(
"[Base].[Importe]",
TDinamica_R!$A$5,
"[Calendario].[AñoMes]",
"[Calendario].[AñoMes].&amp;[" &amp; TEXT(V$6,"yyyymm")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W74" s="8">
        <f>IFERROR(
GETPIVOTDATA(
"[Base].[Importe]",
TDinamica_R!$A$5,
"[Calendario].[AñoMes]",
"[Calendario].[AñoMes].&amp;[" &amp; TEXT(W$6,"yyyymm")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X74" s="8">
        <f>IFERROR(
GETPIVOTDATA(
"[Base].[Importe]",
TDinamica_R!$A$5,
"[Calendario].[AñoMes]",
"[Calendario].[AñoMes].&amp;[" &amp; TEXT(X$6,"yyyymm")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Y74" s="8">
        <f>IFERROR(
GETPIVOTDATA(
"[Base].[Importe]",
TDinamica_R!$A$5,
"[Calendario].[AñoMes]",
"[Calendario].[AñoMes].&amp;[" &amp; TEXT(Y$6,"yyyymm")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Z74" s="8">
        <f>IFERROR(
GETPIVOTDATA(
"[Base].[Importe]",
TDinamica_R!$A$5,
"[Calendario].[AñoMes]",
"[Calendario].[AñoMes].&amp;[" &amp; TEXT(Z$6,"yyyymm")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A74" s="8">
        <f>IFERROR(
GETPIVOTDATA(
"[Base].[Importe]",
TDinamica_R!$A$5,
"[Calendario].[AñoMes]",
"[Calendario].[AñoMes].&amp;[" &amp; TEXT(AA$6,"yyyymm")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B74" s="8">
        <f>IFERROR(
GETPIVOTDATA(
"[Base].[Importe]",
TDinamica_R!$A$5,
"[Calendario].[AñoMes]",
"[Calendario].[AñoMes].&amp;[" &amp; TEXT(AB$6,"yyyymm")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C74" s="8">
        <f>IFERROR(
GETPIVOTDATA(
"[Base].[Importe]",
TDinamica_R!$A$5,
"[Calendario].[AñoMes]",
"[Calendario].[AñoMes].&amp;[" &amp; TEXT(AC$6,"yyyymm")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D74" s="8">
        <f>IFERROR(
GETPIVOTDATA(
"[Base].[Importe]",
TDinamica_R!$A$5,
"[Calendario].[AñoMes]",
"[Calendario].[AñoMes].&amp;[" &amp; TEXT(AD$6,"yyyymm")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E74" s="8">
        <f>IFERROR(
GETPIVOTDATA(
"[Base].[Importe]",
TDinamica_R!$A$5,
"[Calendario].[AñoMes]",
"[Calendario].[AñoMes].&amp;[" &amp; TEXT(AE$6,"yyyymm")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F74" s="8">
        <f>IFERROR(
GETPIVOTDATA(
"[Base].[Importe]",
TDinamica_R!$A$5,
"[Calendario].[AñoMes]",
"[Calendario].[AñoMes].&amp;[" &amp; TEXT(AF$6,"yyyymm")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G74" s="8">
        <f>IFERROR(
GETPIVOTDATA(
"[Base].[Importe]",
TDinamica_R!$A$5,
"[Calendario].[AñoMes]",
"[Calendario].[AñoMes].&amp;[" &amp; TEXT(AG$6,"yyyymm")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H74" s="8">
        <f>IFERROR(
GETPIVOTDATA(
"[Base].[Importe]",
TDinamica_R!$A$5,
"[Calendario].[AñoMes]",
"[Calendario].[AñoMes].&amp;[" &amp; TEXT(AH$6,"yyyymm")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I74" s="8">
        <f>IFERROR(
GETPIVOTDATA(
"[Base].[Importe]",
TDinamica_R!$A$5,
"[Calendario].[AñoMes]",
"[Calendario].[AñoMes].&amp;[" &amp; TEXT(AI$6,"yyyymm")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J74" s="8">
        <f>IFERROR(
GETPIVOTDATA(
"[Base].[Importe]",
TDinamica_R!$A$5,
"[Calendario].[AñoMes]",
"[Calendario].[AñoMes].&amp;[" &amp; TEXT(AJ$6,"yyyymm")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K74" s="8">
        <f>IFERROR(
GETPIVOTDATA(
"[Base].[Importe]",
TDinamica_R!$A$5,
"[Calendario].[AñoMes]",
"[Calendario].[AñoMes].&amp;[" &amp; TEXT(AK$6,"yyyymm")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L74" s="8">
        <f>IFERROR(
GETPIVOTDATA(
"[Base].[Importe]",
TDinamica_R!$A$5,
"[Calendario].[AñoMes]",
"[Calendario].[AñoMes].&amp;[" &amp; TEXT(AL$6,"yyyymm")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M74" s="8">
        <f>IFERROR(
GETPIVOTDATA(
"[Base].[Importe]",
TDinamica_R!$A$5,
"[Calendario].[AñoMes]",
"[Calendario].[AñoMes].&amp;[" &amp; TEXT(AM$6,"yyyymm")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N74" s="8">
        <f>IFERROR(
GETPIVOTDATA(
"[Base].[Importe]",
TDinamica_R!$A$5,
"[Calendario].[AñoMes]",
"[Calendario].[AñoMes].&amp;[" &amp; TEXT(AN$6,"yyyymm")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O74" s="8">
        <f>IFERROR(
GETPIVOTDATA(
"[Base].[Importe]",
TDinamica_R!$A$5,
"[Calendario].[AñoMes]",
"[Calendario].[AñoMes].&amp;[" &amp; TEXT(AO$6,"yyyymm")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P74" s="8">
        <f>IFERROR(
GETPIVOTDATA(
"[Base].[Importe]",
TDinamica_R!$A$5,
"[Calendario].[AñoMes]",
"[Calendario].[AñoMes].&amp;[" &amp; TEXT(AP$6,"yyyymm")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Q74" s="8">
        <f>IFERROR(
GETPIVOTDATA(
"[Base].[Importe]",
TDinamica_R!$A$5,
"[Calendario].[AñoMes]",
"[Calendario].[AñoMes].&amp;[" &amp; TEXT(AQ$6,"yyyymm")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R74" s="8">
        <f>IFERROR(
GETPIVOTDATA(
"[Base].[Importe]",
TDinamica_R!$A$5,
"[Calendario].[AñoMes]",
"[Calendario].[AñoMes].&amp;[" &amp; TEXT(AR$6,"yyyymm")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S74" s="8">
        <f>IFERROR(
GETPIVOTDATA(
"[Base].[Importe]",
TDinamica_R!$A$5,
"[Calendario].[AñoMes]",
"[Calendario].[AñoMes].&amp;[" &amp; TEXT(AS$6,"yyyymm")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T74" s="8">
        <f>IFERROR(
GETPIVOTDATA(
"[Base].[Importe]",
TDinamica_R!$A$5,
"[Calendario].[AñoMes]",
"[Calendario].[AñoMes].&amp;[" &amp; TEXT(AT$6,"yyyymm")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U74" s="8">
        <f>IFERROR(
GETPIVOTDATA(
"[Base].[Importe]",
TDinamica_R!$A$5,
"[Calendario].[AñoMes]",
"[Calendario].[AñoMes].&amp;[" &amp; TEXT(AU$6,"yyyymm")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V74" s="8">
        <f>IFERROR(
GETPIVOTDATA(
"[Base].[Importe]",
TDinamica_R!$A$5,
"[Calendario].[AñoMes]",
"[Calendario].[AñoMes].&amp;[" &amp; TEXT(AV$6,"yyyymm")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W74" s="8">
        <f>IFERROR(
GETPIVOTDATA(
"[Base].[Importe]",
TDinamica_R!$A$5,
"[Calendario].[AñoMes]",
"[Calendario].[AñoMes].&amp;[" &amp; TEXT(AW$6,"yyyymm")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X74" s="8">
        <f>IFERROR(
GETPIVOTDATA(
"[Base].[Importe]",
TDinamica_R!$A$5,
"[Calendario].[AñoMes]",
"[Calendario].[AñoMes].&amp;[" &amp; TEXT(AX$6,"yyyymm")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Y74" s="8">
        <f>IFERROR(
GETPIVOTDATA(
"[Base].[Importe]",
TDinamica_R!$A$5,
"[Calendario].[AñoMes]",
"[Calendario].[AñoMes].&amp;[" &amp; TEXT(AY$6,"yyyymm")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Z74" s="8">
        <f>IFERROR(
GETPIVOTDATA(
"[BASE_CONVE_PPTO].[Importe]",
TDinamica_P!$A$5,
"[BASE_CONVE_PPTO].[Periodo]",
"[BASE_CONVE_PPTO].[Periodo].&amp;[" &amp; TEXT(AZ$6,"yyyymm")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A74" s="8">
        <f>IFERROR(
GETPIVOTDATA(
"[BASE_CONVE_PPTO].[Importe]",
TDinamica_P!$A$5,
"[BASE_CONVE_PPTO].[Periodo]",
"[BASE_CONVE_PPTO].[Periodo].&amp;[" &amp; TEXT(BA$6,"yyyymm")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B74" s="8">
        <f>IFERROR(
GETPIVOTDATA(
"[BASE_CONVE_PPTO].[Importe]",
TDinamica_P!$A$5,
"[BASE_CONVE_PPTO].[Periodo]",
"[BASE_CONVE_PPTO].[Periodo].&amp;[" &amp; TEXT(BB$6,"yyyymm")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C74" s="8">
        <f>IFERROR(
GETPIVOTDATA(
"[BASE_CONVE_PPTO].[Importe]",
TDinamica_P!$A$5,
"[BASE_CONVE_PPTO].[Periodo]",
"[BASE_CONVE_PPTO].[Periodo].&amp;[" &amp; TEXT(BC$6,"yyyymm")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D74" s="8">
        <f>IFERROR(
GETPIVOTDATA(
"[BASE_CONVE_PPTO].[Importe]",
TDinamica_P!$A$5,
"[BASE_CONVE_PPTO].[Periodo]",
"[BASE_CONVE_PPTO].[Periodo].&amp;[" &amp; TEXT(BD$6,"yyyymm")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E74" s="8">
        <f>IFERROR(
GETPIVOTDATA(
"[BASE_CONVE_PPTO].[Importe]",
TDinamica_P!$A$5,
"[BASE_CONVE_PPTO].[Periodo]",
"[BASE_CONVE_PPTO].[Periodo].&amp;[" &amp; TEXT(BE$6,"yyyymm")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F74" s="8">
        <f>IFERROR(
GETPIVOTDATA(
"[BASE_CONVE_PPTO].[Importe]",
TDinamica_P!$A$5,
"[BASE_CONVE_PPTO].[Periodo]",
"[BASE_CONVE_PPTO].[Periodo].&amp;[" &amp; TEXT(BF$6,"yyyymm")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G74" s="8">
        <f>IFERROR(
GETPIVOTDATA(
"[BASE_CONVE_PPTO].[Importe]",
TDinamica_P!$A$5,
"[BASE_CONVE_PPTO].[Periodo]",
"[BASE_CONVE_PPTO].[Periodo].&amp;[" &amp; TEXT(BG$6,"yyyymm")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H74" s="8">
        <f>IFERROR(
GETPIVOTDATA(
"[BASE_CONVE_PPTO].[Importe]",
TDinamica_P!$A$5,
"[BASE_CONVE_PPTO].[Periodo]",
"[BASE_CONVE_PPTO].[Periodo].&amp;[" &amp; TEXT(BH$6,"yyyymm")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I74" s="8">
        <f>IFERROR(
GETPIVOTDATA(
"[BASE_CONVE_PPTO].[Importe]",
TDinamica_P!$A$5,
"[BASE_CONVE_PPTO].[Periodo]",
"[BASE_CONVE_PPTO].[Periodo].&amp;[" &amp; TEXT(BI$6,"yyyymm")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J74" s="8">
        <f>IFERROR(
GETPIVOTDATA(
"[BASE_CONVE_PPTO].[Importe]",
TDinamica_P!$A$5,
"[BASE_CONVE_PPTO].[Periodo]",
"[BASE_CONVE_PPTO].[Periodo].&amp;[" &amp; TEXT(BJ$6,"yyyymm")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K74" s="8">
        <f>IFERROR(
GETPIVOTDATA(
"[BASE_CONVE_PPTO].[Importe]",
TDinamica_P!$A$5,
"[BASE_CONVE_PPTO].[Periodo]",
"[BASE_CONVE_PPTO].[Periodo].&amp;[" &amp; TEXT(BK$6,"yyyymm")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O74" s="24">
        <f t="shared" si="199"/>
        <v>0</v>
      </c>
      <c r="BP74" s="24">
        <f t="shared" si="199"/>
        <v>0</v>
      </c>
      <c r="BQ74" s="24">
        <f t="shared" si="199"/>
        <v>0</v>
      </c>
      <c r="BR74" s="24">
        <f t="shared" si="199"/>
        <v>0</v>
      </c>
      <c r="BS74" s="24">
        <f t="shared" si="199"/>
        <v>0</v>
      </c>
      <c r="BT74" s="24">
        <f t="shared" si="199"/>
        <v>0</v>
      </c>
    </row>
    <row r="75" spans="1:72" outlineLevel="1" x14ac:dyDescent="0.25">
      <c r="A75" s="11" t="s">
        <v>71</v>
      </c>
      <c r="C75" s="2"/>
      <c r="D75" s="8">
        <f>IFERROR(
GETPIVOTDATA(
"[Base].[Importe]",
TDinamica_R!$A$5,
"[Calendario].[AñoMes]",
"[Calendario].[AñoMes].&amp;[" &amp; TEXT(D$6,"yyyymm")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E75" s="8">
        <f>IFERROR(
GETPIVOTDATA(
"[Base].[Importe]",
TDinamica_R!$A$5,
"[Calendario].[AñoMes]",
"[Calendario].[AñoMes].&amp;[" &amp; TEXT(E$6,"yyyymm")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F75" s="8">
        <f>IFERROR(
GETPIVOTDATA(
"[Base].[Importe]",
TDinamica_R!$A$5,
"[Calendario].[AñoMes]",
"[Calendario].[AñoMes].&amp;[" &amp; TEXT(F$6,"yyyymm")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G75" s="8">
        <f>IFERROR(
GETPIVOTDATA(
"[Base].[Importe]",
TDinamica_R!$A$5,
"[Calendario].[AñoMes]",
"[Calendario].[AñoMes].&amp;[" &amp; TEXT(G$6,"yyyymm")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H75" s="8">
        <f>IFERROR(
GETPIVOTDATA(
"[Base].[Importe]",
TDinamica_R!$A$5,
"[Calendario].[AñoMes]",
"[Calendario].[AñoMes].&amp;[" &amp; TEXT(H$6,"yyyymm")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I75" s="8">
        <f>IFERROR(
GETPIVOTDATA(
"[Base].[Importe]",
TDinamica_R!$A$5,
"[Calendario].[AñoMes]",
"[Calendario].[AñoMes].&amp;[" &amp; TEXT(I$6,"yyyymm")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J75" s="8">
        <f>IFERROR(
GETPIVOTDATA(
"[Base].[Importe]",
TDinamica_R!$A$5,
"[Calendario].[AñoMes]",
"[Calendario].[AñoMes].&amp;[" &amp; TEXT(J$6,"yyyymm")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K75" s="8">
        <f>IFERROR(
GETPIVOTDATA(
"[Base].[Importe]",
TDinamica_R!$A$5,
"[Calendario].[AñoMes]",
"[Calendario].[AñoMes].&amp;[" &amp; TEXT(K$6,"yyyymm")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L75" s="8">
        <f>IFERROR(
GETPIVOTDATA(
"[Base].[Importe]",
TDinamica_R!$A$5,
"[Calendario].[AñoMes]",
"[Calendario].[AñoMes].&amp;[" &amp; TEXT(L$6,"yyyymm")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M75" s="8">
        <f>IFERROR(
GETPIVOTDATA(
"[Base].[Importe]",
TDinamica_R!$A$5,
"[Calendario].[AñoMes]",
"[Calendario].[AñoMes].&amp;[" &amp; TEXT(M$6,"yyyymm")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N75" s="8">
        <f>IFERROR(
GETPIVOTDATA(
"[Base].[Importe]",
TDinamica_R!$A$5,
"[Calendario].[AñoMes]",
"[Calendario].[AñoMes].&amp;[" &amp; TEXT(N$6,"yyyymm")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O75" s="8">
        <f>IFERROR(
GETPIVOTDATA(
"[Base].[Importe]",
TDinamica_R!$A$5,
"[Calendario].[AñoMes]",
"[Calendario].[AñoMes].&amp;[" &amp; TEXT(O$6,"yyyymm")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P75" s="8">
        <f>IFERROR(
GETPIVOTDATA(
"[Base].[Importe]",
TDinamica_R!$A$5,
"[Calendario].[AñoMes]",
"[Calendario].[AñoMes].&amp;[" &amp; TEXT(P$6,"yyyymm")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Q75" s="8">
        <f>IFERROR(
GETPIVOTDATA(
"[Base].[Importe]",
TDinamica_R!$A$5,
"[Calendario].[AñoMes]",
"[Calendario].[AñoMes].&amp;[" &amp; TEXT(Q$6,"yyyymm")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R75" s="8">
        <f>IFERROR(
GETPIVOTDATA(
"[Base].[Importe]",
TDinamica_R!$A$5,
"[Calendario].[AñoMes]",
"[Calendario].[AñoMes].&amp;[" &amp; TEXT(R$6,"yyyymm")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S75" s="8">
        <f>IFERROR(
GETPIVOTDATA(
"[Base].[Importe]",
TDinamica_R!$A$5,
"[Calendario].[AñoMes]",
"[Calendario].[AñoMes].&amp;[" &amp; TEXT(S$6,"yyyymm")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T75" s="8">
        <f>IFERROR(
GETPIVOTDATA(
"[Base].[Importe]",
TDinamica_R!$A$5,
"[Calendario].[AñoMes]",
"[Calendario].[AñoMes].&amp;[" &amp; TEXT(T$6,"yyyymm")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U75" s="8">
        <f>IFERROR(
GETPIVOTDATA(
"[Base].[Importe]",
TDinamica_R!$A$5,
"[Calendario].[AñoMes]",
"[Calendario].[AñoMes].&amp;[" &amp; TEXT(U$6,"yyyymm")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V75" s="8">
        <f>IFERROR(
GETPIVOTDATA(
"[Base].[Importe]",
TDinamica_R!$A$5,
"[Calendario].[AñoMes]",
"[Calendario].[AñoMes].&amp;[" &amp; TEXT(V$6,"yyyymm")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W75" s="8">
        <f>IFERROR(
GETPIVOTDATA(
"[Base].[Importe]",
TDinamica_R!$A$5,
"[Calendario].[AñoMes]",
"[Calendario].[AñoMes].&amp;[" &amp; TEXT(W$6,"yyyymm")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X75" s="8">
        <f>IFERROR(
GETPIVOTDATA(
"[Base].[Importe]",
TDinamica_R!$A$5,
"[Calendario].[AñoMes]",
"[Calendario].[AñoMes].&amp;[" &amp; TEXT(X$6,"yyyymm")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Y75" s="8">
        <f>IFERROR(
GETPIVOTDATA(
"[Base].[Importe]",
TDinamica_R!$A$5,
"[Calendario].[AñoMes]",
"[Calendario].[AñoMes].&amp;[" &amp; TEXT(Y$6,"yyyymm")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Z75" s="8">
        <f>IFERROR(
GETPIVOTDATA(
"[Base].[Importe]",
TDinamica_R!$A$5,
"[Calendario].[AñoMes]",
"[Calendario].[AñoMes].&amp;[" &amp; TEXT(Z$6,"yyyymm")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A75" s="8">
        <f>IFERROR(
GETPIVOTDATA(
"[Base].[Importe]",
TDinamica_R!$A$5,
"[Calendario].[AñoMes]",
"[Calendario].[AñoMes].&amp;[" &amp; TEXT(AA$6,"yyyymm")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B75" s="8">
        <f>IFERROR(
GETPIVOTDATA(
"[Base].[Importe]",
TDinamica_R!$A$5,
"[Calendario].[AñoMes]",
"[Calendario].[AñoMes].&amp;[" &amp; TEXT(AB$6,"yyyymm")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C75" s="8">
        <f>IFERROR(
GETPIVOTDATA(
"[Base].[Importe]",
TDinamica_R!$A$5,
"[Calendario].[AñoMes]",
"[Calendario].[AñoMes].&amp;[" &amp; TEXT(AC$6,"yyyymm")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D75" s="8">
        <f>IFERROR(
GETPIVOTDATA(
"[Base].[Importe]",
TDinamica_R!$A$5,
"[Calendario].[AñoMes]",
"[Calendario].[AñoMes].&amp;[" &amp; TEXT(AD$6,"yyyymm")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E75" s="8">
        <f>IFERROR(
GETPIVOTDATA(
"[Base].[Importe]",
TDinamica_R!$A$5,
"[Calendario].[AñoMes]",
"[Calendario].[AñoMes].&amp;[" &amp; TEXT(AE$6,"yyyymm")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F75" s="8">
        <f>IFERROR(
GETPIVOTDATA(
"[Base].[Importe]",
TDinamica_R!$A$5,
"[Calendario].[AñoMes]",
"[Calendario].[AñoMes].&amp;[" &amp; TEXT(AF$6,"yyyymm")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G75" s="8">
        <f>IFERROR(
GETPIVOTDATA(
"[Base].[Importe]",
TDinamica_R!$A$5,
"[Calendario].[AñoMes]",
"[Calendario].[AñoMes].&amp;[" &amp; TEXT(AG$6,"yyyymm")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H75" s="8">
        <f>IFERROR(
GETPIVOTDATA(
"[Base].[Importe]",
TDinamica_R!$A$5,
"[Calendario].[AñoMes]",
"[Calendario].[AñoMes].&amp;[" &amp; TEXT(AH$6,"yyyymm")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I75" s="8">
        <f>IFERROR(
GETPIVOTDATA(
"[Base].[Importe]",
TDinamica_R!$A$5,
"[Calendario].[AñoMes]",
"[Calendario].[AñoMes].&amp;[" &amp; TEXT(AI$6,"yyyymm")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J75" s="8">
        <f>IFERROR(
GETPIVOTDATA(
"[Base].[Importe]",
TDinamica_R!$A$5,
"[Calendario].[AñoMes]",
"[Calendario].[AñoMes].&amp;[" &amp; TEXT(AJ$6,"yyyymm")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K75" s="8">
        <f>IFERROR(
GETPIVOTDATA(
"[Base].[Importe]",
TDinamica_R!$A$5,
"[Calendario].[AñoMes]",
"[Calendario].[AñoMes].&amp;[" &amp; TEXT(AK$6,"yyyymm")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L75" s="8">
        <f>IFERROR(
GETPIVOTDATA(
"[Base].[Importe]",
TDinamica_R!$A$5,
"[Calendario].[AñoMes]",
"[Calendario].[AñoMes].&amp;[" &amp; TEXT(AL$6,"yyyymm")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M75" s="8">
        <f>IFERROR(
GETPIVOTDATA(
"[Base].[Importe]",
TDinamica_R!$A$5,
"[Calendario].[AñoMes]",
"[Calendario].[AñoMes].&amp;[" &amp; TEXT(AM$6,"yyyymm")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N75" s="8">
        <f>IFERROR(
GETPIVOTDATA(
"[Base].[Importe]",
TDinamica_R!$A$5,
"[Calendario].[AñoMes]",
"[Calendario].[AñoMes].&amp;[" &amp; TEXT(AN$6,"yyyymm")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O75" s="8">
        <f>IFERROR(
GETPIVOTDATA(
"[Base].[Importe]",
TDinamica_R!$A$5,
"[Calendario].[AñoMes]",
"[Calendario].[AñoMes].&amp;[" &amp; TEXT(AO$6,"yyyymm")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P75" s="8">
        <f>IFERROR(
GETPIVOTDATA(
"[Base].[Importe]",
TDinamica_R!$A$5,
"[Calendario].[AñoMes]",
"[Calendario].[AñoMes].&amp;[" &amp; TEXT(AP$6,"yyyymm")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Q75" s="8">
        <f>IFERROR(
GETPIVOTDATA(
"[Base].[Importe]",
TDinamica_R!$A$5,
"[Calendario].[AñoMes]",
"[Calendario].[AñoMes].&amp;[" &amp; TEXT(AQ$6,"yyyymm")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R75" s="8">
        <f>IFERROR(
GETPIVOTDATA(
"[Base].[Importe]",
TDinamica_R!$A$5,
"[Calendario].[AñoMes]",
"[Calendario].[AñoMes].&amp;[" &amp; TEXT(AR$6,"yyyymm")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S75" s="8">
        <f>IFERROR(
GETPIVOTDATA(
"[Base].[Importe]",
TDinamica_R!$A$5,
"[Calendario].[AñoMes]",
"[Calendario].[AñoMes].&amp;[" &amp; TEXT(AS$6,"yyyymm")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T75" s="8">
        <f>IFERROR(
GETPIVOTDATA(
"[Base].[Importe]",
TDinamica_R!$A$5,
"[Calendario].[AñoMes]",
"[Calendario].[AñoMes].&amp;[" &amp; TEXT(AT$6,"yyyymm")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U75" s="8">
        <f>IFERROR(
GETPIVOTDATA(
"[Base].[Importe]",
TDinamica_R!$A$5,
"[Calendario].[AñoMes]",
"[Calendario].[AñoMes].&amp;[" &amp; TEXT(AU$6,"yyyymm")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V75" s="8">
        <f>IFERROR(
GETPIVOTDATA(
"[Base].[Importe]",
TDinamica_R!$A$5,
"[Calendario].[AñoMes]",
"[Calendario].[AñoMes].&amp;[" &amp; TEXT(AV$6,"yyyymm")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W75" s="8">
        <f>IFERROR(
GETPIVOTDATA(
"[Base].[Importe]",
TDinamica_R!$A$5,
"[Calendario].[AñoMes]",
"[Calendario].[AñoMes].&amp;[" &amp; TEXT(AW$6,"yyyymm")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X75" s="8">
        <f>IFERROR(
GETPIVOTDATA(
"[Base].[Importe]",
TDinamica_R!$A$5,
"[Calendario].[AñoMes]",
"[Calendario].[AñoMes].&amp;[" &amp; TEXT(AX$6,"yyyymm")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Y75" s="8">
        <f>IFERROR(
GETPIVOTDATA(
"[Base].[Importe]",
TDinamica_R!$A$5,
"[Calendario].[AñoMes]",
"[Calendario].[AñoMes].&amp;[" &amp; TEXT(AY$6,"yyyymm")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Z75" s="8">
        <f>IFERROR(
GETPIVOTDATA(
"[BASE_CONVE_PPTO].[Importe]",
TDinamica_P!$A$5,
"[BASE_CONVE_PPTO].[Periodo]",
"[BASE_CONVE_PPTO].[Periodo].&amp;[" &amp; TEXT(AZ$6,"yyyymm")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A75" s="8">
        <f>IFERROR(
GETPIVOTDATA(
"[BASE_CONVE_PPTO].[Importe]",
TDinamica_P!$A$5,
"[BASE_CONVE_PPTO].[Periodo]",
"[BASE_CONVE_PPTO].[Periodo].&amp;[" &amp; TEXT(BA$6,"yyyymm")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B75" s="8">
        <f>IFERROR(
GETPIVOTDATA(
"[BASE_CONVE_PPTO].[Importe]",
TDinamica_P!$A$5,
"[BASE_CONVE_PPTO].[Periodo]",
"[BASE_CONVE_PPTO].[Periodo].&amp;[" &amp; TEXT(BB$6,"yyyymm")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C75" s="8">
        <f>IFERROR(
GETPIVOTDATA(
"[BASE_CONVE_PPTO].[Importe]",
TDinamica_P!$A$5,
"[BASE_CONVE_PPTO].[Periodo]",
"[BASE_CONVE_PPTO].[Periodo].&amp;[" &amp; TEXT(BC$6,"yyyymm")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D75" s="8">
        <f>IFERROR(
GETPIVOTDATA(
"[BASE_CONVE_PPTO].[Importe]",
TDinamica_P!$A$5,
"[BASE_CONVE_PPTO].[Periodo]",
"[BASE_CONVE_PPTO].[Periodo].&amp;[" &amp; TEXT(BD$6,"yyyymm")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E75" s="8">
        <f>IFERROR(
GETPIVOTDATA(
"[BASE_CONVE_PPTO].[Importe]",
TDinamica_P!$A$5,
"[BASE_CONVE_PPTO].[Periodo]",
"[BASE_CONVE_PPTO].[Periodo].&amp;[" &amp; TEXT(BE$6,"yyyymm")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F75" s="8">
        <f>IFERROR(
GETPIVOTDATA(
"[BASE_CONVE_PPTO].[Importe]",
TDinamica_P!$A$5,
"[BASE_CONVE_PPTO].[Periodo]",
"[BASE_CONVE_PPTO].[Periodo].&amp;[" &amp; TEXT(BF$6,"yyyymm")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G75" s="8">
        <f>IFERROR(
GETPIVOTDATA(
"[BASE_CONVE_PPTO].[Importe]",
TDinamica_P!$A$5,
"[BASE_CONVE_PPTO].[Periodo]",
"[BASE_CONVE_PPTO].[Periodo].&amp;[" &amp; TEXT(BG$6,"yyyymm")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H75" s="8">
        <f>IFERROR(
GETPIVOTDATA(
"[BASE_CONVE_PPTO].[Importe]",
TDinamica_P!$A$5,
"[BASE_CONVE_PPTO].[Periodo]",
"[BASE_CONVE_PPTO].[Periodo].&amp;[" &amp; TEXT(BH$6,"yyyymm")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I75" s="8">
        <f>IFERROR(
GETPIVOTDATA(
"[BASE_CONVE_PPTO].[Importe]",
TDinamica_P!$A$5,
"[BASE_CONVE_PPTO].[Periodo]",
"[BASE_CONVE_PPTO].[Periodo].&amp;[" &amp; TEXT(BI$6,"yyyymm")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J75" s="8">
        <f>IFERROR(
GETPIVOTDATA(
"[BASE_CONVE_PPTO].[Importe]",
TDinamica_P!$A$5,
"[BASE_CONVE_PPTO].[Periodo]",
"[BASE_CONVE_PPTO].[Periodo].&amp;[" &amp; TEXT(BJ$6,"yyyymm")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K75" s="8">
        <f>IFERROR(
GETPIVOTDATA(
"[BASE_CONVE_PPTO].[Importe]",
TDinamica_P!$A$5,
"[BASE_CONVE_PPTO].[Periodo]",
"[BASE_CONVE_PPTO].[Periodo].&amp;[" &amp; TEXT(BK$6,"yyyymm")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O75" s="24">
        <f t="shared" si="199"/>
        <v>0</v>
      </c>
      <c r="BP75" s="24">
        <f t="shared" si="199"/>
        <v>0</v>
      </c>
      <c r="BQ75" s="24">
        <f t="shared" si="199"/>
        <v>0</v>
      </c>
      <c r="BR75" s="24">
        <f t="shared" si="199"/>
        <v>0</v>
      </c>
      <c r="BS75" s="24">
        <f t="shared" si="199"/>
        <v>0</v>
      </c>
      <c r="BT75" s="24">
        <f t="shared" si="199"/>
        <v>0</v>
      </c>
    </row>
    <row r="76" spans="1:72" outlineLevel="1" x14ac:dyDescent="0.25">
      <c r="A76" s="11" t="s">
        <v>71</v>
      </c>
      <c r="C76" s="2"/>
      <c r="D76" s="8">
        <f>IFERROR(
GETPIVOTDATA(
"[Base].[Importe]",
TDinamica_R!$A$5,
"[Calendario].[AñoMes]",
"[Calendario].[AñoMes].&amp;[" &amp; TEXT(D$6,"yyyymm")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E76" s="8">
        <f>IFERROR(
GETPIVOTDATA(
"[Base].[Importe]",
TDinamica_R!$A$5,
"[Calendario].[AñoMes]",
"[Calendario].[AñoMes].&amp;[" &amp; TEXT(E$6,"yyyymm")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F76" s="8">
        <f>IFERROR(
GETPIVOTDATA(
"[Base].[Importe]",
TDinamica_R!$A$5,
"[Calendario].[AñoMes]",
"[Calendario].[AñoMes].&amp;[" &amp; TEXT(F$6,"yyyymm")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G76" s="8">
        <f>IFERROR(
GETPIVOTDATA(
"[Base].[Importe]",
TDinamica_R!$A$5,
"[Calendario].[AñoMes]",
"[Calendario].[AñoMes].&amp;[" &amp; TEXT(G$6,"yyyymm")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H76" s="8">
        <f>IFERROR(
GETPIVOTDATA(
"[Base].[Importe]",
TDinamica_R!$A$5,
"[Calendario].[AñoMes]",
"[Calendario].[AñoMes].&amp;[" &amp; TEXT(H$6,"yyyymm")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I76" s="8">
        <f>IFERROR(
GETPIVOTDATA(
"[Base].[Importe]",
TDinamica_R!$A$5,
"[Calendario].[AñoMes]",
"[Calendario].[AñoMes].&amp;[" &amp; TEXT(I$6,"yyyymm")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J76" s="8">
        <f>IFERROR(
GETPIVOTDATA(
"[Base].[Importe]",
TDinamica_R!$A$5,
"[Calendario].[AñoMes]",
"[Calendario].[AñoMes].&amp;[" &amp; TEXT(J$6,"yyyymm")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K76" s="8">
        <f>IFERROR(
GETPIVOTDATA(
"[Base].[Importe]",
TDinamica_R!$A$5,
"[Calendario].[AñoMes]",
"[Calendario].[AñoMes].&amp;[" &amp; TEXT(K$6,"yyyymm")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L76" s="8">
        <f>IFERROR(
GETPIVOTDATA(
"[Base].[Importe]",
TDinamica_R!$A$5,
"[Calendario].[AñoMes]",
"[Calendario].[AñoMes].&amp;[" &amp; TEXT(L$6,"yyyymm")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M76" s="8">
        <f>IFERROR(
GETPIVOTDATA(
"[Base].[Importe]",
TDinamica_R!$A$5,
"[Calendario].[AñoMes]",
"[Calendario].[AñoMes].&amp;[" &amp; TEXT(M$6,"yyyymm")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N76" s="8">
        <f>IFERROR(
GETPIVOTDATA(
"[Base].[Importe]",
TDinamica_R!$A$5,
"[Calendario].[AñoMes]",
"[Calendario].[AñoMes].&amp;[" &amp; TEXT(N$6,"yyyymm")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O76" s="8">
        <f>IFERROR(
GETPIVOTDATA(
"[Base].[Importe]",
TDinamica_R!$A$5,
"[Calendario].[AñoMes]",
"[Calendario].[AñoMes].&amp;[" &amp; TEXT(O$6,"yyyymm")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P76" s="8">
        <f>IFERROR(
GETPIVOTDATA(
"[Base].[Importe]",
TDinamica_R!$A$5,
"[Calendario].[AñoMes]",
"[Calendario].[AñoMes].&amp;[" &amp; TEXT(P$6,"yyyymm")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Q76" s="8">
        <f>IFERROR(
GETPIVOTDATA(
"[Base].[Importe]",
TDinamica_R!$A$5,
"[Calendario].[AñoMes]",
"[Calendario].[AñoMes].&amp;[" &amp; TEXT(Q$6,"yyyymm")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R76" s="8">
        <f>IFERROR(
GETPIVOTDATA(
"[Base].[Importe]",
TDinamica_R!$A$5,
"[Calendario].[AñoMes]",
"[Calendario].[AñoMes].&amp;[" &amp; TEXT(R$6,"yyyymm")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S76" s="8">
        <f>IFERROR(
GETPIVOTDATA(
"[Base].[Importe]",
TDinamica_R!$A$5,
"[Calendario].[AñoMes]",
"[Calendario].[AñoMes].&amp;[" &amp; TEXT(S$6,"yyyymm")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T76" s="8">
        <f>IFERROR(
GETPIVOTDATA(
"[Base].[Importe]",
TDinamica_R!$A$5,
"[Calendario].[AñoMes]",
"[Calendario].[AñoMes].&amp;[" &amp; TEXT(T$6,"yyyymm")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U76" s="8">
        <f>IFERROR(
GETPIVOTDATA(
"[Base].[Importe]",
TDinamica_R!$A$5,
"[Calendario].[AñoMes]",
"[Calendario].[AñoMes].&amp;[" &amp; TEXT(U$6,"yyyymm")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V76" s="8">
        <f>IFERROR(
GETPIVOTDATA(
"[Base].[Importe]",
TDinamica_R!$A$5,
"[Calendario].[AñoMes]",
"[Calendario].[AñoMes].&amp;[" &amp; TEXT(V$6,"yyyymm")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W76" s="8">
        <f>IFERROR(
GETPIVOTDATA(
"[Base].[Importe]",
TDinamica_R!$A$5,
"[Calendario].[AñoMes]",
"[Calendario].[AñoMes].&amp;[" &amp; TEXT(W$6,"yyyymm")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X76" s="8">
        <f>IFERROR(
GETPIVOTDATA(
"[Base].[Importe]",
TDinamica_R!$A$5,
"[Calendario].[AñoMes]",
"[Calendario].[AñoMes].&amp;[" &amp; TEXT(X$6,"yyyymm")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Y76" s="8">
        <f>IFERROR(
GETPIVOTDATA(
"[Base].[Importe]",
TDinamica_R!$A$5,
"[Calendario].[AñoMes]",
"[Calendario].[AñoMes].&amp;[" &amp; TEXT(Y$6,"yyyymm")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Z76" s="8">
        <f>IFERROR(
GETPIVOTDATA(
"[Base].[Importe]",
TDinamica_R!$A$5,
"[Calendario].[AñoMes]",
"[Calendario].[AñoMes].&amp;[" &amp; TEXT(Z$6,"yyyymm")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A76" s="8">
        <f>IFERROR(
GETPIVOTDATA(
"[Base].[Importe]",
TDinamica_R!$A$5,
"[Calendario].[AñoMes]",
"[Calendario].[AñoMes].&amp;[" &amp; TEXT(AA$6,"yyyymm")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B76" s="8">
        <f>IFERROR(
GETPIVOTDATA(
"[Base].[Importe]",
TDinamica_R!$A$5,
"[Calendario].[AñoMes]",
"[Calendario].[AñoMes].&amp;[" &amp; TEXT(AB$6,"yyyymm")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C76" s="8">
        <f>IFERROR(
GETPIVOTDATA(
"[Base].[Importe]",
TDinamica_R!$A$5,
"[Calendario].[AñoMes]",
"[Calendario].[AñoMes].&amp;[" &amp; TEXT(AC$6,"yyyymm")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D76" s="8">
        <f>IFERROR(
GETPIVOTDATA(
"[Base].[Importe]",
TDinamica_R!$A$5,
"[Calendario].[AñoMes]",
"[Calendario].[AñoMes].&amp;[" &amp; TEXT(AD$6,"yyyymm")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E76" s="8">
        <f>IFERROR(
GETPIVOTDATA(
"[Base].[Importe]",
TDinamica_R!$A$5,
"[Calendario].[AñoMes]",
"[Calendario].[AñoMes].&amp;[" &amp; TEXT(AE$6,"yyyymm")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F76" s="8">
        <f>IFERROR(
GETPIVOTDATA(
"[Base].[Importe]",
TDinamica_R!$A$5,
"[Calendario].[AñoMes]",
"[Calendario].[AñoMes].&amp;[" &amp; TEXT(AF$6,"yyyymm")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G76" s="8">
        <f>IFERROR(
GETPIVOTDATA(
"[Base].[Importe]",
TDinamica_R!$A$5,
"[Calendario].[AñoMes]",
"[Calendario].[AñoMes].&amp;[" &amp; TEXT(AG$6,"yyyymm")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H76" s="8">
        <f>IFERROR(
GETPIVOTDATA(
"[Base].[Importe]",
TDinamica_R!$A$5,
"[Calendario].[AñoMes]",
"[Calendario].[AñoMes].&amp;[" &amp; TEXT(AH$6,"yyyymm")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I76" s="8">
        <f>IFERROR(
GETPIVOTDATA(
"[Base].[Importe]",
TDinamica_R!$A$5,
"[Calendario].[AñoMes]",
"[Calendario].[AñoMes].&amp;[" &amp; TEXT(AI$6,"yyyymm")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J76" s="8">
        <f>IFERROR(
GETPIVOTDATA(
"[Base].[Importe]",
TDinamica_R!$A$5,
"[Calendario].[AñoMes]",
"[Calendario].[AñoMes].&amp;[" &amp; TEXT(AJ$6,"yyyymm")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K76" s="8">
        <f>IFERROR(
GETPIVOTDATA(
"[Base].[Importe]",
TDinamica_R!$A$5,
"[Calendario].[AñoMes]",
"[Calendario].[AñoMes].&amp;[" &amp; TEXT(AK$6,"yyyymm")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L76" s="8">
        <f>IFERROR(
GETPIVOTDATA(
"[Base].[Importe]",
TDinamica_R!$A$5,
"[Calendario].[AñoMes]",
"[Calendario].[AñoMes].&amp;[" &amp; TEXT(AL$6,"yyyymm")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M76" s="8">
        <f>IFERROR(
GETPIVOTDATA(
"[Base].[Importe]",
TDinamica_R!$A$5,
"[Calendario].[AñoMes]",
"[Calendario].[AñoMes].&amp;[" &amp; TEXT(AM$6,"yyyymm")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N76" s="8">
        <f>IFERROR(
GETPIVOTDATA(
"[Base].[Importe]",
TDinamica_R!$A$5,
"[Calendario].[AñoMes]",
"[Calendario].[AñoMes].&amp;[" &amp; TEXT(AN$6,"yyyymm")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O76" s="8">
        <f>IFERROR(
GETPIVOTDATA(
"[Base].[Importe]",
TDinamica_R!$A$5,
"[Calendario].[AñoMes]",
"[Calendario].[AñoMes].&amp;[" &amp; TEXT(AO$6,"yyyymm")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P76" s="8">
        <f>IFERROR(
GETPIVOTDATA(
"[Base].[Importe]",
TDinamica_R!$A$5,
"[Calendario].[AñoMes]",
"[Calendario].[AñoMes].&amp;[" &amp; TEXT(AP$6,"yyyymm")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Q76" s="8">
        <f>IFERROR(
GETPIVOTDATA(
"[Base].[Importe]",
TDinamica_R!$A$5,
"[Calendario].[AñoMes]",
"[Calendario].[AñoMes].&amp;[" &amp; TEXT(AQ$6,"yyyymm")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R76" s="8">
        <f>IFERROR(
GETPIVOTDATA(
"[Base].[Importe]",
TDinamica_R!$A$5,
"[Calendario].[AñoMes]",
"[Calendario].[AñoMes].&amp;[" &amp; TEXT(AR$6,"yyyymm")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S76" s="8">
        <f>IFERROR(
GETPIVOTDATA(
"[Base].[Importe]",
TDinamica_R!$A$5,
"[Calendario].[AñoMes]",
"[Calendario].[AñoMes].&amp;[" &amp; TEXT(AS$6,"yyyymm")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T76" s="8">
        <f>IFERROR(
GETPIVOTDATA(
"[Base].[Importe]",
TDinamica_R!$A$5,
"[Calendario].[AñoMes]",
"[Calendario].[AñoMes].&amp;[" &amp; TEXT(AT$6,"yyyymm")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U76" s="8">
        <f>IFERROR(
GETPIVOTDATA(
"[Base].[Importe]",
TDinamica_R!$A$5,
"[Calendario].[AñoMes]",
"[Calendario].[AñoMes].&amp;[" &amp; TEXT(AU$6,"yyyymm")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V76" s="8">
        <f>IFERROR(
GETPIVOTDATA(
"[Base].[Importe]",
TDinamica_R!$A$5,
"[Calendario].[AñoMes]",
"[Calendario].[AñoMes].&amp;[" &amp; TEXT(AV$6,"yyyymm")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W76" s="8">
        <f>IFERROR(
GETPIVOTDATA(
"[Base].[Importe]",
TDinamica_R!$A$5,
"[Calendario].[AñoMes]",
"[Calendario].[AñoMes].&amp;[" &amp; TEXT(AW$6,"yyyymm")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X76" s="8">
        <f>IFERROR(
GETPIVOTDATA(
"[Base].[Importe]",
TDinamica_R!$A$5,
"[Calendario].[AñoMes]",
"[Calendario].[AñoMes].&amp;[" &amp; TEXT(AX$6,"yyyymm")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Y76" s="8">
        <f>IFERROR(
GETPIVOTDATA(
"[Base].[Importe]",
TDinamica_R!$A$5,
"[Calendario].[AñoMes]",
"[Calendario].[AñoMes].&amp;[" &amp; TEXT(AY$6,"yyyymm")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Z76" s="8">
        <f>IFERROR(
GETPIVOTDATA(
"[BASE_CONVE_PPTO].[Importe]",
TDinamica_P!$A$5,
"[BASE_CONVE_PPTO].[Periodo]",
"[BASE_CONVE_PPTO].[Periodo].&amp;[" &amp; TEXT(AZ$6,"yyyymm")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A76" s="8">
        <f>IFERROR(
GETPIVOTDATA(
"[BASE_CONVE_PPTO].[Importe]",
TDinamica_P!$A$5,
"[BASE_CONVE_PPTO].[Periodo]",
"[BASE_CONVE_PPTO].[Periodo].&amp;[" &amp; TEXT(BA$6,"yyyymm")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B76" s="8">
        <f>IFERROR(
GETPIVOTDATA(
"[BASE_CONVE_PPTO].[Importe]",
TDinamica_P!$A$5,
"[BASE_CONVE_PPTO].[Periodo]",
"[BASE_CONVE_PPTO].[Periodo].&amp;[" &amp; TEXT(BB$6,"yyyymm")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C76" s="8">
        <f>IFERROR(
GETPIVOTDATA(
"[BASE_CONVE_PPTO].[Importe]",
TDinamica_P!$A$5,
"[BASE_CONVE_PPTO].[Periodo]",
"[BASE_CONVE_PPTO].[Periodo].&amp;[" &amp; TEXT(BC$6,"yyyymm")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D76" s="8">
        <f>IFERROR(
GETPIVOTDATA(
"[BASE_CONVE_PPTO].[Importe]",
TDinamica_P!$A$5,
"[BASE_CONVE_PPTO].[Periodo]",
"[BASE_CONVE_PPTO].[Periodo].&amp;[" &amp; TEXT(BD$6,"yyyymm")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E76" s="8">
        <f>IFERROR(
GETPIVOTDATA(
"[BASE_CONVE_PPTO].[Importe]",
TDinamica_P!$A$5,
"[BASE_CONVE_PPTO].[Periodo]",
"[BASE_CONVE_PPTO].[Periodo].&amp;[" &amp; TEXT(BE$6,"yyyymm")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F76" s="8">
        <f>IFERROR(
GETPIVOTDATA(
"[BASE_CONVE_PPTO].[Importe]",
TDinamica_P!$A$5,
"[BASE_CONVE_PPTO].[Periodo]",
"[BASE_CONVE_PPTO].[Periodo].&amp;[" &amp; TEXT(BF$6,"yyyymm")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G76" s="8">
        <f>IFERROR(
GETPIVOTDATA(
"[BASE_CONVE_PPTO].[Importe]",
TDinamica_P!$A$5,
"[BASE_CONVE_PPTO].[Periodo]",
"[BASE_CONVE_PPTO].[Periodo].&amp;[" &amp; TEXT(BG$6,"yyyymm")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H76" s="8">
        <f>IFERROR(
GETPIVOTDATA(
"[BASE_CONVE_PPTO].[Importe]",
TDinamica_P!$A$5,
"[BASE_CONVE_PPTO].[Periodo]",
"[BASE_CONVE_PPTO].[Periodo].&amp;[" &amp; TEXT(BH$6,"yyyymm")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I76" s="8">
        <f>IFERROR(
GETPIVOTDATA(
"[BASE_CONVE_PPTO].[Importe]",
TDinamica_P!$A$5,
"[BASE_CONVE_PPTO].[Periodo]",
"[BASE_CONVE_PPTO].[Periodo].&amp;[" &amp; TEXT(BI$6,"yyyymm")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J76" s="8">
        <f>IFERROR(
GETPIVOTDATA(
"[BASE_CONVE_PPTO].[Importe]",
TDinamica_P!$A$5,
"[BASE_CONVE_PPTO].[Periodo]",
"[BASE_CONVE_PPTO].[Periodo].&amp;[" &amp; TEXT(BJ$6,"yyyymm")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K76" s="8">
        <f>IFERROR(
GETPIVOTDATA(
"[BASE_CONVE_PPTO].[Importe]",
TDinamica_P!$A$5,
"[BASE_CONVE_PPTO].[Periodo]",
"[BASE_CONVE_PPTO].[Periodo].&amp;[" &amp; TEXT(BK$6,"yyyymm")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O76" s="24">
        <f t="shared" si="199"/>
        <v>0</v>
      </c>
      <c r="BP76" s="24">
        <f t="shared" si="199"/>
        <v>0</v>
      </c>
      <c r="BQ76" s="24">
        <f t="shared" si="199"/>
        <v>0</v>
      </c>
      <c r="BR76" s="24">
        <f t="shared" si="199"/>
        <v>0</v>
      </c>
      <c r="BS76" s="24">
        <f t="shared" si="199"/>
        <v>0</v>
      </c>
      <c r="BT76" s="24">
        <f t="shared" si="199"/>
        <v>0</v>
      </c>
    </row>
    <row r="77" spans="1:72" outlineLevel="1" x14ac:dyDescent="0.25">
      <c r="A77" s="11" t="s">
        <v>71</v>
      </c>
      <c r="C77" s="2"/>
      <c r="D77" s="8">
        <f>IFERROR(
GETPIVOTDATA(
"[Base].[Importe]",
TDinamica_R!$A$5,
"[Calendario].[AñoMes]",
"[Calendario].[AñoMes].&amp;[" &amp; TEXT(D$6,"yyyymm")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E77" s="8">
        <f>IFERROR(
GETPIVOTDATA(
"[Base].[Importe]",
TDinamica_R!$A$5,
"[Calendario].[AñoMes]",
"[Calendario].[AñoMes].&amp;[" &amp; TEXT(E$6,"yyyymm")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F77" s="8">
        <f>IFERROR(
GETPIVOTDATA(
"[Base].[Importe]",
TDinamica_R!$A$5,
"[Calendario].[AñoMes]",
"[Calendario].[AñoMes].&amp;[" &amp; TEXT(F$6,"yyyymm")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G77" s="8">
        <f>IFERROR(
GETPIVOTDATA(
"[Base].[Importe]",
TDinamica_R!$A$5,
"[Calendario].[AñoMes]",
"[Calendario].[AñoMes].&amp;[" &amp; TEXT(G$6,"yyyymm")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H77" s="8">
        <f>IFERROR(
GETPIVOTDATA(
"[Base].[Importe]",
TDinamica_R!$A$5,
"[Calendario].[AñoMes]",
"[Calendario].[AñoMes].&amp;[" &amp; TEXT(H$6,"yyyymm")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I77" s="8">
        <f>IFERROR(
GETPIVOTDATA(
"[Base].[Importe]",
TDinamica_R!$A$5,
"[Calendario].[AñoMes]",
"[Calendario].[AñoMes].&amp;[" &amp; TEXT(I$6,"yyyymm")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J77" s="8">
        <f>IFERROR(
GETPIVOTDATA(
"[Base].[Importe]",
TDinamica_R!$A$5,
"[Calendario].[AñoMes]",
"[Calendario].[AñoMes].&amp;[" &amp; TEXT(J$6,"yyyymm")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K77" s="8">
        <f>IFERROR(
GETPIVOTDATA(
"[Base].[Importe]",
TDinamica_R!$A$5,
"[Calendario].[AñoMes]",
"[Calendario].[AñoMes].&amp;[" &amp; TEXT(K$6,"yyyymm")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L77" s="8">
        <f>IFERROR(
GETPIVOTDATA(
"[Base].[Importe]",
TDinamica_R!$A$5,
"[Calendario].[AñoMes]",
"[Calendario].[AñoMes].&amp;[" &amp; TEXT(L$6,"yyyymm")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M77" s="8">
        <f>IFERROR(
GETPIVOTDATA(
"[Base].[Importe]",
TDinamica_R!$A$5,
"[Calendario].[AñoMes]",
"[Calendario].[AñoMes].&amp;[" &amp; TEXT(M$6,"yyyymm")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N77" s="8">
        <f>IFERROR(
GETPIVOTDATA(
"[Base].[Importe]",
TDinamica_R!$A$5,
"[Calendario].[AñoMes]",
"[Calendario].[AñoMes].&amp;[" &amp; TEXT(N$6,"yyyymm")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O77" s="8">
        <f>IFERROR(
GETPIVOTDATA(
"[Base].[Importe]",
TDinamica_R!$A$5,
"[Calendario].[AñoMes]",
"[Calendario].[AñoMes].&amp;[" &amp; TEXT(O$6,"yyyymm")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P77" s="8">
        <f>IFERROR(
GETPIVOTDATA(
"[Base].[Importe]",
TDinamica_R!$A$5,
"[Calendario].[AñoMes]",
"[Calendario].[AñoMes].&amp;[" &amp; TEXT(P$6,"yyyymm")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Q77" s="8">
        <f>IFERROR(
GETPIVOTDATA(
"[Base].[Importe]",
TDinamica_R!$A$5,
"[Calendario].[AñoMes]",
"[Calendario].[AñoMes].&amp;[" &amp; TEXT(Q$6,"yyyymm")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R77" s="8">
        <f>IFERROR(
GETPIVOTDATA(
"[Base].[Importe]",
TDinamica_R!$A$5,
"[Calendario].[AñoMes]",
"[Calendario].[AñoMes].&amp;[" &amp; TEXT(R$6,"yyyymm")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S77" s="8">
        <f>IFERROR(
GETPIVOTDATA(
"[Base].[Importe]",
TDinamica_R!$A$5,
"[Calendario].[AñoMes]",
"[Calendario].[AñoMes].&amp;[" &amp; TEXT(S$6,"yyyymm")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T77" s="8">
        <f>IFERROR(
GETPIVOTDATA(
"[Base].[Importe]",
TDinamica_R!$A$5,
"[Calendario].[AñoMes]",
"[Calendario].[AñoMes].&amp;[" &amp; TEXT(T$6,"yyyymm")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U77" s="8">
        <f>IFERROR(
GETPIVOTDATA(
"[Base].[Importe]",
TDinamica_R!$A$5,
"[Calendario].[AñoMes]",
"[Calendario].[AñoMes].&amp;[" &amp; TEXT(U$6,"yyyymm")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V77" s="8">
        <f>IFERROR(
GETPIVOTDATA(
"[Base].[Importe]",
TDinamica_R!$A$5,
"[Calendario].[AñoMes]",
"[Calendario].[AñoMes].&amp;[" &amp; TEXT(V$6,"yyyymm")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W77" s="8">
        <f>IFERROR(
GETPIVOTDATA(
"[Base].[Importe]",
TDinamica_R!$A$5,
"[Calendario].[AñoMes]",
"[Calendario].[AñoMes].&amp;[" &amp; TEXT(W$6,"yyyymm")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X77" s="8">
        <f>IFERROR(
GETPIVOTDATA(
"[Base].[Importe]",
TDinamica_R!$A$5,
"[Calendario].[AñoMes]",
"[Calendario].[AñoMes].&amp;[" &amp; TEXT(X$6,"yyyymm")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Y77" s="8">
        <f>IFERROR(
GETPIVOTDATA(
"[Base].[Importe]",
TDinamica_R!$A$5,
"[Calendario].[AñoMes]",
"[Calendario].[AñoMes].&amp;[" &amp; TEXT(Y$6,"yyyymm")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Z77" s="8">
        <f>IFERROR(
GETPIVOTDATA(
"[Base].[Importe]",
TDinamica_R!$A$5,
"[Calendario].[AñoMes]",
"[Calendario].[AñoMes].&amp;[" &amp; TEXT(Z$6,"yyyymm")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A77" s="8">
        <f>IFERROR(
GETPIVOTDATA(
"[Base].[Importe]",
TDinamica_R!$A$5,
"[Calendario].[AñoMes]",
"[Calendario].[AñoMes].&amp;[" &amp; TEXT(AA$6,"yyyymm")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B77" s="8">
        <f>IFERROR(
GETPIVOTDATA(
"[Base].[Importe]",
TDinamica_R!$A$5,
"[Calendario].[AñoMes]",
"[Calendario].[AñoMes].&amp;[" &amp; TEXT(AB$6,"yyyymm")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C77" s="8">
        <f>IFERROR(
GETPIVOTDATA(
"[Base].[Importe]",
TDinamica_R!$A$5,
"[Calendario].[AñoMes]",
"[Calendario].[AñoMes].&amp;[" &amp; TEXT(AC$6,"yyyymm")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D77" s="8">
        <f>IFERROR(
GETPIVOTDATA(
"[Base].[Importe]",
TDinamica_R!$A$5,
"[Calendario].[AñoMes]",
"[Calendario].[AñoMes].&amp;[" &amp; TEXT(AD$6,"yyyymm")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E77" s="8">
        <f>IFERROR(
GETPIVOTDATA(
"[Base].[Importe]",
TDinamica_R!$A$5,
"[Calendario].[AñoMes]",
"[Calendario].[AñoMes].&amp;[" &amp; TEXT(AE$6,"yyyymm")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F77" s="8">
        <f>IFERROR(
GETPIVOTDATA(
"[Base].[Importe]",
TDinamica_R!$A$5,
"[Calendario].[AñoMes]",
"[Calendario].[AñoMes].&amp;[" &amp; TEXT(AF$6,"yyyymm")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G77" s="8">
        <f>IFERROR(
GETPIVOTDATA(
"[Base].[Importe]",
TDinamica_R!$A$5,
"[Calendario].[AñoMes]",
"[Calendario].[AñoMes].&amp;[" &amp; TEXT(AG$6,"yyyymm")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H77" s="8">
        <f>IFERROR(
GETPIVOTDATA(
"[Base].[Importe]",
TDinamica_R!$A$5,
"[Calendario].[AñoMes]",
"[Calendario].[AñoMes].&amp;[" &amp; TEXT(AH$6,"yyyymm")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I77" s="8">
        <f>IFERROR(
GETPIVOTDATA(
"[Base].[Importe]",
TDinamica_R!$A$5,
"[Calendario].[AñoMes]",
"[Calendario].[AñoMes].&amp;[" &amp; TEXT(AI$6,"yyyymm")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J77" s="8">
        <f>IFERROR(
GETPIVOTDATA(
"[Base].[Importe]",
TDinamica_R!$A$5,
"[Calendario].[AñoMes]",
"[Calendario].[AñoMes].&amp;[" &amp; TEXT(AJ$6,"yyyymm")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K77" s="8">
        <f>IFERROR(
GETPIVOTDATA(
"[Base].[Importe]",
TDinamica_R!$A$5,
"[Calendario].[AñoMes]",
"[Calendario].[AñoMes].&amp;[" &amp; TEXT(AK$6,"yyyymm")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L77" s="8">
        <f>IFERROR(
GETPIVOTDATA(
"[Base].[Importe]",
TDinamica_R!$A$5,
"[Calendario].[AñoMes]",
"[Calendario].[AñoMes].&amp;[" &amp; TEXT(AL$6,"yyyymm")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M77" s="8">
        <f>IFERROR(
GETPIVOTDATA(
"[Base].[Importe]",
TDinamica_R!$A$5,
"[Calendario].[AñoMes]",
"[Calendario].[AñoMes].&amp;[" &amp; TEXT(AM$6,"yyyymm")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N77" s="8">
        <f>IFERROR(
GETPIVOTDATA(
"[Base].[Importe]",
TDinamica_R!$A$5,
"[Calendario].[AñoMes]",
"[Calendario].[AñoMes].&amp;[" &amp; TEXT(AN$6,"yyyymm")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O77" s="8">
        <f>IFERROR(
GETPIVOTDATA(
"[Base].[Importe]",
TDinamica_R!$A$5,
"[Calendario].[AñoMes]",
"[Calendario].[AñoMes].&amp;[" &amp; TEXT(AO$6,"yyyymm")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P77" s="8">
        <f>IFERROR(
GETPIVOTDATA(
"[Base].[Importe]",
TDinamica_R!$A$5,
"[Calendario].[AñoMes]",
"[Calendario].[AñoMes].&amp;[" &amp; TEXT(AP$6,"yyyymm")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Q77" s="8">
        <f>IFERROR(
GETPIVOTDATA(
"[Base].[Importe]",
TDinamica_R!$A$5,
"[Calendario].[AñoMes]",
"[Calendario].[AñoMes].&amp;[" &amp; TEXT(AQ$6,"yyyymm")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R77" s="8">
        <f>IFERROR(
GETPIVOTDATA(
"[Base].[Importe]",
TDinamica_R!$A$5,
"[Calendario].[AñoMes]",
"[Calendario].[AñoMes].&amp;[" &amp; TEXT(AR$6,"yyyymm")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S77" s="8">
        <f>IFERROR(
GETPIVOTDATA(
"[Base].[Importe]",
TDinamica_R!$A$5,
"[Calendario].[AñoMes]",
"[Calendario].[AñoMes].&amp;[" &amp; TEXT(AS$6,"yyyymm")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T77" s="8">
        <f>IFERROR(
GETPIVOTDATA(
"[Base].[Importe]",
TDinamica_R!$A$5,
"[Calendario].[AñoMes]",
"[Calendario].[AñoMes].&amp;[" &amp; TEXT(AT$6,"yyyymm")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U77" s="8">
        <f>IFERROR(
GETPIVOTDATA(
"[Base].[Importe]",
TDinamica_R!$A$5,
"[Calendario].[AñoMes]",
"[Calendario].[AñoMes].&amp;[" &amp; TEXT(AU$6,"yyyymm")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V77" s="8">
        <f>IFERROR(
GETPIVOTDATA(
"[Base].[Importe]",
TDinamica_R!$A$5,
"[Calendario].[AñoMes]",
"[Calendario].[AñoMes].&amp;[" &amp; TEXT(AV$6,"yyyymm")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W77" s="8">
        <f>IFERROR(
GETPIVOTDATA(
"[Base].[Importe]",
TDinamica_R!$A$5,
"[Calendario].[AñoMes]",
"[Calendario].[AñoMes].&amp;[" &amp; TEXT(AW$6,"yyyymm")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X77" s="8">
        <f>IFERROR(
GETPIVOTDATA(
"[Base].[Importe]",
TDinamica_R!$A$5,
"[Calendario].[AñoMes]",
"[Calendario].[AñoMes].&amp;[" &amp; TEXT(AX$6,"yyyymm")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Y77" s="8">
        <f>IFERROR(
GETPIVOTDATA(
"[Base].[Importe]",
TDinamica_R!$A$5,
"[Calendario].[AñoMes]",
"[Calendario].[AñoMes].&amp;[" &amp; TEXT(AY$6,"yyyymm")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Z77" s="8">
        <f>IFERROR(
GETPIVOTDATA(
"[BASE_CONVE_PPTO].[Importe]",
TDinamica_P!$A$5,
"[BASE_CONVE_PPTO].[Periodo]",
"[BASE_CONVE_PPTO].[Periodo].&amp;[" &amp; TEXT(AZ$6,"yyyymm")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A77" s="8">
        <f>IFERROR(
GETPIVOTDATA(
"[BASE_CONVE_PPTO].[Importe]",
TDinamica_P!$A$5,
"[BASE_CONVE_PPTO].[Periodo]",
"[BASE_CONVE_PPTO].[Periodo].&amp;[" &amp; TEXT(BA$6,"yyyymm")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B77" s="8">
        <f>IFERROR(
GETPIVOTDATA(
"[BASE_CONVE_PPTO].[Importe]",
TDinamica_P!$A$5,
"[BASE_CONVE_PPTO].[Periodo]",
"[BASE_CONVE_PPTO].[Periodo].&amp;[" &amp; TEXT(BB$6,"yyyymm")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C77" s="8">
        <f>IFERROR(
GETPIVOTDATA(
"[BASE_CONVE_PPTO].[Importe]",
TDinamica_P!$A$5,
"[BASE_CONVE_PPTO].[Periodo]",
"[BASE_CONVE_PPTO].[Periodo].&amp;[" &amp; TEXT(BC$6,"yyyymm")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D77" s="8">
        <f>IFERROR(
GETPIVOTDATA(
"[BASE_CONVE_PPTO].[Importe]",
TDinamica_P!$A$5,
"[BASE_CONVE_PPTO].[Periodo]",
"[BASE_CONVE_PPTO].[Periodo].&amp;[" &amp; TEXT(BD$6,"yyyymm")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E77" s="8">
        <f>IFERROR(
GETPIVOTDATA(
"[BASE_CONVE_PPTO].[Importe]",
TDinamica_P!$A$5,
"[BASE_CONVE_PPTO].[Periodo]",
"[BASE_CONVE_PPTO].[Periodo].&amp;[" &amp; TEXT(BE$6,"yyyymm")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F77" s="8">
        <f>IFERROR(
GETPIVOTDATA(
"[BASE_CONVE_PPTO].[Importe]",
TDinamica_P!$A$5,
"[BASE_CONVE_PPTO].[Periodo]",
"[BASE_CONVE_PPTO].[Periodo].&amp;[" &amp; TEXT(BF$6,"yyyymm")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G77" s="8">
        <f>IFERROR(
GETPIVOTDATA(
"[BASE_CONVE_PPTO].[Importe]",
TDinamica_P!$A$5,
"[BASE_CONVE_PPTO].[Periodo]",
"[BASE_CONVE_PPTO].[Periodo].&amp;[" &amp; TEXT(BG$6,"yyyymm")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H77" s="8">
        <f>IFERROR(
GETPIVOTDATA(
"[BASE_CONVE_PPTO].[Importe]",
TDinamica_P!$A$5,
"[BASE_CONVE_PPTO].[Periodo]",
"[BASE_CONVE_PPTO].[Periodo].&amp;[" &amp; TEXT(BH$6,"yyyymm")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I77" s="8">
        <f>IFERROR(
GETPIVOTDATA(
"[BASE_CONVE_PPTO].[Importe]",
TDinamica_P!$A$5,
"[BASE_CONVE_PPTO].[Periodo]",
"[BASE_CONVE_PPTO].[Periodo].&amp;[" &amp; TEXT(BI$6,"yyyymm")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J77" s="8">
        <f>IFERROR(
GETPIVOTDATA(
"[BASE_CONVE_PPTO].[Importe]",
TDinamica_P!$A$5,
"[BASE_CONVE_PPTO].[Periodo]",
"[BASE_CONVE_PPTO].[Periodo].&amp;[" &amp; TEXT(BJ$6,"yyyymm")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K77" s="8">
        <f>IFERROR(
GETPIVOTDATA(
"[BASE_CONVE_PPTO].[Importe]",
TDinamica_P!$A$5,
"[BASE_CONVE_PPTO].[Periodo]",
"[BASE_CONVE_PPTO].[Periodo].&amp;[" &amp; TEXT(BK$6,"yyyymm")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O77" s="24">
        <f t="shared" si="199"/>
        <v>0</v>
      </c>
      <c r="BP77" s="24">
        <f t="shared" si="199"/>
        <v>0</v>
      </c>
      <c r="BQ77" s="24">
        <f t="shared" si="199"/>
        <v>0</v>
      </c>
      <c r="BR77" s="24">
        <f t="shared" si="199"/>
        <v>0</v>
      </c>
      <c r="BS77" s="24">
        <f t="shared" si="199"/>
        <v>0</v>
      </c>
      <c r="BT77" s="24">
        <f t="shared" si="199"/>
        <v>0</v>
      </c>
    </row>
    <row r="78" spans="1:72" outlineLevel="1" x14ac:dyDescent="0.25">
      <c r="A78" s="11" t="s">
        <v>71</v>
      </c>
      <c r="C78" s="2"/>
      <c r="D78" s="8">
        <f>IFERROR(
GETPIVOTDATA(
"[Base].[Importe]",
TDinamica_R!$A$5,
"[Calendario].[AñoMes]",
"[Calendario].[AñoMes].&amp;[" &amp; TEXT(D$6,"yyyymm")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E78" s="8">
        <f>IFERROR(
GETPIVOTDATA(
"[Base].[Importe]",
TDinamica_R!$A$5,
"[Calendario].[AñoMes]",
"[Calendario].[AñoMes].&amp;[" &amp; TEXT(E$6,"yyyymm")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F78" s="8">
        <f>IFERROR(
GETPIVOTDATA(
"[Base].[Importe]",
TDinamica_R!$A$5,
"[Calendario].[AñoMes]",
"[Calendario].[AñoMes].&amp;[" &amp; TEXT(F$6,"yyyymm")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G78" s="8">
        <f>IFERROR(
GETPIVOTDATA(
"[Base].[Importe]",
TDinamica_R!$A$5,
"[Calendario].[AñoMes]",
"[Calendario].[AñoMes].&amp;[" &amp; TEXT(G$6,"yyyymm")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H78" s="8">
        <f>IFERROR(
GETPIVOTDATA(
"[Base].[Importe]",
TDinamica_R!$A$5,
"[Calendario].[AñoMes]",
"[Calendario].[AñoMes].&amp;[" &amp; TEXT(H$6,"yyyymm")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I78" s="8">
        <f>IFERROR(
GETPIVOTDATA(
"[Base].[Importe]",
TDinamica_R!$A$5,
"[Calendario].[AñoMes]",
"[Calendario].[AñoMes].&amp;[" &amp; TEXT(I$6,"yyyymm")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J78" s="8">
        <f>IFERROR(
GETPIVOTDATA(
"[Base].[Importe]",
TDinamica_R!$A$5,
"[Calendario].[AñoMes]",
"[Calendario].[AñoMes].&amp;[" &amp; TEXT(J$6,"yyyymm")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K78" s="8">
        <f>IFERROR(
GETPIVOTDATA(
"[Base].[Importe]",
TDinamica_R!$A$5,
"[Calendario].[AñoMes]",
"[Calendario].[AñoMes].&amp;[" &amp; TEXT(K$6,"yyyymm")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L78" s="8">
        <f>IFERROR(
GETPIVOTDATA(
"[Base].[Importe]",
TDinamica_R!$A$5,
"[Calendario].[AñoMes]",
"[Calendario].[AñoMes].&amp;[" &amp; TEXT(L$6,"yyyymm")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M78" s="8">
        <f>IFERROR(
GETPIVOTDATA(
"[Base].[Importe]",
TDinamica_R!$A$5,
"[Calendario].[AñoMes]",
"[Calendario].[AñoMes].&amp;[" &amp; TEXT(M$6,"yyyymm")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N78" s="8">
        <f>IFERROR(
GETPIVOTDATA(
"[Base].[Importe]",
TDinamica_R!$A$5,
"[Calendario].[AñoMes]",
"[Calendario].[AñoMes].&amp;[" &amp; TEXT(N$6,"yyyymm")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O78" s="8">
        <f>IFERROR(
GETPIVOTDATA(
"[Base].[Importe]",
TDinamica_R!$A$5,
"[Calendario].[AñoMes]",
"[Calendario].[AñoMes].&amp;[" &amp; TEXT(O$6,"yyyymm")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P78" s="8">
        <f>IFERROR(
GETPIVOTDATA(
"[Base].[Importe]",
TDinamica_R!$A$5,
"[Calendario].[AñoMes]",
"[Calendario].[AñoMes].&amp;[" &amp; TEXT(P$6,"yyyymm")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Q78" s="8">
        <f>IFERROR(
GETPIVOTDATA(
"[Base].[Importe]",
TDinamica_R!$A$5,
"[Calendario].[AñoMes]",
"[Calendario].[AñoMes].&amp;[" &amp; TEXT(Q$6,"yyyymm")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R78" s="8">
        <f>IFERROR(
GETPIVOTDATA(
"[Base].[Importe]",
TDinamica_R!$A$5,
"[Calendario].[AñoMes]",
"[Calendario].[AñoMes].&amp;[" &amp; TEXT(R$6,"yyyymm")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S78" s="8">
        <f>IFERROR(
GETPIVOTDATA(
"[Base].[Importe]",
TDinamica_R!$A$5,
"[Calendario].[AñoMes]",
"[Calendario].[AñoMes].&amp;[" &amp; TEXT(S$6,"yyyymm")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T78" s="8">
        <f>IFERROR(
GETPIVOTDATA(
"[Base].[Importe]",
TDinamica_R!$A$5,
"[Calendario].[AñoMes]",
"[Calendario].[AñoMes].&amp;[" &amp; TEXT(T$6,"yyyymm")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U78" s="8">
        <f>IFERROR(
GETPIVOTDATA(
"[Base].[Importe]",
TDinamica_R!$A$5,
"[Calendario].[AñoMes]",
"[Calendario].[AñoMes].&amp;[" &amp; TEXT(U$6,"yyyymm")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V78" s="8">
        <f>IFERROR(
GETPIVOTDATA(
"[Base].[Importe]",
TDinamica_R!$A$5,
"[Calendario].[AñoMes]",
"[Calendario].[AñoMes].&amp;[" &amp; TEXT(V$6,"yyyymm")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W78" s="8">
        <f>IFERROR(
GETPIVOTDATA(
"[Base].[Importe]",
TDinamica_R!$A$5,
"[Calendario].[AñoMes]",
"[Calendario].[AñoMes].&amp;[" &amp; TEXT(W$6,"yyyymm")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X78" s="8">
        <f>IFERROR(
GETPIVOTDATA(
"[Base].[Importe]",
TDinamica_R!$A$5,
"[Calendario].[AñoMes]",
"[Calendario].[AñoMes].&amp;[" &amp; TEXT(X$6,"yyyymm")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Y78" s="8">
        <f>IFERROR(
GETPIVOTDATA(
"[Base].[Importe]",
TDinamica_R!$A$5,
"[Calendario].[AñoMes]",
"[Calendario].[AñoMes].&amp;[" &amp; TEXT(Y$6,"yyyymm")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Z78" s="8">
        <f>IFERROR(
GETPIVOTDATA(
"[Base].[Importe]",
TDinamica_R!$A$5,
"[Calendario].[AñoMes]",
"[Calendario].[AñoMes].&amp;[" &amp; TEXT(Z$6,"yyyymm")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A78" s="8">
        <f>IFERROR(
GETPIVOTDATA(
"[Base].[Importe]",
TDinamica_R!$A$5,
"[Calendario].[AñoMes]",
"[Calendario].[AñoMes].&amp;[" &amp; TEXT(AA$6,"yyyymm")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B78" s="8">
        <f>IFERROR(
GETPIVOTDATA(
"[Base].[Importe]",
TDinamica_R!$A$5,
"[Calendario].[AñoMes]",
"[Calendario].[AñoMes].&amp;[" &amp; TEXT(AB$6,"yyyymm")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C78" s="8">
        <f>IFERROR(
GETPIVOTDATA(
"[Base].[Importe]",
TDinamica_R!$A$5,
"[Calendario].[AñoMes]",
"[Calendario].[AñoMes].&amp;[" &amp; TEXT(AC$6,"yyyymm")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D78" s="8">
        <f>IFERROR(
GETPIVOTDATA(
"[Base].[Importe]",
TDinamica_R!$A$5,
"[Calendario].[AñoMes]",
"[Calendario].[AñoMes].&amp;[" &amp; TEXT(AD$6,"yyyymm")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E78" s="8">
        <f>IFERROR(
GETPIVOTDATA(
"[Base].[Importe]",
TDinamica_R!$A$5,
"[Calendario].[AñoMes]",
"[Calendario].[AñoMes].&amp;[" &amp; TEXT(AE$6,"yyyymm")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F78" s="8">
        <f>IFERROR(
GETPIVOTDATA(
"[Base].[Importe]",
TDinamica_R!$A$5,
"[Calendario].[AñoMes]",
"[Calendario].[AñoMes].&amp;[" &amp; TEXT(AF$6,"yyyymm")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G78" s="8">
        <f>IFERROR(
GETPIVOTDATA(
"[Base].[Importe]",
TDinamica_R!$A$5,
"[Calendario].[AñoMes]",
"[Calendario].[AñoMes].&amp;[" &amp; TEXT(AG$6,"yyyymm")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H78" s="8">
        <f>IFERROR(
GETPIVOTDATA(
"[Base].[Importe]",
TDinamica_R!$A$5,
"[Calendario].[AñoMes]",
"[Calendario].[AñoMes].&amp;[" &amp; TEXT(AH$6,"yyyymm")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I78" s="8">
        <f>IFERROR(
GETPIVOTDATA(
"[Base].[Importe]",
TDinamica_R!$A$5,
"[Calendario].[AñoMes]",
"[Calendario].[AñoMes].&amp;[" &amp; TEXT(AI$6,"yyyymm")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J78" s="8">
        <f>IFERROR(
GETPIVOTDATA(
"[Base].[Importe]",
TDinamica_R!$A$5,
"[Calendario].[AñoMes]",
"[Calendario].[AñoMes].&amp;[" &amp; TEXT(AJ$6,"yyyymm")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K78" s="8">
        <f>IFERROR(
GETPIVOTDATA(
"[Base].[Importe]",
TDinamica_R!$A$5,
"[Calendario].[AñoMes]",
"[Calendario].[AñoMes].&amp;[" &amp; TEXT(AK$6,"yyyymm")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L78" s="8">
        <f>IFERROR(
GETPIVOTDATA(
"[Base].[Importe]",
TDinamica_R!$A$5,
"[Calendario].[AñoMes]",
"[Calendario].[AñoMes].&amp;[" &amp; TEXT(AL$6,"yyyymm")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M78" s="8">
        <f>IFERROR(
GETPIVOTDATA(
"[Base].[Importe]",
TDinamica_R!$A$5,
"[Calendario].[AñoMes]",
"[Calendario].[AñoMes].&amp;[" &amp; TEXT(AM$6,"yyyymm")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N78" s="8">
        <f>IFERROR(
GETPIVOTDATA(
"[Base].[Importe]",
TDinamica_R!$A$5,
"[Calendario].[AñoMes]",
"[Calendario].[AñoMes].&amp;[" &amp; TEXT(AN$6,"yyyymm")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O78" s="8">
        <f>IFERROR(
GETPIVOTDATA(
"[Base].[Importe]",
TDinamica_R!$A$5,
"[Calendario].[AñoMes]",
"[Calendario].[AñoMes].&amp;[" &amp; TEXT(AO$6,"yyyymm")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P78" s="8">
        <f>IFERROR(
GETPIVOTDATA(
"[Base].[Importe]",
TDinamica_R!$A$5,
"[Calendario].[AñoMes]",
"[Calendario].[AñoMes].&amp;[" &amp; TEXT(AP$6,"yyyymm")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Q78" s="8">
        <f>IFERROR(
GETPIVOTDATA(
"[Base].[Importe]",
TDinamica_R!$A$5,
"[Calendario].[AñoMes]",
"[Calendario].[AñoMes].&amp;[" &amp; TEXT(AQ$6,"yyyymm")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R78" s="8">
        <f>IFERROR(
GETPIVOTDATA(
"[Base].[Importe]",
TDinamica_R!$A$5,
"[Calendario].[AñoMes]",
"[Calendario].[AñoMes].&amp;[" &amp; TEXT(AR$6,"yyyymm")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S78" s="8">
        <f>IFERROR(
GETPIVOTDATA(
"[Base].[Importe]",
TDinamica_R!$A$5,
"[Calendario].[AñoMes]",
"[Calendario].[AñoMes].&amp;[" &amp; TEXT(AS$6,"yyyymm")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T78" s="8">
        <f>IFERROR(
GETPIVOTDATA(
"[Base].[Importe]",
TDinamica_R!$A$5,
"[Calendario].[AñoMes]",
"[Calendario].[AñoMes].&amp;[" &amp; TEXT(AT$6,"yyyymm")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U78" s="8">
        <f>IFERROR(
GETPIVOTDATA(
"[Base].[Importe]",
TDinamica_R!$A$5,
"[Calendario].[AñoMes]",
"[Calendario].[AñoMes].&amp;[" &amp; TEXT(AU$6,"yyyymm")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V78" s="8">
        <f>IFERROR(
GETPIVOTDATA(
"[Base].[Importe]",
TDinamica_R!$A$5,
"[Calendario].[AñoMes]",
"[Calendario].[AñoMes].&amp;[" &amp; TEXT(AV$6,"yyyymm")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W78" s="8">
        <f>IFERROR(
GETPIVOTDATA(
"[Base].[Importe]",
TDinamica_R!$A$5,
"[Calendario].[AñoMes]",
"[Calendario].[AñoMes].&amp;[" &amp; TEXT(AW$6,"yyyymm")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X78" s="8">
        <f>IFERROR(
GETPIVOTDATA(
"[Base].[Importe]",
TDinamica_R!$A$5,
"[Calendario].[AñoMes]",
"[Calendario].[AñoMes].&amp;[" &amp; TEXT(AX$6,"yyyymm")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Y78" s="8">
        <f>IFERROR(
GETPIVOTDATA(
"[Base].[Importe]",
TDinamica_R!$A$5,
"[Calendario].[AñoMes]",
"[Calendario].[AñoMes].&amp;[" &amp; TEXT(AY$6,"yyyymm")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Z78" s="8">
        <f>IFERROR(
GETPIVOTDATA(
"[BASE_CONVE_PPTO].[Importe]",
TDinamica_P!$A$5,
"[BASE_CONVE_PPTO].[Periodo]",
"[BASE_CONVE_PPTO].[Periodo].&amp;[" &amp; TEXT(AZ$6,"yyyymm")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A78" s="8">
        <f>IFERROR(
GETPIVOTDATA(
"[BASE_CONVE_PPTO].[Importe]",
TDinamica_P!$A$5,
"[BASE_CONVE_PPTO].[Periodo]",
"[BASE_CONVE_PPTO].[Periodo].&amp;[" &amp; TEXT(BA$6,"yyyymm")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B78" s="8">
        <f>IFERROR(
GETPIVOTDATA(
"[BASE_CONVE_PPTO].[Importe]",
TDinamica_P!$A$5,
"[BASE_CONVE_PPTO].[Periodo]",
"[BASE_CONVE_PPTO].[Periodo].&amp;[" &amp; TEXT(BB$6,"yyyymm")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C78" s="8">
        <f>IFERROR(
GETPIVOTDATA(
"[BASE_CONVE_PPTO].[Importe]",
TDinamica_P!$A$5,
"[BASE_CONVE_PPTO].[Periodo]",
"[BASE_CONVE_PPTO].[Periodo].&amp;[" &amp; TEXT(BC$6,"yyyymm")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D78" s="8">
        <f>IFERROR(
GETPIVOTDATA(
"[BASE_CONVE_PPTO].[Importe]",
TDinamica_P!$A$5,
"[BASE_CONVE_PPTO].[Periodo]",
"[BASE_CONVE_PPTO].[Periodo].&amp;[" &amp; TEXT(BD$6,"yyyymm")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E78" s="8">
        <f>IFERROR(
GETPIVOTDATA(
"[BASE_CONVE_PPTO].[Importe]",
TDinamica_P!$A$5,
"[BASE_CONVE_PPTO].[Periodo]",
"[BASE_CONVE_PPTO].[Periodo].&amp;[" &amp; TEXT(BE$6,"yyyymm")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F78" s="8">
        <f>IFERROR(
GETPIVOTDATA(
"[BASE_CONVE_PPTO].[Importe]",
TDinamica_P!$A$5,
"[BASE_CONVE_PPTO].[Periodo]",
"[BASE_CONVE_PPTO].[Periodo].&amp;[" &amp; TEXT(BF$6,"yyyymm")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G78" s="8">
        <f>IFERROR(
GETPIVOTDATA(
"[BASE_CONVE_PPTO].[Importe]",
TDinamica_P!$A$5,
"[BASE_CONVE_PPTO].[Periodo]",
"[BASE_CONVE_PPTO].[Periodo].&amp;[" &amp; TEXT(BG$6,"yyyymm")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H78" s="8">
        <f>IFERROR(
GETPIVOTDATA(
"[BASE_CONVE_PPTO].[Importe]",
TDinamica_P!$A$5,
"[BASE_CONVE_PPTO].[Periodo]",
"[BASE_CONVE_PPTO].[Periodo].&amp;[" &amp; TEXT(BH$6,"yyyymm")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I78" s="8">
        <f>IFERROR(
GETPIVOTDATA(
"[BASE_CONVE_PPTO].[Importe]",
TDinamica_P!$A$5,
"[BASE_CONVE_PPTO].[Periodo]",
"[BASE_CONVE_PPTO].[Periodo].&amp;[" &amp; TEXT(BI$6,"yyyymm")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J78" s="8">
        <f>IFERROR(
GETPIVOTDATA(
"[BASE_CONVE_PPTO].[Importe]",
TDinamica_P!$A$5,
"[BASE_CONVE_PPTO].[Periodo]",
"[BASE_CONVE_PPTO].[Periodo].&amp;[" &amp; TEXT(BJ$6,"yyyymm")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K78" s="8">
        <f>IFERROR(
GETPIVOTDATA(
"[BASE_CONVE_PPTO].[Importe]",
TDinamica_P!$A$5,
"[BASE_CONVE_PPTO].[Periodo]",
"[BASE_CONVE_PPTO].[Periodo].&amp;[" &amp; TEXT(BK$6,"yyyymm")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O78" s="24">
        <f t="shared" si="199"/>
        <v>0</v>
      </c>
      <c r="BP78" s="24">
        <f t="shared" si="199"/>
        <v>0</v>
      </c>
      <c r="BQ78" s="24">
        <f t="shared" si="199"/>
        <v>0</v>
      </c>
      <c r="BR78" s="24">
        <f t="shared" si="199"/>
        <v>0</v>
      </c>
      <c r="BS78" s="24">
        <f t="shared" si="199"/>
        <v>0</v>
      </c>
      <c r="BT78" s="24">
        <f t="shared" si="199"/>
        <v>0</v>
      </c>
    </row>
    <row r="79" spans="1:72" outlineLevel="1" x14ac:dyDescent="0.25">
      <c r="A79" s="11" t="s">
        <v>71</v>
      </c>
      <c r="C79" s="2"/>
      <c r="D79" s="8">
        <f>IFERROR(
GETPIVOTDATA(
"[Base].[Importe]",
TDinamica_R!$A$5,
"[Calendario].[AñoMes]",
"[Calendario].[AñoMes].&amp;[" &amp; TEXT(D$6,"yyyymm")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E79" s="8">
        <f>IFERROR(
GETPIVOTDATA(
"[Base].[Importe]",
TDinamica_R!$A$5,
"[Calendario].[AñoMes]",
"[Calendario].[AñoMes].&amp;[" &amp; TEXT(E$6,"yyyymm")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F79" s="8">
        <f>IFERROR(
GETPIVOTDATA(
"[Base].[Importe]",
TDinamica_R!$A$5,
"[Calendario].[AñoMes]",
"[Calendario].[AñoMes].&amp;[" &amp; TEXT(F$6,"yyyymm")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G79" s="8">
        <f>IFERROR(
GETPIVOTDATA(
"[Base].[Importe]",
TDinamica_R!$A$5,
"[Calendario].[AñoMes]",
"[Calendario].[AñoMes].&amp;[" &amp; TEXT(G$6,"yyyymm")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H79" s="8">
        <f>IFERROR(
GETPIVOTDATA(
"[Base].[Importe]",
TDinamica_R!$A$5,
"[Calendario].[AñoMes]",
"[Calendario].[AñoMes].&amp;[" &amp; TEXT(H$6,"yyyymm")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I79" s="8">
        <f>IFERROR(
GETPIVOTDATA(
"[Base].[Importe]",
TDinamica_R!$A$5,
"[Calendario].[AñoMes]",
"[Calendario].[AñoMes].&amp;[" &amp; TEXT(I$6,"yyyymm")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J79" s="8">
        <f>IFERROR(
GETPIVOTDATA(
"[Base].[Importe]",
TDinamica_R!$A$5,
"[Calendario].[AñoMes]",
"[Calendario].[AñoMes].&amp;[" &amp; TEXT(J$6,"yyyymm")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K79" s="8">
        <f>IFERROR(
GETPIVOTDATA(
"[Base].[Importe]",
TDinamica_R!$A$5,
"[Calendario].[AñoMes]",
"[Calendario].[AñoMes].&amp;[" &amp; TEXT(K$6,"yyyymm")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L79" s="8">
        <f>IFERROR(
GETPIVOTDATA(
"[Base].[Importe]",
TDinamica_R!$A$5,
"[Calendario].[AñoMes]",
"[Calendario].[AñoMes].&amp;[" &amp; TEXT(L$6,"yyyymm")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M79" s="8">
        <f>IFERROR(
GETPIVOTDATA(
"[Base].[Importe]",
TDinamica_R!$A$5,
"[Calendario].[AñoMes]",
"[Calendario].[AñoMes].&amp;[" &amp; TEXT(M$6,"yyyymm")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N79" s="8">
        <f>IFERROR(
GETPIVOTDATA(
"[Base].[Importe]",
TDinamica_R!$A$5,
"[Calendario].[AñoMes]",
"[Calendario].[AñoMes].&amp;[" &amp; TEXT(N$6,"yyyymm")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O79" s="8">
        <f>IFERROR(
GETPIVOTDATA(
"[Base].[Importe]",
TDinamica_R!$A$5,
"[Calendario].[AñoMes]",
"[Calendario].[AñoMes].&amp;[" &amp; TEXT(O$6,"yyyymm")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P79" s="8">
        <f>IFERROR(
GETPIVOTDATA(
"[Base].[Importe]",
TDinamica_R!$A$5,
"[Calendario].[AñoMes]",
"[Calendario].[AñoMes].&amp;[" &amp; TEXT(P$6,"yyyymm")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Q79" s="8">
        <f>IFERROR(
GETPIVOTDATA(
"[Base].[Importe]",
TDinamica_R!$A$5,
"[Calendario].[AñoMes]",
"[Calendario].[AñoMes].&amp;[" &amp; TEXT(Q$6,"yyyymm")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R79" s="8">
        <f>IFERROR(
GETPIVOTDATA(
"[Base].[Importe]",
TDinamica_R!$A$5,
"[Calendario].[AñoMes]",
"[Calendario].[AñoMes].&amp;[" &amp; TEXT(R$6,"yyyymm")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S79" s="8">
        <f>IFERROR(
GETPIVOTDATA(
"[Base].[Importe]",
TDinamica_R!$A$5,
"[Calendario].[AñoMes]",
"[Calendario].[AñoMes].&amp;[" &amp; TEXT(S$6,"yyyymm")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T79" s="8">
        <f>IFERROR(
GETPIVOTDATA(
"[Base].[Importe]",
TDinamica_R!$A$5,
"[Calendario].[AñoMes]",
"[Calendario].[AñoMes].&amp;[" &amp; TEXT(T$6,"yyyymm")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U79" s="8">
        <f>IFERROR(
GETPIVOTDATA(
"[Base].[Importe]",
TDinamica_R!$A$5,
"[Calendario].[AñoMes]",
"[Calendario].[AñoMes].&amp;[" &amp; TEXT(U$6,"yyyymm")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V79" s="8">
        <f>IFERROR(
GETPIVOTDATA(
"[Base].[Importe]",
TDinamica_R!$A$5,
"[Calendario].[AñoMes]",
"[Calendario].[AñoMes].&amp;[" &amp; TEXT(V$6,"yyyymm")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W79" s="8">
        <f>IFERROR(
GETPIVOTDATA(
"[Base].[Importe]",
TDinamica_R!$A$5,
"[Calendario].[AñoMes]",
"[Calendario].[AñoMes].&amp;[" &amp; TEXT(W$6,"yyyymm")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X79" s="8">
        <f>IFERROR(
GETPIVOTDATA(
"[Base].[Importe]",
TDinamica_R!$A$5,
"[Calendario].[AñoMes]",
"[Calendario].[AñoMes].&amp;[" &amp; TEXT(X$6,"yyyymm")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Y79" s="8">
        <f>IFERROR(
GETPIVOTDATA(
"[Base].[Importe]",
TDinamica_R!$A$5,
"[Calendario].[AñoMes]",
"[Calendario].[AñoMes].&amp;[" &amp; TEXT(Y$6,"yyyymm")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Z79" s="8">
        <f>IFERROR(
GETPIVOTDATA(
"[Base].[Importe]",
TDinamica_R!$A$5,
"[Calendario].[AñoMes]",
"[Calendario].[AñoMes].&amp;[" &amp; TEXT(Z$6,"yyyymm")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A79" s="8">
        <f>IFERROR(
GETPIVOTDATA(
"[Base].[Importe]",
TDinamica_R!$A$5,
"[Calendario].[AñoMes]",
"[Calendario].[AñoMes].&amp;[" &amp; TEXT(AA$6,"yyyymm")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B79" s="8">
        <f>IFERROR(
GETPIVOTDATA(
"[Base].[Importe]",
TDinamica_R!$A$5,
"[Calendario].[AñoMes]",
"[Calendario].[AñoMes].&amp;[" &amp; TEXT(AB$6,"yyyymm")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C79" s="8">
        <f>IFERROR(
GETPIVOTDATA(
"[Base].[Importe]",
TDinamica_R!$A$5,
"[Calendario].[AñoMes]",
"[Calendario].[AñoMes].&amp;[" &amp; TEXT(AC$6,"yyyymm")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D79" s="8">
        <f>IFERROR(
GETPIVOTDATA(
"[Base].[Importe]",
TDinamica_R!$A$5,
"[Calendario].[AñoMes]",
"[Calendario].[AñoMes].&amp;[" &amp; TEXT(AD$6,"yyyymm")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E79" s="8">
        <f>IFERROR(
GETPIVOTDATA(
"[Base].[Importe]",
TDinamica_R!$A$5,
"[Calendario].[AñoMes]",
"[Calendario].[AñoMes].&amp;[" &amp; TEXT(AE$6,"yyyymm")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F79" s="8">
        <f>IFERROR(
GETPIVOTDATA(
"[Base].[Importe]",
TDinamica_R!$A$5,
"[Calendario].[AñoMes]",
"[Calendario].[AñoMes].&amp;[" &amp; TEXT(AF$6,"yyyymm")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G79" s="8">
        <f>IFERROR(
GETPIVOTDATA(
"[Base].[Importe]",
TDinamica_R!$A$5,
"[Calendario].[AñoMes]",
"[Calendario].[AñoMes].&amp;[" &amp; TEXT(AG$6,"yyyymm")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H79" s="8">
        <f>IFERROR(
GETPIVOTDATA(
"[Base].[Importe]",
TDinamica_R!$A$5,
"[Calendario].[AñoMes]",
"[Calendario].[AñoMes].&amp;[" &amp; TEXT(AH$6,"yyyymm")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I79" s="8">
        <f>IFERROR(
GETPIVOTDATA(
"[Base].[Importe]",
TDinamica_R!$A$5,
"[Calendario].[AñoMes]",
"[Calendario].[AñoMes].&amp;[" &amp; TEXT(AI$6,"yyyymm")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J79" s="8">
        <f>IFERROR(
GETPIVOTDATA(
"[Base].[Importe]",
TDinamica_R!$A$5,
"[Calendario].[AñoMes]",
"[Calendario].[AñoMes].&amp;[" &amp; TEXT(AJ$6,"yyyymm")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K79" s="8">
        <f>IFERROR(
GETPIVOTDATA(
"[Base].[Importe]",
TDinamica_R!$A$5,
"[Calendario].[AñoMes]",
"[Calendario].[AñoMes].&amp;[" &amp; TEXT(AK$6,"yyyymm")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L79" s="8">
        <f>IFERROR(
GETPIVOTDATA(
"[Base].[Importe]",
TDinamica_R!$A$5,
"[Calendario].[AñoMes]",
"[Calendario].[AñoMes].&amp;[" &amp; TEXT(AL$6,"yyyymm")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M79" s="8">
        <f>IFERROR(
GETPIVOTDATA(
"[Base].[Importe]",
TDinamica_R!$A$5,
"[Calendario].[AñoMes]",
"[Calendario].[AñoMes].&amp;[" &amp; TEXT(AM$6,"yyyymm")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N79" s="8">
        <f>IFERROR(
GETPIVOTDATA(
"[Base].[Importe]",
TDinamica_R!$A$5,
"[Calendario].[AñoMes]",
"[Calendario].[AñoMes].&amp;[" &amp; TEXT(AN$6,"yyyymm")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O79" s="8">
        <f>IFERROR(
GETPIVOTDATA(
"[Base].[Importe]",
TDinamica_R!$A$5,
"[Calendario].[AñoMes]",
"[Calendario].[AñoMes].&amp;[" &amp; TEXT(AO$6,"yyyymm")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P79" s="8">
        <f>IFERROR(
GETPIVOTDATA(
"[Base].[Importe]",
TDinamica_R!$A$5,
"[Calendario].[AñoMes]",
"[Calendario].[AñoMes].&amp;[" &amp; TEXT(AP$6,"yyyymm")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Q79" s="8">
        <f>IFERROR(
GETPIVOTDATA(
"[Base].[Importe]",
TDinamica_R!$A$5,
"[Calendario].[AñoMes]",
"[Calendario].[AñoMes].&amp;[" &amp; TEXT(AQ$6,"yyyymm")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R79" s="8">
        <f>IFERROR(
GETPIVOTDATA(
"[Base].[Importe]",
TDinamica_R!$A$5,
"[Calendario].[AñoMes]",
"[Calendario].[AñoMes].&amp;[" &amp; TEXT(AR$6,"yyyymm")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S79" s="8">
        <f>IFERROR(
GETPIVOTDATA(
"[Base].[Importe]",
TDinamica_R!$A$5,
"[Calendario].[AñoMes]",
"[Calendario].[AñoMes].&amp;[" &amp; TEXT(AS$6,"yyyymm")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T79" s="8">
        <f>IFERROR(
GETPIVOTDATA(
"[Base].[Importe]",
TDinamica_R!$A$5,
"[Calendario].[AñoMes]",
"[Calendario].[AñoMes].&amp;[" &amp; TEXT(AT$6,"yyyymm")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U79" s="8">
        <f>IFERROR(
GETPIVOTDATA(
"[Base].[Importe]",
TDinamica_R!$A$5,
"[Calendario].[AñoMes]",
"[Calendario].[AñoMes].&amp;[" &amp; TEXT(AU$6,"yyyymm")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V79" s="8">
        <f>IFERROR(
GETPIVOTDATA(
"[Base].[Importe]",
TDinamica_R!$A$5,
"[Calendario].[AñoMes]",
"[Calendario].[AñoMes].&amp;[" &amp; TEXT(AV$6,"yyyymm")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W79" s="8">
        <f>IFERROR(
GETPIVOTDATA(
"[Base].[Importe]",
TDinamica_R!$A$5,
"[Calendario].[AñoMes]",
"[Calendario].[AñoMes].&amp;[" &amp; TEXT(AW$6,"yyyymm")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X79" s="8">
        <f>IFERROR(
GETPIVOTDATA(
"[Base].[Importe]",
TDinamica_R!$A$5,
"[Calendario].[AñoMes]",
"[Calendario].[AñoMes].&amp;[" &amp; TEXT(AX$6,"yyyymm")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Y79" s="8">
        <f>IFERROR(
GETPIVOTDATA(
"[Base].[Importe]",
TDinamica_R!$A$5,
"[Calendario].[AñoMes]",
"[Calendario].[AñoMes].&amp;[" &amp; TEXT(AY$6,"yyyymm")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Z79" s="8">
        <f>IFERROR(
GETPIVOTDATA(
"[BASE_CONVE_PPTO].[Importe]",
TDinamica_P!$A$5,
"[BASE_CONVE_PPTO].[Periodo]",
"[BASE_CONVE_PPTO].[Periodo].&amp;[" &amp; TEXT(AZ$6,"yyyymm")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A79" s="8">
        <f>IFERROR(
GETPIVOTDATA(
"[BASE_CONVE_PPTO].[Importe]",
TDinamica_P!$A$5,
"[BASE_CONVE_PPTO].[Periodo]",
"[BASE_CONVE_PPTO].[Periodo].&amp;[" &amp; TEXT(BA$6,"yyyymm")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B79" s="8">
        <f>IFERROR(
GETPIVOTDATA(
"[BASE_CONVE_PPTO].[Importe]",
TDinamica_P!$A$5,
"[BASE_CONVE_PPTO].[Periodo]",
"[BASE_CONVE_PPTO].[Periodo].&amp;[" &amp; TEXT(BB$6,"yyyymm")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C79" s="8">
        <f>IFERROR(
GETPIVOTDATA(
"[BASE_CONVE_PPTO].[Importe]",
TDinamica_P!$A$5,
"[BASE_CONVE_PPTO].[Periodo]",
"[BASE_CONVE_PPTO].[Periodo].&amp;[" &amp; TEXT(BC$6,"yyyymm")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D79" s="8">
        <f>IFERROR(
GETPIVOTDATA(
"[BASE_CONVE_PPTO].[Importe]",
TDinamica_P!$A$5,
"[BASE_CONVE_PPTO].[Periodo]",
"[BASE_CONVE_PPTO].[Periodo].&amp;[" &amp; TEXT(BD$6,"yyyymm")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E79" s="8">
        <f>IFERROR(
GETPIVOTDATA(
"[BASE_CONVE_PPTO].[Importe]",
TDinamica_P!$A$5,
"[BASE_CONVE_PPTO].[Periodo]",
"[BASE_CONVE_PPTO].[Periodo].&amp;[" &amp; TEXT(BE$6,"yyyymm")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F79" s="8">
        <f>IFERROR(
GETPIVOTDATA(
"[BASE_CONVE_PPTO].[Importe]",
TDinamica_P!$A$5,
"[BASE_CONVE_PPTO].[Periodo]",
"[BASE_CONVE_PPTO].[Periodo].&amp;[" &amp; TEXT(BF$6,"yyyymm")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G79" s="8">
        <f>IFERROR(
GETPIVOTDATA(
"[BASE_CONVE_PPTO].[Importe]",
TDinamica_P!$A$5,
"[BASE_CONVE_PPTO].[Periodo]",
"[BASE_CONVE_PPTO].[Periodo].&amp;[" &amp; TEXT(BG$6,"yyyymm")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H79" s="8">
        <f>IFERROR(
GETPIVOTDATA(
"[BASE_CONVE_PPTO].[Importe]",
TDinamica_P!$A$5,
"[BASE_CONVE_PPTO].[Periodo]",
"[BASE_CONVE_PPTO].[Periodo].&amp;[" &amp; TEXT(BH$6,"yyyymm")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I79" s="8">
        <f>IFERROR(
GETPIVOTDATA(
"[BASE_CONVE_PPTO].[Importe]",
TDinamica_P!$A$5,
"[BASE_CONVE_PPTO].[Periodo]",
"[BASE_CONVE_PPTO].[Periodo].&amp;[" &amp; TEXT(BI$6,"yyyymm")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J79" s="8">
        <f>IFERROR(
GETPIVOTDATA(
"[BASE_CONVE_PPTO].[Importe]",
TDinamica_P!$A$5,
"[BASE_CONVE_PPTO].[Periodo]",
"[BASE_CONVE_PPTO].[Periodo].&amp;[" &amp; TEXT(BJ$6,"yyyymm")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K79" s="8">
        <f>IFERROR(
GETPIVOTDATA(
"[BASE_CONVE_PPTO].[Importe]",
TDinamica_P!$A$5,
"[BASE_CONVE_PPTO].[Periodo]",
"[BASE_CONVE_PPTO].[Periodo].&amp;[" &amp; TEXT(BK$6,"yyyymm")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O79" s="24">
        <f t="shared" si="199"/>
        <v>0</v>
      </c>
      <c r="BP79" s="24">
        <f t="shared" si="199"/>
        <v>0</v>
      </c>
      <c r="BQ79" s="24">
        <f t="shared" si="199"/>
        <v>0</v>
      </c>
      <c r="BR79" s="24">
        <f t="shared" si="199"/>
        <v>0</v>
      </c>
      <c r="BS79" s="24">
        <f t="shared" si="199"/>
        <v>0</v>
      </c>
      <c r="BT79" s="24">
        <f t="shared" si="199"/>
        <v>0</v>
      </c>
    </row>
    <row r="80" spans="1:72" outlineLevel="1" x14ac:dyDescent="0.25">
      <c r="A80" s="11" t="s">
        <v>71</v>
      </c>
      <c r="C80" s="2"/>
      <c r="D80" s="8">
        <f>IFERROR(
GETPIVOTDATA(
"[Base].[Importe]",
TDinamica_R!$A$5,
"[Calendario].[AñoMes]",
"[Calendario].[AñoMes].&amp;[" &amp; TEXT(D$6,"yyyymm")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E80" s="8">
        <f>IFERROR(
GETPIVOTDATA(
"[Base].[Importe]",
TDinamica_R!$A$5,
"[Calendario].[AñoMes]",
"[Calendario].[AñoMes].&amp;[" &amp; TEXT(E$6,"yyyymm")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F80" s="8">
        <f>IFERROR(
GETPIVOTDATA(
"[Base].[Importe]",
TDinamica_R!$A$5,
"[Calendario].[AñoMes]",
"[Calendario].[AñoMes].&amp;[" &amp; TEXT(F$6,"yyyymm")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G80" s="8">
        <f>IFERROR(
GETPIVOTDATA(
"[Base].[Importe]",
TDinamica_R!$A$5,
"[Calendario].[AñoMes]",
"[Calendario].[AñoMes].&amp;[" &amp; TEXT(G$6,"yyyymm")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H80" s="8">
        <f>IFERROR(
GETPIVOTDATA(
"[Base].[Importe]",
TDinamica_R!$A$5,
"[Calendario].[AñoMes]",
"[Calendario].[AñoMes].&amp;[" &amp; TEXT(H$6,"yyyymm")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I80" s="8">
        <f>IFERROR(
GETPIVOTDATA(
"[Base].[Importe]",
TDinamica_R!$A$5,
"[Calendario].[AñoMes]",
"[Calendario].[AñoMes].&amp;[" &amp; TEXT(I$6,"yyyymm")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J80" s="8">
        <f>IFERROR(
GETPIVOTDATA(
"[Base].[Importe]",
TDinamica_R!$A$5,
"[Calendario].[AñoMes]",
"[Calendario].[AñoMes].&amp;[" &amp; TEXT(J$6,"yyyymm")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K80" s="8">
        <f>IFERROR(
GETPIVOTDATA(
"[Base].[Importe]",
TDinamica_R!$A$5,
"[Calendario].[AñoMes]",
"[Calendario].[AñoMes].&amp;[" &amp; TEXT(K$6,"yyyymm")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L80" s="8">
        <f>IFERROR(
GETPIVOTDATA(
"[Base].[Importe]",
TDinamica_R!$A$5,
"[Calendario].[AñoMes]",
"[Calendario].[AñoMes].&amp;[" &amp; TEXT(L$6,"yyyymm")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M80" s="8">
        <f>IFERROR(
GETPIVOTDATA(
"[Base].[Importe]",
TDinamica_R!$A$5,
"[Calendario].[AñoMes]",
"[Calendario].[AñoMes].&amp;[" &amp; TEXT(M$6,"yyyymm")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N80" s="8">
        <f>IFERROR(
GETPIVOTDATA(
"[Base].[Importe]",
TDinamica_R!$A$5,
"[Calendario].[AñoMes]",
"[Calendario].[AñoMes].&amp;[" &amp; TEXT(N$6,"yyyymm")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O80" s="8">
        <f>IFERROR(
GETPIVOTDATA(
"[Base].[Importe]",
TDinamica_R!$A$5,
"[Calendario].[AñoMes]",
"[Calendario].[AñoMes].&amp;[" &amp; TEXT(O$6,"yyyymm")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P80" s="8">
        <f>IFERROR(
GETPIVOTDATA(
"[Base].[Importe]",
TDinamica_R!$A$5,
"[Calendario].[AñoMes]",
"[Calendario].[AñoMes].&amp;[" &amp; TEXT(P$6,"yyyymm")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Q80" s="8">
        <f>IFERROR(
GETPIVOTDATA(
"[Base].[Importe]",
TDinamica_R!$A$5,
"[Calendario].[AñoMes]",
"[Calendario].[AñoMes].&amp;[" &amp; TEXT(Q$6,"yyyymm")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R80" s="8">
        <f>IFERROR(
GETPIVOTDATA(
"[Base].[Importe]",
TDinamica_R!$A$5,
"[Calendario].[AñoMes]",
"[Calendario].[AñoMes].&amp;[" &amp; TEXT(R$6,"yyyymm")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S80" s="8">
        <f>IFERROR(
GETPIVOTDATA(
"[Base].[Importe]",
TDinamica_R!$A$5,
"[Calendario].[AñoMes]",
"[Calendario].[AñoMes].&amp;[" &amp; TEXT(S$6,"yyyymm")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T80" s="8">
        <f>IFERROR(
GETPIVOTDATA(
"[Base].[Importe]",
TDinamica_R!$A$5,
"[Calendario].[AñoMes]",
"[Calendario].[AñoMes].&amp;[" &amp; TEXT(T$6,"yyyymm")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U80" s="8">
        <f>IFERROR(
GETPIVOTDATA(
"[Base].[Importe]",
TDinamica_R!$A$5,
"[Calendario].[AñoMes]",
"[Calendario].[AñoMes].&amp;[" &amp; TEXT(U$6,"yyyymm")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V80" s="8">
        <f>IFERROR(
GETPIVOTDATA(
"[Base].[Importe]",
TDinamica_R!$A$5,
"[Calendario].[AñoMes]",
"[Calendario].[AñoMes].&amp;[" &amp; TEXT(V$6,"yyyymm")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W80" s="8">
        <f>IFERROR(
GETPIVOTDATA(
"[Base].[Importe]",
TDinamica_R!$A$5,
"[Calendario].[AñoMes]",
"[Calendario].[AñoMes].&amp;[" &amp; TEXT(W$6,"yyyymm")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X80" s="8">
        <f>IFERROR(
GETPIVOTDATA(
"[Base].[Importe]",
TDinamica_R!$A$5,
"[Calendario].[AñoMes]",
"[Calendario].[AñoMes].&amp;[" &amp; TEXT(X$6,"yyyymm")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Y80" s="8">
        <f>IFERROR(
GETPIVOTDATA(
"[Base].[Importe]",
TDinamica_R!$A$5,
"[Calendario].[AñoMes]",
"[Calendario].[AñoMes].&amp;[" &amp; TEXT(Y$6,"yyyymm")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Z80" s="8">
        <f>IFERROR(
GETPIVOTDATA(
"[Base].[Importe]",
TDinamica_R!$A$5,
"[Calendario].[AñoMes]",
"[Calendario].[AñoMes].&amp;[" &amp; TEXT(Z$6,"yyyymm")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A80" s="8">
        <f>IFERROR(
GETPIVOTDATA(
"[Base].[Importe]",
TDinamica_R!$A$5,
"[Calendario].[AñoMes]",
"[Calendario].[AñoMes].&amp;[" &amp; TEXT(AA$6,"yyyymm")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B80" s="8">
        <f>IFERROR(
GETPIVOTDATA(
"[Base].[Importe]",
TDinamica_R!$A$5,
"[Calendario].[AñoMes]",
"[Calendario].[AñoMes].&amp;[" &amp; TEXT(AB$6,"yyyymm")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C80" s="8">
        <f>IFERROR(
GETPIVOTDATA(
"[Base].[Importe]",
TDinamica_R!$A$5,
"[Calendario].[AñoMes]",
"[Calendario].[AñoMes].&amp;[" &amp; TEXT(AC$6,"yyyymm")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D80" s="8">
        <f>IFERROR(
GETPIVOTDATA(
"[Base].[Importe]",
TDinamica_R!$A$5,
"[Calendario].[AñoMes]",
"[Calendario].[AñoMes].&amp;[" &amp; TEXT(AD$6,"yyyymm")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E80" s="8">
        <f>IFERROR(
GETPIVOTDATA(
"[Base].[Importe]",
TDinamica_R!$A$5,
"[Calendario].[AñoMes]",
"[Calendario].[AñoMes].&amp;[" &amp; TEXT(AE$6,"yyyymm")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F80" s="8">
        <f>IFERROR(
GETPIVOTDATA(
"[Base].[Importe]",
TDinamica_R!$A$5,
"[Calendario].[AñoMes]",
"[Calendario].[AñoMes].&amp;[" &amp; TEXT(AF$6,"yyyymm")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G80" s="8">
        <f>IFERROR(
GETPIVOTDATA(
"[Base].[Importe]",
TDinamica_R!$A$5,
"[Calendario].[AñoMes]",
"[Calendario].[AñoMes].&amp;[" &amp; TEXT(AG$6,"yyyymm")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H80" s="8">
        <f>IFERROR(
GETPIVOTDATA(
"[Base].[Importe]",
TDinamica_R!$A$5,
"[Calendario].[AñoMes]",
"[Calendario].[AñoMes].&amp;[" &amp; TEXT(AH$6,"yyyymm")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I80" s="8">
        <f>IFERROR(
GETPIVOTDATA(
"[Base].[Importe]",
TDinamica_R!$A$5,
"[Calendario].[AñoMes]",
"[Calendario].[AñoMes].&amp;[" &amp; TEXT(AI$6,"yyyymm")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J80" s="8">
        <f>IFERROR(
GETPIVOTDATA(
"[Base].[Importe]",
TDinamica_R!$A$5,
"[Calendario].[AñoMes]",
"[Calendario].[AñoMes].&amp;[" &amp; TEXT(AJ$6,"yyyymm")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K80" s="8">
        <f>IFERROR(
GETPIVOTDATA(
"[Base].[Importe]",
TDinamica_R!$A$5,
"[Calendario].[AñoMes]",
"[Calendario].[AñoMes].&amp;[" &amp; TEXT(AK$6,"yyyymm")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L80" s="8">
        <f>IFERROR(
GETPIVOTDATA(
"[Base].[Importe]",
TDinamica_R!$A$5,
"[Calendario].[AñoMes]",
"[Calendario].[AñoMes].&amp;[" &amp; TEXT(AL$6,"yyyymm")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M80" s="8">
        <f>IFERROR(
GETPIVOTDATA(
"[Base].[Importe]",
TDinamica_R!$A$5,
"[Calendario].[AñoMes]",
"[Calendario].[AñoMes].&amp;[" &amp; TEXT(AM$6,"yyyymm")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N80" s="8">
        <f>IFERROR(
GETPIVOTDATA(
"[Base].[Importe]",
TDinamica_R!$A$5,
"[Calendario].[AñoMes]",
"[Calendario].[AñoMes].&amp;[" &amp; TEXT(AN$6,"yyyymm")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O80" s="8">
        <f>IFERROR(
GETPIVOTDATA(
"[Base].[Importe]",
TDinamica_R!$A$5,
"[Calendario].[AñoMes]",
"[Calendario].[AñoMes].&amp;[" &amp; TEXT(AO$6,"yyyymm")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P80" s="8">
        <f>IFERROR(
GETPIVOTDATA(
"[Base].[Importe]",
TDinamica_R!$A$5,
"[Calendario].[AñoMes]",
"[Calendario].[AñoMes].&amp;[" &amp; TEXT(AP$6,"yyyymm")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Q80" s="8">
        <f>IFERROR(
GETPIVOTDATA(
"[Base].[Importe]",
TDinamica_R!$A$5,
"[Calendario].[AñoMes]",
"[Calendario].[AñoMes].&amp;[" &amp; TEXT(AQ$6,"yyyymm")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R80" s="8">
        <f>IFERROR(
GETPIVOTDATA(
"[Base].[Importe]",
TDinamica_R!$A$5,
"[Calendario].[AñoMes]",
"[Calendario].[AñoMes].&amp;[" &amp; TEXT(AR$6,"yyyymm")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S80" s="8">
        <f>IFERROR(
GETPIVOTDATA(
"[Base].[Importe]",
TDinamica_R!$A$5,
"[Calendario].[AñoMes]",
"[Calendario].[AñoMes].&amp;[" &amp; TEXT(AS$6,"yyyymm")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T80" s="8">
        <f>IFERROR(
GETPIVOTDATA(
"[Base].[Importe]",
TDinamica_R!$A$5,
"[Calendario].[AñoMes]",
"[Calendario].[AñoMes].&amp;[" &amp; TEXT(AT$6,"yyyymm")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U80" s="8">
        <f>IFERROR(
GETPIVOTDATA(
"[Base].[Importe]",
TDinamica_R!$A$5,
"[Calendario].[AñoMes]",
"[Calendario].[AñoMes].&amp;[" &amp; TEXT(AU$6,"yyyymm")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V80" s="8">
        <f>IFERROR(
GETPIVOTDATA(
"[Base].[Importe]",
TDinamica_R!$A$5,
"[Calendario].[AñoMes]",
"[Calendario].[AñoMes].&amp;[" &amp; TEXT(AV$6,"yyyymm")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W80" s="8">
        <f>IFERROR(
GETPIVOTDATA(
"[Base].[Importe]",
TDinamica_R!$A$5,
"[Calendario].[AñoMes]",
"[Calendario].[AñoMes].&amp;[" &amp; TEXT(AW$6,"yyyymm")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X80" s="8">
        <f>IFERROR(
GETPIVOTDATA(
"[Base].[Importe]",
TDinamica_R!$A$5,
"[Calendario].[AñoMes]",
"[Calendario].[AñoMes].&amp;[" &amp; TEXT(AX$6,"yyyymm")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Y80" s="8">
        <f>IFERROR(
GETPIVOTDATA(
"[Base].[Importe]",
TDinamica_R!$A$5,
"[Calendario].[AñoMes]",
"[Calendario].[AñoMes].&amp;[" &amp; TEXT(AY$6,"yyyymm")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Z80" s="8">
        <f>IFERROR(
GETPIVOTDATA(
"[BASE_CONVE_PPTO].[Importe]",
TDinamica_P!$A$5,
"[BASE_CONVE_PPTO].[Periodo]",
"[BASE_CONVE_PPTO].[Periodo].&amp;[" &amp; TEXT(AZ$6,"yyyymm")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A80" s="8">
        <f>IFERROR(
GETPIVOTDATA(
"[BASE_CONVE_PPTO].[Importe]",
TDinamica_P!$A$5,
"[BASE_CONVE_PPTO].[Periodo]",
"[BASE_CONVE_PPTO].[Periodo].&amp;[" &amp; TEXT(BA$6,"yyyymm")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B80" s="8">
        <f>IFERROR(
GETPIVOTDATA(
"[BASE_CONVE_PPTO].[Importe]",
TDinamica_P!$A$5,
"[BASE_CONVE_PPTO].[Periodo]",
"[BASE_CONVE_PPTO].[Periodo].&amp;[" &amp; TEXT(BB$6,"yyyymm")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C80" s="8">
        <f>IFERROR(
GETPIVOTDATA(
"[BASE_CONVE_PPTO].[Importe]",
TDinamica_P!$A$5,
"[BASE_CONVE_PPTO].[Periodo]",
"[BASE_CONVE_PPTO].[Periodo].&amp;[" &amp; TEXT(BC$6,"yyyymm")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D80" s="8">
        <f>IFERROR(
GETPIVOTDATA(
"[BASE_CONVE_PPTO].[Importe]",
TDinamica_P!$A$5,
"[BASE_CONVE_PPTO].[Periodo]",
"[BASE_CONVE_PPTO].[Periodo].&amp;[" &amp; TEXT(BD$6,"yyyymm")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E80" s="8">
        <f>IFERROR(
GETPIVOTDATA(
"[BASE_CONVE_PPTO].[Importe]",
TDinamica_P!$A$5,
"[BASE_CONVE_PPTO].[Periodo]",
"[BASE_CONVE_PPTO].[Periodo].&amp;[" &amp; TEXT(BE$6,"yyyymm")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F80" s="8">
        <f>IFERROR(
GETPIVOTDATA(
"[BASE_CONVE_PPTO].[Importe]",
TDinamica_P!$A$5,
"[BASE_CONVE_PPTO].[Periodo]",
"[BASE_CONVE_PPTO].[Periodo].&amp;[" &amp; TEXT(BF$6,"yyyymm")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G80" s="8">
        <f>IFERROR(
GETPIVOTDATA(
"[BASE_CONVE_PPTO].[Importe]",
TDinamica_P!$A$5,
"[BASE_CONVE_PPTO].[Periodo]",
"[BASE_CONVE_PPTO].[Periodo].&amp;[" &amp; TEXT(BG$6,"yyyymm")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H80" s="8">
        <f>IFERROR(
GETPIVOTDATA(
"[BASE_CONVE_PPTO].[Importe]",
TDinamica_P!$A$5,
"[BASE_CONVE_PPTO].[Periodo]",
"[BASE_CONVE_PPTO].[Periodo].&amp;[" &amp; TEXT(BH$6,"yyyymm")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I80" s="8">
        <f>IFERROR(
GETPIVOTDATA(
"[BASE_CONVE_PPTO].[Importe]",
TDinamica_P!$A$5,
"[BASE_CONVE_PPTO].[Periodo]",
"[BASE_CONVE_PPTO].[Periodo].&amp;[" &amp; TEXT(BI$6,"yyyymm")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J80" s="8">
        <f>IFERROR(
GETPIVOTDATA(
"[BASE_CONVE_PPTO].[Importe]",
TDinamica_P!$A$5,
"[BASE_CONVE_PPTO].[Periodo]",
"[BASE_CONVE_PPTO].[Periodo].&amp;[" &amp; TEXT(BJ$6,"yyyymm")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K80" s="8">
        <f>IFERROR(
GETPIVOTDATA(
"[BASE_CONVE_PPTO].[Importe]",
TDinamica_P!$A$5,
"[BASE_CONVE_PPTO].[Periodo]",
"[BASE_CONVE_PPTO].[Periodo].&amp;[" &amp; TEXT(BK$6,"yyyymm")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O80" s="24">
        <f t="shared" si="199"/>
        <v>0</v>
      </c>
      <c r="BP80" s="24">
        <f t="shared" si="199"/>
        <v>0</v>
      </c>
      <c r="BQ80" s="24">
        <f t="shared" si="199"/>
        <v>0</v>
      </c>
      <c r="BR80" s="24">
        <f t="shared" si="199"/>
        <v>0</v>
      </c>
      <c r="BS80" s="24">
        <f t="shared" si="199"/>
        <v>0</v>
      </c>
      <c r="BT80" s="24">
        <f t="shared" si="199"/>
        <v>0</v>
      </c>
    </row>
    <row r="81" spans="1:72" outlineLevel="1" x14ac:dyDescent="0.25">
      <c r="A81" s="11" t="s">
        <v>71</v>
      </c>
      <c r="C81" s="2"/>
      <c r="D81" s="8">
        <f>IFERROR(
GETPIVOTDATA(
"[Base].[Importe]",
TDinamica_R!$A$5,
"[Calendario].[AñoMes]",
"[Calendario].[AñoMes].&amp;[" &amp; TEXT(D$6,"yyyymm")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E81" s="8">
        <f>IFERROR(
GETPIVOTDATA(
"[Base].[Importe]",
TDinamica_R!$A$5,
"[Calendario].[AñoMes]",
"[Calendario].[AñoMes].&amp;[" &amp; TEXT(E$6,"yyyymm")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F81" s="8">
        <f>IFERROR(
GETPIVOTDATA(
"[Base].[Importe]",
TDinamica_R!$A$5,
"[Calendario].[AñoMes]",
"[Calendario].[AñoMes].&amp;[" &amp; TEXT(F$6,"yyyymm")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G81" s="8">
        <f>IFERROR(
GETPIVOTDATA(
"[Base].[Importe]",
TDinamica_R!$A$5,
"[Calendario].[AñoMes]",
"[Calendario].[AñoMes].&amp;[" &amp; TEXT(G$6,"yyyymm")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H81" s="8">
        <f>IFERROR(
GETPIVOTDATA(
"[Base].[Importe]",
TDinamica_R!$A$5,
"[Calendario].[AñoMes]",
"[Calendario].[AñoMes].&amp;[" &amp; TEXT(H$6,"yyyymm")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I81" s="8">
        <f>IFERROR(
GETPIVOTDATA(
"[Base].[Importe]",
TDinamica_R!$A$5,
"[Calendario].[AñoMes]",
"[Calendario].[AñoMes].&amp;[" &amp; TEXT(I$6,"yyyymm")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J81" s="8">
        <f>IFERROR(
GETPIVOTDATA(
"[Base].[Importe]",
TDinamica_R!$A$5,
"[Calendario].[AñoMes]",
"[Calendario].[AñoMes].&amp;[" &amp; TEXT(J$6,"yyyymm")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K81" s="8">
        <f>IFERROR(
GETPIVOTDATA(
"[Base].[Importe]",
TDinamica_R!$A$5,
"[Calendario].[AñoMes]",
"[Calendario].[AñoMes].&amp;[" &amp; TEXT(K$6,"yyyymm")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L81" s="8">
        <f>IFERROR(
GETPIVOTDATA(
"[Base].[Importe]",
TDinamica_R!$A$5,
"[Calendario].[AñoMes]",
"[Calendario].[AñoMes].&amp;[" &amp; TEXT(L$6,"yyyymm")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M81" s="8">
        <f>IFERROR(
GETPIVOTDATA(
"[Base].[Importe]",
TDinamica_R!$A$5,
"[Calendario].[AñoMes]",
"[Calendario].[AñoMes].&amp;[" &amp; TEXT(M$6,"yyyymm")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N81" s="8">
        <f>IFERROR(
GETPIVOTDATA(
"[Base].[Importe]",
TDinamica_R!$A$5,
"[Calendario].[AñoMes]",
"[Calendario].[AñoMes].&amp;[" &amp; TEXT(N$6,"yyyymm")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O81" s="8">
        <f>IFERROR(
GETPIVOTDATA(
"[Base].[Importe]",
TDinamica_R!$A$5,
"[Calendario].[AñoMes]",
"[Calendario].[AñoMes].&amp;[" &amp; TEXT(O$6,"yyyymm")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P81" s="8">
        <f>IFERROR(
GETPIVOTDATA(
"[Base].[Importe]",
TDinamica_R!$A$5,
"[Calendario].[AñoMes]",
"[Calendario].[AñoMes].&amp;[" &amp; TEXT(P$6,"yyyymm")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Q81" s="8">
        <f>IFERROR(
GETPIVOTDATA(
"[Base].[Importe]",
TDinamica_R!$A$5,
"[Calendario].[AñoMes]",
"[Calendario].[AñoMes].&amp;[" &amp; TEXT(Q$6,"yyyymm")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R81" s="8">
        <f>IFERROR(
GETPIVOTDATA(
"[Base].[Importe]",
TDinamica_R!$A$5,
"[Calendario].[AñoMes]",
"[Calendario].[AñoMes].&amp;[" &amp; TEXT(R$6,"yyyymm")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S81" s="8">
        <f>IFERROR(
GETPIVOTDATA(
"[Base].[Importe]",
TDinamica_R!$A$5,
"[Calendario].[AñoMes]",
"[Calendario].[AñoMes].&amp;[" &amp; TEXT(S$6,"yyyymm")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T81" s="8">
        <f>IFERROR(
GETPIVOTDATA(
"[Base].[Importe]",
TDinamica_R!$A$5,
"[Calendario].[AñoMes]",
"[Calendario].[AñoMes].&amp;[" &amp; TEXT(T$6,"yyyymm")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U81" s="8">
        <f>IFERROR(
GETPIVOTDATA(
"[Base].[Importe]",
TDinamica_R!$A$5,
"[Calendario].[AñoMes]",
"[Calendario].[AñoMes].&amp;[" &amp; TEXT(U$6,"yyyymm")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V81" s="8">
        <f>IFERROR(
GETPIVOTDATA(
"[Base].[Importe]",
TDinamica_R!$A$5,
"[Calendario].[AñoMes]",
"[Calendario].[AñoMes].&amp;[" &amp; TEXT(V$6,"yyyymm")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W81" s="8">
        <f>IFERROR(
GETPIVOTDATA(
"[Base].[Importe]",
TDinamica_R!$A$5,
"[Calendario].[AñoMes]",
"[Calendario].[AñoMes].&amp;[" &amp; TEXT(W$6,"yyyymm")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X81" s="8">
        <f>IFERROR(
GETPIVOTDATA(
"[Base].[Importe]",
TDinamica_R!$A$5,
"[Calendario].[AñoMes]",
"[Calendario].[AñoMes].&amp;[" &amp; TEXT(X$6,"yyyymm")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Y81" s="8">
        <f>IFERROR(
GETPIVOTDATA(
"[Base].[Importe]",
TDinamica_R!$A$5,
"[Calendario].[AñoMes]",
"[Calendario].[AñoMes].&amp;[" &amp; TEXT(Y$6,"yyyymm")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Z81" s="8">
        <f>IFERROR(
GETPIVOTDATA(
"[Base].[Importe]",
TDinamica_R!$A$5,
"[Calendario].[AñoMes]",
"[Calendario].[AñoMes].&amp;[" &amp; TEXT(Z$6,"yyyymm")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A81" s="8">
        <f>IFERROR(
GETPIVOTDATA(
"[Base].[Importe]",
TDinamica_R!$A$5,
"[Calendario].[AñoMes]",
"[Calendario].[AñoMes].&amp;[" &amp; TEXT(AA$6,"yyyymm")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B81" s="8">
        <f>IFERROR(
GETPIVOTDATA(
"[Base].[Importe]",
TDinamica_R!$A$5,
"[Calendario].[AñoMes]",
"[Calendario].[AñoMes].&amp;[" &amp; TEXT(AB$6,"yyyymm")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C81" s="8">
        <f>IFERROR(
GETPIVOTDATA(
"[Base].[Importe]",
TDinamica_R!$A$5,
"[Calendario].[AñoMes]",
"[Calendario].[AñoMes].&amp;[" &amp; TEXT(AC$6,"yyyymm")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D81" s="8">
        <f>IFERROR(
GETPIVOTDATA(
"[Base].[Importe]",
TDinamica_R!$A$5,
"[Calendario].[AñoMes]",
"[Calendario].[AñoMes].&amp;[" &amp; TEXT(AD$6,"yyyymm")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E81" s="8">
        <f>IFERROR(
GETPIVOTDATA(
"[Base].[Importe]",
TDinamica_R!$A$5,
"[Calendario].[AñoMes]",
"[Calendario].[AñoMes].&amp;[" &amp; TEXT(AE$6,"yyyymm")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F81" s="8">
        <f>IFERROR(
GETPIVOTDATA(
"[Base].[Importe]",
TDinamica_R!$A$5,
"[Calendario].[AñoMes]",
"[Calendario].[AñoMes].&amp;[" &amp; TEXT(AF$6,"yyyymm")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G81" s="8">
        <f>IFERROR(
GETPIVOTDATA(
"[Base].[Importe]",
TDinamica_R!$A$5,
"[Calendario].[AñoMes]",
"[Calendario].[AñoMes].&amp;[" &amp; TEXT(AG$6,"yyyymm")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H81" s="8">
        <f>IFERROR(
GETPIVOTDATA(
"[Base].[Importe]",
TDinamica_R!$A$5,
"[Calendario].[AñoMes]",
"[Calendario].[AñoMes].&amp;[" &amp; TEXT(AH$6,"yyyymm")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I81" s="8">
        <f>IFERROR(
GETPIVOTDATA(
"[Base].[Importe]",
TDinamica_R!$A$5,
"[Calendario].[AñoMes]",
"[Calendario].[AñoMes].&amp;[" &amp; TEXT(AI$6,"yyyymm")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J81" s="8">
        <f>IFERROR(
GETPIVOTDATA(
"[Base].[Importe]",
TDinamica_R!$A$5,
"[Calendario].[AñoMes]",
"[Calendario].[AñoMes].&amp;[" &amp; TEXT(AJ$6,"yyyymm")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K81" s="8">
        <f>IFERROR(
GETPIVOTDATA(
"[Base].[Importe]",
TDinamica_R!$A$5,
"[Calendario].[AñoMes]",
"[Calendario].[AñoMes].&amp;[" &amp; TEXT(AK$6,"yyyymm")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L81" s="8">
        <f>IFERROR(
GETPIVOTDATA(
"[Base].[Importe]",
TDinamica_R!$A$5,
"[Calendario].[AñoMes]",
"[Calendario].[AñoMes].&amp;[" &amp; TEXT(AL$6,"yyyymm")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M81" s="8">
        <f>IFERROR(
GETPIVOTDATA(
"[Base].[Importe]",
TDinamica_R!$A$5,
"[Calendario].[AñoMes]",
"[Calendario].[AñoMes].&amp;[" &amp; TEXT(AM$6,"yyyymm")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N81" s="8">
        <f>IFERROR(
GETPIVOTDATA(
"[Base].[Importe]",
TDinamica_R!$A$5,
"[Calendario].[AñoMes]",
"[Calendario].[AñoMes].&amp;[" &amp; TEXT(AN$6,"yyyymm")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O81" s="8">
        <f>IFERROR(
GETPIVOTDATA(
"[Base].[Importe]",
TDinamica_R!$A$5,
"[Calendario].[AñoMes]",
"[Calendario].[AñoMes].&amp;[" &amp; TEXT(AO$6,"yyyymm")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P81" s="8">
        <f>IFERROR(
GETPIVOTDATA(
"[Base].[Importe]",
TDinamica_R!$A$5,
"[Calendario].[AñoMes]",
"[Calendario].[AñoMes].&amp;[" &amp; TEXT(AP$6,"yyyymm")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Q81" s="8">
        <f>IFERROR(
GETPIVOTDATA(
"[Base].[Importe]",
TDinamica_R!$A$5,
"[Calendario].[AñoMes]",
"[Calendario].[AñoMes].&amp;[" &amp; TEXT(AQ$6,"yyyymm")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R81" s="8">
        <f>IFERROR(
GETPIVOTDATA(
"[Base].[Importe]",
TDinamica_R!$A$5,
"[Calendario].[AñoMes]",
"[Calendario].[AñoMes].&amp;[" &amp; TEXT(AR$6,"yyyymm")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S81" s="8">
        <f>IFERROR(
GETPIVOTDATA(
"[Base].[Importe]",
TDinamica_R!$A$5,
"[Calendario].[AñoMes]",
"[Calendario].[AñoMes].&amp;[" &amp; TEXT(AS$6,"yyyymm")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T81" s="8">
        <f>IFERROR(
GETPIVOTDATA(
"[Base].[Importe]",
TDinamica_R!$A$5,
"[Calendario].[AñoMes]",
"[Calendario].[AñoMes].&amp;[" &amp; TEXT(AT$6,"yyyymm")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U81" s="8">
        <f>IFERROR(
GETPIVOTDATA(
"[Base].[Importe]",
TDinamica_R!$A$5,
"[Calendario].[AñoMes]",
"[Calendario].[AñoMes].&amp;[" &amp; TEXT(AU$6,"yyyymm")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V81" s="8">
        <f>IFERROR(
GETPIVOTDATA(
"[Base].[Importe]",
TDinamica_R!$A$5,
"[Calendario].[AñoMes]",
"[Calendario].[AñoMes].&amp;[" &amp; TEXT(AV$6,"yyyymm")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W81" s="8">
        <f>IFERROR(
GETPIVOTDATA(
"[Base].[Importe]",
TDinamica_R!$A$5,
"[Calendario].[AñoMes]",
"[Calendario].[AñoMes].&amp;[" &amp; TEXT(AW$6,"yyyymm")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X81" s="8">
        <f>IFERROR(
GETPIVOTDATA(
"[Base].[Importe]",
TDinamica_R!$A$5,
"[Calendario].[AñoMes]",
"[Calendario].[AñoMes].&amp;[" &amp; TEXT(AX$6,"yyyymm")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Y81" s="8">
        <f>IFERROR(
GETPIVOTDATA(
"[Base].[Importe]",
TDinamica_R!$A$5,
"[Calendario].[AñoMes]",
"[Calendario].[AñoMes].&amp;[" &amp; TEXT(AY$6,"yyyymm")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Z81" s="8">
        <f>IFERROR(
GETPIVOTDATA(
"[BASE_CONVE_PPTO].[Importe]",
TDinamica_P!$A$5,
"[BASE_CONVE_PPTO].[Periodo]",
"[BASE_CONVE_PPTO].[Periodo].&amp;[" &amp; TEXT(AZ$6,"yyyymm")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A81" s="8">
        <f>IFERROR(
GETPIVOTDATA(
"[BASE_CONVE_PPTO].[Importe]",
TDinamica_P!$A$5,
"[BASE_CONVE_PPTO].[Periodo]",
"[BASE_CONVE_PPTO].[Periodo].&amp;[" &amp; TEXT(BA$6,"yyyymm")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B81" s="8">
        <f>IFERROR(
GETPIVOTDATA(
"[BASE_CONVE_PPTO].[Importe]",
TDinamica_P!$A$5,
"[BASE_CONVE_PPTO].[Periodo]",
"[BASE_CONVE_PPTO].[Periodo].&amp;[" &amp; TEXT(BB$6,"yyyymm")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C81" s="8">
        <f>IFERROR(
GETPIVOTDATA(
"[BASE_CONVE_PPTO].[Importe]",
TDinamica_P!$A$5,
"[BASE_CONVE_PPTO].[Periodo]",
"[BASE_CONVE_PPTO].[Periodo].&amp;[" &amp; TEXT(BC$6,"yyyymm")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D81" s="8">
        <f>IFERROR(
GETPIVOTDATA(
"[BASE_CONVE_PPTO].[Importe]",
TDinamica_P!$A$5,
"[BASE_CONVE_PPTO].[Periodo]",
"[BASE_CONVE_PPTO].[Periodo].&amp;[" &amp; TEXT(BD$6,"yyyymm")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E81" s="8">
        <f>IFERROR(
GETPIVOTDATA(
"[BASE_CONVE_PPTO].[Importe]",
TDinamica_P!$A$5,
"[BASE_CONVE_PPTO].[Periodo]",
"[BASE_CONVE_PPTO].[Periodo].&amp;[" &amp; TEXT(BE$6,"yyyymm")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F81" s="8">
        <f>IFERROR(
GETPIVOTDATA(
"[BASE_CONVE_PPTO].[Importe]",
TDinamica_P!$A$5,
"[BASE_CONVE_PPTO].[Periodo]",
"[BASE_CONVE_PPTO].[Periodo].&amp;[" &amp; TEXT(BF$6,"yyyymm")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G81" s="8">
        <f>IFERROR(
GETPIVOTDATA(
"[BASE_CONVE_PPTO].[Importe]",
TDinamica_P!$A$5,
"[BASE_CONVE_PPTO].[Periodo]",
"[BASE_CONVE_PPTO].[Periodo].&amp;[" &amp; TEXT(BG$6,"yyyymm")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H81" s="8">
        <f>IFERROR(
GETPIVOTDATA(
"[BASE_CONVE_PPTO].[Importe]",
TDinamica_P!$A$5,
"[BASE_CONVE_PPTO].[Periodo]",
"[BASE_CONVE_PPTO].[Periodo].&amp;[" &amp; TEXT(BH$6,"yyyymm")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I81" s="8">
        <f>IFERROR(
GETPIVOTDATA(
"[BASE_CONVE_PPTO].[Importe]",
TDinamica_P!$A$5,
"[BASE_CONVE_PPTO].[Periodo]",
"[BASE_CONVE_PPTO].[Periodo].&amp;[" &amp; TEXT(BI$6,"yyyymm")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J81" s="8">
        <f>IFERROR(
GETPIVOTDATA(
"[BASE_CONVE_PPTO].[Importe]",
TDinamica_P!$A$5,
"[BASE_CONVE_PPTO].[Periodo]",
"[BASE_CONVE_PPTO].[Periodo].&amp;[" &amp; TEXT(BJ$6,"yyyymm")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K81" s="8">
        <f>IFERROR(
GETPIVOTDATA(
"[BASE_CONVE_PPTO].[Importe]",
TDinamica_P!$A$5,
"[BASE_CONVE_PPTO].[Periodo]",
"[BASE_CONVE_PPTO].[Periodo].&amp;[" &amp; TEXT(BK$6,"yyyymm")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O81" s="24">
        <f t="shared" si="199"/>
        <v>0</v>
      </c>
      <c r="BP81" s="24">
        <f t="shared" si="199"/>
        <v>0</v>
      </c>
      <c r="BQ81" s="24">
        <f t="shared" si="199"/>
        <v>0</v>
      </c>
      <c r="BR81" s="24">
        <f t="shared" si="199"/>
        <v>0</v>
      </c>
      <c r="BS81" s="24">
        <f t="shared" si="199"/>
        <v>0</v>
      </c>
      <c r="BT81" s="24">
        <f t="shared" si="199"/>
        <v>0</v>
      </c>
    </row>
    <row r="82" spans="1:72" outlineLevel="1" x14ac:dyDescent="0.25">
      <c r="A82" s="11" t="s">
        <v>71</v>
      </c>
      <c r="C82" s="2"/>
      <c r="D82" s="8">
        <f>IFERROR(
GETPIVOTDATA(
"[Base].[Importe]",
TDinamica_R!$A$5,
"[Calendario].[AñoMes]",
"[Calendario].[AñoMes].&amp;[" &amp; TEXT(D$6,"yyyymm")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E82" s="8">
        <f>IFERROR(
GETPIVOTDATA(
"[Base].[Importe]",
TDinamica_R!$A$5,
"[Calendario].[AñoMes]",
"[Calendario].[AñoMes].&amp;[" &amp; TEXT(E$6,"yyyymm")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F82" s="8">
        <f>IFERROR(
GETPIVOTDATA(
"[Base].[Importe]",
TDinamica_R!$A$5,
"[Calendario].[AñoMes]",
"[Calendario].[AñoMes].&amp;[" &amp; TEXT(F$6,"yyyymm")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G82" s="8">
        <f>IFERROR(
GETPIVOTDATA(
"[Base].[Importe]",
TDinamica_R!$A$5,
"[Calendario].[AñoMes]",
"[Calendario].[AñoMes].&amp;[" &amp; TEXT(G$6,"yyyymm")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H82" s="8">
        <f>IFERROR(
GETPIVOTDATA(
"[Base].[Importe]",
TDinamica_R!$A$5,
"[Calendario].[AñoMes]",
"[Calendario].[AñoMes].&amp;[" &amp; TEXT(H$6,"yyyymm")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I82" s="8">
        <f>IFERROR(
GETPIVOTDATA(
"[Base].[Importe]",
TDinamica_R!$A$5,
"[Calendario].[AñoMes]",
"[Calendario].[AñoMes].&amp;[" &amp; TEXT(I$6,"yyyymm")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J82" s="8">
        <f>IFERROR(
GETPIVOTDATA(
"[Base].[Importe]",
TDinamica_R!$A$5,
"[Calendario].[AñoMes]",
"[Calendario].[AñoMes].&amp;[" &amp; TEXT(J$6,"yyyymm")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K82" s="8">
        <f>IFERROR(
GETPIVOTDATA(
"[Base].[Importe]",
TDinamica_R!$A$5,
"[Calendario].[AñoMes]",
"[Calendario].[AñoMes].&amp;[" &amp; TEXT(K$6,"yyyymm")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L82" s="8">
        <f>IFERROR(
GETPIVOTDATA(
"[Base].[Importe]",
TDinamica_R!$A$5,
"[Calendario].[AñoMes]",
"[Calendario].[AñoMes].&amp;[" &amp; TEXT(L$6,"yyyymm")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M82" s="8">
        <f>IFERROR(
GETPIVOTDATA(
"[Base].[Importe]",
TDinamica_R!$A$5,
"[Calendario].[AñoMes]",
"[Calendario].[AñoMes].&amp;[" &amp; TEXT(M$6,"yyyymm")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N82" s="8">
        <f>IFERROR(
GETPIVOTDATA(
"[Base].[Importe]",
TDinamica_R!$A$5,
"[Calendario].[AñoMes]",
"[Calendario].[AñoMes].&amp;[" &amp; TEXT(N$6,"yyyymm")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O82" s="8">
        <f>IFERROR(
GETPIVOTDATA(
"[Base].[Importe]",
TDinamica_R!$A$5,
"[Calendario].[AñoMes]",
"[Calendario].[AñoMes].&amp;[" &amp; TEXT(O$6,"yyyymm")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P82" s="8">
        <f>IFERROR(
GETPIVOTDATA(
"[Base].[Importe]",
TDinamica_R!$A$5,
"[Calendario].[AñoMes]",
"[Calendario].[AñoMes].&amp;[" &amp; TEXT(P$6,"yyyymm")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Q82" s="8">
        <f>IFERROR(
GETPIVOTDATA(
"[Base].[Importe]",
TDinamica_R!$A$5,
"[Calendario].[AñoMes]",
"[Calendario].[AñoMes].&amp;[" &amp; TEXT(Q$6,"yyyymm")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R82" s="8">
        <f>IFERROR(
GETPIVOTDATA(
"[Base].[Importe]",
TDinamica_R!$A$5,
"[Calendario].[AñoMes]",
"[Calendario].[AñoMes].&amp;[" &amp; TEXT(R$6,"yyyymm")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S82" s="8">
        <f>IFERROR(
GETPIVOTDATA(
"[Base].[Importe]",
TDinamica_R!$A$5,
"[Calendario].[AñoMes]",
"[Calendario].[AñoMes].&amp;[" &amp; TEXT(S$6,"yyyymm")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T82" s="8">
        <f>IFERROR(
GETPIVOTDATA(
"[Base].[Importe]",
TDinamica_R!$A$5,
"[Calendario].[AñoMes]",
"[Calendario].[AñoMes].&amp;[" &amp; TEXT(T$6,"yyyymm")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U82" s="8">
        <f>IFERROR(
GETPIVOTDATA(
"[Base].[Importe]",
TDinamica_R!$A$5,
"[Calendario].[AñoMes]",
"[Calendario].[AñoMes].&amp;[" &amp; TEXT(U$6,"yyyymm")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V82" s="8">
        <f>IFERROR(
GETPIVOTDATA(
"[Base].[Importe]",
TDinamica_R!$A$5,
"[Calendario].[AñoMes]",
"[Calendario].[AñoMes].&amp;[" &amp; TEXT(V$6,"yyyymm")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W82" s="8">
        <f>IFERROR(
GETPIVOTDATA(
"[Base].[Importe]",
TDinamica_R!$A$5,
"[Calendario].[AñoMes]",
"[Calendario].[AñoMes].&amp;[" &amp; TEXT(W$6,"yyyymm")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X82" s="8">
        <f>IFERROR(
GETPIVOTDATA(
"[Base].[Importe]",
TDinamica_R!$A$5,
"[Calendario].[AñoMes]",
"[Calendario].[AñoMes].&amp;[" &amp; TEXT(X$6,"yyyymm")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Y82" s="8">
        <f>IFERROR(
GETPIVOTDATA(
"[Base].[Importe]",
TDinamica_R!$A$5,
"[Calendario].[AñoMes]",
"[Calendario].[AñoMes].&amp;[" &amp; TEXT(Y$6,"yyyymm")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Z82" s="8">
        <f>IFERROR(
GETPIVOTDATA(
"[Base].[Importe]",
TDinamica_R!$A$5,
"[Calendario].[AñoMes]",
"[Calendario].[AñoMes].&amp;[" &amp; TEXT(Z$6,"yyyymm")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A82" s="8">
        <f>IFERROR(
GETPIVOTDATA(
"[Base].[Importe]",
TDinamica_R!$A$5,
"[Calendario].[AñoMes]",
"[Calendario].[AñoMes].&amp;[" &amp; TEXT(AA$6,"yyyymm")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B82" s="8">
        <f>IFERROR(
GETPIVOTDATA(
"[Base].[Importe]",
TDinamica_R!$A$5,
"[Calendario].[AñoMes]",
"[Calendario].[AñoMes].&amp;[" &amp; TEXT(AB$6,"yyyymm")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C82" s="8">
        <f>IFERROR(
GETPIVOTDATA(
"[Base].[Importe]",
TDinamica_R!$A$5,
"[Calendario].[AñoMes]",
"[Calendario].[AñoMes].&amp;[" &amp; TEXT(AC$6,"yyyymm")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D82" s="8">
        <f>IFERROR(
GETPIVOTDATA(
"[Base].[Importe]",
TDinamica_R!$A$5,
"[Calendario].[AñoMes]",
"[Calendario].[AñoMes].&amp;[" &amp; TEXT(AD$6,"yyyymm")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E82" s="8">
        <f>IFERROR(
GETPIVOTDATA(
"[Base].[Importe]",
TDinamica_R!$A$5,
"[Calendario].[AñoMes]",
"[Calendario].[AñoMes].&amp;[" &amp; TEXT(AE$6,"yyyymm")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F82" s="8">
        <f>IFERROR(
GETPIVOTDATA(
"[Base].[Importe]",
TDinamica_R!$A$5,
"[Calendario].[AñoMes]",
"[Calendario].[AñoMes].&amp;[" &amp; TEXT(AF$6,"yyyymm")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G82" s="8">
        <f>IFERROR(
GETPIVOTDATA(
"[Base].[Importe]",
TDinamica_R!$A$5,
"[Calendario].[AñoMes]",
"[Calendario].[AñoMes].&amp;[" &amp; TEXT(AG$6,"yyyymm")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H82" s="8">
        <f>IFERROR(
GETPIVOTDATA(
"[Base].[Importe]",
TDinamica_R!$A$5,
"[Calendario].[AñoMes]",
"[Calendario].[AñoMes].&amp;[" &amp; TEXT(AH$6,"yyyymm")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I82" s="8">
        <f>IFERROR(
GETPIVOTDATA(
"[Base].[Importe]",
TDinamica_R!$A$5,
"[Calendario].[AñoMes]",
"[Calendario].[AñoMes].&amp;[" &amp; TEXT(AI$6,"yyyymm")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J82" s="8">
        <f>IFERROR(
GETPIVOTDATA(
"[Base].[Importe]",
TDinamica_R!$A$5,
"[Calendario].[AñoMes]",
"[Calendario].[AñoMes].&amp;[" &amp; TEXT(AJ$6,"yyyymm")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K82" s="8">
        <f>IFERROR(
GETPIVOTDATA(
"[Base].[Importe]",
TDinamica_R!$A$5,
"[Calendario].[AñoMes]",
"[Calendario].[AñoMes].&amp;[" &amp; TEXT(AK$6,"yyyymm")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L82" s="8">
        <f>IFERROR(
GETPIVOTDATA(
"[Base].[Importe]",
TDinamica_R!$A$5,
"[Calendario].[AñoMes]",
"[Calendario].[AñoMes].&amp;[" &amp; TEXT(AL$6,"yyyymm")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M82" s="8">
        <f>IFERROR(
GETPIVOTDATA(
"[Base].[Importe]",
TDinamica_R!$A$5,
"[Calendario].[AñoMes]",
"[Calendario].[AñoMes].&amp;[" &amp; TEXT(AM$6,"yyyymm")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N82" s="8">
        <f>IFERROR(
GETPIVOTDATA(
"[Base].[Importe]",
TDinamica_R!$A$5,
"[Calendario].[AñoMes]",
"[Calendario].[AñoMes].&amp;[" &amp; TEXT(AN$6,"yyyymm")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O82" s="8">
        <f>IFERROR(
GETPIVOTDATA(
"[Base].[Importe]",
TDinamica_R!$A$5,
"[Calendario].[AñoMes]",
"[Calendario].[AñoMes].&amp;[" &amp; TEXT(AO$6,"yyyymm")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P82" s="8">
        <f>IFERROR(
GETPIVOTDATA(
"[Base].[Importe]",
TDinamica_R!$A$5,
"[Calendario].[AñoMes]",
"[Calendario].[AñoMes].&amp;[" &amp; TEXT(AP$6,"yyyymm")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Q82" s="8">
        <f>IFERROR(
GETPIVOTDATA(
"[Base].[Importe]",
TDinamica_R!$A$5,
"[Calendario].[AñoMes]",
"[Calendario].[AñoMes].&amp;[" &amp; TEXT(AQ$6,"yyyymm")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R82" s="8">
        <f>IFERROR(
GETPIVOTDATA(
"[Base].[Importe]",
TDinamica_R!$A$5,
"[Calendario].[AñoMes]",
"[Calendario].[AñoMes].&amp;[" &amp; TEXT(AR$6,"yyyymm")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S82" s="8">
        <f>IFERROR(
GETPIVOTDATA(
"[Base].[Importe]",
TDinamica_R!$A$5,
"[Calendario].[AñoMes]",
"[Calendario].[AñoMes].&amp;[" &amp; TEXT(AS$6,"yyyymm")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T82" s="8">
        <f>IFERROR(
GETPIVOTDATA(
"[Base].[Importe]",
TDinamica_R!$A$5,
"[Calendario].[AñoMes]",
"[Calendario].[AñoMes].&amp;[" &amp; TEXT(AT$6,"yyyymm")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U82" s="8">
        <f>IFERROR(
GETPIVOTDATA(
"[Base].[Importe]",
TDinamica_R!$A$5,
"[Calendario].[AñoMes]",
"[Calendario].[AñoMes].&amp;[" &amp; TEXT(AU$6,"yyyymm")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V82" s="8">
        <f>IFERROR(
GETPIVOTDATA(
"[Base].[Importe]",
TDinamica_R!$A$5,
"[Calendario].[AñoMes]",
"[Calendario].[AñoMes].&amp;[" &amp; TEXT(AV$6,"yyyymm")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W82" s="8">
        <f>IFERROR(
GETPIVOTDATA(
"[Base].[Importe]",
TDinamica_R!$A$5,
"[Calendario].[AñoMes]",
"[Calendario].[AñoMes].&amp;[" &amp; TEXT(AW$6,"yyyymm")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X82" s="8">
        <f>IFERROR(
GETPIVOTDATA(
"[Base].[Importe]",
TDinamica_R!$A$5,
"[Calendario].[AñoMes]",
"[Calendario].[AñoMes].&amp;[" &amp; TEXT(AX$6,"yyyymm")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Y82" s="8">
        <f>IFERROR(
GETPIVOTDATA(
"[Base].[Importe]",
TDinamica_R!$A$5,
"[Calendario].[AñoMes]",
"[Calendario].[AñoMes].&amp;[" &amp; TEXT(AY$6,"yyyymm")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Z82" s="8">
        <f>IFERROR(
GETPIVOTDATA(
"[BASE_CONVE_PPTO].[Importe]",
TDinamica_P!$A$5,
"[BASE_CONVE_PPTO].[Periodo]",
"[BASE_CONVE_PPTO].[Periodo].&amp;[" &amp; TEXT(AZ$6,"yyyymm")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A82" s="8">
        <f>IFERROR(
GETPIVOTDATA(
"[BASE_CONVE_PPTO].[Importe]",
TDinamica_P!$A$5,
"[BASE_CONVE_PPTO].[Periodo]",
"[BASE_CONVE_PPTO].[Periodo].&amp;[" &amp; TEXT(BA$6,"yyyymm")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B82" s="8">
        <f>IFERROR(
GETPIVOTDATA(
"[BASE_CONVE_PPTO].[Importe]",
TDinamica_P!$A$5,
"[BASE_CONVE_PPTO].[Periodo]",
"[BASE_CONVE_PPTO].[Periodo].&amp;[" &amp; TEXT(BB$6,"yyyymm")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C82" s="8">
        <f>IFERROR(
GETPIVOTDATA(
"[BASE_CONVE_PPTO].[Importe]",
TDinamica_P!$A$5,
"[BASE_CONVE_PPTO].[Periodo]",
"[BASE_CONVE_PPTO].[Periodo].&amp;[" &amp; TEXT(BC$6,"yyyymm")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D82" s="8">
        <f>IFERROR(
GETPIVOTDATA(
"[BASE_CONVE_PPTO].[Importe]",
TDinamica_P!$A$5,
"[BASE_CONVE_PPTO].[Periodo]",
"[BASE_CONVE_PPTO].[Periodo].&amp;[" &amp; TEXT(BD$6,"yyyymm")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E82" s="8">
        <f>IFERROR(
GETPIVOTDATA(
"[BASE_CONVE_PPTO].[Importe]",
TDinamica_P!$A$5,
"[BASE_CONVE_PPTO].[Periodo]",
"[BASE_CONVE_PPTO].[Periodo].&amp;[" &amp; TEXT(BE$6,"yyyymm")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F82" s="8">
        <f>IFERROR(
GETPIVOTDATA(
"[BASE_CONVE_PPTO].[Importe]",
TDinamica_P!$A$5,
"[BASE_CONVE_PPTO].[Periodo]",
"[BASE_CONVE_PPTO].[Periodo].&amp;[" &amp; TEXT(BF$6,"yyyymm")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G82" s="8">
        <f>IFERROR(
GETPIVOTDATA(
"[BASE_CONVE_PPTO].[Importe]",
TDinamica_P!$A$5,
"[BASE_CONVE_PPTO].[Periodo]",
"[BASE_CONVE_PPTO].[Periodo].&amp;[" &amp; TEXT(BG$6,"yyyymm")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H82" s="8">
        <f>IFERROR(
GETPIVOTDATA(
"[BASE_CONVE_PPTO].[Importe]",
TDinamica_P!$A$5,
"[BASE_CONVE_PPTO].[Periodo]",
"[BASE_CONVE_PPTO].[Periodo].&amp;[" &amp; TEXT(BH$6,"yyyymm")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I82" s="8">
        <f>IFERROR(
GETPIVOTDATA(
"[BASE_CONVE_PPTO].[Importe]",
TDinamica_P!$A$5,
"[BASE_CONVE_PPTO].[Periodo]",
"[BASE_CONVE_PPTO].[Periodo].&amp;[" &amp; TEXT(BI$6,"yyyymm")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J82" s="8">
        <f>IFERROR(
GETPIVOTDATA(
"[BASE_CONVE_PPTO].[Importe]",
TDinamica_P!$A$5,
"[BASE_CONVE_PPTO].[Periodo]",
"[BASE_CONVE_PPTO].[Periodo].&amp;[" &amp; TEXT(BJ$6,"yyyymm")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K82" s="8">
        <f>IFERROR(
GETPIVOTDATA(
"[BASE_CONVE_PPTO].[Importe]",
TDinamica_P!$A$5,
"[BASE_CONVE_PPTO].[Periodo]",
"[BASE_CONVE_PPTO].[Periodo].&amp;[" &amp; TEXT(BK$6,"yyyymm")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O82" s="24">
        <f t="shared" si="199"/>
        <v>0</v>
      </c>
      <c r="BP82" s="24">
        <f t="shared" si="199"/>
        <v>0</v>
      </c>
      <c r="BQ82" s="24">
        <f t="shared" si="199"/>
        <v>0</v>
      </c>
      <c r="BR82" s="24">
        <f t="shared" si="199"/>
        <v>0</v>
      </c>
      <c r="BS82" s="24">
        <f t="shared" si="199"/>
        <v>0</v>
      </c>
      <c r="BT82" s="24">
        <f t="shared" si="199"/>
        <v>0</v>
      </c>
    </row>
    <row r="83" spans="1:72" x14ac:dyDescent="0.25">
      <c r="C83" s="3" t="s">
        <v>71</v>
      </c>
      <c r="D83" s="10">
        <f t="shared" ref="D83:AY83" si="200">SUM(D63:D82)</f>
        <v>13.0156051387</v>
      </c>
      <c r="E83" s="10">
        <f t="shared" si="200"/>
        <v>10.2137995597</v>
      </c>
      <c r="F83" s="10">
        <f t="shared" si="200"/>
        <v>9.1692488961999992</v>
      </c>
      <c r="G83" s="10">
        <f t="shared" si="200"/>
        <v>9.2164824989999996</v>
      </c>
      <c r="H83" s="10">
        <f t="shared" si="200"/>
        <v>9.9674298009999998</v>
      </c>
      <c r="I83" s="10">
        <f t="shared" si="200"/>
        <v>8.726497341</v>
      </c>
      <c r="J83" s="10">
        <f t="shared" si="200"/>
        <v>9.8670575280000001</v>
      </c>
      <c r="K83" s="10">
        <f t="shared" si="200"/>
        <v>9.305346140000001</v>
      </c>
      <c r="L83" s="10">
        <f t="shared" si="200"/>
        <v>9.734847803000001</v>
      </c>
      <c r="M83" s="10">
        <f t="shared" si="200"/>
        <v>8.5930952289999993</v>
      </c>
      <c r="N83" s="10">
        <f t="shared" si="200"/>
        <v>10.593592964200001</v>
      </c>
      <c r="O83" s="10">
        <f t="shared" si="200"/>
        <v>7.6539625050000009</v>
      </c>
      <c r="P83" s="10">
        <f t="shared" si="200"/>
        <v>8.9466745759999995</v>
      </c>
      <c r="Q83" s="10">
        <f t="shared" si="200"/>
        <v>8.2900096480000016</v>
      </c>
      <c r="R83" s="10">
        <f t="shared" si="200"/>
        <v>9.3097266679999979</v>
      </c>
      <c r="S83" s="10">
        <f t="shared" si="200"/>
        <v>8.4691780900000033</v>
      </c>
      <c r="T83" s="10">
        <f t="shared" si="200"/>
        <v>7.9523969720000016</v>
      </c>
      <c r="U83" s="10">
        <f t="shared" si="200"/>
        <v>8.4128186780000007</v>
      </c>
      <c r="V83" s="10">
        <f t="shared" si="200"/>
        <v>10.399197617299999</v>
      </c>
      <c r="W83" s="10">
        <f t="shared" si="200"/>
        <v>8.5501539589999993</v>
      </c>
      <c r="X83" s="10">
        <f t="shared" si="200"/>
        <v>17.409303393000002</v>
      </c>
      <c r="Y83" s="10">
        <f t="shared" si="200"/>
        <v>1.5381904478999995</v>
      </c>
      <c r="Z83" s="10">
        <f t="shared" si="200"/>
        <v>5.5704540390000012</v>
      </c>
      <c r="AA83" s="10">
        <f t="shared" si="200"/>
        <v>13.623920927067999</v>
      </c>
      <c r="AB83" s="10">
        <f t="shared" si="200"/>
        <v>8.9115648389999986</v>
      </c>
      <c r="AC83" s="10">
        <f t="shared" si="200"/>
        <v>7.6121976219999992</v>
      </c>
      <c r="AD83" s="10">
        <f t="shared" si="200"/>
        <v>8.6434893319999997</v>
      </c>
      <c r="AE83" s="10">
        <f t="shared" si="200"/>
        <v>8.1405460869999988</v>
      </c>
      <c r="AF83" s="10">
        <f t="shared" si="200"/>
        <v>10.519584915599999</v>
      </c>
      <c r="AG83" s="10">
        <f t="shared" si="200"/>
        <v>11.0151079667</v>
      </c>
      <c r="AH83" s="10">
        <f t="shared" si="200"/>
        <v>10.7196175373</v>
      </c>
      <c r="AI83" s="10">
        <f t="shared" si="200"/>
        <v>8.5619571170000004</v>
      </c>
      <c r="AJ83" s="10">
        <f t="shared" si="200"/>
        <v>13.754758537799999</v>
      </c>
      <c r="AK83" s="10">
        <f t="shared" si="200"/>
        <v>10.812965152550001</v>
      </c>
      <c r="AL83" s="10">
        <f t="shared" si="200"/>
        <v>10.627820902</v>
      </c>
      <c r="AM83" s="10">
        <f t="shared" si="200"/>
        <v>10.894926111999998</v>
      </c>
      <c r="AN83" s="10">
        <f t="shared" si="200"/>
        <v>8.7299283601599935</v>
      </c>
      <c r="AO83" s="10">
        <f t="shared" si="200"/>
        <v>11.633506984648751</v>
      </c>
      <c r="AP83" s="10">
        <f t="shared" si="200"/>
        <v>8.1447429040089485</v>
      </c>
      <c r="AQ83" s="10">
        <f t="shared" si="200"/>
        <v>12.129925885545942</v>
      </c>
      <c r="AR83" s="10">
        <f t="shared" si="200"/>
        <v>8.6106742298874828</v>
      </c>
      <c r="AS83" s="10">
        <f t="shared" si="200"/>
        <v>12.221802672086357</v>
      </c>
      <c r="AT83" s="10">
        <f t="shared" si="200"/>
        <v>0</v>
      </c>
      <c r="AU83" s="10">
        <f t="shared" si="200"/>
        <v>0</v>
      </c>
      <c r="AV83" s="10">
        <f t="shared" si="200"/>
        <v>0</v>
      </c>
      <c r="AW83" s="10">
        <f t="shared" si="200"/>
        <v>0</v>
      </c>
      <c r="AX83" s="10">
        <f t="shared" si="200"/>
        <v>0</v>
      </c>
      <c r="AY83" s="10">
        <f t="shared" si="200"/>
        <v>0</v>
      </c>
      <c r="AZ83" s="10">
        <f t="shared" ref="AZ83:BK83" si="201">SUM(AZ63:AZ82)</f>
        <v>9.0566642457064503</v>
      </c>
      <c r="BA83" s="10">
        <f t="shared" si="201"/>
        <v>9.0909897688993553</v>
      </c>
      <c r="BB83" s="10">
        <f t="shared" si="201"/>
        <v>8.970053008123454</v>
      </c>
      <c r="BC83" s="10">
        <f t="shared" si="201"/>
        <v>8.9465506442707756</v>
      </c>
      <c r="BD83" s="10">
        <f t="shared" si="201"/>
        <v>8.143388551163337</v>
      </c>
      <c r="BE83" s="10">
        <f t="shared" si="201"/>
        <v>7.5069270303560147</v>
      </c>
      <c r="BF83" s="10">
        <f t="shared" si="201"/>
        <v>6.8792316984480104</v>
      </c>
      <c r="BG83" s="10">
        <f t="shared" si="201"/>
        <v>6.8078402115212837</v>
      </c>
      <c r="BH83" s="10">
        <f t="shared" si="201"/>
        <v>6.2149921343682157</v>
      </c>
      <c r="BI83" s="10">
        <f t="shared" si="201"/>
        <v>6.2162619647000836</v>
      </c>
      <c r="BJ83" s="10">
        <f t="shared" si="201"/>
        <v>5.1218355142032781</v>
      </c>
      <c r="BK83" s="10">
        <f t="shared" si="201"/>
        <v>5.1413432040560139</v>
      </c>
      <c r="BO83" s="23">
        <f>SUM(BO63:BO82)</f>
        <v>49.248778364251123</v>
      </c>
      <c r="BP83" s="23">
        <f t="shared" ref="BP83:BT83" si="202">SUM(BP63:BP82)</f>
        <v>44.207646218163369</v>
      </c>
      <c r="BQ83" s="23">
        <f t="shared" si="202"/>
        <v>40.63810413436363</v>
      </c>
      <c r="BR83" s="23">
        <f t="shared" si="202"/>
        <v>43.827382795600002</v>
      </c>
      <c r="BS83" s="23">
        <f t="shared" si="202"/>
        <v>42.967985954000014</v>
      </c>
      <c r="BT83" s="23">
        <f t="shared" si="202"/>
        <v>51.582565894600002</v>
      </c>
    </row>
    <row r="86" spans="1:72" outlineLevel="1" x14ac:dyDescent="0.25">
      <c r="A86" s="11" t="s">
        <v>75</v>
      </c>
      <c r="C86" s="2" t="s">
        <v>78</v>
      </c>
      <c r="D86" s="8">
        <f>IFERROR(
GETPIVOTDATA(
"[Base].[Importe]",
TDinamica_R!$A$5,
"[Calendario].[AñoMes]",
"[Calendario].[AñoMes].&amp;[" &amp; TEXT(D$6,"yyyymm") &amp; "]",
"[Base].[Metrica]",
"[Base].[Metrica].&amp;[" &amp; $A86 &amp; "]",
"[Base].[SEGMENTO_DESCRIP]",
"[Base].[SEGMENTO_DESCRIP].&amp;[" &amp; $C$6 &amp; "]",
"[Base].[SITUACION]",
"[Base].[SITUACION].&amp;[" &amp; $C86 &amp; "]"
),0)/1000</f>
        <v>-288.86345750300001</v>
      </c>
      <c r="E86" s="8">
        <f>IFERROR(
GETPIVOTDATA(
"[Base].[Importe]",
TDinamica_R!$A$5,
"[Calendario].[AñoMes]",
"[Calendario].[AñoMes].&amp;[" &amp; TEXT(E$6,"yyyymm") &amp; "]",
"[Base].[Metrica]",
"[Base].[Metrica].&amp;[" &amp; $A86 &amp; "]",
"[Base].[SEGMENTO_DESCRIP]",
"[Base].[SEGMENTO_DESCRIP].&amp;[" &amp; $C$6 &amp; "]",
"[Base].[SITUACION]",
"[Base].[SITUACION].&amp;[" &amp; $C86 &amp; "]"
),0)/1000</f>
        <v>-293.20834245230003</v>
      </c>
      <c r="F86" s="8">
        <f>IFERROR(
GETPIVOTDATA(
"[Base].[Importe]",
TDinamica_R!$A$5,
"[Calendario].[AñoMes]",
"[Calendario].[AñoMes].&amp;[" &amp; TEXT(F$6,"yyyymm") &amp; "]",
"[Base].[Metrica]",
"[Base].[Metrica].&amp;[" &amp; $A86 &amp; "]",
"[Base].[SEGMENTO_DESCRIP]",
"[Base].[SEGMENTO_DESCRIP].&amp;[" &amp; $C$6 &amp; "]",
"[Base].[SITUACION]",
"[Base].[SITUACION].&amp;[" &amp; $C86 &amp; "]"
),0)/1000</f>
        <v>-308.87152638430001</v>
      </c>
      <c r="G86" s="8">
        <f>IFERROR(
GETPIVOTDATA(
"[Base].[Importe]",
TDinamica_R!$A$5,
"[Calendario].[AñoMes]",
"[Calendario].[AñoMes].&amp;[" &amp; TEXT(G$6,"yyyymm") &amp; "]",
"[Base].[Metrica]",
"[Base].[Metrica].&amp;[" &amp; $A86 &amp; "]",
"[Base].[SEGMENTO_DESCRIP]",
"[Base].[SEGMENTO_DESCRIP].&amp;[" &amp; $C$6 &amp; "]",
"[Base].[SITUACION]",
"[Base].[SITUACION].&amp;[" &amp; $C86 &amp; "]"
),0)/1000</f>
        <v>-325.02931448199996</v>
      </c>
      <c r="H86" s="8">
        <f>IFERROR(
GETPIVOTDATA(
"[Base].[Importe]",
TDinamica_R!$A$5,
"[Calendario].[AñoMes]",
"[Calendario].[AñoMes].&amp;[" &amp; TEXT(H$6,"yyyymm") &amp; "]",
"[Base].[Metrica]",
"[Base].[Metrica].&amp;[" &amp; $A86 &amp; "]",
"[Base].[SEGMENTO_DESCRIP]",
"[Base].[SEGMENTO_DESCRIP].&amp;[" &amp; $C$6 &amp; "]",
"[Base].[SITUACION]",
"[Base].[SITUACION].&amp;[" &amp; $C86 &amp; "]"
),0)/1000</f>
        <v>-301.40891331159997</v>
      </c>
      <c r="I86" s="8">
        <f>IFERROR(
GETPIVOTDATA(
"[Base].[Importe]",
TDinamica_R!$A$5,
"[Calendario].[AñoMes]",
"[Calendario].[AñoMes].&amp;[" &amp; TEXT(I$6,"yyyymm") &amp; "]",
"[Base].[Metrica]",
"[Base].[Metrica].&amp;[" &amp; $A86 &amp; "]",
"[Base].[SEGMENTO_DESCRIP]",
"[Base].[SEGMENTO_DESCRIP].&amp;[" &amp; $C$6 &amp; "]",
"[Base].[SITUACION]",
"[Base].[SITUACION].&amp;[" &amp; $C86 &amp; "]"
),0)/1000</f>
        <v>-297.59463463859998</v>
      </c>
      <c r="J86" s="8">
        <f>IFERROR(
GETPIVOTDATA(
"[Base].[Importe]",
TDinamica_R!$A$5,
"[Calendario].[AñoMes]",
"[Calendario].[AñoMes].&amp;[" &amp; TEXT(J$6,"yyyymm") &amp; "]",
"[Base].[Metrica]",
"[Base].[Metrica].&amp;[" &amp; $A86 &amp; "]",
"[Base].[SEGMENTO_DESCRIP]",
"[Base].[SEGMENTO_DESCRIP].&amp;[" &amp; $C$6 &amp; "]",
"[Base].[SITUACION]",
"[Base].[SITUACION].&amp;[" &amp; $C86 &amp; "]"
),0)/1000</f>
        <v>-332.65175240960002</v>
      </c>
      <c r="K86" s="8">
        <f>IFERROR(
GETPIVOTDATA(
"[Base].[Importe]",
TDinamica_R!$A$5,
"[Calendario].[AñoMes]",
"[Calendario].[AñoMes].&amp;[" &amp; TEXT(K$6,"yyyymm") &amp; "]",
"[Base].[Metrica]",
"[Base].[Metrica].&amp;[" &amp; $A86 &amp; "]",
"[Base].[SEGMENTO_DESCRIP]",
"[Base].[SEGMENTO_DESCRIP].&amp;[" &amp; $C$6 &amp; "]",
"[Base].[SITUACION]",
"[Base].[SITUACION].&amp;[" &amp; $C86 &amp; "]"
),0)/1000</f>
        <v>-315.96393269539999</v>
      </c>
      <c r="L86" s="8">
        <f>IFERROR(
GETPIVOTDATA(
"[Base].[Importe]",
TDinamica_R!$A$5,
"[Calendario].[AñoMes]",
"[Calendario].[AñoMes].&amp;[" &amp; TEXT(L$6,"yyyymm") &amp; "]",
"[Base].[Metrica]",
"[Base].[Metrica].&amp;[" &amp; $A86 &amp; "]",
"[Base].[SEGMENTO_DESCRIP]",
"[Base].[SEGMENTO_DESCRIP].&amp;[" &amp; $C$6 &amp; "]",
"[Base].[SITUACION]",
"[Base].[SITUACION].&amp;[" &amp; $C86 &amp; "]"
),0)/1000</f>
        <v>-329.73600707429995</v>
      </c>
      <c r="M86" s="8">
        <f>IFERROR(
GETPIVOTDATA(
"[Base].[Importe]",
TDinamica_R!$A$5,
"[Calendario].[AñoMes]",
"[Calendario].[AñoMes].&amp;[" &amp; TEXT(M$6,"yyyymm") &amp; "]",
"[Base].[Metrica]",
"[Base].[Metrica].&amp;[" &amp; $A86 &amp; "]",
"[Base].[SEGMENTO_DESCRIP]",
"[Base].[SEGMENTO_DESCRIP].&amp;[" &amp; $C$6 &amp; "]",
"[Base].[SITUACION]",
"[Base].[SITUACION].&amp;[" &amp; $C86 &amp; "]"
),0)/1000</f>
        <v>-312.23001752569996</v>
      </c>
      <c r="N86" s="8">
        <f>IFERROR(
GETPIVOTDATA(
"[Base].[Importe]",
TDinamica_R!$A$5,
"[Calendario].[AñoMes]",
"[Calendario].[AñoMes].&amp;[" &amp; TEXT(N$6,"yyyymm") &amp; "]",
"[Base].[Metrica]",
"[Base].[Metrica].&amp;[" &amp; $A86 &amp; "]",
"[Base].[SEGMENTO_DESCRIP]",
"[Base].[SEGMENTO_DESCRIP].&amp;[" &amp; $C$6 &amp; "]",
"[Base].[SITUACION]",
"[Base].[SITUACION].&amp;[" &amp; $C86 &amp; "]"
),0)/1000</f>
        <v>-292.37186054580002</v>
      </c>
      <c r="O86" s="8">
        <f>IFERROR(
GETPIVOTDATA(
"[Base].[Importe]",
TDinamica_R!$A$5,
"[Calendario].[AñoMes]",
"[Calendario].[AñoMes].&amp;[" &amp; TEXT(O$6,"yyyymm") &amp; "]",
"[Base].[Metrica]",
"[Base].[Metrica].&amp;[" &amp; $A86 &amp; "]",
"[Base].[SEGMENTO_DESCRIP]",
"[Base].[SEGMENTO_DESCRIP].&amp;[" &amp; $C$6 &amp; "]",
"[Base].[SITUACION]",
"[Base].[SITUACION].&amp;[" &amp; $C86 &amp; "]"
),0)/1000</f>
        <v>-280.25390715250001</v>
      </c>
      <c r="P86" s="8">
        <f>IFERROR(
GETPIVOTDATA(
"[Base].[Importe]",
TDinamica_R!$A$5,
"[Calendario].[AñoMes]",
"[Calendario].[AñoMes].&amp;[" &amp; TEXT(P$6,"yyyymm") &amp; "]",
"[Base].[Metrica]",
"[Base].[Metrica].&amp;[" &amp; $A86 &amp; "]",
"[Base].[SEGMENTO_DESCRIP]",
"[Base].[SEGMENTO_DESCRIP].&amp;[" &amp; $C$6 &amp; "]",
"[Base].[SITUACION]",
"[Base].[SITUACION].&amp;[" &amp; $C86 &amp; "]"
),0)/1000</f>
        <v>-254.75675149329999</v>
      </c>
      <c r="Q86" s="8">
        <f>IFERROR(
GETPIVOTDATA(
"[Base].[Importe]",
TDinamica_R!$A$5,
"[Calendario].[AñoMes]",
"[Calendario].[AñoMes].&amp;[" &amp; TEXT(Q$6,"yyyymm") &amp; "]",
"[Base].[Metrica]",
"[Base].[Metrica].&amp;[" &amp; $A86 &amp; "]",
"[Base].[SEGMENTO_DESCRIP]",
"[Base].[SEGMENTO_DESCRIP].&amp;[" &amp; $C$6 &amp; "]",
"[Base].[SITUACION]",
"[Base].[SITUACION].&amp;[" &amp; $C86 &amp; "]"
),0)/1000</f>
        <v>-315.85647287659998</v>
      </c>
      <c r="R86" s="8">
        <f>IFERROR(
GETPIVOTDATA(
"[Base].[Importe]",
TDinamica_R!$A$5,
"[Calendario].[AñoMes]",
"[Calendario].[AñoMes].&amp;[" &amp; TEXT(R$6,"yyyymm") &amp; "]",
"[Base].[Metrica]",
"[Base].[Metrica].&amp;[" &amp; $A86 &amp; "]",
"[Base].[SEGMENTO_DESCRIP]",
"[Base].[SEGMENTO_DESCRIP].&amp;[" &amp; $C$6 &amp; "]",
"[Base].[SITUACION]",
"[Base].[SITUACION].&amp;[" &amp; $C86 &amp; "]"
),0)/1000</f>
        <v>-297.27482899879999</v>
      </c>
      <c r="S86" s="8">
        <f>IFERROR(
GETPIVOTDATA(
"[Base].[Importe]",
TDinamica_R!$A$5,
"[Calendario].[AñoMes]",
"[Calendario].[AñoMes].&amp;[" &amp; TEXT(S$6,"yyyymm") &amp; "]",
"[Base].[Metrica]",
"[Base].[Metrica].&amp;[" &amp; $A86 &amp; "]",
"[Base].[SEGMENTO_DESCRIP]",
"[Base].[SEGMENTO_DESCRIP].&amp;[" &amp; $C$6 &amp; "]",
"[Base].[SITUACION]",
"[Base].[SITUACION].&amp;[" &amp; $C86 &amp; "]"
),0)/1000</f>
        <v>-285.17419619970002</v>
      </c>
      <c r="T86" s="8">
        <f>IFERROR(
GETPIVOTDATA(
"[Base].[Importe]",
TDinamica_R!$A$5,
"[Calendario].[AñoMes]",
"[Calendario].[AñoMes].&amp;[" &amp; TEXT(T$6,"yyyymm") &amp; "]",
"[Base].[Metrica]",
"[Base].[Metrica].&amp;[" &amp; $A86 &amp; "]",
"[Base].[SEGMENTO_DESCRIP]",
"[Base].[SEGMENTO_DESCRIP].&amp;[" &amp; $C$6 &amp; "]",
"[Base].[SITUACION]",
"[Base].[SITUACION].&amp;[" &amp; $C86 &amp; "]"
),0)/1000</f>
        <v>-320.969745569</v>
      </c>
      <c r="U86" s="8">
        <f>IFERROR(
GETPIVOTDATA(
"[Base].[Importe]",
TDinamica_R!$A$5,
"[Calendario].[AñoMes]",
"[Calendario].[AñoMes].&amp;[" &amp; TEXT(U$6,"yyyymm") &amp; "]",
"[Base].[Metrica]",
"[Base].[Metrica].&amp;[" &amp; $A86 &amp; "]",
"[Base].[SEGMENTO_DESCRIP]",
"[Base].[SEGMENTO_DESCRIP].&amp;[" &amp; $C$6 &amp; "]",
"[Base].[SITUACION]",
"[Base].[SITUACION].&amp;[" &amp; $C86 &amp; "]"
),0)/1000</f>
        <v>-269.61279609970001</v>
      </c>
      <c r="V86" s="8">
        <f>IFERROR(
GETPIVOTDATA(
"[Base].[Importe]",
TDinamica_R!$A$5,
"[Calendario].[AñoMes]",
"[Calendario].[AñoMes].&amp;[" &amp; TEXT(V$6,"yyyymm") &amp; "]",
"[Base].[Metrica]",
"[Base].[Metrica].&amp;[" &amp; $A86 &amp; "]",
"[Base].[SEGMENTO_DESCRIP]",
"[Base].[SEGMENTO_DESCRIP].&amp;[" &amp; $C$6 &amp; "]",
"[Base].[SITUACION]",
"[Base].[SITUACION].&amp;[" &amp; $C86 &amp; "]"
),0)/1000</f>
        <v>-362.11156163359999</v>
      </c>
      <c r="W86" s="8">
        <f>IFERROR(
GETPIVOTDATA(
"[Base].[Importe]",
TDinamica_R!$A$5,
"[Calendario].[AñoMes]",
"[Calendario].[AñoMes].&amp;[" &amp; TEXT(W$6,"yyyymm") &amp; "]",
"[Base].[Metrica]",
"[Base].[Metrica].&amp;[" &amp; $A86 &amp; "]",
"[Base].[SEGMENTO_DESCRIP]",
"[Base].[SEGMENTO_DESCRIP].&amp;[" &amp; $C$6 &amp; "]",
"[Base].[SITUACION]",
"[Base].[SITUACION].&amp;[" &amp; $C86 &amp; "]"
),0)/1000</f>
        <v>-351.76167577819996</v>
      </c>
      <c r="X86" s="8">
        <f>IFERROR(
GETPIVOTDATA(
"[Base].[Importe]",
TDinamica_R!$A$5,
"[Calendario].[AñoMes]",
"[Calendario].[AñoMes].&amp;[" &amp; TEXT(X$6,"yyyymm") &amp; "]",
"[Base].[Metrica]",
"[Base].[Metrica].&amp;[" &amp; $A86 &amp; "]",
"[Base].[SEGMENTO_DESCRIP]",
"[Base].[SEGMENTO_DESCRIP].&amp;[" &amp; $C$6 &amp; "]",
"[Base].[SITUACION]",
"[Base].[SITUACION].&amp;[" &amp; $C86 &amp; "]"
),0)/1000</f>
        <v>-357.68483254790004</v>
      </c>
      <c r="Y86" s="8">
        <f>IFERROR(
GETPIVOTDATA(
"[Base].[Importe]",
TDinamica_R!$A$5,
"[Calendario].[AñoMes]",
"[Calendario].[AñoMes].&amp;[" &amp; TEXT(Y$6,"yyyymm") &amp; "]",
"[Base].[Metrica]",
"[Base].[Metrica].&amp;[" &amp; $A86 &amp; "]",
"[Base].[SEGMENTO_DESCRIP]",
"[Base].[SEGMENTO_DESCRIP].&amp;[" &amp; $C$6 &amp; "]",
"[Base].[SITUACION]",
"[Base].[SITUACION].&amp;[" &amp; $C86 &amp; "]"
),0)/1000</f>
        <v>-343.29659413630003</v>
      </c>
      <c r="Z86" s="8">
        <f>IFERROR(
GETPIVOTDATA(
"[Base].[Importe]",
TDinamica_R!$A$5,
"[Calendario].[AñoMes]",
"[Calendario].[AñoMes].&amp;[" &amp; TEXT(Z$6,"yyyymm") &amp; "]",
"[Base].[Metrica]",
"[Base].[Metrica].&amp;[" &amp; $A86 &amp; "]",
"[Base].[SEGMENTO_DESCRIP]",
"[Base].[SEGMENTO_DESCRIP].&amp;[" &amp; $C$6 &amp; "]",
"[Base].[SITUACION]",
"[Base].[SITUACION].&amp;[" &amp; $C86 &amp; "]"
),0)/1000</f>
        <v>-348.75175125750002</v>
      </c>
      <c r="AA86" s="8">
        <f>IFERROR(
GETPIVOTDATA(
"[Base].[Importe]",
TDinamica_R!$A$5,
"[Calendario].[AñoMes]",
"[Calendario].[AñoMes].&amp;[" &amp; TEXT(AA$6,"yyyymm") &amp; "]",
"[Base].[Metrica]",
"[Base].[Metrica].&amp;[" &amp; $A86 &amp; "]",
"[Base].[SEGMENTO_DESCRIP]",
"[Base].[SEGMENTO_DESCRIP].&amp;[" &amp; $C$6 &amp; "]",
"[Base].[SITUACION]",
"[Base].[SITUACION].&amp;[" &amp; $C86 &amp; "]"
),0)/1000</f>
        <v>-349.43577051399996</v>
      </c>
      <c r="AB86" s="8">
        <f>IFERROR(
GETPIVOTDATA(
"[Base].[Importe]",
TDinamica_R!$A$5,
"[Calendario].[AñoMes]",
"[Calendario].[AñoMes].&amp;[" &amp; TEXT(AB$6,"yyyymm") &amp; "]",
"[Base].[Metrica]",
"[Base].[Metrica].&amp;[" &amp; $A86 &amp; "]",
"[Base].[SEGMENTO_DESCRIP]",
"[Base].[SEGMENTO_DESCRIP].&amp;[" &amp; $C$6 &amp; "]",
"[Base].[SITUACION]",
"[Base].[SITUACION].&amp;[" &amp; $C86 &amp; "]"
),0)/1000</f>
        <v>-331.84572432879997</v>
      </c>
      <c r="AC86" s="8">
        <f>IFERROR(
GETPIVOTDATA(
"[Base].[Importe]",
TDinamica_R!$A$5,
"[Calendario].[AñoMes]",
"[Calendario].[AñoMes].&amp;[" &amp; TEXT(AC$6,"yyyymm") &amp; "]",
"[Base].[Metrica]",
"[Base].[Metrica].&amp;[" &amp; $A86 &amp; "]",
"[Base].[SEGMENTO_DESCRIP]",
"[Base].[SEGMENTO_DESCRIP].&amp;[" &amp; $C$6 &amp; "]",
"[Base].[SITUACION]",
"[Base].[SITUACION].&amp;[" &amp; $C86 &amp; "]"
),0)/1000</f>
        <v>-343.89802808330001</v>
      </c>
      <c r="AD86" s="8">
        <f>IFERROR(
GETPIVOTDATA(
"[Base].[Importe]",
TDinamica_R!$A$5,
"[Calendario].[AñoMes]",
"[Calendario].[AñoMes].&amp;[" &amp; TEXT(AD$6,"yyyymm") &amp; "]",
"[Base].[Metrica]",
"[Base].[Metrica].&amp;[" &amp; $A86 &amp; "]",
"[Base].[SEGMENTO_DESCRIP]",
"[Base].[SEGMENTO_DESCRIP].&amp;[" &amp; $C$6 &amp; "]",
"[Base].[SITUACION]",
"[Base].[SITUACION].&amp;[" &amp; $C86 &amp; "]"
),0)/1000</f>
        <v>-352.43353118810001</v>
      </c>
      <c r="AE86" s="8">
        <f>IFERROR(
GETPIVOTDATA(
"[Base].[Importe]",
TDinamica_R!$A$5,
"[Calendario].[AñoMes]",
"[Calendario].[AñoMes].&amp;[" &amp; TEXT(AE$6,"yyyymm") &amp; "]",
"[Base].[Metrica]",
"[Base].[Metrica].&amp;[" &amp; $A86 &amp; "]",
"[Base].[SEGMENTO_DESCRIP]",
"[Base].[SEGMENTO_DESCRIP].&amp;[" &amp; $C$6 &amp; "]",
"[Base].[SITUACION]",
"[Base].[SITUACION].&amp;[" &amp; $C86 &amp; "]"
),0)/1000</f>
        <v>-397.32381934069997</v>
      </c>
      <c r="AF86" s="8">
        <f>IFERROR(
GETPIVOTDATA(
"[Base].[Importe]",
TDinamica_R!$A$5,
"[Calendario].[AñoMes]",
"[Calendario].[AñoMes].&amp;[" &amp; TEXT(AF$6,"yyyymm") &amp; "]",
"[Base].[Metrica]",
"[Base].[Metrica].&amp;[" &amp; $A86 &amp; "]",
"[Base].[SEGMENTO_DESCRIP]",
"[Base].[SEGMENTO_DESCRIP].&amp;[" &amp; $C$6 &amp; "]",
"[Base].[SITUACION]",
"[Base].[SITUACION].&amp;[" &amp; $C86 &amp; "]"
),0)/1000</f>
        <v>-409.2792006418</v>
      </c>
      <c r="AG86" s="8">
        <f>IFERROR(
GETPIVOTDATA(
"[Base].[Importe]",
TDinamica_R!$A$5,
"[Calendario].[AñoMes]",
"[Calendario].[AñoMes].&amp;[" &amp; TEXT(AG$6,"yyyymm") &amp; "]",
"[Base].[Metrica]",
"[Base].[Metrica].&amp;[" &amp; $A86 &amp; "]",
"[Base].[SEGMENTO_DESCRIP]",
"[Base].[SEGMENTO_DESCRIP].&amp;[" &amp; $C$6 &amp; "]",
"[Base].[SITUACION]",
"[Base].[SITUACION].&amp;[" &amp; $C86 &amp; "]"
),0)/1000</f>
        <v>-412.90521804870002</v>
      </c>
      <c r="AH86" s="8">
        <f>IFERROR(
GETPIVOTDATA(
"[Base].[Importe]",
TDinamica_R!$A$5,
"[Calendario].[AñoMes]",
"[Calendario].[AñoMes].&amp;[" &amp; TEXT(AH$6,"yyyymm") &amp; "]",
"[Base].[Metrica]",
"[Base].[Metrica].&amp;[" &amp; $A86 &amp; "]",
"[Base].[SEGMENTO_DESCRIP]",
"[Base].[SEGMENTO_DESCRIP].&amp;[" &amp; $C$6 &amp; "]",
"[Base].[SITUACION]",
"[Base].[SITUACION].&amp;[" &amp; $C86 &amp; "]"
),0)/1000</f>
        <v>-421.57453740170007</v>
      </c>
      <c r="AI86" s="8">
        <f>IFERROR(
GETPIVOTDATA(
"[Base].[Importe]",
TDinamica_R!$A$5,
"[Calendario].[AñoMes]",
"[Calendario].[AñoMes].&amp;[" &amp; TEXT(AI$6,"yyyymm") &amp; "]",
"[Base].[Metrica]",
"[Base].[Metrica].&amp;[" &amp; $A86 &amp; "]",
"[Base].[SEGMENTO_DESCRIP]",
"[Base].[SEGMENTO_DESCRIP].&amp;[" &amp; $C$6 &amp; "]",
"[Base].[SITUACION]",
"[Base].[SITUACION].&amp;[" &amp; $C86 &amp; "]"
),0)/1000</f>
        <v>-446.99299989779996</v>
      </c>
      <c r="AJ86" s="8">
        <f>IFERROR(
GETPIVOTDATA(
"[Base].[Importe]",
TDinamica_R!$A$5,
"[Calendario].[AñoMes]",
"[Calendario].[AñoMes].&amp;[" &amp; TEXT(AJ$6,"yyyymm") &amp; "]",
"[Base].[Metrica]",
"[Base].[Metrica].&amp;[" &amp; $A86 &amp; "]",
"[Base].[SEGMENTO_DESCRIP]",
"[Base].[SEGMENTO_DESCRIP].&amp;[" &amp; $C$6 &amp; "]",
"[Base].[SITUACION]",
"[Base].[SITUACION].&amp;[" &amp; $C86 &amp; "]"
),0)/1000</f>
        <v>-359.58326235459992</v>
      </c>
      <c r="AK86" s="8">
        <f>IFERROR(
GETPIVOTDATA(
"[Base].[Importe]",
TDinamica_R!$A$5,
"[Calendario].[AñoMes]",
"[Calendario].[AñoMes].&amp;[" &amp; TEXT(AK$6,"yyyymm") &amp; "]",
"[Base].[Metrica]",
"[Base].[Metrica].&amp;[" &amp; $A86 &amp; "]",
"[Base].[SEGMENTO_DESCRIP]",
"[Base].[SEGMENTO_DESCRIP].&amp;[" &amp; $C$6 &amp; "]",
"[Base].[SITUACION]",
"[Base].[SITUACION].&amp;[" &amp; $C86 &amp; "]"
),0)/1000</f>
        <v>-392.3061185695999</v>
      </c>
      <c r="AL86" s="8">
        <f>IFERROR(
GETPIVOTDATA(
"[Base].[Importe]",
TDinamica_R!$A$5,
"[Calendario].[AñoMes]",
"[Calendario].[AñoMes].&amp;[" &amp; TEXT(AL$6,"yyyymm") &amp; "]",
"[Base].[Metrica]",
"[Base].[Metrica].&amp;[" &amp; $A86 &amp; "]",
"[Base].[SEGMENTO_DESCRIP]",
"[Base].[SEGMENTO_DESCRIP].&amp;[" &amp; $C$6 &amp; "]",
"[Base].[SITUACION]",
"[Base].[SITUACION].&amp;[" &amp; $C86 &amp; "]"
),0)/1000</f>
        <v>-401.24428133150002</v>
      </c>
      <c r="AM86" s="8">
        <f>IFERROR(
GETPIVOTDATA(
"[Base].[Importe]",
TDinamica_R!$A$5,
"[Calendario].[AñoMes]",
"[Calendario].[AñoMes].&amp;[" &amp; TEXT(AM$6,"yyyymm") &amp; "]",
"[Base].[Metrica]",
"[Base].[Metrica].&amp;[" &amp; $A86 &amp; "]",
"[Base].[SEGMENTO_DESCRIP]",
"[Base].[SEGMENTO_DESCRIP].&amp;[" &amp; $C$6 &amp; "]",
"[Base].[SITUACION]",
"[Base].[SITUACION].&amp;[" &amp; $C86 &amp; "]"
),0)/1000</f>
        <v>-470.43350599349998</v>
      </c>
      <c r="AN86" s="8">
        <f>IFERROR(
GETPIVOTDATA(
"[Base].[Importe]",
TDinamica_R!$A$5,
"[Calendario].[AñoMes]",
"[Calendario].[AñoMes].&amp;[" &amp; TEXT(AN$6,"yyyymm") &amp; "]",
"[Base].[Metrica]",
"[Base].[Metrica].&amp;[" &amp; $A86 &amp; "]",
"[Base].[SEGMENTO_DESCRIP]",
"[Base].[SEGMENTO_DESCRIP].&amp;[" &amp; $C$6 &amp; "]",
"[Base].[SITUACION]",
"[Base].[SITUACION].&amp;[" &amp; $C86 &amp; "]"
),0)/1000</f>
        <v>-376.68979295330007</v>
      </c>
      <c r="AO86" s="8">
        <f>IFERROR(
GETPIVOTDATA(
"[Base].[Importe]",
TDinamica_R!$A$5,
"[Calendario].[AñoMes]",
"[Calendario].[AñoMes].&amp;[" &amp; TEXT(AO$6,"yyyymm") &amp; "]",
"[Base].[Metrica]",
"[Base].[Metrica].&amp;[" &amp; $A86 &amp; "]",
"[Base].[SEGMENTO_DESCRIP]",
"[Base].[SEGMENTO_DESCRIP].&amp;[" &amp; $C$6 &amp; "]",
"[Base].[SITUACION]",
"[Base].[SITUACION].&amp;[" &amp; $C86 &amp; "]"
),0)/1000</f>
        <v>-368.71259837359997</v>
      </c>
      <c r="AP86" s="8">
        <f>IFERROR(
GETPIVOTDATA(
"[Base].[Importe]",
TDinamica_R!$A$5,
"[Calendario].[AñoMes]",
"[Calendario].[AñoMes].&amp;[" &amp; TEXT(AP$6,"yyyymm") &amp; "]",
"[Base].[Metrica]",
"[Base].[Metrica].&amp;[" &amp; $A86 &amp; "]",
"[Base].[SEGMENTO_DESCRIP]",
"[Base].[SEGMENTO_DESCRIP].&amp;[" &amp; $C$6 &amp; "]",
"[Base].[SITUACION]",
"[Base].[SITUACION].&amp;[" &amp; $C86 &amp; "]"
),0)/1000</f>
        <v>-429.71964777159997</v>
      </c>
      <c r="AQ86" s="8">
        <f>IFERROR(
GETPIVOTDATA(
"[Base].[Importe]",
TDinamica_R!$A$5,
"[Calendario].[AñoMes]",
"[Calendario].[AñoMes].&amp;[" &amp; TEXT(AQ$6,"yyyymm") &amp; "]",
"[Base].[Metrica]",
"[Base].[Metrica].&amp;[" &amp; $A86 &amp; "]",
"[Base].[SEGMENTO_DESCRIP]",
"[Base].[SEGMENTO_DESCRIP].&amp;[" &amp; $C$6 &amp; "]",
"[Base].[SITUACION]",
"[Base].[SITUACION].&amp;[" &amp; $C86 &amp; "]"
),0)/1000</f>
        <v>-385.7645055479</v>
      </c>
      <c r="AR86" s="8">
        <f>IFERROR(
GETPIVOTDATA(
"[Base].[Importe]",
TDinamica_R!$A$5,
"[Calendario].[AñoMes]",
"[Calendario].[AñoMes].&amp;[" &amp; TEXT(AR$6,"yyyymm") &amp; "]",
"[Base].[Metrica]",
"[Base].[Metrica].&amp;[" &amp; $A86 &amp; "]",
"[Base].[SEGMENTO_DESCRIP]",
"[Base].[SEGMENTO_DESCRIP].&amp;[" &amp; $C$6 &amp; "]",
"[Base].[SITUACION]",
"[Base].[SITUACION].&amp;[" &amp; $C86 &amp; "]"
),0)/1000</f>
        <v>-296.77337124459996</v>
      </c>
      <c r="AS86" s="8">
        <f>IFERROR(
GETPIVOTDATA(
"[Base].[Importe]",
TDinamica_R!$A$5,
"[Calendario].[AñoMes]",
"[Calendario].[AñoMes].&amp;[" &amp; TEXT(AS$6,"yyyymm") &amp; "]",
"[Base].[Metrica]",
"[Base].[Metrica].&amp;[" &amp; $A86 &amp; "]",
"[Base].[SEGMENTO_DESCRIP]",
"[Base].[SEGMENTO_DESCRIP].&amp;[" &amp; $C$6 &amp; "]",
"[Base].[SITUACION]",
"[Base].[SITUACION].&amp;[" &amp; $C86 &amp; "]"
),0)/1000</f>
        <v>-407.98483965679998</v>
      </c>
      <c r="AT86" s="8">
        <f>IFERROR(
GETPIVOTDATA(
"[Base].[Importe]",
TDinamica_R!$A$5,
"[Calendario].[AñoMes]",
"[Calendario].[AñoMes].&amp;[" &amp; TEXT(AT$6,"yyyymm")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U86" s="8">
        <f>IFERROR(
GETPIVOTDATA(
"[Base].[Importe]",
TDinamica_R!$A$5,
"[Calendario].[AñoMes]",
"[Calendario].[AñoMes].&amp;[" &amp; TEXT(AU$6,"yyyymm")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V86" s="8">
        <f>IFERROR(
GETPIVOTDATA(
"[Base].[Importe]",
TDinamica_R!$A$5,
"[Calendario].[AñoMes]",
"[Calendario].[AñoMes].&amp;[" &amp; TEXT(AV$6,"yyyymm")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W86" s="8">
        <f>IFERROR(
GETPIVOTDATA(
"[Base].[Importe]",
TDinamica_R!$A$5,
"[Calendario].[AñoMes]",
"[Calendario].[AñoMes].&amp;[" &amp; TEXT(AW$6,"yyyymm")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X86" s="8">
        <f>IFERROR(
GETPIVOTDATA(
"[Base].[Importe]",
TDinamica_R!$A$5,
"[Calendario].[AñoMes]",
"[Calendario].[AñoMes].&amp;[" &amp; TEXT(AX$6,"yyyymm")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Y86" s="8">
        <f>IFERROR(
GETPIVOTDATA(
"[Base].[Importe]",
TDinamica_R!$A$5,
"[Calendario].[AñoMes]",
"[Calendario].[AñoMes].&amp;[" &amp; TEXT(AY$6,"yyyymm")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Z86" s="8">
        <f>IFERROR(
GETPIVOTDATA(
"[BASE_CONVE_PPTO].[Importe]",
TDinamica_P!$A$5,
"[BASE_CONVE_PPTO].[Periodo]",
"[BASE_CONVE_PPTO].[Periodo].&amp;[" &amp; TEXT(AZ$6,"yyyymm")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-397.80895264380001</v>
      </c>
      <c r="BA86" s="8">
        <f>IFERROR(
GETPIVOTDATA(
"[BASE_CONVE_PPTO].[Importe]",
TDinamica_P!$A$5,
"[BASE_CONVE_PPTO].[Periodo]",
"[BASE_CONVE_PPTO].[Periodo].&amp;[" &amp; TEXT(BA$6,"yyyymm")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-388.03259230119994</v>
      </c>
      <c r="BB86" s="8">
        <f>IFERROR(
GETPIVOTDATA(
"[BASE_CONVE_PPTO].[Importe]",
TDinamica_P!$A$5,
"[BASE_CONVE_PPTO].[Periodo]",
"[BASE_CONVE_PPTO].[Periodo].&amp;[" &amp; TEXT(BB$6,"yyyymm")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-405.47635568620001</v>
      </c>
      <c r="BC86" s="8">
        <f>IFERROR(
GETPIVOTDATA(
"[BASE_CONVE_PPTO].[Importe]",
TDinamica_P!$A$5,
"[BASE_CONVE_PPTO].[Periodo]",
"[BASE_CONVE_PPTO].[Periodo].&amp;[" &amp; TEXT(BC$6,"yyyymm")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-399.32974067129999</v>
      </c>
      <c r="BD86" s="8">
        <f>IFERROR(
GETPIVOTDATA(
"[BASE_CONVE_PPTO].[Importe]",
TDinamica_P!$A$5,
"[BASE_CONVE_PPTO].[Periodo]",
"[BASE_CONVE_PPTO].[Periodo].&amp;[" &amp; TEXT(BD$6,"yyyymm")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-431.07286426230002</v>
      </c>
      <c r="BE86" s="8">
        <f>IFERROR(
GETPIVOTDATA(
"[BASE_CONVE_PPTO].[Importe]",
TDinamica_P!$A$5,
"[BASE_CONVE_PPTO].[Periodo]",
"[BASE_CONVE_PPTO].[Periodo].&amp;[" &amp; TEXT(BE$6,"yyyymm")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-437.00735451899999</v>
      </c>
      <c r="BF86" s="8">
        <f>IFERROR(
GETPIVOTDATA(
"[BASE_CONVE_PPTO].[Importe]",
TDinamica_P!$A$5,
"[BASE_CONVE_PPTO].[Periodo]",
"[BASE_CONVE_PPTO].[Periodo].&amp;[" &amp; TEXT(BF$6,"yyyymm")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-408.35165752449996</v>
      </c>
      <c r="BG86" s="8">
        <f>IFERROR(
GETPIVOTDATA(
"[BASE_CONVE_PPTO].[Importe]",
TDinamica_P!$A$5,
"[BASE_CONVE_PPTO].[Periodo]",
"[BASE_CONVE_PPTO].[Periodo].&amp;[" &amp; TEXT(BG$6,"yyyymm")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-419.38478866629998</v>
      </c>
      <c r="BH86" s="8">
        <f>IFERROR(
GETPIVOTDATA(
"[BASE_CONVE_PPTO].[Importe]",
TDinamica_P!$A$5,
"[BASE_CONVE_PPTO].[Periodo]",
"[BASE_CONVE_PPTO].[Periodo].&amp;[" &amp; TEXT(BH$6,"yyyymm")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-431.58148608930003</v>
      </c>
      <c r="BI86" s="8">
        <f>IFERROR(
GETPIVOTDATA(
"[BASE_CONVE_PPTO].[Importe]",
TDinamica_P!$A$5,
"[BASE_CONVE_PPTO].[Periodo]",
"[BASE_CONVE_PPTO].[Periodo].&amp;[" &amp; TEXT(BI$6,"yyyymm")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-404.1385633955</v>
      </c>
      <c r="BJ86" s="8">
        <f>IFERROR(
GETPIVOTDATA(
"[BASE_CONVE_PPTO].[Importe]",
TDinamica_P!$A$5,
"[BASE_CONVE_PPTO].[Periodo]",
"[BASE_CONVE_PPTO].[Periodo].&amp;[" &amp; TEXT(BJ$6,"yyyymm")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-411.29477044719999</v>
      </c>
      <c r="BK86" s="8">
        <f>IFERROR(
GETPIVOTDATA(
"[BASE_CONVE_PPTO].[Importe]",
TDinamica_P!$A$5,
"[BASE_CONVE_PPTO].[Periodo]",
"[BASE_CONVE_PPTO].[Periodo].&amp;[" &amp; TEXT(BK$6,"yyyymm")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-416.9275805382</v>
      </c>
      <c r="BO86" s="24">
        <f t="shared" ref="BO86:BT88" si="203">SUMIFS($D86:$BM86,$D$6:$BM$6,"&gt;="&amp;BO$2,$D$6:$BM$6,"&lt;="&amp;BO$6,$D$5:$BM$5,BO$5)</f>
        <v>-1857.6599158909999</v>
      </c>
      <c r="BP86" s="24">
        <f t="shared" si="203"/>
        <v>-2021.7205055647999</v>
      </c>
      <c r="BQ86" s="24">
        <f t="shared" si="203"/>
        <v>-1560.8865446463999</v>
      </c>
      <c r="BR86" s="24">
        <f t="shared" si="203"/>
        <v>-1834.7803035827001</v>
      </c>
      <c r="BS86" s="24">
        <f t="shared" si="203"/>
        <v>-1474.0319951373999</v>
      </c>
      <c r="BT86" s="24">
        <f t="shared" si="203"/>
        <v>-1517.3815541332001</v>
      </c>
    </row>
    <row r="87" spans="1:72" outlineLevel="1" x14ac:dyDescent="0.25">
      <c r="A87" s="11" t="s">
        <v>75</v>
      </c>
      <c r="C87" s="2" t="s">
        <v>77</v>
      </c>
      <c r="D87" s="8">
        <f>IFERROR(
GETPIVOTDATA(
"[Base].[Importe]",
TDinamica_R!$A$5,
"[Calendario].[AñoMes]",
"[Calendario].[AñoMes].&amp;[" &amp; TEXT(D$6,"yyyymm") &amp; "]",
"[Base].[Metrica]",
"[Base].[Metrica].&amp;[" &amp; $A87 &amp; "]",
"[Base].[SEGMENTO_DESCRIP]",
"[Base].[SEGMENTO_DESCRIP].&amp;[" &amp; $C$6 &amp; "]",
"[Base].[SITUACION]",
"[Base].[SITUACION].&amp;[" &amp; $C87 &amp; "]"
),0)/1000</f>
        <v>-14.0288202677</v>
      </c>
      <c r="E87" s="8">
        <f>IFERROR(
GETPIVOTDATA(
"[Base].[Importe]",
TDinamica_R!$A$5,
"[Calendario].[AñoMes]",
"[Calendario].[AñoMes].&amp;[" &amp; TEXT(E$6,"yyyymm") &amp; "]",
"[Base].[Metrica]",
"[Base].[Metrica].&amp;[" &amp; $A87 &amp; "]",
"[Base].[SEGMENTO_DESCRIP]",
"[Base].[SEGMENTO_DESCRIP].&amp;[" &amp; $C$6 &amp; "]",
"[Base].[SITUACION]",
"[Base].[SITUACION].&amp;[" &amp; $C87 &amp; "]"
),0)/1000</f>
        <v>-13.9670734136</v>
      </c>
      <c r="F87" s="8">
        <f>IFERROR(
GETPIVOTDATA(
"[Base].[Importe]",
TDinamica_R!$A$5,
"[Calendario].[AñoMes]",
"[Calendario].[AñoMes].&amp;[" &amp; TEXT(F$6,"yyyymm") &amp; "]",
"[Base].[Metrica]",
"[Base].[Metrica].&amp;[" &amp; $A87 &amp; "]",
"[Base].[SEGMENTO_DESCRIP]",
"[Base].[SEGMENTO_DESCRIP].&amp;[" &amp; $C$6 &amp; "]",
"[Base].[SITUACION]",
"[Base].[SITUACION].&amp;[" &amp; $C87 &amp; "]"
),0)/1000</f>
        <v>-15.257133103399999</v>
      </c>
      <c r="G87" s="8">
        <f>IFERROR(
GETPIVOTDATA(
"[Base].[Importe]",
TDinamica_R!$A$5,
"[Calendario].[AñoMes]",
"[Calendario].[AñoMes].&amp;[" &amp; TEXT(G$6,"yyyymm") &amp; "]",
"[Base].[Metrica]",
"[Base].[Metrica].&amp;[" &amp; $A87 &amp; "]",
"[Base].[SEGMENTO_DESCRIP]",
"[Base].[SEGMENTO_DESCRIP].&amp;[" &amp; $C$6 &amp; "]",
"[Base].[SITUACION]",
"[Base].[SITUACION].&amp;[" &amp; $C87 &amp; "]"
),0)/1000</f>
        <v>-13.5604220136</v>
      </c>
      <c r="H87" s="8">
        <f>IFERROR(
GETPIVOTDATA(
"[Base].[Importe]",
TDinamica_R!$A$5,
"[Calendario].[AñoMes]",
"[Calendario].[AñoMes].&amp;[" &amp; TEXT(H$6,"yyyymm") &amp; "]",
"[Base].[Metrica]",
"[Base].[Metrica].&amp;[" &amp; $A87 &amp; "]",
"[Base].[SEGMENTO_DESCRIP]",
"[Base].[SEGMENTO_DESCRIP].&amp;[" &amp; $C$6 &amp; "]",
"[Base].[SITUACION]",
"[Base].[SITUACION].&amp;[" &amp; $C87 &amp; "]"
),0)/1000</f>
        <v>-15.224003983700001</v>
      </c>
      <c r="I87" s="8">
        <f>IFERROR(
GETPIVOTDATA(
"[Base].[Importe]",
TDinamica_R!$A$5,
"[Calendario].[AñoMes]",
"[Calendario].[AñoMes].&amp;[" &amp; TEXT(I$6,"yyyymm") &amp; "]",
"[Base].[Metrica]",
"[Base].[Metrica].&amp;[" &amp; $A87 &amp; "]",
"[Base].[SEGMENTO_DESCRIP]",
"[Base].[SEGMENTO_DESCRIP].&amp;[" &amp; $C$6 &amp; "]",
"[Base].[SITUACION]",
"[Base].[SITUACION].&amp;[" &amp; $C87 &amp; "]"
),0)/1000</f>
        <v>-14.9414030077</v>
      </c>
      <c r="J87" s="8">
        <f>IFERROR(
GETPIVOTDATA(
"[Base].[Importe]",
TDinamica_R!$A$5,
"[Calendario].[AñoMes]",
"[Calendario].[AñoMes].&amp;[" &amp; TEXT(J$6,"yyyymm") &amp; "]",
"[Base].[Metrica]",
"[Base].[Metrica].&amp;[" &amp; $A87 &amp; "]",
"[Base].[SEGMENTO_DESCRIP]",
"[Base].[SEGMENTO_DESCRIP].&amp;[" &amp; $C$6 &amp; "]",
"[Base].[SITUACION]",
"[Base].[SITUACION].&amp;[" &amp; $C87 &amp; "]"
),0)/1000</f>
        <v>-16.8464670816</v>
      </c>
      <c r="K87" s="8">
        <f>IFERROR(
GETPIVOTDATA(
"[Base].[Importe]",
TDinamica_R!$A$5,
"[Calendario].[AñoMes]",
"[Calendario].[AñoMes].&amp;[" &amp; TEXT(K$6,"yyyymm") &amp; "]",
"[Base].[Metrica]",
"[Base].[Metrica].&amp;[" &amp; $A87 &amp; "]",
"[Base].[SEGMENTO_DESCRIP]",
"[Base].[SEGMENTO_DESCRIP].&amp;[" &amp; $C$6 &amp; "]",
"[Base].[SITUACION]",
"[Base].[SITUACION].&amp;[" &amp; $C87 &amp; "]"
),0)/1000</f>
        <v>-17.428027711599999</v>
      </c>
      <c r="L87" s="8">
        <f>IFERROR(
GETPIVOTDATA(
"[Base].[Importe]",
TDinamica_R!$A$5,
"[Calendario].[AñoMes]",
"[Calendario].[AñoMes].&amp;[" &amp; TEXT(L$6,"yyyymm") &amp; "]",
"[Base].[Metrica]",
"[Base].[Metrica].&amp;[" &amp; $A87 &amp; "]",
"[Base].[SEGMENTO_DESCRIP]",
"[Base].[SEGMENTO_DESCRIP].&amp;[" &amp; $C$6 &amp; "]",
"[Base].[SITUACION]",
"[Base].[SITUACION].&amp;[" &amp; $C87 &amp; "]"
),0)/1000</f>
        <v>-17.154294258499998</v>
      </c>
      <c r="M87" s="8">
        <f>IFERROR(
GETPIVOTDATA(
"[Base].[Importe]",
TDinamica_R!$A$5,
"[Calendario].[AñoMes]",
"[Calendario].[AñoMes].&amp;[" &amp; TEXT(M$6,"yyyymm") &amp; "]",
"[Base].[Metrica]",
"[Base].[Metrica].&amp;[" &amp; $A87 &amp; "]",
"[Base].[SEGMENTO_DESCRIP]",
"[Base].[SEGMENTO_DESCRIP].&amp;[" &amp; $C$6 &amp; "]",
"[Base].[SITUACION]",
"[Base].[SITUACION].&amp;[" &amp; $C87 &amp; "]"
),0)/1000</f>
        <v>-16.868088804199999</v>
      </c>
      <c r="N87" s="8">
        <f>IFERROR(
GETPIVOTDATA(
"[Base].[Importe]",
TDinamica_R!$A$5,
"[Calendario].[AñoMes]",
"[Calendario].[AñoMes].&amp;[" &amp; TEXT(N$6,"yyyymm") &amp; "]",
"[Base].[Metrica]",
"[Base].[Metrica].&amp;[" &amp; $A87 &amp; "]",
"[Base].[SEGMENTO_DESCRIP]",
"[Base].[SEGMENTO_DESCRIP].&amp;[" &amp; $C$6 &amp; "]",
"[Base].[SITUACION]",
"[Base].[SITUACION].&amp;[" &amp; $C87 &amp; "]"
),0)/1000</f>
        <v>-17.737074098099999</v>
      </c>
      <c r="O87" s="8">
        <f>IFERROR(
GETPIVOTDATA(
"[Base].[Importe]",
TDinamica_R!$A$5,
"[Calendario].[AñoMes]",
"[Calendario].[AñoMes].&amp;[" &amp; TEXT(O$6,"yyyymm") &amp; "]",
"[Base].[Metrica]",
"[Base].[Metrica].&amp;[" &amp; $A87 &amp; "]",
"[Base].[SEGMENTO_DESCRIP]",
"[Base].[SEGMENTO_DESCRIP].&amp;[" &amp; $C$6 &amp; "]",
"[Base].[SITUACION]",
"[Base].[SITUACION].&amp;[" &amp; $C87 &amp; "]"
),0)/1000</f>
        <v>-18.420783740500003</v>
      </c>
      <c r="P87" s="8">
        <f>IFERROR(
GETPIVOTDATA(
"[Base].[Importe]",
TDinamica_R!$A$5,
"[Calendario].[AñoMes]",
"[Calendario].[AñoMes].&amp;[" &amp; TEXT(P$6,"yyyymm") &amp; "]",
"[Base].[Metrica]",
"[Base].[Metrica].&amp;[" &amp; $A87 &amp; "]",
"[Base].[SEGMENTO_DESCRIP]",
"[Base].[SEGMENTO_DESCRIP].&amp;[" &amp; $C$6 &amp; "]",
"[Base].[SITUACION]",
"[Base].[SITUACION].&amp;[" &amp; $C87 &amp; "]"
),0)/1000</f>
        <v>-19.042493314600001</v>
      </c>
      <c r="Q87" s="8">
        <f>IFERROR(
GETPIVOTDATA(
"[Base].[Importe]",
TDinamica_R!$A$5,
"[Calendario].[AñoMes]",
"[Calendario].[AñoMes].&amp;[" &amp; TEXT(Q$6,"yyyymm") &amp; "]",
"[Base].[Metrica]",
"[Base].[Metrica].&amp;[" &amp; $A87 &amp; "]",
"[Base].[SEGMENTO_DESCRIP]",
"[Base].[SEGMENTO_DESCRIP].&amp;[" &amp; $C$6 &amp; "]",
"[Base].[SITUACION]",
"[Base].[SITUACION].&amp;[" &amp; $C87 &amp; "]"
),0)/1000</f>
        <v>-19.639131489099999</v>
      </c>
      <c r="R87" s="8">
        <f>IFERROR(
GETPIVOTDATA(
"[Base].[Importe]",
TDinamica_R!$A$5,
"[Calendario].[AñoMes]",
"[Calendario].[AñoMes].&amp;[" &amp; TEXT(R$6,"yyyymm") &amp; "]",
"[Base].[Metrica]",
"[Base].[Metrica].&amp;[" &amp; $A87 &amp; "]",
"[Base].[SEGMENTO_DESCRIP]",
"[Base].[SEGMENTO_DESCRIP].&amp;[" &amp; $C$6 &amp; "]",
"[Base].[SITUACION]",
"[Base].[SITUACION].&amp;[" &amp; $C87 &amp; "]"
),0)/1000</f>
        <v>-19.807415515600002</v>
      </c>
      <c r="S87" s="8">
        <f>IFERROR(
GETPIVOTDATA(
"[Base].[Importe]",
TDinamica_R!$A$5,
"[Calendario].[AñoMes]",
"[Calendario].[AñoMes].&amp;[" &amp; TEXT(S$6,"yyyymm") &amp; "]",
"[Base].[Metrica]",
"[Base].[Metrica].&amp;[" &amp; $A87 &amp; "]",
"[Base].[SEGMENTO_DESCRIP]",
"[Base].[SEGMENTO_DESCRIP].&amp;[" &amp; $C$6 &amp; "]",
"[Base].[SITUACION]",
"[Base].[SITUACION].&amp;[" &amp; $C87 &amp; "]"
),0)/1000</f>
        <v>-19.419285460400001</v>
      </c>
      <c r="T87" s="8">
        <f>IFERROR(
GETPIVOTDATA(
"[Base].[Importe]",
TDinamica_R!$A$5,
"[Calendario].[AñoMes]",
"[Calendario].[AñoMes].&amp;[" &amp; TEXT(T$6,"yyyymm") &amp; "]",
"[Base].[Metrica]",
"[Base].[Metrica].&amp;[" &amp; $A87 &amp; "]",
"[Base].[SEGMENTO_DESCRIP]",
"[Base].[SEGMENTO_DESCRIP].&amp;[" &amp; $C$6 &amp; "]",
"[Base].[SITUACION]",
"[Base].[SITUACION].&amp;[" &amp; $C87 &amp; "]"
),0)/1000</f>
        <v>-20.051546116200001</v>
      </c>
      <c r="U87" s="8">
        <f>IFERROR(
GETPIVOTDATA(
"[Base].[Importe]",
TDinamica_R!$A$5,
"[Calendario].[AñoMes]",
"[Calendario].[AñoMes].&amp;[" &amp; TEXT(U$6,"yyyymm") &amp; "]",
"[Base].[Metrica]",
"[Base].[Metrica].&amp;[" &amp; $A87 &amp; "]",
"[Base].[SEGMENTO_DESCRIP]",
"[Base].[SEGMENTO_DESCRIP].&amp;[" &amp; $C$6 &amp; "]",
"[Base].[SITUACION]",
"[Base].[SITUACION].&amp;[" &amp; $C87 &amp; "]"
),0)/1000</f>
        <v>-18.3471153216</v>
      </c>
      <c r="V87" s="8">
        <f>IFERROR(
GETPIVOTDATA(
"[Base].[Importe]",
TDinamica_R!$A$5,
"[Calendario].[AñoMes]",
"[Calendario].[AñoMes].&amp;[" &amp; TEXT(V$6,"yyyymm") &amp; "]",
"[Base].[Metrica]",
"[Base].[Metrica].&amp;[" &amp; $A87 &amp; "]",
"[Base].[SEGMENTO_DESCRIP]",
"[Base].[SEGMENTO_DESCRIP].&amp;[" &amp; $C$6 &amp; "]",
"[Base].[SITUACION]",
"[Base].[SITUACION].&amp;[" &amp; $C87 &amp; "]"
),0)/1000</f>
        <v>-16.575685781499999</v>
      </c>
      <c r="W87" s="8">
        <f>IFERROR(
GETPIVOTDATA(
"[Base].[Importe]",
TDinamica_R!$A$5,
"[Calendario].[AñoMes]",
"[Calendario].[AñoMes].&amp;[" &amp; TEXT(W$6,"yyyymm") &amp; "]",
"[Base].[Metrica]",
"[Base].[Metrica].&amp;[" &amp; $A87 &amp; "]",
"[Base].[SEGMENTO_DESCRIP]",
"[Base].[SEGMENTO_DESCRIP].&amp;[" &amp; $C$6 &amp; "]",
"[Base].[SITUACION]",
"[Base].[SITUACION].&amp;[" &amp; $C87 &amp; "]"
),0)/1000</f>
        <v>-29.381653697099999</v>
      </c>
      <c r="X87" s="8">
        <f>IFERROR(
GETPIVOTDATA(
"[Base].[Importe]",
TDinamica_R!$A$5,
"[Calendario].[AñoMes]",
"[Calendario].[AñoMes].&amp;[" &amp; TEXT(X$6,"yyyymm") &amp; "]",
"[Base].[Metrica]",
"[Base].[Metrica].&amp;[" &amp; $A87 &amp; "]",
"[Base].[SEGMENTO_DESCRIP]",
"[Base].[SEGMENTO_DESCRIP].&amp;[" &amp; $C$6 &amp; "]",
"[Base].[SITUACION]",
"[Base].[SITUACION].&amp;[" &amp; $C87 &amp; "]"
),0)/1000</f>
        <v>-14.738115165299998</v>
      </c>
      <c r="Y87" s="8">
        <f>IFERROR(
GETPIVOTDATA(
"[Base].[Importe]",
TDinamica_R!$A$5,
"[Calendario].[AñoMes]",
"[Calendario].[AñoMes].&amp;[" &amp; TEXT(Y$6,"yyyymm") &amp; "]",
"[Base].[Metrica]",
"[Base].[Metrica].&amp;[" &amp; $A87 &amp; "]",
"[Base].[SEGMENTO_DESCRIP]",
"[Base].[SEGMENTO_DESCRIP].&amp;[" &amp; $C$6 &amp; "]",
"[Base].[SITUACION]",
"[Base].[SITUACION].&amp;[" &amp; $C87 &amp; "]"
),0)/1000</f>
        <v>-15.082360790399997</v>
      </c>
      <c r="Z87" s="8">
        <f>IFERROR(
GETPIVOTDATA(
"[Base].[Importe]",
TDinamica_R!$A$5,
"[Calendario].[AñoMes]",
"[Calendario].[AñoMes].&amp;[" &amp; TEXT(Z$6,"yyyymm") &amp; "]",
"[Base].[Metrica]",
"[Base].[Metrica].&amp;[" &amp; $A87 &amp; "]",
"[Base].[SEGMENTO_DESCRIP]",
"[Base].[SEGMENTO_DESCRIP].&amp;[" &amp; $C$6 &amp; "]",
"[Base].[SITUACION]",
"[Base].[SITUACION].&amp;[" &amp; $C87 &amp; "]"
),0)/1000</f>
        <v>-16.276858375899998</v>
      </c>
      <c r="AA87" s="8">
        <f>IFERROR(
GETPIVOTDATA(
"[Base].[Importe]",
TDinamica_R!$A$5,
"[Calendario].[AñoMes]",
"[Calendario].[AñoMes].&amp;[" &amp; TEXT(AA$6,"yyyymm") &amp; "]",
"[Base].[Metrica]",
"[Base].[Metrica].&amp;[" &amp; $A87 &amp; "]",
"[Base].[SEGMENTO_DESCRIP]",
"[Base].[SEGMENTO_DESCRIP].&amp;[" &amp; $C$6 &amp; "]",
"[Base].[SITUACION]",
"[Base].[SITUACION].&amp;[" &amp; $C87 &amp; "]"
),0)/1000</f>
        <v>-14.638625646199998</v>
      </c>
      <c r="AB87" s="8">
        <f>IFERROR(
GETPIVOTDATA(
"[Base].[Importe]",
TDinamica_R!$A$5,
"[Calendario].[AñoMes]",
"[Calendario].[AñoMes].&amp;[" &amp; TEXT(AB$6,"yyyymm") &amp; "]",
"[Base].[Metrica]",
"[Base].[Metrica].&amp;[" &amp; $A87 &amp; "]",
"[Base].[SEGMENTO_DESCRIP]",
"[Base].[SEGMENTO_DESCRIP].&amp;[" &amp; $C$6 &amp; "]",
"[Base].[SITUACION]",
"[Base].[SITUACION].&amp;[" &amp; $C87 &amp; "]"
),0)/1000</f>
        <v>-17.785915898500001</v>
      </c>
      <c r="AC87" s="8">
        <f>IFERROR(
GETPIVOTDATA(
"[Base].[Importe]",
TDinamica_R!$A$5,
"[Calendario].[AñoMes]",
"[Calendario].[AñoMes].&amp;[" &amp; TEXT(AC$6,"yyyymm") &amp; "]",
"[Base].[Metrica]",
"[Base].[Metrica].&amp;[" &amp; $A87 &amp; "]",
"[Base].[SEGMENTO_DESCRIP]",
"[Base].[SEGMENTO_DESCRIP].&amp;[" &amp; $C$6 &amp; "]",
"[Base].[SITUACION]",
"[Base].[SITUACION].&amp;[" &amp; $C87 &amp; "]"
),0)/1000</f>
        <v>-17.113514861399999</v>
      </c>
      <c r="AD87" s="8">
        <f>IFERROR(
GETPIVOTDATA(
"[Base].[Importe]",
TDinamica_R!$A$5,
"[Calendario].[AñoMes]",
"[Calendario].[AñoMes].&amp;[" &amp; TEXT(AD$6,"yyyymm") &amp; "]",
"[Base].[Metrica]",
"[Base].[Metrica].&amp;[" &amp; $A87 &amp; "]",
"[Base].[SEGMENTO_DESCRIP]",
"[Base].[SEGMENTO_DESCRIP].&amp;[" &amp; $C$6 &amp; "]",
"[Base].[SITUACION]",
"[Base].[SITUACION].&amp;[" &amp; $C87 &amp; "]"
),0)/1000</f>
        <v>-18.9892798158</v>
      </c>
      <c r="AE87" s="8">
        <f>IFERROR(
GETPIVOTDATA(
"[Base].[Importe]",
TDinamica_R!$A$5,
"[Calendario].[AñoMes]",
"[Calendario].[AñoMes].&amp;[" &amp; TEXT(AE$6,"yyyymm") &amp; "]",
"[Base].[Metrica]",
"[Base].[Metrica].&amp;[" &amp; $A87 &amp; "]",
"[Base].[SEGMENTO_DESCRIP]",
"[Base].[SEGMENTO_DESCRIP].&amp;[" &amp; $C$6 &amp; "]",
"[Base].[SITUACION]",
"[Base].[SITUACION].&amp;[" &amp; $C87 &amp; "]"
),0)/1000</f>
        <v>-18.9397508186</v>
      </c>
      <c r="AF87" s="8">
        <f>IFERROR(
GETPIVOTDATA(
"[Base].[Importe]",
TDinamica_R!$A$5,
"[Calendario].[AñoMes]",
"[Calendario].[AñoMes].&amp;[" &amp; TEXT(AF$6,"yyyymm") &amp; "]",
"[Base].[Metrica]",
"[Base].[Metrica].&amp;[" &amp; $A87 &amp; "]",
"[Base].[SEGMENTO_DESCRIP]",
"[Base].[SEGMENTO_DESCRIP].&amp;[" &amp; $C$6 &amp; "]",
"[Base].[SITUACION]",
"[Base].[SITUACION].&amp;[" &amp; $C87 &amp; "]"
),0)/1000</f>
        <v>-20.270400400899998</v>
      </c>
      <c r="AG87" s="8">
        <f>IFERROR(
GETPIVOTDATA(
"[Base].[Importe]",
TDinamica_R!$A$5,
"[Calendario].[AñoMes]",
"[Calendario].[AñoMes].&amp;[" &amp; TEXT(AG$6,"yyyymm") &amp; "]",
"[Base].[Metrica]",
"[Base].[Metrica].&amp;[" &amp; $A87 &amp; "]",
"[Base].[SEGMENTO_DESCRIP]",
"[Base].[SEGMENTO_DESCRIP].&amp;[" &amp; $C$6 &amp; "]",
"[Base].[SITUACION]",
"[Base].[SITUACION].&amp;[" &amp; $C87 &amp; "]"
),0)/1000</f>
        <v>-20.330673975699998</v>
      </c>
      <c r="AH87" s="8">
        <f>IFERROR(
GETPIVOTDATA(
"[Base].[Importe]",
TDinamica_R!$A$5,
"[Calendario].[AñoMes]",
"[Calendario].[AñoMes].&amp;[" &amp; TEXT(AH$6,"yyyymm") &amp; "]",
"[Base].[Metrica]",
"[Base].[Metrica].&amp;[" &amp; $A87 &amp; "]",
"[Base].[SEGMENTO_DESCRIP]",
"[Base].[SEGMENTO_DESCRIP].&amp;[" &amp; $C$6 &amp; "]",
"[Base].[SITUACION]",
"[Base].[SITUACION].&amp;[" &amp; $C87 &amp; "]"
),0)/1000</f>
        <v>-19.312918545100001</v>
      </c>
      <c r="AI87" s="8">
        <f>IFERROR(
GETPIVOTDATA(
"[Base].[Importe]",
TDinamica_R!$A$5,
"[Calendario].[AñoMes]",
"[Calendario].[AñoMes].&amp;[" &amp; TEXT(AI$6,"yyyymm") &amp; "]",
"[Base].[Metrica]",
"[Base].[Metrica].&amp;[" &amp; $A87 &amp; "]",
"[Base].[SEGMENTO_DESCRIP]",
"[Base].[SEGMENTO_DESCRIP].&amp;[" &amp; $C$6 &amp; "]",
"[Base].[SITUACION]",
"[Base].[SITUACION].&amp;[" &amp; $C87 &amp; "]"
),0)/1000</f>
        <v>-16.105345360600001</v>
      </c>
      <c r="AJ87" s="8">
        <f>IFERROR(
GETPIVOTDATA(
"[Base].[Importe]",
TDinamica_R!$A$5,
"[Calendario].[AñoMes]",
"[Calendario].[AñoMes].&amp;[" &amp; TEXT(AJ$6,"yyyymm") &amp; "]",
"[Base].[Metrica]",
"[Base].[Metrica].&amp;[" &amp; $A87 &amp; "]",
"[Base].[SEGMENTO_DESCRIP]",
"[Base].[SEGMENTO_DESCRIP].&amp;[" &amp; $C$6 &amp; "]",
"[Base].[SITUACION]",
"[Base].[SITUACION].&amp;[" &amp; $C87 &amp; "]"
),0)/1000</f>
        <v>-14.6488238345</v>
      </c>
      <c r="AK87" s="8">
        <f>IFERROR(
GETPIVOTDATA(
"[Base].[Importe]",
TDinamica_R!$A$5,
"[Calendario].[AñoMes]",
"[Calendario].[AñoMes].&amp;[" &amp; TEXT(AK$6,"yyyymm") &amp; "]",
"[Base].[Metrica]",
"[Base].[Metrica].&amp;[" &amp; $A87 &amp; "]",
"[Base].[SEGMENTO_DESCRIP]",
"[Base].[SEGMENTO_DESCRIP].&amp;[" &amp; $C$6 &amp; "]",
"[Base].[SITUACION]",
"[Base].[SITUACION].&amp;[" &amp; $C87 &amp; "]"
),0)/1000</f>
        <v>-14.765230248299998</v>
      </c>
      <c r="AL87" s="8">
        <f>IFERROR(
GETPIVOTDATA(
"[Base].[Importe]",
TDinamica_R!$A$5,
"[Calendario].[AñoMes]",
"[Calendario].[AñoMes].&amp;[" &amp; TEXT(AL$6,"yyyymm") &amp; "]",
"[Base].[Metrica]",
"[Base].[Metrica].&amp;[" &amp; $A87 &amp; "]",
"[Base].[SEGMENTO_DESCRIP]",
"[Base].[SEGMENTO_DESCRIP].&amp;[" &amp; $C$6 &amp; "]",
"[Base].[SITUACION]",
"[Base].[SITUACION].&amp;[" &amp; $C87 &amp; "]"
),0)/1000</f>
        <v>-16.198161262999999</v>
      </c>
      <c r="AM87" s="8">
        <f>IFERROR(
GETPIVOTDATA(
"[Base].[Importe]",
TDinamica_R!$A$5,
"[Calendario].[AñoMes]",
"[Calendario].[AñoMes].&amp;[" &amp; TEXT(AM$6,"yyyymm") &amp; "]",
"[Base].[Metrica]",
"[Base].[Metrica].&amp;[" &amp; $A87 &amp; "]",
"[Base].[SEGMENTO_DESCRIP]",
"[Base].[SEGMENTO_DESCRIP].&amp;[" &amp; $C$6 &amp; "]",
"[Base].[SITUACION]",
"[Base].[SITUACION].&amp;[" &amp; $C87 &amp; "]"
),0)/1000</f>
        <v>-14.574899249600001</v>
      </c>
      <c r="AN87" s="8">
        <f>IFERROR(
GETPIVOTDATA(
"[Base].[Importe]",
TDinamica_R!$A$5,
"[Calendario].[AñoMes]",
"[Calendario].[AñoMes].&amp;[" &amp; TEXT(AN$6,"yyyymm") &amp; "]",
"[Base].[Metrica]",
"[Base].[Metrica].&amp;[" &amp; $A87 &amp; "]",
"[Base].[SEGMENTO_DESCRIP]",
"[Base].[SEGMENTO_DESCRIP].&amp;[" &amp; $C$6 &amp; "]",
"[Base].[SITUACION]",
"[Base].[SITUACION].&amp;[" &amp; $C87 &amp; "]"
),0)/1000</f>
        <v>-16.0182140601</v>
      </c>
      <c r="AO87" s="8">
        <f>IFERROR(
GETPIVOTDATA(
"[Base].[Importe]",
TDinamica_R!$A$5,
"[Calendario].[AñoMes]",
"[Calendario].[AñoMes].&amp;[" &amp; TEXT(AO$6,"yyyymm") &amp; "]",
"[Base].[Metrica]",
"[Base].[Metrica].&amp;[" &amp; $A87 &amp; "]",
"[Base].[SEGMENTO_DESCRIP]",
"[Base].[SEGMENTO_DESCRIP].&amp;[" &amp; $C$6 &amp; "]",
"[Base].[SITUACION]",
"[Base].[SITUACION].&amp;[" &amp; $C87 &amp; "]"
),0)/1000</f>
        <v>-16.0724918383</v>
      </c>
      <c r="AP87" s="8">
        <f>IFERROR(
GETPIVOTDATA(
"[Base].[Importe]",
TDinamica_R!$A$5,
"[Calendario].[AñoMes]",
"[Calendario].[AñoMes].&amp;[" &amp; TEXT(AP$6,"yyyymm") &amp; "]",
"[Base].[Metrica]",
"[Base].[Metrica].&amp;[" &amp; $A87 &amp; "]",
"[Base].[SEGMENTO_DESCRIP]",
"[Base].[SEGMENTO_DESCRIP].&amp;[" &amp; $C$6 &amp; "]",
"[Base].[SITUACION]",
"[Base].[SITUACION].&amp;[" &amp; $C87 &amp; "]"
),0)/1000</f>
        <v>-14.8950251002</v>
      </c>
      <c r="AQ87" s="8">
        <f>IFERROR(
GETPIVOTDATA(
"[Base].[Importe]",
TDinamica_R!$A$5,
"[Calendario].[AñoMes]",
"[Calendario].[AñoMes].&amp;[" &amp; TEXT(AQ$6,"yyyymm") &amp; "]",
"[Base].[Metrica]",
"[Base].[Metrica].&amp;[" &amp; $A87 &amp; "]",
"[Base].[SEGMENTO_DESCRIP]",
"[Base].[SEGMENTO_DESCRIP].&amp;[" &amp; $C$6 &amp; "]",
"[Base].[SITUACION]",
"[Base].[SITUACION].&amp;[" &amp; $C87 &amp; "]"
),0)/1000</f>
        <v>-15.712626738700001</v>
      </c>
      <c r="AR87" s="8">
        <f>IFERROR(
GETPIVOTDATA(
"[Base].[Importe]",
TDinamica_R!$A$5,
"[Calendario].[AñoMes]",
"[Calendario].[AñoMes].&amp;[" &amp; TEXT(AR$6,"yyyymm") &amp; "]",
"[Base].[Metrica]",
"[Base].[Metrica].&amp;[" &amp; $A87 &amp; "]",
"[Base].[SEGMENTO_DESCRIP]",
"[Base].[SEGMENTO_DESCRIP].&amp;[" &amp; $C$6 &amp; "]",
"[Base].[SITUACION]",
"[Base].[SITUACION].&amp;[" &amp; $C87 &amp; "]"
),0)/1000</f>
        <v>-15.755382156600001</v>
      </c>
      <c r="AS87" s="8">
        <f>IFERROR(
GETPIVOTDATA(
"[Base].[Importe]",
TDinamica_R!$A$5,
"[Calendario].[AñoMes]",
"[Calendario].[AñoMes].&amp;[" &amp; TEXT(AS$6,"yyyymm") &amp; "]",
"[Base].[Metrica]",
"[Base].[Metrica].&amp;[" &amp; $A87 &amp; "]",
"[Base].[SEGMENTO_DESCRIP]",
"[Base].[SEGMENTO_DESCRIP].&amp;[" &amp; $C$6 &amp; "]",
"[Base].[SITUACION]",
"[Base].[SITUACION].&amp;[" &amp; $C87 &amp; "]"
),0)/1000</f>
        <v>-15.937776887200002</v>
      </c>
      <c r="AT87" s="8">
        <f>IFERROR(
GETPIVOTDATA(
"[Base].[Importe]",
TDinamica_R!$A$5,
"[Calendario].[AñoMes]",
"[Calendario].[AñoMes].&amp;[" &amp; TEXT(AT$6,"yyyymm")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U87" s="8">
        <f>IFERROR(
GETPIVOTDATA(
"[Base].[Importe]",
TDinamica_R!$A$5,
"[Calendario].[AñoMes]",
"[Calendario].[AñoMes].&amp;[" &amp; TEXT(AU$6,"yyyymm")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V87" s="8">
        <f>IFERROR(
GETPIVOTDATA(
"[Base].[Importe]",
TDinamica_R!$A$5,
"[Calendario].[AñoMes]",
"[Calendario].[AñoMes].&amp;[" &amp; TEXT(AV$6,"yyyymm")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W87" s="8">
        <f>IFERROR(
GETPIVOTDATA(
"[Base].[Importe]",
TDinamica_R!$A$5,
"[Calendario].[AñoMes]",
"[Calendario].[AñoMes].&amp;[" &amp; TEXT(AW$6,"yyyymm")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X87" s="8">
        <f>IFERROR(
GETPIVOTDATA(
"[Base].[Importe]",
TDinamica_R!$A$5,
"[Calendario].[AñoMes]",
"[Calendario].[AñoMes].&amp;[" &amp; TEXT(AX$6,"yyyymm")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Y87" s="8">
        <f>IFERROR(
GETPIVOTDATA(
"[Base].[Importe]",
TDinamica_R!$A$5,
"[Calendario].[AñoMes]",
"[Calendario].[AñoMes].&amp;[" &amp; TEXT(AY$6,"yyyymm")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Z87" s="8">
        <f>IFERROR(
GETPIVOTDATA(
"[BASE_CONVE_PPTO].[Importe]",
TDinamica_P!$A$5,
"[BASE_CONVE_PPTO].[Periodo]",
"[BASE_CONVE_PPTO].[Periodo].&amp;[" &amp; TEXT(AZ$6,"yyyymm")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-20.6049857555</v>
      </c>
      <c r="BA87" s="8">
        <f>IFERROR(
GETPIVOTDATA(
"[BASE_CONVE_PPTO].[Importe]",
TDinamica_P!$A$5,
"[BASE_CONVE_PPTO].[Periodo]",
"[BASE_CONVE_PPTO].[Periodo].&amp;[" &amp; TEXT(BA$6,"yyyymm")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-20.572688722999999</v>
      </c>
      <c r="BB87" s="8">
        <f>IFERROR(
GETPIVOTDATA(
"[BASE_CONVE_PPTO].[Importe]",
TDinamica_P!$A$5,
"[BASE_CONVE_PPTO].[Periodo]",
"[BASE_CONVE_PPTO].[Periodo].&amp;[" &amp; TEXT(BB$6,"yyyymm")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-22.463241117199999</v>
      </c>
      <c r="BC87" s="8">
        <f>IFERROR(
GETPIVOTDATA(
"[BASE_CONVE_PPTO].[Importe]",
TDinamica_P!$A$5,
"[BASE_CONVE_PPTO].[Periodo]",
"[BASE_CONVE_PPTO].[Periodo].&amp;[" &amp; TEXT(BC$6,"yyyymm")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-24.092811357000002</v>
      </c>
      <c r="BD87" s="8">
        <f>IFERROR(
GETPIVOTDATA(
"[BASE_CONVE_PPTO].[Importe]",
TDinamica_P!$A$5,
"[BASE_CONVE_PPTO].[Periodo]",
"[BASE_CONVE_PPTO].[Periodo].&amp;[" &amp; TEXT(BD$6,"yyyymm")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-25.234177944700001</v>
      </c>
      <c r="BE87" s="8">
        <f>IFERROR(
GETPIVOTDATA(
"[BASE_CONVE_PPTO].[Importe]",
TDinamica_P!$A$5,
"[BASE_CONVE_PPTO].[Periodo]",
"[BASE_CONVE_PPTO].[Periodo].&amp;[" &amp; TEXT(BE$6,"yyyymm")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-25.1995053152</v>
      </c>
      <c r="BF87" s="8">
        <f>IFERROR(
GETPIVOTDATA(
"[BASE_CONVE_PPTO].[Importe]",
TDinamica_P!$A$5,
"[BASE_CONVE_PPTO].[Periodo]",
"[BASE_CONVE_PPTO].[Periodo].&amp;[" &amp; TEXT(BF$6,"yyyymm")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-22.427825108599997</v>
      </c>
      <c r="BG87" s="8">
        <f>IFERROR(
GETPIVOTDATA(
"[BASE_CONVE_PPTO].[Importe]",
TDinamica_P!$A$5,
"[BASE_CONVE_PPTO].[Periodo]",
"[BASE_CONVE_PPTO].[Periodo].&amp;[" &amp; TEXT(BG$6,"yyyymm")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-21.938197317499998</v>
      </c>
      <c r="BH87" s="8">
        <f>IFERROR(
GETPIVOTDATA(
"[BASE_CONVE_PPTO].[Importe]",
TDinamica_P!$A$5,
"[BASE_CONVE_PPTO].[Periodo]",
"[BASE_CONVE_PPTO].[Periodo].&amp;[" &amp; TEXT(BH$6,"yyyymm")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-21.8729752154</v>
      </c>
      <c r="BI87" s="8">
        <f>IFERROR(
GETPIVOTDATA(
"[BASE_CONVE_PPTO].[Importe]",
TDinamica_P!$A$5,
"[BASE_CONVE_PPTO].[Periodo]",
"[BASE_CONVE_PPTO].[Periodo].&amp;[" &amp; TEXT(BI$6,"yyyymm")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-22.132428400099997</v>
      </c>
      <c r="BJ87" s="8">
        <f>IFERROR(
GETPIVOTDATA(
"[BASE_CONVE_PPTO].[Importe]",
TDinamica_P!$A$5,
"[BASE_CONVE_PPTO].[Periodo]",
"[BASE_CONVE_PPTO].[Periodo].&amp;[" &amp; TEXT(BJ$6,"yyyymm")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-19.835509831300001</v>
      </c>
      <c r="BK87" s="8">
        <f>IFERROR(
GETPIVOTDATA(
"[BASE_CONVE_PPTO].[Importe]",
TDinamica_P!$A$5,
"[BASE_CONVE_PPTO].[Periodo]",
"[BASE_CONVE_PPTO].[Periodo].&amp;[" &amp; TEXT(BK$6,"yyyymm")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-18.842528403399999</v>
      </c>
      <c r="BO87" s="24">
        <f t="shared" si="203"/>
        <v>-78.453739893900007</v>
      </c>
      <c r="BP87" s="24">
        <f t="shared" si="203"/>
        <v>-112.96790489739999</v>
      </c>
      <c r="BQ87" s="24">
        <f t="shared" si="203"/>
        <v>-62.698357737300007</v>
      </c>
      <c r="BR87" s="24">
        <f t="shared" si="203"/>
        <v>-93.098861795200008</v>
      </c>
      <c r="BS87" s="24">
        <f t="shared" si="203"/>
        <v>-97.959871895900008</v>
      </c>
      <c r="BT87" s="24">
        <f t="shared" si="203"/>
        <v>-72.037452782000003</v>
      </c>
    </row>
    <row r="88" spans="1:72" outlineLevel="1" x14ac:dyDescent="0.25">
      <c r="A88" s="11" t="s">
        <v>75</v>
      </c>
      <c r="C88" s="2" t="s">
        <v>79</v>
      </c>
      <c r="D88" s="8">
        <f>IFERROR(
GETPIVOTDATA(
"[Base].[Importe]",
TDinamica_R!$A$5,
"[Calendario].[AñoMes]",
"[Calendario].[AñoMes].&amp;[" &amp; TEXT(D$6,"yyyymm") &amp; "]",
"[Base].[Metrica]",
"[Base].[Metrica].&amp;[" &amp; $A88 &amp; "]",
"[Base].[SEGMENTO_DESCRIP]",
"[Base].[SEGMENTO_DESCRIP].&amp;[" &amp; $C$6 &amp; "]",
"[Base].[SITUACION]",
"[Base].[SITUACION].&amp;[" &amp; $C88 &amp; "]"
),0)/1000</f>
        <v>-16.6145003906</v>
      </c>
      <c r="E88" s="8">
        <f>IFERROR(
GETPIVOTDATA(
"[Base].[Importe]",
TDinamica_R!$A$5,
"[Calendario].[AñoMes]",
"[Calendario].[AñoMes].&amp;[" &amp; TEXT(E$6,"yyyymm") &amp; "]",
"[Base].[Metrica]",
"[Base].[Metrica].&amp;[" &amp; $A88 &amp; "]",
"[Base].[SEGMENTO_DESCRIP]",
"[Base].[SEGMENTO_DESCRIP].&amp;[" &amp; $C$6 &amp; "]",
"[Base].[SITUACION]",
"[Base].[SITUACION].&amp;[" &amp; $C88 &amp; "]"
),0)/1000</f>
        <v>-17.382921352999997</v>
      </c>
      <c r="F88" s="8">
        <f>IFERROR(
GETPIVOTDATA(
"[Base].[Importe]",
TDinamica_R!$A$5,
"[Calendario].[AñoMes]",
"[Calendario].[AñoMes].&amp;[" &amp; TEXT(F$6,"yyyymm") &amp; "]",
"[Base].[Metrica]",
"[Base].[Metrica].&amp;[" &amp; $A88 &amp; "]",
"[Base].[SEGMENTO_DESCRIP]",
"[Base].[SEGMENTO_DESCRIP].&amp;[" &amp; $C$6 &amp; "]",
"[Base].[SITUACION]",
"[Base].[SITUACION].&amp;[" &amp; $C88 &amp; "]"
),0)/1000</f>
        <v>-15.9524502545</v>
      </c>
      <c r="G88" s="8">
        <f>IFERROR(
GETPIVOTDATA(
"[Base].[Importe]",
TDinamica_R!$A$5,
"[Calendario].[AñoMes]",
"[Calendario].[AñoMes].&amp;[" &amp; TEXT(G$6,"yyyymm") &amp; "]",
"[Base].[Metrica]",
"[Base].[Metrica].&amp;[" &amp; $A88 &amp; "]",
"[Base].[SEGMENTO_DESCRIP]",
"[Base].[SEGMENTO_DESCRIP].&amp;[" &amp; $C$6 &amp; "]",
"[Base].[SITUACION]",
"[Base].[SITUACION].&amp;[" &amp; $C88 &amp; "]"
),0)/1000</f>
        <v>-17.9069365794</v>
      </c>
      <c r="H88" s="8">
        <f>IFERROR(
GETPIVOTDATA(
"[Base].[Importe]",
TDinamica_R!$A$5,
"[Calendario].[AñoMes]",
"[Calendario].[AñoMes].&amp;[" &amp; TEXT(H$6,"yyyymm") &amp; "]",
"[Base].[Metrica]",
"[Base].[Metrica].&amp;[" &amp; $A88 &amp; "]",
"[Base].[SEGMENTO_DESCRIP]",
"[Base].[SEGMENTO_DESCRIP].&amp;[" &amp; $C$6 &amp; "]",
"[Base].[SITUACION]",
"[Base].[SITUACION].&amp;[" &amp; $C88 &amp; "]"
),0)/1000</f>
        <v>-16.766218996799999</v>
      </c>
      <c r="I88" s="8">
        <f>IFERROR(
GETPIVOTDATA(
"[Base].[Importe]",
TDinamica_R!$A$5,
"[Calendario].[AñoMes]",
"[Calendario].[AñoMes].&amp;[" &amp; TEXT(I$6,"yyyymm") &amp; "]",
"[Base].[Metrica]",
"[Base].[Metrica].&amp;[" &amp; $A88 &amp; "]",
"[Base].[SEGMENTO_DESCRIP]",
"[Base].[SEGMENTO_DESCRIP].&amp;[" &amp; $C$6 &amp; "]",
"[Base].[SITUACION]",
"[Base].[SITUACION].&amp;[" &amp; $C88 &amp; "]"
),0)/1000</f>
        <v>-15.947302473100001</v>
      </c>
      <c r="J88" s="8">
        <f>IFERROR(
GETPIVOTDATA(
"[Base].[Importe]",
TDinamica_R!$A$5,
"[Calendario].[AñoMes]",
"[Calendario].[AñoMes].&amp;[" &amp; TEXT(J$6,"yyyymm") &amp; "]",
"[Base].[Metrica]",
"[Base].[Metrica].&amp;[" &amp; $A88 &amp; "]",
"[Base].[SEGMENTO_DESCRIP]",
"[Base].[SEGMENTO_DESCRIP].&amp;[" &amp; $C$6 &amp; "]",
"[Base].[SITUACION]",
"[Base].[SITUACION].&amp;[" &amp; $C88 &amp; "]"
),0)/1000</f>
        <v>-16.943348302699999</v>
      </c>
      <c r="K88" s="8">
        <f>IFERROR(
GETPIVOTDATA(
"[Base].[Importe]",
TDinamica_R!$A$5,
"[Calendario].[AñoMes]",
"[Calendario].[AñoMes].&amp;[" &amp; TEXT(K$6,"yyyymm") &amp; "]",
"[Base].[Metrica]",
"[Base].[Metrica].&amp;[" &amp; $A88 &amp; "]",
"[Base].[SEGMENTO_DESCRIP]",
"[Base].[SEGMENTO_DESCRIP].&amp;[" &amp; $C$6 &amp; "]",
"[Base].[SITUACION]",
"[Base].[SITUACION].&amp;[" &amp; $C88 &amp; "]"
),0)/1000</f>
        <v>-15.432306515900001</v>
      </c>
      <c r="L88" s="8">
        <f>IFERROR(
GETPIVOTDATA(
"[Base].[Importe]",
TDinamica_R!$A$5,
"[Calendario].[AñoMes]",
"[Calendario].[AñoMes].&amp;[" &amp; TEXT(L$6,"yyyymm") &amp; "]",
"[Base].[Metrica]",
"[Base].[Metrica].&amp;[" &amp; $A88 &amp; "]",
"[Base].[SEGMENTO_DESCRIP]",
"[Base].[SEGMENTO_DESCRIP].&amp;[" &amp; $C$6 &amp; "]",
"[Base].[SITUACION]",
"[Base].[SITUACION].&amp;[" &amp; $C88 &amp; "]"
),0)/1000</f>
        <v>-17.282944894899998</v>
      </c>
      <c r="M88" s="8">
        <f>IFERROR(
GETPIVOTDATA(
"[Base].[Importe]",
TDinamica_R!$A$5,
"[Calendario].[AñoMes]",
"[Calendario].[AñoMes].&amp;[" &amp; TEXT(M$6,"yyyymm") &amp; "]",
"[Base].[Metrica]",
"[Base].[Metrica].&amp;[" &amp; $A88 &amp; "]",
"[Base].[SEGMENTO_DESCRIP]",
"[Base].[SEGMENTO_DESCRIP].&amp;[" &amp; $C$6 &amp; "]",
"[Base].[SITUACION]",
"[Base].[SITUACION].&amp;[" &amp; $C88 &amp; "]"
),0)/1000</f>
        <v>-16.5148738995</v>
      </c>
      <c r="N88" s="8">
        <f>IFERROR(
GETPIVOTDATA(
"[Base].[Importe]",
TDinamica_R!$A$5,
"[Calendario].[AñoMes]",
"[Calendario].[AñoMes].&amp;[" &amp; TEXT(N$6,"yyyymm") &amp; "]",
"[Base].[Metrica]",
"[Base].[Metrica].&amp;[" &amp; $A88 &amp; "]",
"[Base].[SEGMENTO_DESCRIP]",
"[Base].[SEGMENTO_DESCRIP].&amp;[" &amp; $C$6 &amp; "]",
"[Base].[SITUACION]",
"[Base].[SITUACION].&amp;[" &amp; $C88 &amp; "]"
),0)/1000</f>
        <v>-18.927725825900001</v>
      </c>
      <c r="O88" s="8">
        <f>IFERROR(
GETPIVOTDATA(
"[Base].[Importe]",
TDinamica_R!$A$5,
"[Calendario].[AñoMes]",
"[Calendario].[AñoMes].&amp;[" &amp; TEXT(O$6,"yyyymm") &amp; "]",
"[Base].[Metrica]",
"[Base].[Metrica].&amp;[" &amp; $A88 &amp; "]",
"[Base].[SEGMENTO_DESCRIP]",
"[Base].[SEGMENTO_DESCRIP].&amp;[" &amp; $C$6 &amp; "]",
"[Base].[SITUACION]",
"[Base].[SITUACION].&amp;[" &amp; $C88 &amp; "]"
),0)/1000</f>
        <v>-16.2386845274</v>
      </c>
      <c r="P88" s="8">
        <f>IFERROR(
GETPIVOTDATA(
"[Base].[Importe]",
TDinamica_R!$A$5,
"[Calendario].[AñoMes]",
"[Calendario].[AñoMes].&amp;[" &amp; TEXT(P$6,"yyyymm") &amp; "]",
"[Base].[Metrica]",
"[Base].[Metrica].&amp;[" &amp; $A88 &amp; "]",
"[Base].[SEGMENTO_DESCRIP]",
"[Base].[SEGMENTO_DESCRIP].&amp;[" &amp; $C$6 &amp; "]",
"[Base].[SITUACION]",
"[Base].[SITUACION].&amp;[" &amp; $C88 &amp; "]"
),0)/1000</f>
        <v>-17.457628538999998</v>
      </c>
      <c r="Q88" s="8">
        <f>IFERROR(
GETPIVOTDATA(
"[Base].[Importe]",
TDinamica_R!$A$5,
"[Calendario].[AñoMes]",
"[Calendario].[AñoMes].&amp;[" &amp; TEXT(Q$6,"yyyymm") &amp; "]",
"[Base].[Metrica]",
"[Base].[Metrica].&amp;[" &amp; $A88 &amp; "]",
"[Base].[SEGMENTO_DESCRIP]",
"[Base].[SEGMENTO_DESCRIP].&amp;[" &amp; $C$6 &amp; "]",
"[Base].[SITUACION]",
"[Base].[SITUACION].&amp;[" &amp; $C88 &amp; "]"
),0)/1000</f>
        <v>-18.137211291700002</v>
      </c>
      <c r="R88" s="8">
        <f>IFERROR(
GETPIVOTDATA(
"[Base].[Importe]",
TDinamica_R!$A$5,
"[Calendario].[AñoMes]",
"[Calendario].[AñoMes].&amp;[" &amp; TEXT(R$6,"yyyymm") &amp; "]",
"[Base].[Metrica]",
"[Base].[Metrica].&amp;[" &amp; $A88 &amp; "]",
"[Base].[SEGMENTO_DESCRIP]",
"[Base].[SEGMENTO_DESCRIP].&amp;[" &amp; $C$6 &amp; "]",
"[Base].[SITUACION]",
"[Base].[SITUACION].&amp;[" &amp; $C88 &amp; "]"
),0)/1000</f>
        <v>-16.513455453399999</v>
      </c>
      <c r="S88" s="8">
        <f>IFERROR(
GETPIVOTDATA(
"[Base].[Importe]",
TDinamica_R!$A$5,
"[Calendario].[AñoMes]",
"[Calendario].[AñoMes].&amp;[" &amp; TEXT(S$6,"yyyymm") &amp; "]",
"[Base].[Metrica]",
"[Base].[Metrica].&amp;[" &amp; $A88 &amp; "]",
"[Base].[SEGMENTO_DESCRIP]",
"[Base].[SEGMENTO_DESCRIP].&amp;[" &amp; $C$6 &amp; "]",
"[Base].[SITUACION]",
"[Base].[SITUACION].&amp;[" &amp; $C88 &amp; "]"
),0)/1000</f>
        <v>-18.8013776797</v>
      </c>
      <c r="T88" s="8">
        <f>IFERROR(
GETPIVOTDATA(
"[Base].[Importe]",
TDinamica_R!$A$5,
"[Calendario].[AñoMes]",
"[Calendario].[AñoMes].&amp;[" &amp; TEXT(T$6,"yyyymm") &amp; "]",
"[Base].[Metrica]",
"[Base].[Metrica].&amp;[" &amp; $A88 &amp; "]",
"[Base].[SEGMENTO_DESCRIP]",
"[Base].[SEGMENTO_DESCRIP].&amp;[" &amp; $C$6 &amp; "]",
"[Base].[SITUACION]",
"[Base].[SITUACION].&amp;[" &amp; $C88 &amp; "]"
),0)/1000</f>
        <v>-21.117276714500001</v>
      </c>
      <c r="U88" s="8">
        <f>IFERROR(
GETPIVOTDATA(
"[Base].[Importe]",
TDinamica_R!$A$5,
"[Calendario].[AñoMes]",
"[Calendario].[AñoMes].&amp;[" &amp; TEXT(U$6,"yyyymm") &amp; "]",
"[Base].[Metrica]",
"[Base].[Metrica].&amp;[" &amp; $A88 &amp; "]",
"[Base].[SEGMENTO_DESCRIP]",
"[Base].[SEGMENTO_DESCRIP].&amp;[" &amp; $C$6 &amp; "]",
"[Base].[SITUACION]",
"[Base].[SITUACION].&amp;[" &amp; $C88 &amp; "]"
),0)/1000</f>
        <v>-24.189849835</v>
      </c>
      <c r="V88" s="8">
        <f>IFERROR(
GETPIVOTDATA(
"[Base].[Importe]",
TDinamica_R!$A$5,
"[Calendario].[AñoMes]",
"[Calendario].[AñoMes].&amp;[" &amp; TEXT(V$6,"yyyymm") &amp; "]",
"[Base].[Metrica]",
"[Base].[Metrica].&amp;[" &amp; $A88 &amp; "]",
"[Base].[SEGMENTO_DESCRIP]",
"[Base].[SEGMENTO_DESCRIP].&amp;[" &amp; $C$6 &amp; "]",
"[Base].[SITUACION]",
"[Base].[SITUACION].&amp;[" &amp; $C88 &amp; "]"
),0)/1000</f>
        <v>-23.408357022499999</v>
      </c>
      <c r="W88" s="8">
        <f>IFERROR(
GETPIVOTDATA(
"[Base].[Importe]",
TDinamica_R!$A$5,
"[Calendario].[AñoMes]",
"[Calendario].[AñoMes].&amp;[" &amp; TEXT(W$6,"yyyymm") &amp; "]",
"[Base].[Metrica]",
"[Base].[Metrica].&amp;[" &amp; $A88 &amp; "]",
"[Base].[SEGMENTO_DESCRIP]",
"[Base].[SEGMENTO_DESCRIP].&amp;[" &amp; $C$6 &amp; "]",
"[Base].[SITUACION]",
"[Base].[SITUACION].&amp;[" &amp; $C88 &amp; "]"
),0)/1000</f>
        <v>-21.237086574100001</v>
      </c>
      <c r="X88" s="8">
        <f>IFERROR(
GETPIVOTDATA(
"[Base].[Importe]",
TDinamica_R!$A$5,
"[Calendario].[AñoMes]",
"[Calendario].[AñoMes].&amp;[" &amp; TEXT(X$6,"yyyymm") &amp; "]",
"[Base].[Metrica]",
"[Base].[Metrica].&amp;[" &amp; $A88 &amp; "]",
"[Base].[SEGMENTO_DESCRIP]",
"[Base].[SEGMENTO_DESCRIP].&amp;[" &amp; $C$6 &amp; "]",
"[Base].[SITUACION]",
"[Base].[SITUACION].&amp;[" &amp; $C88 &amp; "]"
),0)/1000</f>
        <v>-20.297139793700001</v>
      </c>
      <c r="Y88" s="8">
        <f>IFERROR(
GETPIVOTDATA(
"[Base].[Importe]",
TDinamica_R!$A$5,
"[Calendario].[AñoMes]",
"[Calendario].[AñoMes].&amp;[" &amp; TEXT(Y$6,"yyyymm") &amp; "]",
"[Base].[Metrica]",
"[Base].[Metrica].&amp;[" &amp; $A88 &amp; "]",
"[Base].[SEGMENTO_DESCRIP]",
"[Base].[SEGMENTO_DESCRIP].&amp;[" &amp; $C$6 &amp; "]",
"[Base].[SITUACION]",
"[Base].[SITUACION].&amp;[" &amp; $C88 &amp; "]"
),0)/1000</f>
        <v>-20.1213579321</v>
      </c>
      <c r="Z88" s="8">
        <f>IFERROR(
GETPIVOTDATA(
"[Base].[Importe]",
TDinamica_R!$A$5,
"[Calendario].[AñoMes]",
"[Calendario].[AñoMes].&amp;[" &amp; TEXT(Z$6,"yyyymm") &amp; "]",
"[Base].[Metrica]",
"[Base].[Metrica].&amp;[" &amp; $A88 &amp; "]",
"[Base].[SEGMENTO_DESCRIP]",
"[Base].[SEGMENTO_DESCRIP].&amp;[" &amp; $C$6 &amp; "]",
"[Base].[SITUACION]",
"[Base].[SITUACION].&amp;[" &amp; $C88 &amp; "]"
),0)/1000</f>
        <v>-19.536406587400002</v>
      </c>
      <c r="AA88" s="8">
        <f>IFERROR(
GETPIVOTDATA(
"[Base].[Importe]",
TDinamica_R!$A$5,
"[Calendario].[AñoMes]",
"[Calendario].[AñoMes].&amp;[" &amp; TEXT(AA$6,"yyyymm") &amp; "]",
"[Base].[Metrica]",
"[Base].[Metrica].&amp;[" &amp; $A88 &amp; "]",
"[Base].[SEGMENTO_DESCRIP]",
"[Base].[SEGMENTO_DESCRIP].&amp;[" &amp; $C$6 &amp; "]",
"[Base].[SITUACION]",
"[Base].[SITUACION].&amp;[" &amp; $C88 &amp; "]"
),0)/1000</f>
        <v>-19.365328034299999</v>
      </c>
      <c r="AB88" s="8">
        <f>IFERROR(
GETPIVOTDATA(
"[Base].[Importe]",
TDinamica_R!$A$5,
"[Calendario].[AñoMes]",
"[Calendario].[AñoMes].&amp;[" &amp; TEXT(AB$6,"yyyymm") &amp; "]",
"[Base].[Metrica]",
"[Base].[Metrica].&amp;[" &amp; $A88 &amp; "]",
"[Base].[SEGMENTO_DESCRIP]",
"[Base].[SEGMENTO_DESCRIP].&amp;[" &amp; $C$6 &amp; "]",
"[Base].[SITUACION]",
"[Base].[SITUACION].&amp;[" &amp; $C88 &amp; "]"
),0)/1000</f>
        <v>-23.268668933500003</v>
      </c>
      <c r="AC88" s="8">
        <f>IFERROR(
GETPIVOTDATA(
"[Base].[Importe]",
TDinamica_R!$A$5,
"[Calendario].[AñoMes]",
"[Calendario].[AñoMes].&amp;[" &amp; TEXT(AC$6,"yyyymm") &amp; "]",
"[Base].[Metrica]",
"[Base].[Metrica].&amp;[" &amp; $A88 &amp; "]",
"[Base].[SEGMENTO_DESCRIP]",
"[Base].[SEGMENTO_DESCRIP].&amp;[" &amp; $C$6 &amp; "]",
"[Base].[SITUACION]",
"[Base].[SITUACION].&amp;[" &amp; $C88 &amp; "]"
),0)/1000</f>
        <v>-19.110545817400002</v>
      </c>
      <c r="AD88" s="8">
        <f>IFERROR(
GETPIVOTDATA(
"[Base].[Importe]",
TDinamica_R!$A$5,
"[Calendario].[AñoMes]",
"[Calendario].[AñoMes].&amp;[" &amp; TEXT(AD$6,"yyyymm") &amp; "]",
"[Base].[Metrica]",
"[Base].[Metrica].&amp;[" &amp; $A88 &amp; "]",
"[Base].[SEGMENTO_DESCRIP]",
"[Base].[SEGMENTO_DESCRIP].&amp;[" &amp; $C$6 &amp; "]",
"[Base].[SITUACION]",
"[Base].[SITUACION].&amp;[" &amp; $C88 &amp; "]"
),0)/1000</f>
        <v>-20.9374401388</v>
      </c>
      <c r="AE88" s="8">
        <f>IFERROR(
GETPIVOTDATA(
"[Base].[Importe]",
TDinamica_R!$A$5,
"[Calendario].[AñoMes]",
"[Calendario].[AñoMes].&amp;[" &amp; TEXT(AE$6,"yyyymm") &amp; "]",
"[Base].[Metrica]",
"[Base].[Metrica].&amp;[" &amp; $A88 &amp; "]",
"[Base].[SEGMENTO_DESCRIP]",
"[Base].[SEGMENTO_DESCRIP].&amp;[" &amp; $C$6 &amp; "]",
"[Base].[SITUACION]",
"[Base].[SITUACION].&amp;[" &amp; $C88 &amp; "]"
),0)/1000</f>
        <v>-19.6637324131</v>
      </c>
      <c r="AF88" s="8">
        <f>IFERROR(
GETPIVOTDATA(
"[Base].[Importe]",
TDinamica_R!$A$5,
"[Calendario].[AñoMes]",
"[Calendario].[AñoMes].&amp;[" &amp; TEXT(AF$6,"yyyymm") &amp; "]",
"[Base].[Metrica]",
"[Base].[Metrica].&amp;[" &amp; $A88 &amp; "]",
"[Base].[SEGMENTO_DESCRIP]",
"[Base].[SEGMENTO_DESCRIP].&amp;[" &amp; $C$6 &amp; "]",
"[Base].[SITUACION]",
"[Base].[SITUACION].&amp;[" &amp; $C88 &amp; "]"
),0)/1000</f>
        <v>-22.411858440000003</v>
      </c>
      <c r="AG88" s="8">
        <f>IFERROR(
GETPIVOTDATA(
"[Base].[Importe]",
TDinamica_R!$A$5,
"[Calendario].[AñoMes]",
"[Calendario].[AñoMes].&amp;[" &amp; TEXT(AG$6,"yyyymm") &amp; "]",
"[Base].[Metrica]",
"[Base].[Metrica].&amp;[" &amp; $A88 &amp; "]",
"[Base].[SEGMENTO_DESCRIP]",
"[Base].[SEGMENTO_DESCRIP].&amp;[" &amp; $C$6 &amp; "]",
"[Base].[SITUACION]",
"[Base].[SITUACION].&amp;[" &amp; $C88 &amp; "]"
),0)/1000</f>
        <v>-22.413205904599998</v>
      </c>
      <c r="AH88" s="8">
        <f>IFERROR(
GETPIVOTDATA(
"[Base].[Importe]",
TDinamica_R!$A$5,
"[Calendario].[AñoMes]",
"[Calendario].[AñoMes].&amp;[" &amp; TEXT(AH$6,"yyyymm") &amp; "]",
"[Base].[Metrica]",
"[Base].[Metrica].&amp;[" &amp; $A88 &amp; "]",
"[Base].[SEGMENTO_DESCRIP]",
"[Base].[SEGMENTO_DESCRIP].&amp;[" &amp; $C$6 &amp; "]",
"[Base].[SITUACION]",
"[Base].[SITUACION].&amp;[" &amp; $C88 &amp; "]"
),0)/1000</f>
        <v>-21.5011092642</v>
      </c>
      <c r="AI88" s="8">
        <f>IFERROR(
GETPIVOTDATA(
"[Base].[Importe]",
TDinamica_R!$A$5,
"[Calendario].[AñoMes]",
"[Calendario].[AñoMes].&amp;[" &amp; TEXT(AI$6,"yyyymm") &amp; "]",
"[Base].[Metrica]",
"[Base].[Metrica].&amp;[" &amp; $A88 &amp; "]",
"[Base].[SEGMENTO_DESCRIP]",
"[Base].[SEGMENTO_DESCRIP].&amp;[" &amp; $C$6 &amp; "]",
"[Base].[SITUACION]",
"[Base].[SITUACION].&amp;[" &amp; $C88 &amp; "]"
),0)/1000</f>
        <v>-21.6965190164</v>
      </c>
      <c r="AJ88" s="8">
        <f>IFERROR(
GETPIVOTDATA(
"[Base].[Importe]",
TDinamica_R!$A$5,
"[Calendario].[AñoMes]",
"[Calendario].[AñoMes].&amp;[" &amp; TEXT(AJ$6,"yyyymm") &amp; "]",
"[Base].[Metrica]",
"[Base].[Metrica].&amp;[" &amp; $A88 &amp; "]",
"[Base].[SEGMENTO_DESCRIP]",
"[Base].[SEGMENTO_DESCRIP].&amp;[" &amp; $C$6 &amp; "]",
"[Base].[SITUACION]",
"[Base].[SITUACION].&amp;[" &amp; $C88 &amp; "]"
),0)/1000</f>
        <v>-22.3231639268</v>
      </c>
      <c r="AK88" s="8">
        <f>IFERROR(
GETPIVOTDATA(
"[Base].[Importe]",
TDinamica_R!$A$5,
"[Calendario].[AñoMes]",
"[Calendario].[AñoMes].&amp;[" &amp; TEXT(AK$6,"yyyymm") &amp; "]",
"[Base].[Metrica]",
"[Base].[Metrica].&amp;[" &amp; $A88 &amp; "]",
"[Base].[SEGMENTO_DESCRIP]",
"[Base].[SEGMENTO_DESCRIP].&amp;[" &amp; $C$6 &amp; "]",
"[Base].[SITUACION]",
"[Base].[SITUACION].&amp;[" &amp; $C88 &amp; "]"
),0)/1000</f>
        <v>-20.616855425400001</v>
      </c>
      <c r="AL88" s="8">
        <f>IFERROR(
GETPIVOTDATA(
"[Base].[Importe]",
TDinamica_R!$A$5,
"[Calendario].[AñoMes]",
"[Calendario].[AñoMes].&amp;[" &amp; TEXT(AL$6,"yyyymm") &amp; "]",
"[Base].[Metrica]",
"[Base].[Metrica].&amp;[" &amp; $A88 &amp; "]",
"[Base].[SEGMENTO_DESCRIP]",
"[Base].[SEGMENTO_DESCRIP].&amp;[" &amp; $C$6 &amp; "]",
"[Base].[SITUACION]",
"[Base].[SITUACION].&amp;[" &amp; $C88 &amp; "]"
),0)/1000</f>
        <v>-24.970025470299994</v>
      </c>
      <c r="AM88" s="8">
        <f>IFERROR(
GETPIVOTDATA(
"[Base].[Importe]",
TDinamica_R!$A$5,
"[Calendario].[AñoMes]",
"[Calendario].[AñoMes].&amp;[" &amp; TEXT(AM$6,"yyyymm") &amp; "]",
"[Base].[Metrica]",
"[Base].[Metrica].&amp;[" &amp; $A88 &amp; "]",
"[Base].[SEGMENTO_DESCRIP]",
"[Base].[SEGMENTO_DESCRIP].&amp;[" &amp; $C$6 &amp; "]",
"[Base].[SITUACION]",
"[Base].[SITUACION].&amp;[" &amp; $C88 &amp; "]"
),0)/1000</f>
        <v>-21.0647329562</v>
      </c>
      <c r="AN88" s="8">
        <f>IFERROR(
GETPIVOTDATA(
"[Base].[Importe]",
TDinamica_R!$A$5,
"[Calendario].[AñoMes]",
"[Calendario].[AñoMes].&amp;[" &amp; TEXT(AN$6,"yyyymm") &amp; "]",
"[Base].[Metrica]",
"[Base].[Metrica].&amp;[" &amp; $A88 &amp; "]",
"[Base].[SEGMENTO_DESCRIP]",
"[Base].[SEGMENTO_DESCRIP].&amp;[" &amp; $C$6 &amp; "]",
"[Base].[SITUACION]",
"[Base].[SITUACION].&amp;[" &amp; $C88 &amp; "]"
),0)/1000</f>
        <v>-26.6126177543</v>
      </c>
      <c r="AO88" s="8">
        <f>IFERROR(
GETPIVOTDATA(
"[Base].[Importe]",
TDinamica_R!$A$5,
"[Calendario].[AñoMes]",
"[Calendario].[AñoMes].&amp;[" &amp; TEXT(AO$6,"yyyymm") &amp; "]",
"[Base].[Metrica]",
"[Base].[Metrica].&amp;[" &amp; $A88 &amp; "]",
"[Base].[SEGMENTO_DESCRIP]",
"[Base].[SEGMENTO_DESCRIP].&amp;[" &amp; $C$6 &amp; "]",
"[Base].[SITUACION]",
"[Base].[SITUACION].&amp;[" &amp; $C88 &amp; "]"
),0)/1000</f>
        <v>-23.136296557999998</v>
      </c>
      <c r="AP88" s="8">
        <f>IFERROR(
GETPIVOTDATA(
"[Base].[Importe]",
TDinamica_R!$A$5,
"[Calendario].[AñoMes]",
"[Calendario].[AñoMes].&amp;[" &amp; TEXT(AP$6,"yyyymm") &amp; "]",
"[Base].[Metrica]",
"[Base].[Metrica].&amp;[" &amp; $A88 &amp; "]",
"[Base].[SEGMENTO_DESCRIP]",
"[Base].[SEGMENTO_DESCRIP].&amp;[" &amp; $C$6 &amp; "]",
"[Base].[SITUACION]",
"[Base].[SITUACION].&amp;[" &amp; $C88 &amp; "]"
),0)/1000</f>
        <v>-25.842838301100006</v>
      </c>
      <c r="AQ88" s="8">
        <f>IFERROR(
GETPIVOTDATA(
"[Base].[Importe]",
TDinamica_R!$A$5,
"[Calendario].[AñoMes]",
"[Calendario].[AñoMes].&amp;[" &amp; TEXT(AQ$6,"yyyymm") &amp; "]",
"[Base].[Metrica]",
"[Base].[Metrica].&amp;[" &amp; $A88 &amp; "]",
"[Base].[SEGMENTO_DESCRIP]",
"[Base].[SEGMENTO_DESCRIP].&amp;[" &amp; $C$6 &amp; "]",
"[Base].[SITUACION]",
"[Base].[SITUACION].&amp;[" &amp; $C88 &amp; "]"
),0)/1000</f>
        <v>-26.302302120500002</v>
      </c>
      <c r="AR88" s="8">
        <f>IFERROR(
GETPIVOTDATA(
"[Base].[Importe]",
TDinamica_R!$A$5,
"[Calendario].[AñoMes]",
"[Calendario].[AñoMes].&amp;[" &amp; TEXT(AR$6,"yyyymm") &amp; "]",
"[Base].[Metrica]",
"[Base].[Metrica].&amp;[" &amp; $A88 &amp; "]",
"[Base].[SEGMENTO_DESCRIP]",
"[Base].[SEGMENTO_DESCRIP].&amp;[" &amp; $C$6 &amp; "]",
"[Base].[SITUACION]",
"[Base].[SITUACION].&amp;[" &amp; $C88 &amp; "]"
),0)/1000</f>
        <v>-23.053675892499999</v>
      </c>
      <c r="AS88" s="8">
        <f>IFERROR(
GETPIVOTDATA(
"[Base].[Importe]",
TDinamica_R!$A$5,
"[Calendario].[AñoMes]",
"[Calendario].[AñoMes].&amp;[" &amp; TEXT(AS$6,"yyyymm") &amp; "]",
"[Base].[Metrica]",
"[Base].[Metrica].&amp;[" &amp; $A88 &amp; "]",
"[Base].[SEGMENTO_DESCRIP]",
"[Base].[SEGMENTO_DESCRIP].&amp;[" &amp; $C$6 &amp; "]",
"[Base].[SITUACION]",
"[Base].[SITUACION].&amp;[" &amp; $C88 &amp; "]"
),0)/1000</f>
        <v>-24.718344966899998</v>
      </c>
      <c r="AT88" s="8">
        <f>IFERROR(
GETPIVOTDATA(
"[Base].[Importe]",
TDinamica_R!$A$5,
"[Calendario].[AñoMes]",
"[Calendario].[AñoMes].&amp;[" &amp; TEXT(AT$6,"yyyymm")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U88" s="8">
        <f>IFERROR(
GETPIVOTDATA(
"[Base].[Importe]",
TDinamica_R!$A$5,
"[Calendario].[AñoMes]",
"[Calendario].[AñoMes].&amp;[" &amp; TEXT(AU$6,"yyyymm")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V88" s="8">
        <f>IFERROR(
GETPIVOTDATA(
"[Base].[Importe]",
TDinamica_R!$A$5,
"[Calendario].[AñoMes]",
"[Calendario].[AñoMes].&amp;[" &amp; TEXT(AV$6,"yyyymm")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W88" s="8">
        <f>IFERROR(
GETPIVOTDATA(
"[Base].[Importe]",
TDinamica_R!$A$5,
"[Calendario].[AñoMes]",
"[Calendario].[AñoMes].&amp;[" &amp; TEXT(AW$6,"yyyymm")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X88" s="8">
        <f>IFERROR(
GETPIVOTDATA(
"[Base].[Importe]",
TDinamica_R!$A$5,
"[Calendario].[AñoMes]",
"[Calendario].[AñoMes].&amp;[" &amp; TEXT(AX$6,"yyyymm")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Y88" s="8">
        <f>IFERROR(
GETPIVOTDATA(
"[Base].[Importe]",
TDinamica_R!$A$5,
"[Calendario].[AñoMes]",
"[Calendario].[AñoMes].&amp;[" &amp; TEXT(AY$6,"yyyymm")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Z88" s="8">
        <f>IFERROR(
GETPIVOTDATA(
"[BASE_CONVE_PPTO].[Importe]",
TDinamica_P!$A$5,
"[BASE_CONVE_PPTO].[Periodo]",
"[BASE_CONVE_PPTO].[Periodo].&amp;[" &amp; TEXT(AZ$6,"yyyymm")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-23.251703595799999</v>
      </c>
      <c r="BA88" s="8">
        <f>IFERROR(
GETPIVOTDATA(
"[BASE_CONVE_PPTO].[Importe]",
TDinamica_P!$A$5,
"[BASE_CONVE_PPTO].[Periodo]",
"[BASE_CONVE_PPTO].[Periodo].&amp;[" &amp; TEXT(BA$6,"yyyymm")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-25.256442239999998</v>
      </c>
      <c r="BB88" s="8">
        <f>IFERROR(
GETPIVOTDATA(
"[BASE_CONVE_PPTO].[Importe]",
TDinamica_P!$A$5,
"[BASE_CONVE_PPTO].[Periodo]",
"[BASE_CONVE_PPTO].[Periodo].&amp;[" &amp; TEXT(BB$6,"yyyymm")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-23.458593208300002</v>
      </c>
      <c r="BC88" s="8">
        <f>IFERROR(
GETPIVOTDATA(
"[BASE_CONVE_PPTO].[Importe]",
TDinamica_P!$A$5,
"[BASE_CONVE_PPTO].[Periodo]",
"[BASE_CONVE_PPTO].[Periodo].&amp;[" &amp; TEXT(BC$6,"yyyymm")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-23.773667860299998</v>
      </c>
      <c r="BD88" s="8">
        <f>IFERROR(
GETPIVOTDATA(
"[BASE_CONVE_PPTO].[Importe]",
TDinamica_P!$A$5,
"[BASE_CONVE_PPTO].[Periodo]",
"[BASE_CONVE_PPTO].[Periodo].&amp;[" &amp; TEXT(BD$6,"yyyymm")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-23.984488256699997</v>
      </c>
      <c r="BE88" s="8">
        <f>IFERROR(
GETPIVOTDATA(
"[BASE_CONVE_PPTO].[Importe]",
TDinamica_P!$A$5,
"[BASE_CONVE_PPTO].[Periodo]",
"[BASE_CONVE_PPTO].[Periodo].&amp;[" &amp; TEXT(BE$6,"yyyymm")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-25.059225253000001</v>
      </c>
      <c r="BF88" s="8">
        <f>IFERROR(
GETPIVOTDATA(
"[BASE_CONVE_PPTO].[Importe]",
TDinamica_P!$A$5,
"[BASE_CONVE_PPTO].[Periodo]",
"[BASE_CONVE_PPTO].[Periodo].&amp;[" &amp; TEXT(BF$6,"yyyymm")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-24.0872857321</v>
      </c>
      <c r="BG88" s="8">
        <f>IFERROR(
GETPIVOTDATA(
"[BASE_CONVE_PPTO].[Importe]",
TDinamica_P!$A$5,
"[BASE_CONVE_PPTO].[Periodo]",
"[BASE_CONVE_PPTO].[Periodo].&amp;[" &amp; TEXT(BG$6,"yyyymm")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-24.083563524199999</v>
      </c>
      <c r="BH88" s="8">
        <f>IFERROR(
GETPIVOTDATA(
"[BASE_CONVE_PPTO].[Importe]",
TDinamica_P!$A$5,
"[BASE_CONVE_PPTO].[Periodo]",
"[BASE_CONVE_PPTO].[Periodo].&amp;[" &amp; TEXT(BH$6,"yyyymm")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-25.4814879933</v>
      </c>
      <c r="BI88" s="8">
        <f>IFERROR(
GETPIVOTDATA(
"[BASE_CONVE_PPTO].[Importe]",
TDinamica_P!$A$5,
"[BASE_CONVE_PPTO].[Periodo]",
"[BASE_CONVE_PPTO].[Periodo].&amp;[" &amp; TEXT(BI$6,"yyyymm")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-24.557385633599999</v>
      </c>
      <c r="BJ88" s="8">
        <f>IFERROR(
GETPIVOTDATA(
"[BASE_CONVE_PPTO].[Importe]",
TDinamica_P!$A$5,
"[BASE_CONVE_PPTO].[Periodo]",
"[BASE_CONVE_PPTO].[Periodo].&amp;[" &amp; TEXT(BJ$6,"yyyymm")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-24.8841912818</v>
      </c>
      <c r="BK88" s="8">
        <f>IFERROR(
GETPIVOTDATA(
"[BASE_CONVE_PPTO].[Importe]",
TDinamica_P!$A$5,
"[BASE_CONVE_PPTO].[Periodo]",
"[BASE_CONVE_PPTO].[Periodo].&amp;[" &amp; TEXT(BK$6,"yyyymm")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-24.590122978899998</v>
      </c>
      <c r="BO88" s="24">
        <f t="shared" si="203"/>
        <v>-124.9477306264</v>
      </c>
      <c r="BP88" s="24">
        <f t="shared" si="203"/>
        <v>-119.72489516109999</v>
      </c>
      <c r="BQ88" s="24">
        <f t="shared" si="203"/>
        <v>-101.89405473390001</v>
      </c>
      <c r="BR88" s="24">
        <f t="shared" si="203"/>
        <v>-105.39224574280001</v>
      </c>
      <c r="BS88" s="24">
        <f t="shared" si="203"/>
        <v>-92.026949678299985</v>
      </c>
      <c r="BT88" s="24">
        <f t="shared" si="203"/>
        <v>-84.623027574300011</v>
      </c>
    </row>
    <row r="89" spans="1:72" x14ac:dyDescent="0.25">
      <c r="C89" s="3" t="s">
        <v>75</v>
      </c>
      <c r="D89" s="10">
        <f>SUM(D86:D88)</f>
        <v>-319.50677816129996</v>
      </c>
      <c r="E89" s="10">
        <f t="shared" ref="E89:AY89" si="204">SUM(E86:E88)</f>
        <v>-324.55833721890002</v>
      </c>
      <c r="F89" s="10">
        <f t="shared" si="204"/>
        <v>-340.0811097422</v>
      </c>
      <c r="G89" s="10">
        <f t="shared" si="204"/>
        <v>-356.49667307499993</v>
      </c>
      <c r="H89" s="10">
        <f t="shared" si="204"/>
        <v>-333.39913629209997</v>
      </c>
      <c r="I89" s="10">
        <f t="shared" si="204"/>
        <v>-328.4833401194</v>
      </c>
      <c r="J89" s="10">
        <f t="shared" si="204"/>
        <v>-366.44156779389999</v>
      </c>
      <c r="K89" s="10">
        <f t="shared" si="204"/>
        <v>-348.82426692289999</v>
      </c>
      <c r="L89" s="10">
        <f t="shared" si="204"/>
        <v>-364.17324622769991</v>
      </c>
      <c r="M89" s="10">
        <f t="shared" si="204"/>
        <v>-345.61298022939997</v>
      </c>
      <c r="N89" s="10">
        <f t="shared" si="204"/>
        <v>-329.03666046979998</v>
      </c>
      <c r="O89" s="10">
        <f t="shared" si="204"/>
        <v>-314.91337542039997</v>
      </c>
      <c r="P89" s="10">
        <f t="shared" si="204"/>
        <v>-291.25687334689997</v>
      </c>
      <c r="Q89" s="10">
        <f t="shared" si="204"/>
        <v>-353.63281565739999</v>
      </c>
      <c r="R89" s="10">
        <f t="shared" si="204"/>
        <v>-333.59569996779999</v>
      </c>
      <c r="S89" s="10">
        <f t="shared" si="204"/>
        <v>-323.39485933980001</v>
      </c>
      <c r="T89" s="10">
        <f t="shared" si="204"/>
        <v>-362.13856839970003</v>
      </c>
      <c r="U89" s="10">
        <f t="shared" si="204"/>
        <v>-312.14976125630005</v>
      </c>
      <c r="V89" s="10">
        <f t="shared" si="204"/>
        <v>-402.0956044376</v>
      </c>
      <c r="W89" s="10">
        <f t="shared" si="204"/>
        <v>-402.38041604939991</v>
      </c>
      <c r="X89" s="10">
        <f t="shared" si="204"/>
        <v>-392.72008750690003</v>
      </c>
      <c r="Y89" s="10">
        <f t="shared" si="204"/>
        <v>-378.50031285880004</v>
      </c>
      <c r="Z89" s="10">
        <f t="shared" si="204"/>
        <v>-384.56501622080003</v>
      </c>
      <c r="AA89" s="10">
        <f t="shared" si="204"/>
        <v>-383.43972419449995</v>
      </c>
      <c r="AB89" s="10">
        <f t="shared" si="204"/>
        <v>-372.90030916079996</v>
      </c>
      <c r="AC89" s="10">
        <f t="shared" si="204"/>
        <v>-380.12208876210002</v>
      </c>
      <c r="AD89" s="10">
        <f t="shared" si="204"/>
        <v>-392.36025114270001</v>
      </c>
      <c r="AE89" s="10">
        <f t="shared" si="204"/>
        <v>-435.92730257239992</v>
      </c>
      <c r="AF89" s="10">
        <f t="shared" si="204"/>
        <v>-451.96145948269998</v>
      </c>
      <c r="AG89" s="10">
        <f t="shared" si="204"/>
        <v>-455.64909792899999</v>
      </c>
      <c r="AH89" s="10">
        <f t="shared" si="204"/>
        <v>-462.38856521100007</v>
      </c>
      <c r="AI89" s="10">
        <f t="shared" si="204"/>
        <v>-484.79486427479992</v>
      </c>
      <c r="AJ89" s="10">
        <f t="shared" si="204"/>
        <v>-396.55525011589992</v>
      </c>
      <c r="AK89" s="10">
        <f t="shared" si="204"/>
        <v>-427.68820424329988</v>
      </c>
      <c r="AL89" s="10">
        <f t="shared" si="204"/>
        <v>-442.41246806480001</v>
      </c>
      <c r="AM89" s="10">
        <f t="shared" si="204"/>
        <v>-506.07313819929993</v>
      </c>
      <c r="AN89" s="10">
        <f t="shared" si="204"/>
        <v>-419.32062476770005</v>
      </c>
      <c r="AO89" s="10">
        <f t="shared" si="204"/>
        <v>-407.92138676989998</v>
      </c>
      <c r="AP89" s="10">
        <f t="shared" si="204"/>
        <v>-470.45751117289996</v>
      </c>
      <c r="AQ89" s="10">
        <f t="shared" si="204"/>
        <v>-427.77943440709998</v>
      </c>
      <c r="AR89" s="10">
        <f t="shared" si="204"/>
        <v>-335.58242929369993</v>
      </c>
      <c r="AS89" s="10">
        <f t="shared" si="204"/>
        <v>-448.64096151090001</v>
      </c>
      <c r="AT89" s="10">
        <f t="shared" si="204"/>
        <v>0</v>
      </c>
      <c r="AU89" s="10">
        <f t="shared" si="204"/>
        <v>0</v>
      </c>
      <c r="AV89" s="10">
        <f t="shared" si="204"/>
        <v>0</v>
      </c>
      <c r="AW89" s="10">
        <f t="shared" si="204"/>
        <v>0</v>
      </c>
      <c r="AX89" s="10">
        <f t="shared" si="204"/>
        <v>0</v>
      </c>
      <c r="AY89" s="10">
        <f t="shared" si="204"/>
        <v>0</v>
      </c>
      <c r="AZ89" s="10">
        <f t="shared" ref="AZ89:BK89" si="205">SUM(AZ86:AZ88)</f>
        <v>-441.66564199510003</v>
      </c>
      <c r="BA89" s="10">
        <f t="shared" si="205"/>
        <v>-433.86172326419995</v>
      </c>
      <c r="BB89" s="10">
        <f t="shared" si="205"/>
        <v>-451.39819001170002</v>
      </c>
      <c r="BC89" s="10">
        <f t="shared" si="205"/>
        <v>-447.19621988860001</v>
      </c>
      <c r="BD89" s="10">
        <f t="shared" si="205"/>
        <v>-480.29153046369998</v>
      </c>
      <c r="BE89" s="10">
        <f t="shared" si="205"/>
        <v>-487.2660850872</v>
      </c>
      <c r="BF89" s="10">
        <f t="shared" si="205"/>
        <v>-454.86676836519996</v>
      </c>
      <c r="BG89" s="10">
        <f t="shared" si="205"/>
        <v>-465.40654950799996</v>
      </c>
      <c r="BH89" s="10">
        <f t="shared" si="205"/>
        <v>-478.93594929800003</v>
      </c>
      <c r="BI89" s="10">
        <f t="shared" si="205"/>
        <v>-450.82837742920003</v>
      </c>
      <c r="BJ89" s="10">
        <f t="shared" si="205"/>
        <v>-456.01447156029997</v>
      </c>
      <c r="BK89" s="10">
        <f t="shared" si="205"/>
        <v>-460.36023192050004</v>
      </c>
      <c r="BO89" s="23">
        <f t="shared" ref="BO89:BT89" si="206">SUM(BO86:BO88)</f>
        <v>-2061.0613864112997</v>
      </c>
      <c r="BP89" s="23">
        <f t="shared" si="206"/>
        <v>-2254.4133056232999</v>
      </c>
      <c r="BQ89" s="23">
        <f t="shared" si="206"/>
        <v>-1725.4789571176</v>
      </c>
      <c r="BR89" s="23">
        <f t="shared" si="206"/>
        <v>-2033.2714111207001</v>
      </c>
      <c r="BS89" s="23">
        <f t="shared" si="206"/>
        <v>-1664.0188167116</v>
      </c>
      <c r="BT89" s="23">
        <f t="shared" si="206"/>
        <v>-1674.0420344895001</v>
      </c>
    </row>
    <row r="91" spans="1:72" outlineLevel="1" x14ac:dyDescent="0.25">
      <c r="A91" s="11" t="s">
        <v>80</v>
      </c>
      <c r="C91" s="2" t="s">
        <v>84</v>
      </c>
      <c r="D91" s="8">
        <f>IFERROR(
GETPIVOTDATA(
"[Base].[Importe]",
TDinamica_R!$A$5,
"[Calendario].[AñoMes]",
"[Calendario].[AñoMes].&amp;[" &amp; TEXT(D$6,"yyyymm") &amp; "]",
"[Base].[Metrica]",
"[Base].[Metrica].&amp;[" &amp; $A91 &amp; "]",
"[Base].[SEGMENTO_DESCRIP]",
"[Base].[SEGMENTO_DESCRIP].&amp;[" &amp; $C$6 &amp; "]",
"[Base].[SITUACION]",
"[Base].[SITUACION].&amp;[" &amp; $C91 &amp; "]"
),0)/1000</f>
        <v>-2.6164212943574201</v>
      </c>
      <c r="E91" s="8">
        <f>IFERROR(
GETPIVOTDATA(
"[Base].[Importe]",
TDinamica_R!$A$5,
"[Calendario].[AñoMes]",
"[Calendario].[AñoMes].&amp;[" &amp; TEXT(E$6,"yyyymm") &amp; "]",
"[Base].[Metrica]",
"[Base].[Metrica].&amp;[" &amp; $A91 &amp; "]",
"[Base].[SEGMENTO_DESCRIP]",
"[Base].[SEGMENTO_DESCRIP].&amp;[" &amp; $C$6 &amp; "]",
"[Base].[SITUACION]",
"[Base].[SITUACION].&amp;[" &amp; $C91 &amp; "]"
),0)/1000</f>
        <v>-2.6185048857034303</v>
      </c>
      <c r="F91" s="8">
        <f>IFERROR(
GETPIVOTDATA(
"[Base].[Importe]",
TDinamica_R!$A$5,
"[Calendario].[AñoMes]",
"[Calendario].[AñoMes].&amp;[" &amp; TEXT(F$6,"yyyymm") &amp; "]",
"[Base].[Metrica]",
"[Base].[Metrica].&amp;[" &amp; $A91 &amp; "]",
"[Base].[SEGMENTO_DESCRIP]",
"[Base].[SEGMENTO_DESCRIP].&amp;[" &amp; $C$6 &amp; "]",
"[Base].[SITUACION]",
"[Base].[SITUACION].&amp;[" &amp; $C91 &amp; "]"
),0)/1000</f>
        <v>-3.3427979059591904</v>
      </c>
      <c r="G91" s="8">
        <f>IFERROR(
GETPIVOTDATA(
"[Base].[Importe]",
TDinamica_R!$A$5,
"[Calendario].[AñoMes]",
"[Calendario].[AñoMes].&amp;[" &amp; TEXT(G$6,"yyyymm") &amp; "]",
"[Base].[Metrica]",
"[Base].[Metrica].&amp;[" &amp; $A91 &amp; "]",
"[Base].[SEGMENTO_DESCRIP]",
"[Base].[SEGMENTO_DESCRIP].&amp;[" &amp; $C$6 &amp; "]",
"[Base].[SITUACION]",
"[Base].[SITUACION].&amp;[" &amp; $C91 &amp; "]"
),0)/1000</f>
        <v>-2.8682612854277005</v>
      </c>
      <c r="H91" s="8">
        <f>IFERROR(
GETPIVOTDATA(
"[Base].[Importe]",
TDinamica_R!$A$5,
"[Calendario].[AñoMes]",
"[Calendario].[AñoMes].&amp;[" &amp; TEXT(H$6,"yyyymm") &amp; "]",
"[Base].[Metrica]",
"[Base].[Metrica].&amp;[" &amp; $A91 &amp; "]",
"[Base].[SEGMENTO_DESCRIP]",
"[Base].[SEGMENTO_DESCRIP].&amp;[" &amp; $C$6 &amp; "]",
"[Base].[SITUACION]",
"[Base].[SITUACION].&amp;[" &amp; $C91 &amp; "]"
),0)/1000</f>
        <v>-3.9851172976756395</v>
      </c>
      <c r="I91" s="8">
        <f>IFERROR(
GETPIVOTDATA(
"[Base].[Importe]",
TDinamica_R!$A$5,
"[Calendario].[AñoMes]",
"[Calendario].[AñoMes].&amp;[" &amp; TEXT(I$6,"yyyymm") &amp; "]",
"[Base].[Metrica]",
"[Base].[Metrica].&amp;[" &amp; $A91 &amp; "]",
"[Base].[SEGMENTO_DESCRIP]",
"[Base].[SEGMENTO_DESCRIP].&amp;[" &amp; $C$6 &amp; "]",
"[Base].[SITUACION]",
"[Base].[SITUACION].&amp;[" &amp; $C91 &amp; "]"
),0)/1000</f>
        <v>-2.7658929505304006</v>
      </c>
      <c r="J91" s="8">
        <f>IFERROR(
GETPIVOTDATA(
"[Base].[Importe]",
TDinamica_R!$A$5,
"[Calendario].[AñoMes]",
"[Calendario].[AñoMes].&amp;[" &amp; TEXT(J$6,"yyyymm") &amp; "]",
"[Base].[Metrica]",
"[Base].[Metrica].&amp;[" &amp; $A91 &amp; "]",
"[Base].[SEGMENTO_DESCRIP]",
"[Base].[SEGMENTO_DESCRIP].&amp;[" &amp; $C$6 &amp; "]",
"[Base].[SITUACION]",
"[Base].[SITUACION].&amp;[" &amp; $C91 &amp; "]"
),0)/1000</f>
        <v>-3.28722490912341</v>
      </c>
      <c r="K91" s="8">
        <f>IFERROR(
GETPIVOTDATA(
"[Base].[Importe]",
TDinamica_R!$A$5,
"[Calendario].[AñoMes]",
"[Calendario].[AñoMes].&amp;[" &amp; TEXT(K$6,"yyyymm") &amp; "]",
"[Base].[Metrica]",
"[Base].[Metrica].&amp;[" &amp; $A91 &amp; "]",
"[Base].[SEGMENTO_DESCRIP]",
"[Base].[SEGMENTO_DESCRIP].&amp;[" &amp; $C$6 &amp; "]",
"[Base].[SITUACION]",
"[Base].[SITUACION].&amp;[" &amp; $C91 &amp; "]"
),0)/1000</f>
        <v>-2.8260784655262099</v>
      </c>
      <c r="L91" s="8">
        <f>IFERROR(
GETPIVOTDATA(
"[Base].[Importe]",
TDinamica_R!$A$5,
"[Calendario].[AñoMes]",
"[Calendario].[AñoMes].&amp;[" &amp; TEXT(L$6,"yyyymm") &amp; "]",
"[Base].[Metrica]",
"[Base].[Metrica].&amp;[" &amp; $A91 &amp; "]",
"[Base].[SEGMENTO_DESCRIP]",
"[Base].[SEGMENTO_DESCRIP].&amp;[" &amp; $C$6 &amp; "]",
"[Base].[SITUACION]",
"[Base].[SITUACION].&amp;[" &amp; $C91 &amp; "]"
),0)/1000</f>
        <v>-2.5902457184715799</v>
      </c>
      <c r="M91" s="8">
        <f>IFERROR(
GETPIVOTDATA(
"[Base].[Importe]",
TDinamica_R!$A$5,
"[Calendario].[AñoMes]",
"[Calendario].[AñoMes].&amp;[" &amp; TEXT(M$6,"yyyymm") &amp; "]",
"[Base].[Metrica]",
"[Base].[Metrica].&amp;[" &amp; $A91 &amp; "]",
"[Base].[SEGMENTO_DESCRIP]",
"[Base].[SEGMENTO_DESCRIP].&amp;[" &amp; $C$6 &amp; "]",
"[Base].[SITUACION]",
"[Base].[SITUACION].&amp;[" &amp; $C91 &amp; "]"
),0)/1000</f>
        <v>-3.4965271874617603</v>
      </c>
      <c r="N91" s="8">
        <f>IFERROR(
GETPIVOTDATA(
"[Base].[Importe]",
TDinamica_R!$A$5,
"[Calendario].[AñoMes]",
"[Calendario].[AñoMes].&amp;[" &amp; TEXT(N$6,"yyyymm") &amp; "]",
"[Base].[Metrica]",
"[Base].[Metrica].&amp;[" &amp; $A91 &amp; "]",
"[Base].[SEGMENTO_DESCRIP]",
"[Base].[SEGMENTO_DESCRIP].&amp;[" &amp; $C$6 &amp; "]",
"[Base].[SITUACION]",
"[Base].[SITUACION].&amp;[" &amp; $C91 &amp; "]"
),0)/1000</f>
        <v>-3.57958010342072</v>
      </c>
      <c r="O91" s="8">
        <f>IFERROR(
GETPIVOTDATA(
"[Base].[Importe]",
TDinamica_R!$A$5,
"[Calendario].[AñoMes]",
"[Calendario].[AñoMes].&amp;[" &amp; TEXT(O$6,"yyyymm") &amp; "]",
"[Base].[Metrica]",
"[Base].[Metrica].&amp;[" &amp; $A91 &amp; "]",
"[Base].[SEGMENTO_DESCRIP]",
"[Base].[SEGMENTO_DESCRIP].&amp;[" &amp; $C$6 &amp; "]",
"[Base].[SITUACION]",
"[Base].[SITUACION].&amp;[" &amp; $C91 &amp; "]"
),0)/1000</f>
        <v>-2.7813200045097561</v>
      </c>
      <c r="P91" s="8">
        <f>IFERROR(
GETPIVOTDATA(
"[Base].[Importe]",
TDinamica_R!$A$5,
"[Calendario].[AñoMes]",
"[Calendario].[AñoMes].&amp;[" &amp; TEXT(P$6,"yyyymm") &amp; "]",
"[Base].[Metrica]",
"[Base].[Metrica].&amp;[" &amp; $A91 &amp; "]",
"[Base].[SEGMENTO_DESCRIP]",
"[Base].[SEGMENTO_DESCRIP].&amp;[" &amp; $C$6 &amp; "]",
"[Base].[SITUACION]",
"[Base].[SITUACION].&amp;[" &amp; $C91 &amp; "]"
),0)/1000</f>
        <v>-2.44592304891846</v>
      </c>
      <c r="Q91" s="8">
        <f>IFERROR(
GETPIVOTDATA(
"[Base].[Importe]",
TDinamica_R!$A$5,
"[Calendario].[AñoMes]",
"[Calendario].[AñoMes].&amp;[" &amp; TEXT(Q$6,"yyyymm") &amp; "]",
"[Base].[Metrica]",
"[Base].[Metrica].&amp;[" &amp; $A91 &amp; "]",
"[Base].[SEGMENTO_DESCRIP]",
"[Base].[SEGMENTO_DESCRIP].&amp;[" &amp; $C$6 &amp; "]",
"[Base].[SITUACION]",
"[Base].[SITUACION].&amp;[" &amp; $C91 &amp; "]"
),0)/1000</f>
        <v>-2.4536403824061397</v>
      </c>
      <c r="R91" s="8">
        <f>IFERROR(
GETPIVOTDATA(
"[Base].[Importe]",
TDinamica_R!$A$5,
"[Calendario].[AñoMes]",
"[Calendario].[AñoMes].&amp;[" &amp; TEXT(R$6,"yyyymm") &amp; "]",
"[Base].[Metrica]",
"[Base].[Metrica].&amp;[" &amp; $A91 &amp; "]",
"[Base].[SEGMENTO_DESCRIP]",
"[Base].[SEGMENTO_DESCRIP].&amp;[" &amp; $C$6 &amp; "]",
"[Base].[SITUACION]",
"[Base].[SITUACION].&amp;[" &amp; $C91 &amp; "]"
),0)/1000</f>
        <v>-2.4414357154953801</v>
      </c>
      <c r="S91" s="8">
        <f>IFERROR(
GETPIVOTDATA(
"[Base].[Importe]",
TDinamica_R!$A$5,
"[Calendario].[AñoMes]",
"[Calendario].[AñoMes].&amp;[" &amp; TEXT(S$6,"yyyymm") &amp; "]",
"[Base].[Metrica]",
"[Base].[Metrica].&amp;[" &amp; $A91 &amp; "]",
"[Base].[SEGMENTO_DESCRIP]",
"[Base].[SEGMENTO_DESCRIP].&amp;[" &amp; $C$6 &amp; "]",
"[Base].[SITUACION]",
"[Base].[SITUACION].&amp;[" &amp; $C91 &amp; "]"
),0)/1000</f>
        <v>-2.5358921513296004</v>
      </c>
      <c r="T91" s="8">
        <f>IFERROR(
GETPIVOTDATA(
"[Base].[Importe]",
TDinamica_R!$A$5,
"[Calendario].[AñoMes]",
"[Calendario].[AñoMes].&amp;[" &amp; TEXT(T$6,"yyyymm") &amp; "]",
"[Base].[Metrica]",
"[Base].[Metrica].&amp;[" &amp; $A91 &amp; "]",
"[Base].[SEGMENTO_DESCRIP]",
"[Base].[SEGMENTO_DESCRIP].&amp;[" &amp; $C$6 &amp; "]",
"[Base].[SITUACION]",
"[Base].[SITUACION].&amp;[" &amp; $C91 &amp; "]"
),0)/1000</f>
        <v>-3.4998771082786306</v>
      </c>
      <c r="U91" s="8">
        <f>IFERROR(
GETPIVOTDATA(
"[Base].[Importe]",
TDinamica_R!$A$5,
"[Calendario].[AñoMes]",
"[Calendario].[AñoMes].&amp;[" &amp; TEXT(U$6,"yyyymm") &amp; "]",
"[Base].[Metrica]",
"[Base].[Metrica].&amp;[" &amp; $A91 &amp; "]",
"[Base].[SEGMENTO_DESCRIP]",
"[Base].[SEGMENTO_DESCRIP].&amp;[" &amp; $C$6 &amp; "]",
"[Base].[SITUACION]",
"[Base].[SITUACION].&amp;[" &amp; $C91 &amp; "]"
),0)/1000</f>
        <v>-2.4799439536059205</v>
      </c>
      <c r="V91" s="8">
        <f>IFERROR(
GETPIVOTDATA(
"[Base].[Importe]",
TDinamica_R!$A$5,
"[Calendario].[AñoMes]",
"[Calendario].[AñoMes].&amp;[" &amp; TEXT(V$6,"yyyymm") &amp; "]",
"[Base].[Metrica]",
"[Base].[Metrica].&amp;[" &amp; $A91 &amp; "]",
"[Base].[SEGMENTO_DESCRIP]",
"[Base].[SEGMENTO_DESCRIP].&amp;[" &amp; $C$6 &amp; "]",
"[Base].[SITUACION]",
"[Base].[SITUACION].&amp;[" &amp; $C91 &amp; "]"
),0)/1000</f>
        <v>-3.23499776596725</v>
      </c>
      <c r="W91" s="8">
        <f>IFERROR(
GETPIVOTDATA(
"[Base].[Importe]",
TDinamica_R!$A$5,
"[Calendario].[AñoMes]",
"[Calendario].[AñoMes].&amp;[" &amp; TEXT(W$6,"yyyymm") &amp; "]",
"[Base].[Metrica]",
"[Base].[Metrica].&amp;[" &amp; $A91 &amp; "]",
"[Base].[SEGMENTO_DESCRIP]",
"[Base].[SEGMENTO_DESCRIP].&amp;[" &amp; $C$6 &amp; "]",
"[Base].[SITUACION]",
"[Base].[SITUACION].&amp;[" &amp; $C91 &amp; "]"
),0)/1000</f>
        <v>-2.2520811519580599</v>
      </c>
      <c r="X91" s="8">
        <f>IFERROR(
GETPIVOTDATA(
"[Base].[Importe]",
TDinamica_R!$A$5,
"[Calendario].[AñoMes]",
"[Calendario].[AñoMes].&amp;[" &amp; TEXT(X$6,"yyyymm") &amp; "]",
"[Base].[Metrica]",
"[Base].[Metrica].&amp;[" &amp; $A91 &amp; "]",
"[Base].[SEGMENTO_DESCRIP]",
"[Base].[SEGMENTO_DESCRIP].&amp;[" &amp; $C$6 &amp; "]",
"[Base].[SITUACION]",
"[Base].[SITUACION].&amp;[" &amp; $C91 &amp; "]"
),0)/1000</f>
        <v>-2.3631718805967701</v>
      </c>
      <c r="Y91" s="8">
        <f>IFERROR(
GETPIVOTDATA(
"[Base].[Importe]",
TDinamica_R!$A$5,
"[Calendario].[AñoMes]",
"[Calendario].[AñoMes].&amp;[" &amp; TEXT(Y$6,"yyyymm") &amp; "]",
"[Base].[Metrica]",
"[Base].[Metrica].&amp;[" &amp; $A91 &amp; "]",
"[Base].[SEGMENTO_DESCRIP]",
"[Base].[SEGMENTO_DESCRIP].&amp;[" &amp; $C$6 &amp; "]",
"[Base].[SITUACION]",
"[Base].[SITUACION].&amp;[" &amp; $C91 &amp; "]"
),0)/1000</f>
        <v>-2.4912206855709598</v>
      </c>
      <c r="Z91" s="8">
        <f>IFERROR(
GETPIVOTDATA(
"[Base].[Importe]",
TDinamica_R!$A$5,
"[Calendario].[AñoMes]",
"[Calendario].[AñoMes].&amp;[" &amp; TEXT(Z$6,"yyyymm") &amp; "]",
"[Base].[Metrica]",
"[Base].[Metrica].&amp;[" &amp; $A91 &amp; "]",
"[Base].[SEGMENTO_DESCRIP]",
"[Base].[SEGMENTO_DESCRIP].&amp;[" &amp; $C$6 &amp; "]",
"[Base].[SITUACION]",
"[Base].[SITUACION].&amp;[" &amp; $C91 &amp; "]"
),0)/1000</f>
        <v>-3.19671294834255</v>
      </c>
      <c r="AA91" s="8">
        <f>IFERROR(
GETPIVOTDATA(
"[Base].[Importe]",
TDinamica_R!$A$5,
"[Calendario].[AñoMes]",
"[Calendario].[AñoMes].&amp;[" &amp; TEXT(AA$6,"yyyymm") &amp; "]",
"[Base].[Metrica]",
"[Base].[Metrica].&amp;[" &amp; $A91 &amp; "]",
"[Base].[SEGMENTO_DESCRIP]",
"[Base].[SEGMENTO_DESCRIP].&amp;[" &amp; $C$6 &amp; "]",
"[Base].[SITUACION]",
"[Base].[SITUACION].&amp;[" &amp; $C91 &amp; "]"
),0)/1000</f>
        <v>-3.335925923222629</v>
      </c>
      <c r="AB91" s="8">
        <f>IFERROR(
GETPIVOTDATA(
"[Base].[Importe]",
TDinamica_R!$A$5,
"[Calendario].[AñoMes]",
"[Calendario].[AñoMes].&amp;[" &amp; TEXT(AB$6,"yyyymm") &amp; "]",
"[Base].[Metrica]",
"[Base].[Metrica].&amp;[" &amp; $A91 &amp; "]",
"[Base].[SEGMENTO_DESCRIP]",
"[Base].[SEGMENTO_DESCRIP].&amp;[" &amp; $C$6 &amp; "]",
"[Base].[SITUACION]",
"[Base].[SITUACION].&amp;[" &amp; $C91 &amp; "]"
),0)/1000</f>
        <v>-2.4034230480684609</v>
      </c>
      <c r="AC91" s="8">
        <f>IFERROR(
GETPIVOTDATA(
"[Base].[Importe]",
TDinamica_R!$A$5,
"[Calendario].[AñoMes]",
"[Calendario].[AñoMes].&amp;[" &amp; TEXT(AC$6,"yyyymm") &amp; "]",
"[Base].[Metrica]",
"[Base].[Metrica].&amp;[" &amp; $A91 &amp; "]",
"[Base].[SEGMENTO_DESCRIP]",
"[Base].[SEGMENTO_DESCRIP].&amp;[" &amp; $C$6 &amp; "]",
"[Base].[SITUACION]",
"[Base].[SITUACION].&amp;[" &amp; $C91 &amp; "]"
),0)/1000</f>
        <v>-2.6227848335281996</v>
      </c>
      <c r="AD91" s="8">
        <f>IFERROR(
GETPIVOTDATA(
"[Base].[Importe]",
TDinamica_R!$A$5,
"[Calendario].[AñoMes]",
"[Calendario].[AñoMes].&amp;[" &amp; TEXT(AD$6,"yyyymm") &amp; "]",
"[Base].[Metrica]",
"[Base].[Metrica].&amp;[" &amp; $A91 &amp; "]",
"[Base].[SEGMENTO_DESCRIP]",
"[Base].[SEGMENTO_DESCRIP].&amp;[" &amp; $C$6 &amp; "]",
"[Base].[SITUACION]",
"[Base].[SITUACION].&amp;[" &amp; $C91 &amp; "]"
),0)/1000</f>
        <v>-2.4532592157318502</v>
      </c>
      <c r="AE91" s="8">
        <f>IFERROR(
GETPIVOTDATA(
"[Base].[Importe]",
TDinamica_R!$A$5,
"[Calendario].[AñoMes]",
"[Calendario].[AñoMes].&amp;[" &amp; TEXT(AE$6,"yyyymm") &amp; "]",
"[Base].[Metrica]",
"[Base].[Metrica].&amp;[" &amp; $A91 &amp; "]",
"[Base].[SEGMENTO_DESCRIP]",
"[Base].[SEGMENTO_DESCRIP].&amp;[" &amp; $C$6 &amp; "]",
"[Base].[SITUACION]",
"[Base].[SITUACION].&amp;[" &amp; $C91 &amp; "]"
),0)/1000</f>
        <v>-2.4399285487985702</v>
      </c>
      <c r="AF91" s="8">
        <f>IFERROR(
GETPIVOTDATA(
"[Base].[Importe]",
TDinamica_R!$A$5,
"[Calendario].[AñoMes]",
"[Calendario].[AñoMes].&amp;[" &amp; TEXT(AF$6,"yyyymm") &amp; "]",
"[Base].[Metrica]",
"[Base].[Metrica].&amp;[" &amp; $A91 &amp; "]",
"[Base].[SEGMENTO_DESCRIP]",
"[Base].[SEGMENTO_DESCRIP].&amp;[" &amp; $C$6 &amp; "]",
"[Base].[SITUACION]",
"[Base].[SITUACION].&amp;[" &amp; $C91 &amp; "]"
),0)/1000</f>
        <v>-3.2077208569004005</v>
      </c>
      <c r="AG91" s="8">
        <f>IFERROR(
GETPIVOTDATA(
"[Base].[Importe]",
TDinamica_R!$A$5,
"[Calendario].[AñoMes]",
"[Calendario].[AñoMes].&amp;[" &amp; TEXT(AG$6,"yyyymm") &amp; "]",
"[Base].[Metrica]",
"[Base].[Metrica].&amp;[" &amp; $A91 &amp; "]",
"[Base].[SEGMENTO_DESCRIP]",
"[Base].[SEGMENTO_DESCRIP].&amp;[" &amp; $C$6 &amp; "]",
"[Base].[SITUACION]",
"[Base].[SITUACION].&amp;[" &amp; $C91 &amp; "]"
),0)/1000</f>
        <v>-2.4426242155191504</v>
      </c>
      <c r="AH91" s="8">
        <f>IFERROR(
GETPIVOTDATA(
"[Base].[Importe]",
TDinamica_R!$A$5,
"[Calendario].[AñoMes]",
"[Calendario].[AñoMes].&amp;[" &amp; TEXT(AH$6,"yyyymm") &amp; "]",
"[Base].[Metrica]",
"[Base].[Metrica].&amp;[" &amp; $A91 &amp; "]",
"[Base].[SEGMENTO_DESCRIP]",
"[Base].[SEGMENTO_DESCRIP].&amp;[" &amp; $C$6 &amp; "]",
"[Base].[SITUACION]",
"[Base].[SITUACION].&amp;[" &amp; $C91 &amp; "]"
),0)/1000</f>
        <v>-3.0907055289453593</v>
      </c>
      <c r="AI91" s="8">
        <f>IFERROR(
GETPIVOTDATA(
"[Base].[Importe]",
TDinamica_R!$A$5,
"[Calendario].[AñoMes]",
"[Calendario].[AñoMes].&amp;[" &amp; TEXT(AI$6,"yyyymm") &amp; "]",
"[Base].[Metrica]",
"[Base].[Metrica].&amp;[" &amp; $A91 &amp; "]",
"[Base].[SEGMENTO_DESCRIP]",
"[Base].[SEGMENTO_DESCRIP].&amp;[" &amp; $C$6 &amp; "]",
"[Base].[SITUACION]",
"[Base].[SITUACION].&amp;[" &amp; $C91 &amp; "]"
),0)/1000</f>
        <v>-2.7735581332193502</v>
      </c>
      <c r="AJ91" s="8">
        <f>IFERROR(
GETPIVOTDATA(
"[Base].[Importe]",
TDinamica_R!$A$5,
"[Calendario].[AñoMes]",
"[Calendario].[AñoMes].&amp;[" &amp; TEXT(AJ$6,"yyyymm") &amp; "]",
"[Base].[Metrica]",
"[Base].[Metrica].&amp;[" &amp; $A91 &amp; "]",
"[Base].[SEGMENTO_DESCRIP]",
"[Base].[SEGMENTO_DESCRIP].&amp;[" &amp; $C$6 &amp; "]",
"[Base].[SITUACION]",
"[Base].[SITUACION].&amp;[" &amp; $C91 &amp; "]"
),0)/1000</f>
        <v>-2.2836479404480001</v>
      </c>
      <c r="AK91" s="8">
        <f>IFERROR(
GETPIVOTDATA(
"[Base].[Importe]",
TDinamica_R!$A$5,
"[Calendario].[AñoMes]",
"[Calendario].[AñoMes].&amp;[" &amp; TEXT(AK$6,"yyyymm") &amp; "]",
"[Base].[Metrica]",
"[Base].[Metrica].&amp;[" &amp; $A91 &amp; "]",
"[Base].[SEGMENTO_DESCRIP]",
"[Base].[SEGMENTO_DESCRIP].&amp;[" &amp; $C$6 &amp; "]",
"[Base].[SITUACION]",
"[Base].[SITUACION].&amp;[" &amp; $C91 &amp; "]"
),0)/1000</f>
        <v>-2.5373734491632405</v>
      </c>
      <c r="AL91" s="8">
        <f>IFERROR(
GETPIVOTDATA(
"[Base].[Importe]",
TDinamica_R!$A$5,
"[Calendario].[AñoMes]",
"[Calendario].[AñoMes].&amp;[" &amp; TEXT(AL$6,"yyyymm") &amp; "]",
"[Base].[Metrica]",
"[Base].[Metrica].&amp;[" &amp; $A91 &amp; "]",
"[Base].[SEGMENTO_DESCRIP]",
"[Base].[SEGMENTO_DESCRIP].&amp;[" &amp; $C$6 &amp; "]",
"[Base].[SITUACION]",
"[Base].[SITUACION].&amp;[" &amp; $C91 &amp; "]"
),0)/1000</f>
        <v>-2.87357838494954</v>
      </c>
      <c r="AM91" s="8">
        <f>IFERROR(
GETPIVOTDATA(
"[Base].[Importe]",
TDinamica_R!$A$5,
"[Calendario].[AñoMes]",
"[Calendario].[AñoMes].&amp;[" &amp; TEXT(AM$6,"yyyymm") &amp; "]",
"[Base].[Metrica]",
"[Base].[Metrica].&amp;[" &amp; $A91 &amp; "]",
"[Base].[SEGMENTO_DESCRIP]",
"[Base].[SEGMENTO_DESCRIP].&amp;[" &amp; $C$6 &amp; "]",
"[Base].[SITUACION]",
"[Base].[SITUACION].&amp;[" &amp; $C91 &amp; "]"
),0)/1000</f>
        <v>-4.8700497346199931</v>
      </c>
      <c r="AN91" s="8">
        <f>IFERROR(
GETPIVOTDATA(
"[Base].[Importe]",
TDinamica_R!$A$5,
"[Calendario].[AñoMes]",
"[Calendario].[AñoMes].&amp;[" &amp; TEXT(AN$6,"yyyymm") &amp; "]",
"[Base].[Metrica]",
"[Base].[Metrica].&amp;[" &amp; $A91 &amp; "]",
"[Base].[SEGMENTO_DESCRIP]",
"[Base].[SEGMENTO_DESCRIP].&amp;[" &amp; $C$6 &amp; "]",
"[Base].[SITUACION]",
"[Base].[SITUACION].&amp;[" &amp; $C91 &amp; "]"
),0)/1000</f>
        <v>-2.3976184385240376</v>
      </c>
      <c r="AO91" s="8">
        <f>IFERROR(
GETPIVOTDATA(
"[Base].[Importe]",
TDinamica_R!$A$5,
"[Calendario].[AñoMes]",
"[Calendario].[AñoMes].&amp;[" &amp; TEXT(AO$6,"yyyymm") &amp; "]",
"[Base].[Metrica]",
"[Base].[Metrica].&amp;[" &amp; $A91 &amp; "]",
"[Base].[SEGMENTO_DESCRIP]",
"[Base].[SEGMENTO_DESCRIP].&amp;[" &amp; $C$6 &amp; "]",
"[Base].[SITUACION]",
"[Base].[SITUACION].&amp;[" &amp; $C91 &amp; "]"
),0)/1000</f>
        <v>-2.9138470343585396</v>
      </c>
      <c r="AP91" s="8">
        <f>IFERROR(
GETPIVOTDATA(
"[Base].[Importe]",
TDinamica_R!$A$5,
"[Calendario].[AñoMes]",
"[Calendario].[AñoMes].&amp;[" &amp; TEXT(AP$6,"yyyymm") &amp; "]",
"[Base].[Metrica]",
"[Base].[Metrica].&amp;[" &amp; $A91 &amp; "]",
"[Base].[SEGMENTO_DESCRIP]",
"[Base].[SEGMENTO_DESCRIP].&amp;[" &amp; $C$6 &amp; "]",
"[Base].[SITUACION]",
"[Base].[SITUACION].&amp;[" &amp; $C91 &amp; "]"
),0)/1000</f>
        <v>-2.9641423012175352</v>
      </c>
      <c r="AQ91" s="8">
        <f>IFERROR(
GETPIVOTDATA(
"[Base].[Importe]",
TDinamica_R!$A$5,
"[Calendario].[AñoMes]",
"[Calendario].[AñoMes].&amp;[" &amp; TEXT(AQ$6,"yyyymm") &amp; "]",
"[Base].[Metrica]",
"[Base].[Metrica].&amp;[" &amp; $A91 &amp; "]",
"[Base].[SEGMENTO_DESCRIP]",
"[Base].[SEGMENTO_DESCRIP].&amp;[" &amp; $C$6 &amp; "]",
"[Base].[SITUACION]",
"[Base].[SITUACION].&amp;[" &amp; $C91 &amp; "]"
),0)/1000</f>
        <v>-3.1744527781125882</v>
      </c>
      <c r="AR91" s="8">
        <f>IFERROR(
GETPIVOTDATA(
"[Base].[Importe]",
TDinamica_R!$A$5,
"[Calendario].[AñoMes]",
"[Calendario].[AñoMes].&amp;[" &amp; TEXT(AR$6,"yyyymm") &amp; "]",
"[Base].[Metrica]",
"[Base].[Metrica].&amp;[" &amp; $A91 &amp; "]",
"[Base].[SEGMENTO_DESCRIP]",
"[Base].[SEGMENTO_DESCRIP].&amp;[" &amp; $C$6 &amp; "]",
"[Base].[SITUACION]",
"[Base].[SITUACION].&amp;[" &amp; $C91 &amp; "]"
),0)/1000</f>
        <v>-3.0718221365687506</v>
      </c>
      <c r="AS91" s="8">
        <f>IFERROR(
GETPIVOTDATA(
"[Base].[Importe]",
TDinamica_R!$A$5,
"[Calendario].[AñoMes]",
"[Calendario].[AñoMes].&amp;[" &amp; TEXT(AS$6,"yyyymm") &amp; "]",
"[Base].[Metrica]",
"[Base].[Metrica].&amp;[" &amp; $A91 &amp; "]",
"[Base].[SEGMENTO_DESCRIP]",
"[Base].[SEGMENTO_DESCRIP].&amp;[" &amp; $C$6 &amp; "]",
"[Base].[SITUACION]",
"[Base].[SITUACION].&amp;[" &amp; $C91 &amp; "]"
),0)/1000</f>
        <v>-2.5941612498052282</v>
      </c>
      <c r="AT91" s="8">
        <f>IFERROR(
GETPIVOTDATA(
"[Base].[Importe]",
TDinamica_R!$A$5,
"[Calendario].[AñoMes]",
"[Calendario].[AñoMes].&amp;[" &amp; TEXT(AT$6,"yyyymm")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U91" s="8">
        <f>IFERROR(
GETPIVOTDATA(
"[Base].[Importe]",
TDinamica_R!$A$5,
"[Calendario].[AñoMes]",
"[Calendario].[AñoMes].&amp;[" &amp; TEXT(AU$6,"yyyymm")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V91" s="8">
        <f>IFERROR(
GETPIVOTDATA(
"[Base].[Importe]",
TDinamica_R!$A$5,
"[Calendario].[AñoMes]",
"[Calendario].[AñoMes].&amp;[" &amp; TEXT(AV$6,"yyyymm")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W91" s="8">
        <f>IFERROR(
GETPIVOTDATA(
"[Base].[Importe]",
TDinamica_R!$A$5,
"[Calendario].[AñoMes]",
"[Calendario].[AñoMes].&amp;[" &amp; TEXT(AW$6,"yyyymm")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X91" s="8">
        <f>IFERROR(
GETPIVOTDATA(
"[Base].[Importe]",
TDinamica_R!$A$5,
"[Calendario].[AñoMes]",
"[Calendario].[AñoMes].&amp;[" &amp; TEXT(AX$6,"yyyymm")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Y91" s="8">
        <f>IFERROR(
GETPIVOTDATA(
"[Base].[Importe]",
TDinamica_R!$A$5,
"[Calendario].[AñoMes]",
"[Calendario].[AñoMes].&amp;[" &amp; TEXT(AY$6,"yyyymm")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Z91" s="8">
        <f>IFERROR(
GETPIVOTDATA(
"[BASE_CONVE_PPTO].[Importe]",
TDinamica_P!$A$5,
"[BASE_CONVE_PPTO].[Periodo]",
"[BASE_CONVE_PPTO].[Periodo].&amp;[" &amp; TEXT(AZ$6,"yyyymm")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A91" s="8">
        <f>IFERROR(
GETPIVOTDATA(
"[BASE_CONVE_PPTO].[Importe]",
TDinamica_P!$A$5,
"[BASE_CONVE_PPTO].[Periodo]",
"[BASE_CONVE_PPTO].[Periodo].&amp;[" &amp; TEXT(BA$6,"yyyymm")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B91" s="8">
        <f>IFERROR(
GETPIVOTDATA(
"[BASE_CONVE_PPTO].[Importe]",
TDinamica_P!$A$5,
"[BASE_CONVE_PPTO].[Periodo]",
"[BASE_CONVE_PPTO].[Periodo].&amp;[" &amp; TEXT(BB$6,"yyyymm")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C91" s="8">
        <f>IFERROR(
GETPIVOTDATA(
"[BASE_CONVE_PPTO].[Importe]",
TDinamica_P!$A$5,
"[BASE_CONVE_PPTO].[Periodo]",
"[BASE_CONVE_PPTO].[Periodo].&amp;[" &amp; TEXT(BC$6,"yyyymm")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D91" s="8">
        <f>IFERROR(
GETPIVOTDATA(
"[BASE_CONVE_PPTO].[Importe]",
TDinamica_P!$A$5,
"[BASE_CONVE_PPTO].[Periodo]",
"[BASE_CONVE_PPTO].[Periodo].&amp;[" &amp; TEXT(BD$6,"yyyymm")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E91" s="8">
        <f>IFERROR(
GETPIVOTDATA(
"[BASE_CONVE_PPTO].[Importe]",
TDinamica_P!$A$5,
"[BASE_CONVE_PPTO].[Periodo]",
"[BASE_CONVE_PPTO].[Periodo].&amp;[" &amp; TEXT(BE$6,"yyyymm")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F91" s="8">
        <f>IFERROR(
GETPIVOTDATA(
"[BASE_CONVE_PPTO].[Importe]",
TDinamica_P!$A$5,
"[BASE_CONVE_PPTO].[Periodo]",
"[BASE_CONVE_PPTO].[Periodo].&amp;[" &amp; TEXT(BF$6,"yyyymm")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G91" s="8">
        <f>IFERROR(
GETPIVOTDATA(
"[BASE_CONVE_PPTO].[Importe]",
TDinamica_P!$A$5,
"[BASE_CONVE_PPTO].[Periodo]",
"[BASE_CONVE_PPTO].[Periodo].&amp;[" &amp; TEXT(BG$6,"yyyymm")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H91" s="8">
        <f>IFERROR(
GETPIVOTDATA(
"[BASE_CONVE_PPTO].[Importe]",
TDinamica_P!$A$5,
"[BASE_CONVE_PPTO].[Periodo]",
"[BASE_CONVE_PPTO].[Periodo].&amp;[" &amp; TEXT(BH$6,"yyyymm")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I91" s="8">
        <f>IFERROR(
GETPIVOTDATA(
"[BASE_CONVE_PPTO].[Importe]",
TDinamica_P!$A$5,
"[BASE_CONVE_PPTO].[Periodo]",
"[BASE_CONVE_PPTO].[Periodo].&amp;[" &amp; TEXT(BI$6,"yyyymm")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J91" s="8">
        <f>IFERROR(
GETPIVOTDATA(
"[BASE_CONVE_PPTO].[Importe]",
TDinamica_P!$A$5,
"[BASE_CONVE_PPTO].[Periodo]",
"[BASE_CONVE_PPTO].[Periodo].&amp;[" &amp; TEXT(BJ$6,"yyyymm")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K91" s="8">
        <f>IFERROR(
GETPIVOTDATA(
"[BASE_CONVE_PPTO].[Importe]",
TDinamica_P!$A$5,
"[BASE_CONVE_PPTO].[Periodo]",
"[BASE_CONVE_PPTO].[Periodo].&amp;[" &amp; TEXT(BK$6,"yyyymm")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O91" s="24">
        <f t="shared" ref="BO91:BT92" si="207">SUMIFS($D91:$BM91,$D$6:$BM$6,"&gt;="&amp;BO$2,$D$6:$BM$6,"&lt;="&amp;BO$6,$D$5:$BM$5,BO$5)</f>
        <v>-14.521882688781451</v>
      </c>
      <c r="BP91" s="24">
        <f t="shared" si="207"/>
        <v>0</v>
      </c>
      <c r="BQ91" s="24">
        <f t="shared" si="207"/>
        <v>-11.450060552212701</v>
      </c>
      <c r="BR91" s="24">
        <f t="shared" si="207"/>
        <v>-13.12711650302748</v>
      </c>
      <c r="BS91" s="24">
        <f t="shared" si="207"/>
        <v>-13.37676840642821</v>
      </c>
      <c r="BT91" s="24">
        <f t="shared" si="207"/>
        <v>-15.43110266912338</v>
      </c>
    </row>
    <row r="92" spans="1:72" outlineLevel="1" x14ac:dyDescent="0.25">
      <c r="A92" s="11" t="s">
        <v>80</v>
      </c>
      <c r="C92" s="2" t="s">
        <v>48</v>
      </c>
      <c r="D92" s="8">
        <f>IFERROR(
GETPIVOTDATA(
"[Base].[Importe]",
TDinamica_R!$A$5,
"[Calendario].[AñoMes]",
"[Calendario].[AñoMes].&amp;[" &amp; TEXT(D$6,"yyyymm") &amp; "]",
"[Base].[Metrica]",
"[Base].[Metrica].&amp;[" &amp; $A92 &amp; "]",
"[Base].[SEGMENTO_DESCRIP]",
"[Base].[SEGMENTO_DESCRIP].&amp;[" &amp; $C$6 &amp; "]",
"[Base].[SITUACION]",
"[Base].[SITUACION].&amp;[" &amp; $C92 &amp; "]"
),0)/1000</f>
        <v>-1.8990851115720002</v>
      </c>
      <c r="E92" s="8">
        <f>IFERROR(
GETPIVOTDATA(
"[Base].[Importe]",
TDinamica_R!$A$5,
"[Calendario].[AñoMes]",
"[Calendario].[AñoMes].&amp;[" &amp; TEXT(E$6,"yyyymm") &amp; "]",
"[Base].[Metrica]",
"[Base].[Metrica].&amp;[" &amp; $A92 &amp; "]",
"[Base].[SEGMENTO_DESCRIP]",
"[Base].[SEGMENTO_DESCRIP].&amp;[" &amp; $C$6 &amp; "]",
"[Base].[SITUACION]",
"[Base].[SITUACION].&amp;[" &amp; $C92 &amp; "]"
),0)/1000</f>
        <v>-2.3676985775643455</v>
      </c>
      <c r="F92" s="8">
        <f>IFERROR(
GETPIVOTDATA(
"[Base].[Importe]",
TDinamica_R!$A$5,
"[Calendario].[AñoMes]",
"[Calendario].[AñoMes].&amp;[" &amp; TEXT(F$6,"yyyymm") &amp; "]",
"[Base].[Metrica]",
"[Base].[Metrica].&amp;[" &amp; $A92 &amp; "]",
"[Base].[SEGMENTO_DESCRIP]",
"[Base].[SEGMENTO_DESCRIP].&amp;[" &amp; $C$6 &amp; "]",
"[Base].[SITUACION]",
"[Base].[SITUACION].&amp;[" &amp; $C92 &amp; "]"
),0)/1000</f>
        <v>-3.7925305383814192</v>
      </c>
      <c r="G92" s="8">
        <f>IFERROR(
GETPIVOTDATA(
"[Base].[Importe]",
TDinamica_R!$A$5,
"[Calendario].[AñoMes]",
"[Calendario].[AñoMes].&amp;[" &amp; TEXT(G$6,"yyyymm") &amp; "]",
"[Base].[Metrica]",
"[Base].[Metrica].&amp;[" &amp; $A92 &amp; "]",
"[Base].[SEGMENTO_DESCRIP]",
"[Base].[SEGMENTO_DESCRIP].&amp;[" &amp; $C$6 &amp; "]",
"[Base].[SITUACION]",
"[Base].[SITUACION].&amp;[" &amp; $C92 &amp; "]"
),0)/1000</f>
        <v>-2.4884109663450182</v>
      </c>
      <c r="H92" s="8">
        <f>IFERROR(
GETPIVOTDATA(
"[Base].[Importe]",
TDinamica_R!$A$5,
"[Calendario].[AñoMes]",
"[Calendario].[AñoMes].&amp;[" &amp; TEXT(H$6,"yyyymm") &amp; "]",
"[Base].[Metrica]",
"[Base].[Metrica].&amp;[" &amp; $A92 &amp; "]",
"[Base].[SEGMENTO_DESCRIP]",
"[Base].[SEGMENTO_DESCRIP].&amp;[" &amp; $C$6 &amp; "]",
"[Base].[SITUACION]",
"[Base].[SITUACION].&amp;[" &amp; $C92 &amp; "]"
),0)/1000</f>
        <v>-2.2159223205200909</v>
      </c>
      <c r="I92" s="8">
        <f>IFERROR(
GETPIVOTDATA(
"[Base].[Importe]",
TDinamica_R!$A$5,
"[Calendario].[AñoMes]",
"[Calendario].[AñoMes].&amp;[" &amp; TEXT(I$6,"yyyymm") &amp; "]",
"[Base].[Metrica]",
"[Base].[Metrica].&amp;[" &amp; $A92 &amp; "]",
"[Base].[SEGMENTO_DESCRIP]",
"[Base].[SEGMENTO_DESCRIP].&amp;[" &amp; $C$6 &amp; "]",
"[Base].[SITUACION]",
"[Base].[SITUACION].&amp;[" &amp; $C92 &amp; "]"
),0)/1000</f>
        <v>-2.8004301515591994</v>
      </c>
      <c r="J92" s="8">
        <f>IFERROR(
GETPIVOTDATA(
"[Base].[Importe]",
TDinamica_R!$A$5,
"[Calendario].[AñoMes]",
"[Calendario].[AñoMes].&amp;[" &amp; TEXT(J$6,"yyyymm") &amp; "]",
"[Base].[Metrica]",
"[Base].[Metrica].&amp;[" &amp; $A92 &amp; "]",
"[Base].[SEGMENTO_DESCRIP]",
"[Base].[SEGMENTO_DESCRIP].&amp;[" &amp; $C$6 &amp; "]",
"[Base].[SITUACION]",
"[Base].[SITUACION].&amp;[" &amp; $C92 &amp; "]"
),0)/1000</f>
        <v>-4.3360756822322388</v>
      </c>
      <c r="K92" s="8">
        <f>IFERROR(
GETPIVOTDATA(
"[Base].[Importe]",
TDinamica_R!$A$5,
"[Calendario].[AñoMes]",
"[Calendario].[AñoMes].&amp;[" &amp; TEXT(K$6,"yyyymm") &amp; "]",
"[Base].[Metrica]",
"[Base].[Metrica].&amp;[" &amp; $A92 &amp; "]",
"[Base].[SEGMENTO_DESCRIP]",
"[Base].[SEGMENTO_DESCRIP].&amp;[" &amp; $C$6 &amp; "]",
"[Base].[SITUACION]",
"[Base].[SITUACION].&amp;[" &amp; $C92 &amp; "]"
),0)/1000</f>
        <v>-1.5436196499554797</v>
      </c>
      <c r="L92" s="8">
        <f>IFERROR(
GETPIVOTDATA(
"[Base].[Importe]",
TDinamica_R!$A$5,
"[Calendario].[AñoMes]",
"[Calendario].[AñoMes].&amp;[" &amp; TEXT(L$6,"yyyymm") &amp; "]",
"[Base].[Metrica]",
"[Base].[Metrica].&amp;[" &amp; $A92 &amp; "]",
"[Base].[SEGMENTO_DESCRIP]",
"[Base].[SEGMENTO_DESCRIP].&amp;[" &amp; $C$6 &amp; "]",
"[Base].[SITUACION]",
"[Base].[SITUACION].&amp;[" &amp; $C92 &amp; "]"
),0)/1000</f>
        <v>-2.8226760774638393</v>
      </c>
      <c r="M92" s="8">
        <f>IFERROR(
GETPIVOTDATA(
"[Base].[Importe]",
TDinamica_R!$A$5,
"[Calendario].[AñoMes]",
"[Calendario].[AñoMes].&amp;[" &amp; TEXT(M$6,"yyyymm") &amp; "]",
"[Base].[Metrica]",
"[Base].[Metrica].&amp;[" &amp; $A92 &amp; "]",
"[Base].[SEGMENTO_DESCRIP]",
"[Base].[SEGMENTO_DESCRIP].&amp;[" &amp; $C$6 &amp; "]",
"[Base].[SITUACION]",
"[Base].[SITUACION].&amp;[" &amp; $C92 &amp; "]"
),0)/1000</f>
        <v>-2.5798403161436791</v>
      </c>
      <c r="N92" s="8">
        <f>IFERROR(
GETPIVOTDATA(
"[Base].[Importe]",
TDinamica_R!$A$5,
"[Calendario].[AñoMes]",
"[Calendario].[AñoMes].&amp;[" &amp; TEXT(N$6,"yyyymm") &amp; "]",
"[Base].[Metrica]",
"[Base].[Metrica].&amp;[" &amp; $A92 &amp; "]",
"[Base].[SEGMENTO_DESCRIP]",
"[Base].[SEGMENTO_DESCRIP].&amp;[" &amp; $C$6 &amp; "]",
"[Base].[SITUACION]",
"[Base].[SITUACION].&amp;[" &amp; $C92 &amp; "]"
),0)/1000</f>
        <v>-2.1665469737254401</v>
      </c>
      <c r="O92" s="8">
        <f>IFERROR(
GETPIVOTDATA(
"[Base].[Importe]",
TDinamica_R!$A$5,
"[Calendario].[AñoMes]",
"[Calendario].[AñoMes].&amp;[" &amp; TEXT(O$6,"yyyymm") &amp; "]",
"[Base].[Metrica]",
"[Base].[Metrica].&amp;[" &amp; $A92 &amp; "]",
"[Base].[SEGMENTO_DESCRIP]",
"[Base].[SEGMENTO_DESCRIP].&amp;[" &amp; $C$6 &amp; "]",
"[Base].[SITUACION]",
"[Base].[SITUACION].&amp;[" &amp; $C92 &amp; "]"
),0)/1000</f>
        <v>-6.0226546879027234</v>
      </c>
      <c r="P92" s="8">
        <f>IFERROR(
GETPIVOTDATA(
"[Base].[Importe]",
TDinamica_R!$A$5,
"[Calendario].[AñoMes]",
"[Calendario].[AñoMes].&amp;[" &amp; TEXT(P$6,"yyyymm") &amp; "]",
"[Base].[Metrica]",
"[Base].[Metrica].&amp;[" &amp; $A92 &amp; "]",
"[Base].[SEGMENTO_DESCRIP]",
"[Base].[SEGMENTO_DESCRIP].&amp;[" &amp; $C$6 &amp; "]",
"[Base].[SITUACION]",
"[Base].[SITUACION].&amp;[" &amp; $C92 &amp; "]"
),0)/1000</f>
        <v>-4.9145993454628787</v>
      </c>
      <c r="Q92" s="8">
        <f>IFERROR(
GETPIVOTDATA(
"[Base].[Importe]",
TDinamica_R!$A$5,
"[Calendario].[AñoMes]",
"[Calendario].[AñoMes].&amp;[" &amp; TEXT(Q$6,"yyyymm") &amp; "]",
"[Base].[Metrica]",
"[Base].[Metrica].&amp;[" &amp; $A92 &amp; "]",
"[Base].[SEGMENTO_DESCRIP]",
"[Base].[SEGMENTO_DESCRIP].&amp;[" &amp; $C$6 &amp; "]",
"[Base].[SITUACION]",
"[Base].[SITUACION].&amp;[" &amp; $C92 &amp; "]"
),0)/1000</f>
        <v>-7.3419583776347332</v>
      </c>
      <c r="R92" s="8">
        <f>IFERROR(
GETPIVOTDATA(
"[Base].[Importe]",
TDinamica_R!$A$5,
"[Calendario].[AñoMes]",
"[Calendario].[AñoMes].&amp;[" &amp; TEXT(R$6,"yyyymm") &amp; "]",
"[Base].[Metrica]",
"[Base].[Metrica].&amp;[" &amp; $A92 &amp; "]",
"[Base].[SEGMENTO_DESCRIP]",
"[Base].[SEGMENTO_DESCRIP].&amp;[" &amp; $C$6 &amp; "]",
"[Base].[SITUACION]",
"[Base].[SITUACION].&amp;[" &amp; $C92 &amp; "]"
),0)/1000</f>
        <v>-11.396666956217262</v>
      </c>
      <c r="S92" s="8">
        <f>IFERROR(
GETPIVOTDATA(
"[Base].[Importe]",
TDinamica_R!$A$5,
"[Calendario].[AñoMes]",
"[Calendario].[AñoMes].&amp;[" &amp; TEXT(S$6,"yyyymm") &amp; "]",
"[Base].[Metrica]",
"[Base].[Metrica].&amp;[" &amp; $A92 &amp; "]",
"[Base].[SEGMENTO_DESCRIP]",
"[Base].[SEGMENTO_DESCRIP].&amp;[" &amp; $C$6 &amp; "]",
"[Base].[SITUACION]",
"[Base].[SITUACION].&amp;[" &amp; $C92 &amp; "]"
),0)/1000</f>
        <v>-5.9766447868405583</v>
      </c>
      <c r="T92" s="8">
        <f>IFERROR(
GETPIVOTDATA(
"[Base].[Importe]",
TDinamica_R!$A$5,
"[Calendario].[AñoMes]",
"[Calendario].[AñoMes].&amp;[" &amp; TEXT(T$6,"yyyymm") &amp; "]",
"[Base].[Metrica]",
"[Base].[Metrica].&amp;[" &amp; $A92 &amp; "]",
"[Base].[SEGMENTO_DESCRIP]",
"[Base].[SEGMENTO_DESCRIP].&amp;[" &amp; $C$6 &amp; "]",
"[Base].[SITUACION]",
"[Base].[SITUACION].&amp;[" &amp; $C92 &amp; "]"
),0)/1000</f>
        <v>-8.3963270832815713</v>
      </c>
      <c r="U92" s="8">
        <f>IFERROR(
GETPIVOTDATA(
"[Base].[Importe]",
TDinamica_R!$A$5,
"[Calendario].[AñoMes]",
"[Calendario].[AñoMes].&amp;[" &amp; TEXT(U$6,"yyyymm") &amp; "]",
"[Base].[Metrica]",
"[Base].[Metrica].&amp;[" &amp; $A92 &amp; "]",
"[Base].[SEGMENTO_DESCRIP]",
"[Base].[SEGMENTO_DESCRIP].&amp;[" &amp; $C$6 &amp; "]",
"[Base].[SITUACION]",
"[Base].[SITUACION].&amp;[" &amp; $C92 &amp; "]"
),0)/1000</f>
        <v>-7.6177812481828804</v>
      </c>
      <c r="V92" s="8">
        <f>IFERROR(
GETPIVOTDATA(
"[Base].[Importe]",
TDinamica_R!$A$5,
"[Calendario].[AñoMes]",
"[Calendario].[AñoMes].&amp;[" &amp; TEXT(V$6,"yyyymm") &amp; "]",
"[Base].[Metrica]",
"[Base].[Metrica].&amp;[" &amp; $A92 &amp; "]",
"[Base].[SEGMENTO_DESCRIP]",
"[Base].[SEGMENTO_DESCRIP].&amp;[" &amp; $C$6 &amp; "]",
"[Base].[SITUACION]",
"[Base].[SITUACION].&amp;[" &amp; $C92 &amp; "]"
),0)/1000</f>
        <v>-3.6412461732392498</v>
      </c>
      <c r="W92" s="8">
        <f>IFERROR(
GETPIVOTDATA(
"[Base].[Importe]",
TDinamica_R!$A$5,
"[Calendario].[AñoMes]",
"[Calendario].[AñoMes].&amp;[" &amp; TEXT(W$6,"yyyymm") &amp; "]",
"[Base].[Metrica]",
"[Base].[Metrica].&amp;[" &amp; $A92 &amp; "]",
"[Base].[SEGMENTO_DESCRIP]",
"[Base].[SEGMENTO_DESCRIP].&amp;[" &amp; $C$6 &amp; "]",
"[Base].[SITUACION]",
"[Base].[SITUACION].&amp;[" &amp; $C92 &amp; "]"
),0)/1000</f>
        <v>-5.6020682401500279</v>
      </c>
      <c r="X92" s="8">
        <f>IFERROR(
GETPIVOTDATA(
"[Base].[Importe]",
TDinamica_R!$A$5,
"[Calendario].[AñoMes]",
"[Calendario].[AñoMes].&amp;[" &amp; TEXT(X$6,"yyyymm") &amp; "]",
"[Base].[Metrica]",
"[Base].[Metrica].&amp;[" &amp; $A92 &amp; "]",
"[Base].[SEGMENTO_DESCRIP]",
"[Base].[SEGMENTO_DESCRIP].&amp;[" &amp; $C$6 &amp; "]",
"[Base].[SITUACION]",
"[Base].[SITUACION].&amp;[" &amp; $C92 &amp; "]"
),0)/1000</f>
        <v>-6.2741148800490825</v>
      </c>
      <c r="Y92" s="8">
        <f>IFERROR(
GETPIVOTDATA(
"[Base].[Importe]",
TDinamica_R!$A$5,
"[Calendario].[AñoMes]",
"[Calendario].[AñoMes].&amp;[" &amp; TEXT(Y$6,"yyyymm") &amp; "]",
"[Base].[Metrica]",
"[Base].[Metrica].&amp;[" &amp; $A92 &amp; "]",
"[Base].[SEGMENTO_DESCRIP]",
"[Base].[SEGMENTO_DESCRIP].&amp;[" &amp; $C$6 &amp; "]",
"[Base].[SITUACION]",
"[Base].[SITUACION].&amp;[" &amp; $C92 &amp; "]"
),0)/1000</f>
        <v>-4.0869822576038395</v>
      </c>
      <c r="Z92" s="8">
        <f>IFERROR(
GETPIVOTDATA(
"[Base].[Importe]",
TDinamica_R!$A$5,
"[Calendario].[AñoMes]",
"[Calendario].[AñoMes].&amp;[" &amp; TEXT(Z$6,"yyyymm") &amp; "]",
"[Base].[Metrica]",
"[Base].[Metrica].&amp;[" &amp; $A92 &amp; "]",
"[Base].[SEGMENTO_DESCRIP]",
"[Base].[SEGMENTO_DESCRIP].&amp;[" &amp; $C$6 &amp; "]",
"[Base].[SITUACION]",
"[Base].[SITUACION].&amp;[" &amp; $C92 &amp; "]"
),0)/1000</f>
        <v>-7.3494876162602223</v>
      </c>
      <c r="AA92" s="8">
        <f>IFERROR(
GETPIVOTDATA(
"[Base].[Importe]",
TDinamica_R!$A$5,
"[Calendario].[AñoMes]",
"[Calendario].[AñoMes].&amp;[" &amp; TEXT(AA$6,"yyyymm") &amp; "]",
"[Base].[Metrica]",
"[Base].[Metrica].&amp;[" &amp; $A92 &amp; "]",
"[Base].[SEGMENTO_DESCRIP]",
"[Base].[SEGMENTO_DESCRIP].&amp;[" &amp; $C$6 &amp; "]",
"[Base].[SITUACION]",
"[Base].[SITUACION].&amp;[" &amp; $C92 &amp; "]"
),0)/1000</f>
        <v>-2.2482384204641632</v>
      </c>
      <c r="AB92" s="8">
        <f>IFERROR(
GETPIVOTDATA(
"[Base].[Importe]",
TDinamica_R!$A$5,
"[Calendario].[AñoMes]",
"[Calendario].[AñoMes].&amp;[" &amp; TEXT(AB$6,"yyyymm") &amp; "]",
"[Base].[Metrica]",
"[Base].[Metrica].&amp;[" &amp; $A92 &amp; "]",
"[Base].[SEGMENTO_DESCRIP]",
"[Base].[SEGMENTO_DESCRIP].&amp;[" &amp; $C$6 &amp; "]",
"[Base].[SITUACION]",
"[Base].[SITUACION].&amp;[" &amp; $C92 &amp; "]"
),0)/1000</f>
        <v>-3.2089534355161802</v>
      </c>
      <c r="AC92" s="8">
        <f>IFERROR(
GETPIVOTDATA(
"[Base].[Importe]",
TDinamica_R!$A$5,
"[Calendario].[AñoMes]",
"[Calendario].[AñoMes].&amp;[" &amp; TEXT(AC$6,"yyyymm") &amp; "]",
"[Base].[Metrica]",
"[Base].[Metrica].&amp;[" &amp; $A92 &amp; "]",
"[Base].[SEGMENTO_DESCRIP]",
"[Base].[SEGMENTO_DESCRIP].&amp;[" &amp; $C$6 &amp; "]",
"[Base].[SITUACION]",
"[Base].[SITUACION].&amp;[" &amp; $C92 &amp; "]"
),0)/1000</f>
        <v>-4.5077684069035984</v>
      </c>
      <c r="AD92" s="8">
        <f>IFERROR(
GETPIVOTDATA(
"[Base].[Importe]",
TDinamica_R!$A$5,
"[Calendario].[AñoMes]",
"[Calendario].[AñoMes].&amp;[" &amp; TEXT(AD$6,"yyyymm") &amp; "]",
"[Base].[Metrica]",
"[Base].[Metrica].&amp;[" &amp; $A92 &amp; "]",
"[Base].[SEGMENTO_DESCRIP]",
"[Base].[SEGMENTO_DESCRIP].&amp;[" &amp; $C$6 &amp; "]",
"[Base].[SITUACION]",
"[Base].[SITUACION].&amp;[" &amp; $C92 &amp; "]"
),0)/1000</f>
        <v>-2.6519289023713002</v>
      </c>
      <c r="AE92" s="8">
        <f>IFERROR(
GETPIVOTDATA(
"[Base].[Importe]",
TDinamica_R!$A$5,
"[Calendario].[AñoMes]",
"[Calendario].[AñoMes].&amp;[" &amp; TEXT(AE$6,"yyyymm") &amp; "]",
"[Base].[Metrica]",
"[Base].[Metrica].&amp;[" &amp; $A92 &amp; "]",
"[Base].[SEGMENTO_DESCRIP]",
"[Base].[SEGMENTO_DESCRIP].&amp;[" &amp; $C$6 &amp; "]",
"[Base].[SITUACION]",
"[Base].[SITUACION].&amp;[" &amp; $C92 &amp; "]"
),0)/1000</f>
        <v>-3.3164180728309507</v>
      </c>
      <c r="AF92" s="8">
        <f>IFERROR(
GETPIVOTDATA(
"[Base].[Importe]",
TDinamica_R!$A$5,
"[Calendario].[AñoMes]",
"[Calendario].[AñoMes].&amp;[" &amp; TEXT(AF$6,"yyyymm") &amp; "]",
"[Base].[Metrica]",
"[Base].[Metrica].&amp;[" &amp; $A92 &amp; "]",
"[Base].[SEGMENTO_DESCRIP]",
"[Base].[SEGMENTO_DESCRIP].&amp;[" &amp; $C$6 &amp; "]",
"[Base].[SITUACION]",
"[Base].[SITUACION].&amp;[" &amp; $C92 &amp; "]"
),0)/1000</f>
        <v>-4.5131413200818828</v>
      </c>
      <c r="AG92" s="8">
        <f>IFERROR(
GETPIVOTDATA(
"[Base].[Importe]",
TDinamica_R!$A$5,
"[Calendario].[AñoMes]",
"[Calendario].[AñoMes].&amp;[" &amp; TEXT(AG$6,"yyyymm") &amp; "]",
"[Base].[Metrica]",
"[Base].[Metrica].&amp;[" &amp; $A92 &amp; "]",
"[Base].[SEGMENTO_DESCRIP]",
"[Base].[SEGMENTO_DESCRIP].&amp;[" &amp; $C$6 &amp; "]",
"[Base].[SITUACION]",
"[Base].[SITUACION].&amp;[" &amp; $C92 &amp; "]"
),0)/1000</f>
        <v>-7.0417441401989498</v>
      </c>
      <c r="AH92" s="8">
        <f>IFERROR(
GETPIVOTDATA(
"[Base].[Importe]",
TDinamica_R!$A$5,
"[Calendario].[AñoMes]",
"[Calendario].[AñoMes].&amp;[" &amp; TEXT(AH$6,"yyyymm") &amp; "]",
"[Base].[Metrica]",
"[Base].[Metrica].&amp;[" &amp; $A92 &amp; "]",
"[Base].[SEGMENTO_DESCRIP]",
"[Base].[SEGMENTO_DESCRIP].&amp;[" &amp; $C$6 &amp; "]",
"[Base].[SITUACION]",
"[Base].[SITUACION].&amp;[" &amp; $C92 &amp; "]"
),0)/1000</f>
        <v>-5.4997143221671196</v>
      </c>
      <c r="AI92" s="8">
        <f>IFERROR(
GETPIVOTDATA(
"[Base].[Importe]",
TDinamica_R!$A$5,
"[Calendario].[AñoMes]",
"[Calendario].[AñoMes].&amp;[" &amp; TEXT(AI$6,"yyyymm") &amp; "]",
"[Base].[Metrica]",
"[Base].[Metrica].&amp;[" &amp; $A92 &amp; "]",
"[Base].[SEGMENTO_DESCRIP]",
"[Base].[SEGMENTO_DESCRIP].&amp;[" &amp; $C$6 &amp; "]",
"[Base].[SITUACION]",
"[Base].[SITUACION].&amp;[" &amp; $C92 &amp; "]"
),0)/1000</f>
        <v>-3.2491474455176004</v>
      </c>
      <c r="AJ92" s="8">
        <f>IFERROR(
GETPIVOTDATA(
"[Base].[Importe]",
TDinamica_R!$A$5,
"[Calendario].[AñoMes]",
"[Calendario].[AñoMes].&amp;[" &amp; TEXT(AJ$6,"yyyymm") &amp; "]",
"[Base].[Metrica]",
"[Base].[Metrica].&amp;[" &amp; $A92 &amp; "]",
"[Base].[SEGMENTO_DESCRIP]",
"[Base].[SEGMENTO_DESCRIP].&amp;[" &amp; $C$6 &amp; "]",
"[Base].[SITUACION]",
"[Base].[SITUACION].&amp;[" &amp; $C92 &amp; "]"
),0)/1000</f>
        <v>-3.2162249777120877</v>
      </c>
      <c r="AK92" s="8">
        <f>IFERROR(
GETPIVOTDATA(
"[Base].[Importe]",
TDinamica_R!$A$5,
"[Calendario].[AñoMes]",
"[Calendario].[AñoMes].&amp;[" &amp; TEXT(AK$6,"yyyymm") &amp; "]",
"[Base].[Metrica]",
"[Base].[Metrica].&amp;[" &amp; $A92 &amp; "]",
"[Base].[SEGMENTO_DESCRIP]",
"[Base].[SEGMENTO_DESCRIP].&amp;[" &amp; $C$6 &amp; "]",
"[Base].[SITUACION]",
"[Base].[SITUACION].&amp;[" &amp; $C92 &amp; "]"
),0)/1000</f>
        <v>-3.3199009055452269</v>
      </c>
      <c r="AL92" s="8">
        <f>IFERROR(
GETPIVOTDATA(
"[Base].[Importe]",
TDinamica_R!$A$5,
"[Calendario].[AñoMes]",
"[Calendario].[AñoMes].&amp;[" &amp; TEXT(AL$6,"yyyymm") &amp; "]",
"[Base].[Metrica]",
"[Base].[Metrica].&amp;[" &amp; $A92 &amp; "]",
"[Base].[SEGMENTO_DESCRIP]",
"[Base].[SEGMENTO_DESCRIP].&amp;[" &amp; $C$6 &amp; "]",
"[Base].[SITUACION]",
"[Base].[SITUACION].&amp;[" &amp; $C92 &amp; "]"
),0)/1000</f>
        <v>-3.05109824312696</v>
      </c>
      <c r="AM92" s="8">
        <f>IFERROR(
GETPIVOTDATA(
"[Base].[Importe]",
TDinamica_R!$A$5,
"[Calendario].[AñoMes]",
"[Calendario].[AñoMes].&amp;[" &amp; TEXT(AM$6,"yyyymm") &amp; "]",
"[Base].[Metrica]",
"[Base].[Metrica].&amp;[" &amp; $A92 &amp; "]",
"[Base].[SEGMENTO_DESCRIP]",
"[Base].[SEGMENTO_DESCRIP].&amp;[" &amp; $C$6 &amp; "]",
"[Base].[SITUACION]",
"[Base].[SITUACION].&amp;[" &amp; $C92 &amp; "]"
),0)/1000</f>
        <v>-7.4380973813326214</v>
      </c>
      <c r="AN92" s="8">
        <f>IFERROR(
GETPIVOTDATA(
"[Base].[Importe]",
TDinamica_R!$A$5,
"[Calendario].[AñoMes]",
"[Calendario].[AñoMes].&amp;[" &amp; TEXT(AN$6,"yyyymm") &amp; "]",
"[Base].[Metrica]",
"[Base].[Metrica].&amp;[" &amp; $A92 &amp; "]",
"[Base].[SEGMENTO_DESCRIP]",
"[Base].[SEGMENTO_DESCRIP].&amp;[" &amp; $C$6 &amp; "]",
"[Base].[SITUACION]",
"[Base].[SITUACION].&amp;[" &amp; $C92 &amp; "]"
),0)/1000</f>
        <v>-3.1537552195838456</v>
      </c>
      <c r="AO92" s="8">
        <f>IFERROR(
GETPIVOTDATA(
"[Base].[Importe]",
TDinamica_R!$A$5,
"[Calendario].[AñoMes]",
"[Calendario].[AñoMes].&amp;[" &amp; TEXT(AO$6,"yyyymm") &amp; "]",
"[Base].[Metrica]",
"[Base].[Metrica].&amp;[" &amp; $A92 &amp; "]",
"[Base].[SEGMENTO_DESCRIP]",
"[Base].[SEGMENTO_DESCRIP].&amp;[" &amp; $C$6 &amp; "]",
"[Base].[SITUACION]",
"[Base].[SITUACION].&amp;[" &amp; $C92 &amp; "]"
),0)/1000</f>
        <v>-3.2956755573527627</v>
      </c>
      <c r="AP92" s="8">
        <f>IFERROR(
GETPIVOTDATA(
"[Base].[Importe]",
TDinamica_R!$A$5,
"[Calendario].[AñoMes]",
"[Calendario].[AñoMes].&amp;[" &amp; TEXT(AP$6,"yyyymm") &amp; "]",
"[Base].[Metrica]",
"[Base].[Metrica].&amp;[" &amp; $A92 &amp; "]",
"[Base].[SEGMENTO_DESCRIP]",
"[Base].[SEGMENTO_DESCRIP].&amp;[" &amp; $C$6 &amp; "]",
"[Base].[SITUACION]",
"[Base].[SITUACION].&amp;[" &amp; $C92 &amp; "]"
),0)/1000</f>
        <v>-2.260517640294414</v>
      </c>
      <c r="AQ92" s="8">
        <f>IFERROR(
GETPIVOTDATA(
"[Base].[Importe]",
TDinamica_R!$A$5,
"[Calendario].[AñoMes]",
"[Calendario].[AñoMes].&amp;[" &amp; TEXT(AQ$6,"yyyymm") &amp; "]",
"[Base].[Metrica]",
"[Base].[Metrica].&amp;[" &amp; $A92 &amp; "]",
"[Base].[SEGMENTO_DESCRIP]",
"[Base].[SEGMENTO_DESCRIP].&amp;[" &amp; $C$6 &amp; "]",
"[Base].[SITUACION]",
"[Base].[SITUACION].&amp;[" &amp; $C92 &amp; "]"
),0)/1000</f>
        <v>-4.4375747623444317</v>
      </c>
      <c r="AR92" s="8">
        <f>IFERROR(
GETPIVOTDATA(
"[Base].[Importe]",
TDinamica_R!$A$5,
"[Calendario].[AñoMes]",
"[Calendario].[AñoMes].&amp;[" &amp; TEXT(AR$6,"yyyymm") &amp; "]",
"[Base].[Metrica]",
"[Base].[Metrica].&amp;[" &amp; $A92 &amp; "]",
"[Base].[SEGMENTO_DESCRIP]",
"[Base].[SEGMENTO_DESCRIP].&amp;[" &amp; $C$6 &amp; "]",
"[Base].[SITUACION]",
"[Base].[SITUACION].&amp;[" &amp; $C92 &amp; "]"
),0)/1000</f>
        <v>-3.3695407771946226</v>
      </c>
      <c r="AS92" s="8">
        <f>IFERROR(
GETPIVOTDATA(
"[Base].[Importe]",
TDinamica_R!$A$5,
"[Calendario].[AñoMes]",
"[Calendario].[AñoMes].&amp;[" &amp; TEXT(AS$6,"yyyymm") &amp; "]",
"[Base].[Metrica]",
"[Base].[Metrica].&amp;[" &amp; $A92 &amp; "]",
"[Base].[SEGMENTO_DESCRIP]",
"[Base].[SEGMENTO_DESCRIP].&amp;[" &amp; $C$6 &amp; "]",
"[Base].[SITUACION]",
"[Base].[SITUACION].&amp;[" &amp; $C92 &amp; "]"
),0)/1000</f>
        <v>-5.575621207793521</v>
      </c>
      <c r="AT92" s="8">
        <f>IFERROR(
GETPIVOTDATA(
"[Base].[Importe]",
TDinamica_R!$A$5,
"[Calendario].[AñoMes]",
"[Calendario].[AñoMes].&amp;[" &amp; TEXT(AT$6,"yyyymm")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U92" s="8">
        <f>IFERROR(
GETPIVOTDATA(
"[Base].[Importe]",
TDinamica_R!$A$5,
"[Calendario].[AñoMes]",
"[Calendario].[AñoMes].&amp;[" &amp; TEXT(AU$6,"yyyymm")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V92" s="8">
        <f>IFERROR(
GETPIVOTDATA(
"[Base].[Importe]",
TDinamica_R!$A$5,
"[Calendario].[AñoMes]",
"[Calendario].[AñoMes].&amp;[" &amp; TEXT(AV$6,"yyyymm")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W92" s="8">
        <f>IFERROR(
GETPIVOTDATA(
"[Base].[Importe]",
TDinamica_R!$A$5,
"[Calendario].[AñoMes]",
"[Calendario].[AñoMes].&amp;[" &amp; TEXT(AW$6,"yyyymm")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X92" s="8">
        <f>IFERROR(
GETPIVOTDATA(
"[Base].[Importe]",
TDinamica_R!$A$5,
"[Calendario].[AñoMes]",
"[Calendario].[AñoMes].&amp;[" &amp; TEXT(AX$6,"yyyymm")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Y92" s="8">
        <f>IFERROR(
GETPIVOTDATA(
"[Base].[Importe]",
TDinamica_R!$A$5,
"[Calendario].[AñoMes]",
"[Calendario].[AñoMes].&amp;[" &amp; TEXT(AY$6,"yyyymm")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Z92" s="8">
        <f>IFERROR(
GETPIVOTDATA(
"[BASE_CONVE_PPTO].[Importe]",
TDinamica_P!$A$5,
"[BASE_CONVE_PPTO].[Periodo]",
"[BASE_CONVE_PPTO].[Periodo].&amp;[" &amp; TEXT(AZ$6,"yyyymm")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-4.7069227368873454</v>
      </c>
      <c r="BA92" s="8">
        <f>IFERROR(
GETPIVOTDATA(
"[BASE_CONVE_PPTO].[Importe]",
TDinamica_P!$A$5,
"[BASE_CONVE_PPTO].[Periodo]",
"[BASE_CONVE_PPTO].[Periodo].&amp;[" &amp; TEXT(BA$6,"yyyymm")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-3.8813017973970996</v>
      </c>
      <c r="BB92" s="8">
        <f>IFERROR(
GETPIVOTDATA(
"[BASE_CONVE_PPTO].[Importe]",
TDinamica_P!$A$5,
"[BASE_CONVE_PPTO].[Periodo]",
"[BASE_CONVE_PPTO].[Periodo].&amp;[" &amp; TEXT(BB$6,"yyyymm")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-4.1018046068874092</v>
      </c>
      <c r="BC92" s="8">
        <f>IFERROR(
GETPIVOTDATA(
"[BASE_CONVE_PPTO].[Importe]",
TDinamica_P!$A$5,
"[BASE_CONVE_PPTO].[Periodo]",
"[BASE_CONVE_PPTO].[Periodo].&amp;[" &amp; TEXT(BC$6,"yyyymm")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-4.1106786082138713</v>
      </c>
      <c r="BD92" s="8">
        <f>IFERROR(
GETPIVOTDATA(
"[BASE_CONVE_PPTO].[Importe]",
TDinamica_P!$A$5,
"[BASE_CONVE_PPTO].[Periodo]",
"[BASE_CONVE_PPTO].[Periodo].&amp;[" &amp; TEXT(BD$6,"yyyymm")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-7.0412578681307156</v>
      </c>
      <c r="BE92" s="8">
        <f>IFERROR(
GETPIVOTDATA(
"[BASE_CONVE_PPTO].[Importe]",
TDinamica_P!$A$5,
"[BASE_CONVE_PPTO].[Periodo]",
"[BASE_CONVE_PPTO].[Periodo].&amp;[" &amp; TEXT(BE$6,"yyyymm")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-4.7406704963051283</v>
      </c>
      <c r="BF92" s="8">
        <f>IFERROR(
GETPIVOTDATA(
"[BASE_CONVE_PPTO].[Importe]",
TDinamica_P!$A$5,
"[BASE_CONVE_PPTO].[Periodo]",
"[BASE_CONVE_PPTO].[Periodo].&amp;[" &amp; TEXT(BF$6,"yyyymm")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-8.558367655170402</v>
      </c>
      <c r="BG92" s="8">
        <f>IFERROR(
GETPIVOTDATA(
"[BASE_CONVE_PPTO].[Importe]",
TDinamica_P!$A$5,
"[BASE_CONVE_PPTO].[Periodo]",
"[BASE_CONVE_PPTO].[Periodo].&amp;[" &amp; TEXT(BG$6,"yyyymm")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-3.9974035605868634</v>
      </c>
      <c r="BH92" s="8">
        <f>IFERROR(
GETPIVOTDATA(
"[BASE_CONVE_PPTO].[Importe]",
TDinamica_P!$A$5,
"[BASE_CONVE_PPTO].[Periodo]",
"[BASE_CONVE_PPTO].[Periodo].&amp;[" &amp; TEXT(BH$6,"yyyymm")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-4.312858937059822</v>
      </c>
      <c r="BI92" s="8">
        <f>IFERROR(
GETPIVOTDATA(
"[BASE_CONVE_PPTO].[Importe]",
TDinamica_P!$A$5,
"[BASE_CONVE_PPTO].[Periodo]",
"[BASE_CONVE_PPTO].[Periodo].&amp;[" &amp; TEXT(BI$6,"yyyymm")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-4.3717250485251231</v>
      </c>
      <c r="BJ92" s="8">
        <f>IFERROR(
GETPIVOTDATA(
"[BASE_CONVE_PPTO].[Importe]",
TDinamica_P!$A$5,
"[BASE_CONVE_PPTO].[Periodo]",
"[BASE_CONVE_PPTO].[Periodo].&amp;[" &amp; TEXT(BJ$6,"yyyymm")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-4.4250474000268234</v>
      </c>
      <c r="BK92" s="8">
        <f>IFERROR(
GETPIVOTDATA(
"[BASE_CONVE_PPTO].[Importe]",
TDinamica_P!$A$5,
"[BASE_CONVE_PPTO].[Periodo]",
"[BASE_CONVE_PPTO].[Periodo].&amp;[" &amp; TEXT(BK$6,"yyyymm")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-9.1654917053216867</v>
      </c>
      <c r="BO92" s="24">
        <f t="shared" si="207"/>
        <v>-16.517063956770077</v>
      </c>
      <c r="BP92" s="24">
        <f t="shared" si="207"/>
        <v>-23.841965617516443</v>
      </c>
      <c r="BQ92" s="24">
        <f t="shared" si="207"/>
        <v>-13.147523179575455</v>
      </c>
      <c r="BR92" s="24">
        <f t="shared" si="207"/>
        <v>-18.198210137703914</v>
      </c>
      <c r="BS92" s="24">
        <f t="shared" si="207"/>
        <v>-38.026196549437003</v>
      </c>
      <c r="BT92" s="24">
        <f t="shared" si="207"/>
        <v>-12.763647514382875</v>
      </c>
    </row>
    <row r="93" spans="1:72" x14ac:dyDescent="0.25">
      <c r="C93" s="3" t="s">
        <v>80</v>
      </c>
      <c r="D93" s="10">
        <f>SUM(D91:D92)</f>
        <v>-4.5155064059294201</v>
      </c>
      <c r="E93" s="10">
        <f t="shared" ref="E93:AY93" si="208">SUM(E91:E92)</f>
        <v>-4.9862034632677759</v>
      </c>
      <c r="F93" s="10">
        <f t="shared" si="208"/>
        <v>-7.13532844434061</v>
      </c>
      <c r="G93" s="10">
        <f t="shared" si="208"/>
        <v>-5.3566722517727188</v>
      </c>
      <c r="H93" s="10">
        <f t="shared" si="208"/>
        <v>-6.2010396181957308</v>
      </c>
      <c r="I93" s="10">
        <f t="shared" si="208"/>
        <v>-5.5663231020895996</v>
      </c>
      <c r="J93" s="10">
        <f t="shared" si="208"/>
        <v>-7.6233005913556493</v>
      </c>
      <c r="K93" s="10">
        <f t="shared" si="208"/>
        <v>-4.3696981154816896</v>
      </c>
      <c r="L93" s="10">
        <f t="shared" si="208"/>
        <v>-5.4129217959354197</v>
      </c>
      <c r="M93" s="10">
        <f t="shared" si="208"/>
        <v>-6.0763675036054394</v>
      </c>
      <c r="N93" s="10">
        <f t="shared" si="208"/>
        <v>-5.7461270771461601</v>
      </c>
      <c r="O93" s="10">
        <f t="shared" si="208"/>
        <v>-8.8039746924124795</v>
      </c>
      <c r="P93" s="10">
        <f t="shared" si="208"/>
        <v>-7.3605223943813387</v>
      </c>
      <c r="Q93" s="10">
        <f t="shared" si="208"/>
        <v>-9.7955987600408729</v>
      </c>
      <c r="R93" s="10">
        <f t="shared" si="208"/>
        <v>-13.838102671712642</v>
      </c>
      <c r="S93" s="10">
        <f t="shared" si="208"/>
        <v>-8.5125369381701592</v>
      </c>
      <c r="T93" s="10">
        <f t="shared" si="208"/>
        <v>-11.896204191560201</v>
      </c>
      <c r="U93" s="10">
        <f t="shared" si="208"/>
        <v>-10.097725201788801</v>
      </c>
      <c r="V93" s="10">
        <f t="shared" si="208"/>
        <v>-6.8762439392064998</v>
      </c>
      <c r="W93" s="10">
        <f t="shared" si="208"/>
        <v>-7.8541493921080878</v>
      </c>
      <c r="X93" s="10">
        <f t="shared" si="208"/>
        <v>-8.6372867606458534</v>
      </c>
      <c r="Y93" s="10">
        <f t="shared" si="208"/>
        <v>-6.5782029431747997</v>
      </c>
      <c r="Z93" s="10">
        <f t="shared" si="208"/>
        <v>-10.546200564602772</v>
      </c>
      <c r="AA93" s="10">
        <f t="shared" si="208"/>
        <v>-5.5841643436867923</v>
      </c>
      <c r="AB93" s="10">
        <f t="shared" si="208"/>
        <v>-5.612376483584641</v>
      </c>
      <c r="AC93" s="10">
        <f t="shared" si="208"/>
        <v>-7.1305532404317979</v>
      </c>
      <c r="AD93" s="10">
        <f t="shared" si="208"/>
        <v>-5.1051881181031504</v>
      </c>
      <c r="AE93" s="10">
        <f t="shared" si="208"/>
        <v>-5.7563466216295209</v>
      </c>
      <c r="AF93" s="10">
        <f t="shared" si="208"/>
        <v>-7.7208621769822834</v>
      </c>
      <c r="AG93" s="10">
        <f t="shared" si="208"/>
        <v>-9.4843683557181002</v>
      </c>
      <c r="AH93" s="10">
        <f t="shared" si="208"/>
        <v>-8.590419851112479</v>
      </c>
      <c r="AI93" s="10">
        <f t="shared" si="208"/>
        <v>-6.0227055787369501</v>
      </c>
      <c r="AJ93" s="10">
        <f t="shared" si="208"/>
        <v>-5.4998729181600883</v>
      </c>
      <c r="AK93" s="10">
        <f t="shared" si="208"/>
        <v>-5.8572743547084674</v>
      </c>
      <c r="AL93" s="10">
        <f t="shared" si="208"/>
        <v>-5.9246766280765</v>
      </c>
      <c r="AM93" s="10">
        <f t="shared" si="208"/>
        <v>-12.308147115952615</v>
      </c>
      <c r="AN93" s="10">
        <f t="shared" si="208"/>
        <v>-5.5513736581078827</v>
      </c>
      <c r="AO93" s="10">
        <f t="shared" si="208"/>
        <v>-6.2095225917113019</v>
      </c>
      <c r="AP93" s="10">
        <f t="shared" si="208"/>
        <v>-5.2246599415119492</v>
      </c>
      <c r="AQ93" s="10">
        <f t="shared" si="208"/>
        <v>-7.6120275404570199</v>
      </c>
      <c r="AR93" s="10">
        <f t="shared" si="208"/>
        <v>-6.4413629137633732</v>
      </c>
      <c r="AS93" s="10">
        <f t="shared" si="208"/>
        <v>-8.1697824575987497</v>
      </c>
      <c r="AT93" s="10">
        <f t="shared" si="208"/>
        <v>0</v>
      </c>
      <c r="AU93" s="10">
        <f t="shared" si="208"/>
        <v>0</v>
      </c>
      <c r="AV93" s="10">
        <f t="shared" si="208"/>
        <v>0</v>
      </c>
      <c r="AW93" s="10">
        <f t="shared" si="208"/>
        <v>0</v>
      </c>
      <c r="AX93" s="10">
        <f t="shared" si="208"/>
        <v>0</v>
      </c>
      <c r="AY93" s="10">
        <f t="shared" si="208"/>
        <v>0</v>
      </c>
      <c r="AZ93" s="10">
        <f t="shared" ref="AZ93:BK93" si="209">SUM(AZ91:AZ92)</f>
        <v>-4.7069227368873454</v>
      </c>
      <c r="BA93" s="10">
        <f t="shared" si="209"/>
        <v>-3.8813017973970996</v>
      </c>
      <c r="BB93" s="10">
        <f t="shared" si="209"/>
        <v>-4.1018046068874092</v>
      </c>
      <c r="BC93" s="10">
        <f t="shared" si="209"/>
        <v>-4.1106786082138713</v>
      </c>
      <c r="BD93" s="10">
        <f t="shared" si="209"/>
        <v>-7.0412578681307156</v>
      </c>
      <c r="BE93" s="10">
        <f t="shared" si="209"/>
        <v>-4.7406704963051283</v>
      </c>
      <c r="BF93" s="10">
        <f t="shared" si="209"/>
        <v>-8.558367655170402</v>
      </c>
      <c r="BG93" s="10">
        <f t="shared" si="209"/>
        <v>-3.9974035605868634</v>
      </c>
      <c r="BH93" s="10">
        <f t="shared" si="209"/>
        <v>-4.312858937059822</v>
      </c>
      <c r="BI93" s="10">
        <f t="shared" si="209"/>
        <v>-4.3717250485251231</v>
      </c>
      <c r="BJ93" s="10">
        <f t="shared" si="209"/>
        <v>-4.4250474000268234</v>
      </c>
      <c r="BK93" s="10">
        <f t="shared" si="209"/>
        <v>-9.1654917053216867</v>
      </c>
      <c r="BO93" s="23">
        <f t="shared" ref="BO93:BT93" si="210">SUM(BO91:BO92)</f>
        <v>-31.038946645551526</v>
      </c>
      <c r="BP93" s="23">
        <f t="shared" si="210"/>
        <v>-23.841965617516443</v>
      </c>
      <c r="BQ93" s="23">
        <f t="shared" si="210"/>
        <v>-24.597583731788156</v>
      </c>
      <c r="BR93" s="23">
        <f t="shared" si="210"/>
        <v>-31.325326640731394</v>
      </c>
      <c r="BS93" s="23">
        <f t="shared" si="210"/>
        <v>-51.402964955865215</v>
      </c>
      <c r="BT93" s="23">
        <f t="shared" si="210"/>
        <v>-28.194750183506255</v>
      </c>
    </row>
    <row r="95" spans="1:72" outlineLevel="1" x14ac:dyDescent="0.25">
      <c r="A95" s="11" t="s">
        <v>81</v>
      </c>
      <c r="C95" s="2" t="s">
        <v>82</v>
      </c>
      <c r="D95" s="8">
        <f>IFERROR(
GETPIVOTDATA(
"[Base].[Importe]",
TDinamica_R!$A$5,
"[Calendario].[AñoMes]",
"[Calendario].[AñoMes].&amp;[" &amp; TEXT(D$6,"yyyymm")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E95" s="8">
        <f>IFERROR(
GETPIVOTDATA(
"[Base].[Importe]",
TDinamica_R!$A$5,
"[Calendario].[AñoMes]",
"[Calendario].[AñoMes].&amp;[" &amp; TEXT(E$6,"yyyymm")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F95" s="8">
        <f>IFERROR(
GETPIVOTDATA(
"[Base].[Importe]",
TDinamica_R!$A$5,
"[Calendario].[AñoMes]",
"[Calendario].[AñoMes].&amp;[" &amp; TEXT(F$6,"yyyymm")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G95" s="8">
        <f>IFERROR(
GETPIVOTDATA(
"[Base].[Importe]",
TDinamica_R!$A$5,
"[Calendario].[AñoMes]",
"[Calendario].[AñoMes].&amp;[" &amp; TEXT(G$6,"yyyymm")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H95" s="8">
        <f>IFERROR(
GETPIVOTDATA(
"[Base].[Importe]",
TDinamica_R!$A$5,
"[Calendario].[AñoMes]",
"[Calendario].[AñoMes].&amp;[" &amp; TEXT(H$6,"yyyymm")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I95" s="8">
        <f>IFERROR(
GETPIVOTDATA(
"[Base].[Importe]",
TDinamica_R!$A$5,
"[Calendario].[AñoMes]",
"[Calendario].[AñoMes].&amp;[" &amp; TEXT(I$6,"yyyymm")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J95" s="8">
        <f>IFERROR(
GETPIVOTDATA(
"[Base].[Importe]",
TDinamica_R!$A$5,
"[Calendario].[AñoMes]",
"[Calendario].[AñoMes].&amp;[" &amp; TEXT(J$6,"yyyymm")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K95" s="8">
        <f>IFERROR(
GETPIVOTDATA(
"[Base].[Importe]",
TDinamica_R!$A$5,
"[Calendario].[AñoMes]",
"[Calendario].[AñoMes].&amp;[" &amp; TEXT(K$6,"yyyymm")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L95" s="8">
        <f>IFERROR(
GETPIVOTDATA(
"[Base].[Importe]",
TDinamica_R!$A$5,
"[Calendario].[AñoMes]",
"[Calendario].[AñoMes].&amp;[" &amp; TEXT(L$6,"yyyymm")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M95" s="8">
        <f>IFERROR(
GETPIVOTDATA(
"[Base].[Importe]",
TDinamica_R!$A$5,
"[Calendario].[AñoMes]",
"[Calendario].[AñoMes].&amp;[" &amp; TEXT(M$6,"yyyymm")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N95" s="8">
        <f>IFERROR(
GETPIVOTDATA(
"[Base].[Importe]",
TDinamica_R!$A$5,
"[Calendario].[AñoMes]",
"[Calendario].[AñoMes].&amp;[" &amp; TEXT(N$6,"yyyymm")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O95" s="8">
        <f>IFERROR(
GETPIVOTDATA(
"[Base].[Importe]",
TDinamica_R!$A$5,
"[Calendario].[AñoMes]",
"[Calendario].[AñoMes].&amp;[" &amp; TEXT(O$6,"yyyymm")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P95" s="8">
        <f>IFERROR(
GETPIVOTDATA(
"[Base].[Importe]",
TDinamica_R!$A$5,
"[Calendario].[AñoMes]",
"[Calendario].[AñoMes].&amp;[" &amp; TEXT(P$6,"yyyymm")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Q95" s="8">
        <f>IFERROR(
GETPIVOTDATA(
"[Base].[Importe]",
TDinamica_R!$A$5,
"[Calendario].[AñoMes]",
"[Calendario].[AñoMes].&amp;[" &amp; TEXT(Q$6,"yyyymm")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R95" s="8">
        <f>IFERROR(
GETPIVOTDATA(
"[Base].[Importe]",
TDinamica_R!$A$5,
"[Calendario].[AñoMes]",
"[Calendario].[AñoMes].&amp;[" &amp; TEXT(R$6,"yyyymm")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S95" s="8">
        <f>IFERROR(
GETPIVOTDATA(
"[Base].[Importe]",
TDinamica_R!$A$5,
"[Calendario].[AñoMes]",
"[Calendario].[AñoMes].&amp;[" &amp; TEXT(S$6,"yyyymm")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T95" s="8">
        <f>IFERROR(
GETPIVOTDATA(
"[Base].[Importe]",
TDinamica_R!$A$5,
"[Calendario].[AñoMes]",
"[Calendario].[AñoMes].&amp;[" &amp; TEXT(T$6,"yyyymm")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U95" s="8">
        <f>IFERROR(
GETPIVOTDATA(
"[Base].[Importe]",
TDinamica_R!$A$5,
"[Calendario].[AñoMes]",
"[Calendario].[AñoMes].&amp;[" &amp; TEXT(U$6,"yyyymm")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V95" s="8">
        <f>IFERROR(
GETPIVOTDATA(
"[Base].[Importe]",
TDinamica_R!$A$5,
"[Calendario].[AñoMes]",
"[Calendario].[AñoMes].&amp;[" &amp; TEXT(V$6,"yyyymm")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W95" s="8">
        <f>IFERROR(
GETPIVOTDATA(
"[Base].[Importe]",
TDinamica_R!$A$5,
"[Calendario].[AñoMes]",
"[Calendario].[AñoMes].&amp;[" &amp; TEXT(W$6,"yyyymm")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X95" s="8">
        <f>IFERROR(
GETPIVOTDATA(
"[Base].[Importe]",
TDinamica_R!$A$5,
"[Calendario].[AñoMes]",
"[Calendario].[AñoMes].&amp;[" &amp; TEXT(X$6,"yyyymm")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Y95" s="8">
        <f>IFERROR(
GETPIVOTDATA(
"[Base].[Importe]",
TDinamica_R!$A$5,
"[Calendario].[AñoMes]",
"[Calendario].[AñoMes].&amp;[" &amp; TEXT(Y$6,"yyyymm")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Z95" s="8">
        <f>IFERROR(
GETPIVOTDATA(
"[Base].[Importe]",
TDinamica_R!$A$5,
"[Calendario].[AñoMes]",
"[Calendario].[AñoMes].&amp;[" &amp; TEXT(Z$6,"yyyymm")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A95" s="8">
        <f>IFERROR(
GETPIVOTDATA(
"[Base].[Importe]",
TDinamica_R!$A$5,
"[Calendario].[AñoMes]",
"[Calendario].[AñoMes].&amp;[" &amp; TEXT(AA$6,"yyyymm")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B95" s="8">
        <f>IFERROR(
GETPIVOTDATA(
"[Base].[Importe]",
TDinamica_R!$A$5,
"[Calendario].[AñoMes]",
"[Calendario].[AñoMes].&amp;[" &amp; TEXT(AB$6,"yyyymm")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C95" s="8">
        <f>IFERROR(
GETPIVOTDATA(
"[Base].[Importe]",
TDinamica_R!$A$5,
"[Calendario].[AñoMes]",
"[Calendario].[AñoMes].&amp;[" &amp; TEXT(AC$6,"yyyymm")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D95" s="8">
        <f>IFERROR(
GETPIVOTDATA(
"[Base].[Importe]",
TDinamica_R!$A$5,
"[Calendario].[AñoMes]",
"[Calendario].[AñoMes].&amp;[" &amp; TEXT(AD$6,"yyyymm") &amp; "]",
"[Base].[Metrica]",
"[Base].[Metrica].&amp;[" &amp; $A95 &amp; "]",
"[Base].[SEGMENTO_DESCRIP]",
"[Base].[SEGMENTO_DESCRIP].&amp;[" &amp; $C$6 &amp; "]",
"[Base].[SITUACION]",
"[Base].[SITUACION].&amp;[" &amp; $C95 &amp; "]"
),0)/1000</f>
        <v>10.152092159833407</v>
      </c>
      <c r="AE95" s="8">
        <f>IFERROR(
GETPIVOTDATA(
"[Base].[Importe]",
TDinamica_R!$A$5,
"[Calendario].[AñoMes]",
"[Calendario].[AñoMes].&amp;[" &amp; TEXT(AE$6,"yyyymm") &amp; "]",
"[Base].[Metrica]",
"[Base].[Metrica].&amp;[" &amp; $A95 &amp; "]",
"[Base].[SEGMENTO_DESCRIP]",
"[Base].[SEGMENTO_DESCRIP].&amp;[" &amp; $C$6 &amp; "]",
"[Base].[SITUACION]",
"[Base].[SITUACION].&amp;[" &amp; $C95 &amp; "]"
),0)/1000</f>
        <v>-9.5365598701234483E-2</v>
      </c>
      <c r="AF95" s="8">
        <f>IFERROR(
GETPIVOTDATA(
"[Base].[Importe]",
TDinamica_R!$A$5,
"[Calendario].[AñoMes]",
"[Calendario].[AñoMes].&amp;[" &amp; TEXT(AF$6,"yyyymm")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G95" s="8">
        <f>IFERROR(
GETPIVOTDATA(
"[Base].[Importe]",
TDinamica_R!$A$5,
"[Calendario].[AñoMes]",
"[Calendario].[AñoMes].&amp;[" &amp; TEXT(AG$6,"yyyymm")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H95" s="8">
        <f>IFERROR(
GETPIVOTDATA(
"[Base].[Importe]",
TDinamica_R!$A$5,
"[Calendario].[AñoMes]",
"[Calendario].[AñoMes].&amp;[" &amp; TEXT(AH$6,"yyyymm")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I95" s="8">
        <f>IFERROR(
GETPIVOTDATA(
"[Base].[Importe]",
TDinamica_R!$A$5,
"[Calendario].[AñoMes]",
"[Calendario].[AñoMes].&amp;[" &amp; TEXT(AI$6,"yyyymm")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J95" s="8">
        <f>IFERROR(
GETPIVOTDATA(
"[Base].[Importe]",
TDinamica_R!$A$5,
"[Calendario].[AñoMes]",
"[Calendario].[AñoMes].&amp;[" &amp; TEXT(AJ$6,"yyyymm")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K95" s="8">
        <f>IFERROR(
GETPIVOTDATA(
"[Base].[Importe]",
TDinamica_R!$A$5,
"[Calendario].[AñoMes]",
"[Calendario].[AñoMes].&amp;[" &amp; TEXT(AK$6,"yyyymm") &amp; "]",
"[Base].[Metrica]",
"[Base].[Metrica].&amp;[" &amp; $A95 &amp; "]",
"[Base].[SEGMENTO_DESCRIP]",
"[Base].[SEGMENTO_DESCRIP].&amp;[" &amp; $C$6 &amp; "]",
"[Base].[SITUACION]",
"[Base].[SITUACION].&amp;[" &amp; $C95 &amp; "]"
),0)/1000</f>
        <v>10.732780574188562</v>
      </c>
      <c r="AL95" s="8">
        <f>IFERROR(
GETPIVOTDATA(
"[Base].[Importe]",
TDinamica_R!$A$5,
"[Calendario].[AñoMes]",
"[Calendario].[AñoMes].&amp;[" &amp; TEXT(AL$6,"yyyymm")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M95" s="8">
        <f>IFERROR(
GETPIVOTDATA(
"[Base].[Importe]",
TDinamica_R!$A$5,
"[Calendario].[AñoMes]",
"[Calendario].[AñoMes].&amp;[" &amp; TEXT(AM$6,"yyyymm")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N95" s="8">
        <f>IFERROR(
GETPIVOTDATA(
"[Base].[Importe]",
TDinamica_R!$A$5,
"[Calendario].[AñoMes]",
"[Calendario].[AñoMes].&amp;[" &amp; TEXT(AN$6,"yyyymm")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O95" s="8">
        <f>IFERROR(
GETPIVOTDATA(
"[Base].[Importe]",
TDinamica_R!$A$5,
"[Calendario].[AñoMes]",
"[Calendario].[AñoMes].&amp;[" &amp; TEXT(AO$6,"yyyymm")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P95" s="8">
        <f>IFERROR(
GETPIVOTDATA(
"[Base].[Importe]",
TDinamica_R!$A$5,
"[Calendario].[AñoMes]",
"[Calendario].[AñoMes].&amp;[" &amp; TEXT(AP$6,"yyyymm")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Q95" s="8">
        <f>IFERROR(
GETPIVOTDATA(
"[Base].[Importe]",
TDinamica_R!$A$5,
"[Calendario].[AñoMes]",
"[Calendario].[AñoMes].&amp;[" &amp; TEXT(AQ$6,"yyyymm")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R95" s="8">
        <f>IFERROR(
GETPIVOTDATA(
"[Base].[Importe]",
TDinamica_R!$A$5,
"[Calendario].[AñoMes]",
"[Calendario].[AñoMes].&amp;[" &amp; TEXT(AR$6,"yyyymm")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S95" s="8">
        <f>IFERROR(
GETPIVOTDATA(
"[Base].[Importe]",
TDinamica_R!$A$5,
"[Calendario].[AñoMes]",
"[Calendario].[AñoMes].&amp;[" &amp; TEXT(AS$6,"yyyymm")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T95" s="8">
        <f>IFERROR(
GETPIVOTDATA(
"[Base].[Importe]",
TDinamica_R!$A$5,
"[Calendario].[AñoMes]",
"[Calendario].[AñoMes].&amp;[" &amp; TEXT(AT$6,"yyyymm")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U95" s="8">
        <f>IFERROR(
GETPIVOTDATA(
"[Base].[Importe]",
TDinamica_R!$A$5,
"[Calendario].[AñoMes]",
"[Calendario].[AñoMes].&amp;[" &amp; TEXT(AU$6,"yyyymm")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V95" s="8">
        <f>IFERROR(
GETPIVOTDATA(
"[Base].[Importe]",
TDinamica_R!$A$5,
"[Calendario].[AñoMes]",
"[Calendario].[AñoMes].&amp;[" &amp; TEXT(AV$6,"yyyymm")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W95" s="8">
        <f>IFERROR(
GETPIVOTDATA(
"[Base].[Importe]",
TDinamica_R!$A$5,
"[Calendario].[AñoMes]",
"[Calendario].[AñoMes].&amp;[" &amp; TEXT(AW$6,"yyyymm")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X95" s="8">
        <f>IFERROR(
GETPIVOTDATA(
"[Base].[Importe]",
TDinamica_R!$A$5,
"[Calendario].[AñoMes]",
"[Calendario].[AñoMes].&amp;[" &amp; TEXT(AX$6,"yyyymm")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Y95" s="8">
        <f>IFERROR(
GETPIVOTDATA(
"[Base].[Importe]",
TDinamica_R!$A$5,
"[Calendario].[AñoMes]",
"[Calendario].[AñoMes].&amp;[" &amp; TEXT(AY$6,"yyyymm")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Z95" s="8">
        <f>IFERROR(
GETPIVOTDATA(
"[BASE_CONVE_PPTO].[Importe]",
TDinamica_P!$A$5,
"[BASE_CONVE_PPTO].[Periodo]",
"[BASE_CONVE_PPTO].[Periodo].&amp;[" &amp; TEXT(AZ$6,"yyyymm")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A95" s="8">
        <f>IFERROR(
GETPIVOTDATA(
"[BASE_CONVE_PPTO].[Importe]",
TDinamica_P!$A$5,
"[BASE_CONVE_PPTO].[Periodo]",
"[BASE_CONVE_PPTO].[Periodo].&amp;[" &amp; TEXT(BA$6,"yyyymm")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B95" s="8">
        <f>IFERROR(
GETPIVOTDATA(
"[BASE_CONVE_PPTO].[Importe]",
TDinamica_P!$A$5,
"[BASE_CONVE_PPTO].[Periodo]",
"[BASE_CONVE_PPTO].[Periodo].&amp;[" &amp; TEXT(BB$6,"yyyymm")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C95" s="8">
        <f>IFERROR(
GETPIVOTDATA(
"[BASE_CONVE_PPTO].[Importe]",
TDinamica_P!$A$5,
"[BASE_CONVE_PPTO].[Periodo]",
"[BASE_CONVE_PPTO].[Periodo].&amp;[" &amp; TEXT(BC$6,"yyyymm")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D95" s="8">
        <f>IFERROR(
GETPIVOTDATA(
"[BASE_CONVE_PPTO].[Importe]",
TDinamica_P!$A$5,
"[BASE_CONVE_PPTO].[Periodo]",
"[BASE_CONVE_PPTO].[Periodo].&amp;[" &amp; TEXT(BD$6,"yyyymm")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E95" s="8">
        <f>IFERROR(
GETPIVOTDATA(
"[BASE_CONVE_PPTO].[Importe]",
TDinamica_P!$A$5,
"[BASE_CONVE_PPTO].[Periodo]",
"[BASE_CONVE_PPTO].[Periodo].&amp;[" &amp; TEXT(BE$6,"yyyymm")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F95" s="8">
        <f>IFERROR(
GETPIVOTDATA(
"[BASE_CONVE_PPTO].[Importe]",
TDinamica_P!$A$5,
"[BASE_CONVE_PPTO].[Periodo]",
"[BASE_CONVE_PPTO].[Periodo].&amp;[" &amp; TEXT(BF$6,"yyyymm")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G95" s="8">
        <f>IFERROR(
GETPIVOTDATA(
"[BASE_CONVE_PPTO].[Importe]",
TDinamica_P!$A$5,
"[BASE_CONVE_PPTO].[Periodo]",
"[BASE_CONVE_PPTO].[Periodo].&amp;[" &amp; TEXT(BG$6,"yyyymm")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H95" s="8">
        <f>IFERROR(
GETPIVOTDATA(
"[BASE_CONVE_PPTO].[Importe]",
TDinamica_P!$A$5,
"[BASE_CONVE_PPTO].[Periodo]",
"[BASE_CONVE_PPTO].[Periodo].&amp;[" &amp; TEXT(BH$6,"yyyymm")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2.358118375603794</v>
      </c>
      <c r="BI95" s="8">
        <f>IFERROR(
GETPIVOTDATA(
"[BASE_CONVE_PPTO].[Importe]",
TDinamica_P!$A$5,
"[BASE_CONVE_PPTO].[Periodo]",
"[BASE_CONVE_PPTO].[Periodo].&amp;[" &amp; TEXT(BI$6,"yyyymm")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J95" s="8">
        <f>IFERROR(
GETPIVOTDATA(
"[BASE_CONVE_PPTO].[Importe]",
TDinamica_P!$A$5,
"[BASE_CONVE_PPTO].[Periodo]",
"[BASE_CONVE_PPTO].[Periodo].&amp;[" &amp; TEXT(BJ$6,"yyyymm")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K95" s="8">
        <f>IFERROR(
GETPIVOTDATA(
"[BASE_CONVE_PPTO].[Importe]",
TDinamica_P!$A$5,
"[BASE_CONVE_PPTO].[Periodo]",
"[BASE_CONVE_PPTO].[Periodo].&amp;[" &amp; TEXT(BK$6,"yyyymm")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O95" s="24">
        <f t="shared" ref="BO95:BT95" si="211">SUMIFS($D95:$BM95,$D$6:$BM$6,"&gt;="&amp;BO$2,$D$6:$BM$6,"&lt;="&amp;BO$6,$D$5:$BM$5,BO$5)</f>
        <v>0</v>
      </c>
      <c r="BP95" s="24">
        <f t="shared" si="211"/>
        <v>0</v>
      </c>
      <c r="BQ95" s="24">
        <f t="shared" si="211"/>
        <v>0</v>
      </c>
      <c r="BR95" s="24">
        <f t="shared" si="211"/>
        <v>10.056726561132173</v>
      </c>
      <c r="BS95" s="24">
        <f t="shared" si="211"/>
        <v>0</v>
      </c>
      <c r="BT95" s="24">
        <f t="shared" si="211"/>
        <v>0</v>
      </c>
    </row>
    <row r="96" spans="1:72" x14ac:dyDescent="0.25">
      <c r="C96" s="3" t="s">
        <v>81</v>
      </c>
      <c r="D96" s="10">
        <f>SUM(D95:D95)</f>
        <v>0</v>
      </c>
      <c r="E96" s="10">
        <f t="shared" ref="E96" si="212">SUM(E95:E95)</f>
        <v>0</v>
      </c>
      <c r="F96" s="10">
        <f t="shared" ref="F96" si="213">SUM(F95:F95)</f>
        <v>0</v>
      </c>
      <c r="G96" s="10">
        <f t="shared" ref="G96" si="214">SUM(G95:G95)</f>
        <v>0</v>
      </c>
      <c r="H96" s="10">
        <f t="shared" ref="H96" si="215">SUM(H95:H95)</f>
        <v>0</v>
      </c>
      <c r="I96" s="10">
        <f t="shared" ref="I96" si="216">SUM(I95:I95)</f>
        <v>0</v>
      </c>
      <c r="J96" s="10">
        <f t="shared" ref="J96" si="217">SUM(J95:J95)</f>
        <v>0</v>
      </c>
      <c r="K96" s="10">
        <f t="shared" ref="K96" si="218">SUM(K95:K95)</f>
        <v>0</v>
      </c>
      <c r="L96" s="10">
        <f t="shared" ref="L96" si="219">SUM(L95:L95)</f>
        <v>0</v>
      </c>
      <c r="M96" s="10">
        <f t="shared" ref="M96" si="220">SUM(M95:M95)</f>
        <v>0</v>
      </c>
      <c r="N96" s="10">
        <f t="shared" ref="N96" si="221">SUM(N95:N95)</f>
        <v>0</v>
      </c>
      <c r="O96" s="10">
        <f t="shared" ref="O96" si="222">SUM(O95:O95)</f>
        <v>0</v>
      </c>
      <c r="P96" s="10">
        <f t="shared" ref="P96" si="223">SUM(P95:P95)</f>
        <v>0</v>
      </c>
      <c r="Q96" s="10">
        <f t="shared" ref="Q96" si="224">SUM(Q95:Q95)</f>
        <v>0</v>
      </c>
      <c r="R96" s="10">
        <f t="shared" ref="R96" si="225">SUM(R95:R95)</f>
        <v>0</v>
      </c>
      <c r="S96" s="10">
        <f t="shared" ref="S96" si="226">SUM(S95:S95)</f>
        <v>0</v>
      </c>
      <c r="T96" s="10">
        <f t="shared" ref="T96" si="227">SUM(T95:T95)</f>
        <v>0</v>
      </c>
      <c r="U96" s="10">
        <f t="shared" ref="U96" si="228">SUM(U95:U95)</f>
        <v>0</v>
      </c>
      <c r="V96" s="10">
        <f t="shared" ref="V96" si="229">SUM(V95:V95)</f>
        <v>0</v>
      </c>
      <c r="W96" s="10">
        <f t="shared" ref="W96" si="230">SUM(W95:W95)</f>
        <v>0</v>
      </c>
      <c r="X96" s="10">
        <f t="shared" ref="X96" si="231">SUM(X95:X95)</f>
        <v>0</v>
      </c>
      <c r="Y96" s="10">
        <f t="shared" ref="Y96" si="232">SUM(Y95:Y95)</f>
        <v>0</v>
      </c>
      <c r="Z96" s="10">
        <f t="shared" ref="Z96" si="233">SUM(Z95:Z95)</f>
        <v>0</v>
      </c>
      <c r="AA96" s="10">
        <f t="shared" ref="AA96" si="234">SUM(AA95:AA95)</f>
        <v>0</v>
      </c>
      <c r="AB96" s="10">
        <f t="shared" ref="AB96" si="235">SUM(AB95:AB95)</f>
        <v>0</v>
      </c>
      <c r="AC96" s="10">
        <f t="shared" ref="AC96" si="236">SUM(AC95:AC95)</f>
        <v>0</v>
      </c>
      <c r="AD96" s="10">
        <f t="shared" ref="AD96" si="237">SUM(AD95:AD95)</f>
        <v>10.152092159833407</v>
      </c>
      <c r="AE96" s="10">
        <f t="shared" ref="AE96" si="238">SUM(AE95:AE95)</f>
        <v>-9.5365598701234483E-2</v>
      </c>
      <c r="AF96" s="10">
        <f t="shared" ref="AF96" si="239">SUM(AF95:AF95)</f>
        <v>0</v>
      </c>
      <c r="AG96" s="10">
        <f t="shared" ref="AG96" si="240">SUM(AG95:AG95)</f>
        <v>0</v>
      </c>
      <c r="AH96" s="10">
        <f t="shared" ref="AH96" si="241">SUM(AH95:AH95)</f>
        <v>0</v>
      </c>
      <c r="AI96" s="10">
        <f t="shared" ref="AI96" si="242">SUM(AI95:AI95)</f>
        <v>0</v>
      </c>
      <c r="AJ96" s="10">
        <f t="shared" ref="AJ96" si="243">SUM(AJ95:AJ95)</f>
        <v>0</v>
      </c>
      <c r="AK96" s="10">
        <f t="shared" ref="AK96" si="244">SUM(AK95:AK95)</f>
        <v>10.732780574188562</v>
      </c>
      <c r="AL96" s="10">
        <f t="shared" ref="AL96" si="245">SUM(AL95:AL95)</f>
        <v>0</v>
      </c>
      <c r="AM96" s="10">
        <f t="shared" ref="AM96" si="246">SUM(AM95:AM95)</f>
        <v>0</v>
      </c>
      <c r="AN96" s="10">
        <f t="shared" ref="AN96" si="247">SUM(AN95:AN95)</f>
        <v>0</v>
      </c>
      <c r="AO96" s="10">
        <f t="shared" ref="AO96" si="248">SUM(AO95:AO95)</f>
        <v>0</v>
      </c>
      <c r="AP96" s="10">
        <f t="shared" ref="AP96" si="249">SUM(AP95:AP95)</f>
        <v>0</v>
      </c>
      <c r="AQ96" s="10">
        <f t="shared" ref="AQ96" si="250">SUM(AQ95:AQ95)</f>
        <v>0</v>
      </c>
      <c r="AR96" s="10">
        <f t="shared" ref="AR96" si="251">SUM(AR95:AR95)</f>
        <v>0</v>
      </c>
      <c r="AS96" s="10">
        <f t="shared" ref="AS96" si="252">SUM(AS95:AS95)</f>
        <v>0</v>
      </c>
      <c r="AT96" s="10">
        <f t="shared" ref="AT96" si="253">SUM(AT95:AT95)</f>
        <v>0</v>
      </c>
      <c r="AU96" s="10">
        <f t="shared" ref="AU96" si="254">SUM(AU95:AU95)</f>
        <v>0</v>
      </c>
      <c r="AV96" s="10">
        <f t="shared" ref="AV96" si="255">SUM(AV95:AV95)</f>
        <v>0</v>
      </c>
      <c r="AW96" s="10">
        <f t="shared" ref="AW96" si="256">SUM(AW95:AW95)</f>
        <v>0</v>
      </c>
      <c r="AX96" s="10">
        <f t="shared" ref="AX96" si="257">SUM(AX95:AX95)</f>
        <v>0</v>
      </c>
      <c r="AY96" s="10">
        <f t="shared" ref="AY96" si="258">SUM(AY95:AY95)</f>
        <v>0</v>
      </c>
      <c r="AZ96" s="10">
        <f t="shared" ref="AZ96:BK96" si="259">SUM(AZ95)</f>
        <v>0</v>
      </c>
      <c r="BA96" s="10">
        <f t="shared" si="259"/>
        <v>0</v>
      </c>
      <c r="BB96" s="10">
        <f t="shared" si="259"/>
        <v>0</v>
      </c>
      <c r="BC96" s="10">
        <f t="shared" si="259"/>
        <v>0</v>
      </c>
      <c r="BD96" s="10">
        <f t="shared" si="259"/>
        <v>0</v>
      </c>
      <c r="BE96" s="10">
        <f t="shared" si="259"/>
        <v>0</v>
      </c>
      <c r="BF96" s="10">
        <f t="shared" si="259"/>
        <v>0</v>
      </c>
      <c r="BG96" s="10">
        <f t="shared" si="259"/>
        <v>0</v>
      </c>
      <c r="BH96" s="10">
        <f t="shared" si="259"/>
        <v>2.358118375603794</v>
      </c>
      <c r="BI96" s="10">
        <f t="shared" si="259"/>
        <v>0</v>
      </c>
      <c r="BJ96" s="10">
        <f t="shared" si="259"/>
        <v>0</v>
      </c>
      <c r="BK96" s="10">
        <f t="shared" si="259"/>
        <v>0</v>
      </c>
      <c r="BO96" s="23">
        <f>SUM(BO95)</f>
        <v>0</v>
      </c>
      <c r="BP96" s="23">
        <f t="shared" ref="BP96:BT96" si="260">SUM(BP95)</f>
        <v>0</v>
      </c>
      <c r="BQ96" s="23">
        <f t="shared" si="260"/>
        <v>0</v>
      </c>
      <c r="BR96" s="23">
        <f t="shared" si="260"/>
        <v>10.056726561132173</v>
      </c>
      <c r="BS96" s="23">
        <f t="shared" si="260"/>
        <v>0</v>
      </c>
      <c r="BT96" s="23">
        <f t="shared" si="260"/>
        <v>0</v>
      </c>
    </row>
    <row r="98" spans="3:72" x14ac:dyDescent="0.25">
      <c r="C98" s="3" t="s">
        <v>83</v>
      </c>
      <c r="D98" s="10">
        <f t="shared" ref="D98:BK98" si="261">D60+D83+D89+D93+D96</f>
        <v>20.341838221460044</v>
      </c>
      <c r="E98" s="10">
        <f t="shared" si="261"/>
        <v>-55.112528032467942</v>
      </c>
      <c r="F98" s="10">
        <f t="shared" si="261"/>
        <v>-21.663671980340233</v>
      </c>
      <c r="G98" s="10">
        <f t="shared" si="261"/>
        <v>-22.778855697781605</v>
      </c>
      <c r="H98" s="10">
        <f t="shared" si="261"/>
        <v>-57.767032829295466</v>
      </c>
      <c r="I98" s="10">
        <f t="shared" si="261"/>
        <v>-45.409806220490793</v>
      </c>
      <c r="J98" s="10">
        <f t="shared" si="261"/>
        <v>-122.89102790725448</v>
      </c>
      <c r="K98" s="10">
        <f t="shared" si="261"/>
        <v>-100.5782461083819</v>
      </c>
      <c r="L98" s="10">
        <f t="shared" si="261"/>
        <v>-149.66917604455591</v>
      </c>
      <c r="M98" s="10">
        <f t="shared" si="261"/>
        <v>-173.80744482536252</v>
      </c>
      <c r="N98" s="10">
        <f t="shared" si="261"/>
        <v>-72.960457596847306</v>
      </c>
      <c r="O98" s="10">
        <f t="shared" si="261"/>
        <v>-15.55327458835947</v>
      </c>
      <c r="P98" s="10">
        <f t="shared" si="261"/>
        <v>-82.7258818527893</v>
      </c>
      <c r="Q98" s="10">
        <f t="shared" si="261"/>
        <v>-114.75545536172184</v>
      </c>
      <c r="R98" s="10">
        <f t="shared" si="261"/>
        <v>-228.47389758182084</v>
      </c>
      <c r="S98" s="10">
        <f t="shared" si="261"/>
        <v>-114.89828830001885</v>
      </c>
      <c r="T98" s="10">
        <f t="shared" si="261"/>
        <v>-228.2163721428231</v>
      </c>
      <c r="U98" s="10">
        <f t="shared" si="261"/>
        <v>-83.36753090008888</v>
      </c>
      <c r="V98" s="10">
        <f t="shared" si="261"/>
        <v>-221.13840562949667</v>
      </c>
      <c r="W98" s="10">
        <f t="shared" si="261"/>
        <v>-162.76158988480844</v>
      </c>
      <c r="X98" s="10">
        <f t="shared" si="261"/>
        <v>-125.22085233126677</v>
      </c>
      <c r="Y98" s="10">
        <f t="shared" si="261"/>
        <v>-134.85578470582456</v>
      </c>
      <c r="Z98" s="10">
        <f t="shared" si="261"/>
        <v>-34.306377474778003</v>
      </c>
      <c r="AA98" s="10">
        <f t="shared" si="261"/>
        <v>-93.474955024592774</v>
      </c>
      <c r="AB98" s="10">
        <f t="shared" si="261"/>
        <v>-159.07863435151663</v>
      </c>
      <c r="AC98" s="10">
        <f t="shared" si="261"/>
        <v>-6.7737287399249091</v>
      </c>
      <c r="AD98" s="10">
        <f t="shared" si="261"/>
        <v>-98.030946008969764</v>
      </c>
      <c r="AE98" s="10">
        <f t="shared" si="261"/>
        <v>-153.2302233857306</v>
      </c>
      <c r="AF98" s="10">
        <f t="shared" si="261"/>
        <v>-253.28611261408244</v>
      </c>
      <c r="AG98" s="10">
        <f t="shared" si="261"/>
        <v>-121.72213962801821</v>
      </c>
      <c r="AH98" s="10">
        <f t="shared" si="261"/>
        <v>-115.54845886481252</v>
      </c>
      <c r="AI98" s="10">
        <f t="shared" si="261"/>
        <v>-172.15319205427213</v>
      </c>
      <c r="AJ98" s="10">
        <f t="shared" si="261"/>
        <v>-55.826583649400128</v>
      </c>
      <c r="AK98" s="10">
        <f t="shared" si="261"/>
        <v>-195.23963321455497</v>
      </c>
      <c r="AL98" s="10">
        <f t="shared" si="261"/>
        <v>-171.33607120420976</v>
      </c>
      <c r="AM98" s="10">
        <f t="shared" si="261"/>
        <v>-340.18791973998037</v>
      </c>
      <c r="AN98" s="10">
        <f t="shared" si="261"/>
        <v>-129.01750621564781</v>
      </c>
      <c r="AO98" s="10">
        <f t="shared" si="261"/>
        <v>-271.82906245696245</v>
      </c>
      <c r="AP98" s="10">
        <f t="shared" si="261"/>
        <v>-189.84031992040303</v>
      </c>
      <c r="AQ98" s="10">
        <f t="shared" si="261"/>
        <v>-331.54463247201113</v>
      </c>
      <c r="AR98" s="10">
        <f t="shared" si="261"/>
        <v>-131.81763045573319</v>
      </c>
      <c r="AS98" s="10">
        <f t="shared" si="261"/>
        <v>-453.06505913641223</v>
      </c>
      <c r="AT98" s="10">
        <f t="shared" si="261"/>
        <v>0</v>
      </c>
      <c r="AU98" s="10">
        <f t="shared" si="261"/>
        <v>0</v>
      </c>
      <c r="AV98" s="10">
        <f t="shared" si="261"/>
        <v>0</v>
      </c>
      <c r="AW98" s="10">
        <f t="shared" si="261"/>
        <v>0</v>
      </c>
      <c r="AX98" s="10">
        <f t="shared" si="261"/>
        <v>0</v>
      </c>
      <c r="AY98" s="10">
        <f t="shared" si="261"/>
        <v>0</v>
      </c>
      <c r="AZ98" s="10">
        <f t="shared" si="261"/>
        <v>-107.33345639435112</v>
      </c>
      <c r="BA98" s="10">
        <f t="shared" si="261"/>
        <v>-49.695958498065067</v>
      </c>
      <c r="BB98" s="10">
        <f t="shared" si="261"/>
        <v>-116.95745240255678</v>
      </c>
      <c r="BC98" s="10">
        <f t="shared" si="261"/>
        <v>-69.992628429753296</v>
      </c>
      <c r="BD98" s="10">
        <f t="shared" si="261"/>
        <v>-143.99684051993401</v>
      </c>
      <c r="BE98" s="10">
        <f t="shared" si="261"/>
        <v>-119.06541933664867</v>
      </c>
      <c r="BF98" s="10">
        <f t="shared" si="261"/>
        <v>-114.93254123253303</v>
      </c>
      <c r="BG98" s="10">
        <f t="shared" si="261"/>
        <v>-126.87674842402657</v>
      </c>
      <c r="BH98" s="10">
        <f t="shared" si="261"/>
        <v>-102.89793987724394</v>
      </c>
      <c r="BI98" s="10">
        <f t="shared" si="261"/>
        <v>-95.938235820922927</v>
      </c>
      <c r="BJ98" s="10">
        <f t="shared" si="261"/>
        <v>-85.430477757664178</v>
      </c>
      <c r="BK98" s="10">
        <f t="shared" si="261"/>
        <v>-113.25229849372924</v>
      </c>
      <c r="BO98" s="23">
        <f>BO60+BO83+BO89+BO93+BO96</f>
        <v>-1054.0491515207577</v>
      </c>
      <c r="BP98" s="23">
        <f t="shared" ref="BP98:BT98" si="262">BP60+BP83+BP89+BP93+BP96</f>
        <v>-487.97633624466033</v>
      </c>
      <c r="BQ98" s="23">
        <f t="shared" si="262"/>
        <v>-922.23152106502459</v>
      </c>
      <c r="BR98" s="23">
        <f t="shared" si="262"/>
        <v>-670.39964510022526</v>
      </c>
      <c r="BS98" s="23">
        <f t="shared" si="262"/>
        <v>-769.06989523917457</v>
      </c>
      <c r="BT98" s="23">
        <f t="shared" si="262"/>
        <v>-136.98025031842496</v>
      </c>
    </row>
    <row r="102" spans="3:72" s="48" customFormat="1" x14ac:dyDescent="0.25">
      <c r="C102" s="46" t="s">
        <v>110</v>
      </c>
      <c r="D102" s="47">
        <f>D11</f>
        <v>75063.311929999996</v>
      </c>
      <c r="E102" s="47">
        <f>IFERROR(AVERAGE(D11:E11),0)</f>
        <v>75252.776169999997</v>
      </c>
      <c r="F102" s="47">
        <f t="shared" ref="F102:BK102" si="263">IFERROR(AVERAGE(E11:F11),0)</f>
        <v>75926.820370000001</v>
      </c>
      <c r="G102" s="47">
        <f t="shared" si="263"/>
        <v>76748.84315500001</v>
      </c>
      <c r="H102" s="47">
        <f t="shared" si="263"/>
        <v>77389.862385</v>
      </c>
      <c r="I102" s="47">
        <f t="shared" si="263"/>
        <v>78715.606310000003</v>
      </c>
      <c r="J102" s="48">
        <f t="shared" si="263"/>
        <v>80212.591610000003</v>
      </c>
      <c r="K102" s="48">
        <f t="shared" si="263"/>
        <v>80872.208326349995</v>
      </c>
      <c r="L102" s="48">
        <f t="shared" si="263"/>
        <v>81289.197048239992</v>
      </c>
      <c r="M102" s="48">
        <f t="shared" si="263"/>
        <v>81253.329882129998</v>
      </c>
      <c r="N102" s="48">
        <f t="shared" si="263"/>
        <v>80789.320125840008</v>
      </c>
      <c r="O102" s="48">
        <f t="shared" si="263"/>
        <v>80311.111872059992</v>
      </c>
      <c r="P102" s="48">
        <f t="shared" si="263"/>
        <v>80056.581873259987</v>
      </c>
      <c r="Q102" s="48">
        <f t="shared" si="263"/>
        <v>80471.250748899984</v>
      </c>
      <c r="R102" s="48">
        <f t="shared" si="263"/>
        <v>81209.714169760002</v>
      </c>
      <c r="S102" s="48">
        <f t="shared" si="263"/>
        <v>81106.752582520014</v>
      </c>
      <c r="T102" s="48">
        <f t="shared" si="263"/>
        <v>80799.634484859998</v>
      </c>
      <c r="U102" s="48">
        <f t="shared" si="263"/>
        <v>80739.932000000001</v>
      </c>
      <c r="V102" s="48">
        <f t="shared" si="263"/>
        <v>81676.71474575001</v>
      </c>
      <c r="W102" s="47">
        <f t="shared" si="263"/>
        <v>83327.924497749991</v>
      </c>
      <c r="X102" s="47">
        <f t="shared" si="263"/>
        <v>84804.453321549983</v>
      </c>
      <c r="Y102" s="47">
        <f t="shared" si="263"/>
        <v>86394.775297999993</v>
      </c>
      <c r="Z102" s="47">
        <f t="shared" si="263"/>
        <v>85609.157002719992</v>
      </c>
      <c r="AA102" s="47">
        <f t="shared" si="263"/>
        <v>83996.882790470001</v>
      </c>
      <c r="AB102" s="47">
        <f t="shared" si="263"/>
        <v>83534.751271949994</v>
      </c>
      <c r="AC102" s="48">
        <f t="shared" si="263"/>
        <v>83531.747912449995</v>
      </c>
      <c r="AD102" s="48">
        <f t="shared" si="263"/>
        <v>84672.8765785</v>
      </c>
      <c r="AE102" s="48">
        <f t="shared" si="263"/>
        <v>84451.187834549986</v>
      </c>
      <c r="AF102" s="48">
        <f t="shared" si="263"/>
        <v>83378.982384749994</v>
      </c>
      <c r="AG102" s="48">
        <f t="shared" si="263"/>
        <v>84247.432055199999</v>
      </c>
      <c r="AH102" s="48">
        <f t="shared" si="263"/>
        <v>84532.962152450011</v>
      </c>
      <c r="AI102" s="48">
        <f t="shared" si="263"/>
        <v>83709.696249750006</v>
      </c>
      <c r="AJ102" s="48">
        <f t="shared" si="263"/>
        <v>82872.026526200003</v>
      </c>
      <c r="AK102" s="48">
        <f t="shared" si="263"/>
        <v>82404.312027600012</v>
      </c>
      <c r="AL102" s="48">
        <f t="shared" si="263"/>
        <v>82193.80568070001</v>
      </c>
      <c r="AM102" s="48">
        <f t="shared" si="263"/>
        <v>81724.6906303</v>
      </c>
      <c r="AN102" s="48">
        <f t="shared" si="263"/>
        <v>81867.107646500008</v>
      </c>
      <c r="AO102" s="48">
        <f t="shared" si="263"/>
        <v>82572.065000000002</v>
      </c>
      <c r="AP102" s="48">
        <f t="shared" si="263"/>
        <v>83258.239999999991</v>
      </c>
      <c r="AQ102" s="48">
        <f t="shared" si="263"/>
        <v>83730.300200400001</v>
      </c>
      <c r="AR102" s="48">
        <f t="shared" si="263"/>
        <v>84900.900033229991</v>
      </c>
      <c r="AS102" s="48">
        <f t="shared" si="263"/>
        <v>87532.495276580012</v>
      </c>
      <c r="AT102" s="48">
        <f t="shared" si="263"/>
        <v>44587.965443750014</v>
      </c>
      <c r="AU102" s="48">
        <f t="shared" si="263"/>
        <v>0</v>
      </c>
      <c r="AV102" s="48">
        <f t="shared" si="263"/>
        <v>0</v>
      </c>
      <c r="AW102" s="48">
        <f t="shared" si="263"/>
        <v>0</v>
      </c>
      <c r="AX102" s="48">
        <f t="shared" si="263"/>
        <v>0</v>
      </c>
      <c r="AY102" s="48">
        <f t="shared" si="263"/>
        <v>0</v>
      </c>
      <c r="AZ102" s="48">
        <f>AZ11</f>
        <v>87379.693687308943</v>
      </c>
      <c r="BA102" s="48">
        <f t="shared" si="263"/>
        <v>88202.341743655736</v>
      </c>
      <c r="BB102" s="48">
        <f t="shared" si="263"/>
        <v>90076.256622452056</v>
      </c>
      <c r="BC102" s="48">
        <f t="shared" si="263"/>
        <v>91932.66373070635</v>
      </c>
      <c r="BD102" s="48">
        <f t="shared" si="263"/>
        <v>94002.164059171148</v>
      </c>
      <c r="BE102" s="48">
        <f t="shared" si="263"/>
        <v>96600.533463447515</v>
      </c>
      <c r="BF102" s="48">
        <f t="shared" si="263"/>
        <v>99280.399137406261</v>
      </c>
      <c r="BG102" s="48">
        <f t="shared" si="263"/>
        <v>101978.40900281061</v>
      </c>
      <c r="BH102" s="48">
        <f t="shared" si="263"/>
        <v>106018.27889517648</v>
      </c>
      <c r="BI102" s="48">
        <f t="shared" si="263"/>
        <v>111168.05839203081</v>
      </c>
      <c r="BJ102" s="48">
        <f t="shared" si="263"/>
        <v>116106.58372095542</v>
      </c>
      <c r="BK102" s="48">
        <f t="shared" si="263"/>
        <v>120758.41527935455</v>
      </c>
      <c r="BO102" s="48">
        <f>IFERROR(AVERAGEIFS($D11:$BM11,$D$6:$BM$6,"&gt;="&amp;EOMONTH(BO$2,-1),$D$6:$BM$6,"&lt;="&amp;BO$6,$D$5:$BM$5,BO$5,$D11:$BM11,"&lt;&gt;0"),0)</f>
        <v>83342.082559910006</v>
      </c>
      <c r="BP102" s="48">
        <f>IFERROR(AVERAGEIFS($D11:$BM11,$D$6:$BM$6,"&gt;="&amp;EOMONTH(BP$2,-1),$D$6:$BM$6,"&lt;="&amp;BP$6,$D$5:$BM$5,BP$5,$D11:$BM11,"&lt;&gt;0"),0)</f>
        <v>91107.307010111079</v>
      </c>
      <c r="BQ102" s="48">
        <f>IFERROR(AVERAGEIFS($D11:$BM11,$D$6:$BM$6,"&gt;="&amp;EOMONTH(BQ$2,-1),$D$6:$BM$6,"&lt;="&amp;BQ$6,$D$5:$BM$5,BQ$5,$D11:$BM11,"&lt;&gt;0"),0)</f>
        <v>82832.687138760011</v>
      </c>
      <c r="BR102" s="48">
        <f>IFERROR(AVERAGEIFS($D11:$BM11,$D$6:$BM$6,"&gt;="&amp;EOMONTH(BR$2,-1),$D$6:$BM$6,"&lt;="&amp;BR$6,$D$5:$BM$5,BR$5,$D11:$BM11,"&lt;&gt;0"),0)</f>
        <v>83862.203411733324</v>
      </c>
      <c r="BS102" s="48">
        <f t="shared" ref="BS102:BT102" si="264">IFERROR(AVERAGEIFS($D11:$BM11,$D$6:$BM$6,"&gt;="&amp;EOMONTH(BS$2,-1),$D$6:$BM$6,"&lt;="&amp;BS$6,$D$5:$BM$5,BS$5,$D11:$BM11,"&lt;&gt;0"),0)</f>
        <v>80688.643509293324</v>
      </c>
      <c r="BT102" s="48">
        <f t="shared" si="264"/>
        <v>76339.335487999997</v>
      </c>
    </row>
    <row r="104" spans="3:72" x14ac:dyDescent="0.25">
      <c r="BO104" s="20"/>
      <c r="BP104" s="20"/>
      <c r="BQ104" s="20"/>
      <c r="BR104" s="20"/>
      <c r="BS104" s="20"/>
      <c r="BT104" s="20"/>
    </row>
  </sheetData>
  <mergeCells count="4">
    <mergeCell ref="BO1:BT1"/>
    <mergeCell ref="BW1:CB1"/>
    <mergeCell ref="D1:AY1"/>
    <mergeCell ref="AZ1:B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6B6B-0E44-42FD-8A23-90D2AA7C2385}">
  <sheetPr codeName="Hoja8"/>
  <dimension ref="A1:CC102"/>
  <sheetViews>
    <sheetView showGridLines="0" zoomScale="80" zoomScaleNormal="80" workbookViewId="0">
      <pane xSplit="3" ySplit="6" topLeftCell="D43" activePane="bottomRight" state="frozen"/>
      <selection activeCell="AO57" sqref="AO57"/>
      <selection pane="topRight" activeCell="AO57" sqref="AO57"/>
      <selection pane="bottomLeft" activeCell="AO57" sqref="AO57"/>
      <selection pane="bottomRight" activeCell="AO57" sqref="AO57"/>
    </sheetView>
  </sheetViews>
  <sheetFormatPr baseColWidth="10" defaultRowHeight="15" outlineLevelRow="1" outlineLevelCol="1" x14ac:dyDescent="0.25"/>
  <cols>
    <col min="1" max="1" width="7.140625" customWidth="1"/>
    <col min="2" max="2" width="6.28515625" customWidth="1"/>
    <col min="3" max="3" width="22.85546875" bestFit="1" customWidth="1"/>
    <col min="4" max="14" width="11.28515625" customWidth="1" outlineLevel="1"/>
    <col min="15" max="15" width="11.28515625" bestFit="1" customWidth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40" width="11.28515625" bestFit="1" customWidth="1"/>
    <col min="41" max="63" width="10.5703125" customWidth="1"/>
    <col min="77" max="77" width="11.28515625" bestFit="1" customWidth="1"/>
  </cols>
  <sheetData>
    <row r="1" spans="1:81" ht="15.75" x14ac:dyDescent="0.25">
      <c r="D1" s="55" t="s">
        <v>92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6" t="s">
        <v>93</v>
      </c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O1" s="54" t="s">
        <v>89</v>
      </c>
      <c r="BP1" s="54"/>
      <c r="BQ1" s="54"/>
      <c r="BR1" s="54"/>
      <c r="BS1" s="54"/>
      <c r="BT1" s="54"/>
      <c r="BW1" s="54" t="s">
        <v>90</v>
      </c>
      <c r="BX1" s="54"/>
      <c r="BY1" s="54"/>
      <c r="BZ1" s="54"/>
      <c r="CA1" s="54"/>
      <c r="CB1" s="54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5">
        <f t="shared" ref="BO2:BT2" si="0">DATE(YEAR(BO6),1,1)</f>
        <v>46023</v>
      </c>
      <c r="BP2" s="25">
        <f t="shared" si="0"/>
        <v>46023</v>
      </c>
      <c r="BQ2" s="25">
        <f t="shared" si="0"/>
        <v>46023</v>
      </c>
      <c r="BR2" s="25">
        <f t="shared" si="0"/>
        <v>45658</v>
      </c>
      <c r="BS2" s="25">
        <f t="shared" si="0"/>
        <v>45292</v>
      </c>
      <c r="BT2" s="25">
        <f t="shared" si="0"/>
        <v>44927</v>
      </c>
    </row>
    <row r="3" spans="1:81" x14ac:dyDescent="0.25">
      <c r="C3" s="13" t="s">
        <v>61</v>
      </c>
      <c r="D3" s="12">
        <v>30</v>
      </c>
      <c r="E3" s="12">
        <v>30</v>
      </c>
      <c r="F3" s="12">
        <v>30</v>
      </c>
      <c r="G3" s="12">
        <v>30</v>
      </c>
      <c r="H3" s="12">
        <v>30</v>
      </c>
      <c r="I3" s="12">
        <v>30</v>
      </c>
      <c r="J3" s="12">
        <v>30</v>
      </c>
      <c r="K3" s="12">
        <v>30</v>
      </c>
      <c r="L3" s="12">
        <v>30</v>
      </c>
      <c r="M3" s="12">
        <v>30</v>
      </c>
      <c r="N3" s="12">
        <v>30</v>
      </c>
      <c r="O3" s="12">
        <v>30</v>
      </c>
      <c r="P3" s="12">
        <v>30</v>
      </c>
      <c r="Q3" s="12">
        <v>30</v>
      </c>
      <c r="R3" s="12">
        <v>30</v>
      </c>
      <c r="S3" s="12">
        <v>30</v>
      </c>
      <c r="T3" s="12">
        <v>30</v>
      </c>
      <c r="U3" s="12">
        <v>30</v>
      </c>
      <c r="V3" s="12">
        <v>30</v>
      </c>
      <c r="W3" s="12">
        <v>30</v>
      </c>
      <c r="X3" s="12">
        <v>30</v>
      </c>
      <c r="Y3" s="12">
        <v>30</v>
      </c>
      <c r="Z3" s="12">
        <v>30</v>
      </c>
      <c r="AA3" s="12">
        <v>30</v>
      </c>
      <c r="AB3" s="12">
        <v>30</v>
      </c>
      <c r="AC3" s="12">
        <v>30</v>
      </c>
      <c r="AD3" s="12">
        <v>30</v>
      </c>
      <c r="AE3" s="12">
        <v>30</v>
      </c>
      <c r="AF3" s="12">
        <v>30</v>
      </c>
      <c r="AG3" s="12">
        <v>30</v>
      </c>
      <c r="AH3" s="12">
        <v>30</v>
      </c>
      <c r="AI3" s="12">
        <v>30</v>
      </c>
      <c r="AJ3" s="12">
        <v>30</v>
      </c>
      <c r="AK3" s="12">
        <v>30</v>
      </c>
      <c r="AL3" s="12">
        <v>30</v>
      </c>
      <c r="AM3" s="12">
        <v>30</v>
      </c>
      <c r="AN3" s="12">
        <v>30</v>
      </c>
      <c r="AO3" s="12">
        <v>30</v>
      </c>
      <c r="AP3" s="12">
        <v>30</v>
      </c>
      <c r="AQ3" s="12">
        <v>30</v>
      </c>
      <c r="AR3" s="12">
        <v>30</v>
      </c>
      <c r="AS3" s="12">
        <v>30</v>
      </c>
      <c r="AT3" s="12">
        <v>30</v>
      </c>
      <c r="AU3" s="12">
        <v>30</v>
      </c>
      <c r="AV3" s="12">
        <v>30</v>
      </c>
      <c r="AW3" s="12">
        <v>30</v>
      </c>
      <c r="AX3" s="12">
        <v>30</v>
      </c>
      <c r="AY3" s="12">
        <v>30</v>
      </c>
      <c r="AZ3" s="12">
        <v>30</v>
      </c>
      <c r="BA3" s="12">
        <v>30</v>
      </c>
      <c r="BB3" s="12">
        <v>30</v>
      </c>
      <c r="BC3" s="12">
        <v>30</v>
      </c>
      <c r="BD3" s="12">
        <v>30</v>
      </c>
      <c r="BE3" s="12">
        <v>30</v>
      </c>
      <c r="BF3" s="12">
        <v>30</v>
      </c>
      <c r="BG3" s="12">
        <v>30</v>
      </c>
      <c r="BH3" s="12">
        <v>30</v>
      </c>
      <c r="BI3" s="12">
        <v>30</v>
      </c>
      <c r="BJ3" s="12">
        <v>30</v>
      </c>
      <c r="BK3" s="12">
        <v>30</v>
      </c>
      <c r="BO3" s="12">
        <f>AVERAGEIFS($D3:$BM3,$D$6:$BM$6,"&gt;="&amp;BO$2,$D$6:$BM$6,"&lt;="&amp;BO$6,$D$5:$BM$5,BO$5)</f>
        <v>30</v>
      </c>
      <c r="BP3" s="12">
        <f t="shared" ref="BP3:BT4" si="1">AVERAGEIFS($D3:$BM3,$D$6:$BM$6,"&gt;="&amp;BP$2,$D$6:$BM$6,"&lt;="&amp;BP$6,$D$5:$BM$5,BP$5)</f>
        <v>30</v>
      </c>
      <c r="BQ3" s="12">
        <f t="shared" si="1"/>
        <v>30</v>
      </c>
      <c r="BR3" s="12">
        <f t="shared" si="1"/>
        <v>30</v>
      </c>
      <c r="BS3" s="12">
        <f t="shared" si="1"/>
        <v>30</v>
      </c>
      <c r="BT3" s="12">
        <f t="shared" si="1"/>
        <v>30</v>
      </c>
    </row>
    <row r="4" spans="1:81" x14ac:dyDescent="0.25">
      <c r="C4" s="13" t="s">
        <v>62</v>
      </c>
      <c r="D4" s="12">
        <f>DAY(D6)</f>
        <v>31</v>
      </c>
      <c r="E4" s="12">
        <f t="shared" ref="E4:BK4" si="2">DAY(E6)</f>
        <v>28</v>
      </c>
      <c r="F4" s="12">
        <f t="shared" si="2"/>
        <v>31</v>
      </c>
      <c r="G4" s="12">
        <f t="shared" si="2"/>
        <v>30</v>
      </c>
      <c r="H4" s="12">
        <f t="shared" si="2"/>
        <v>31</v>
      </c>
      <c r="I4" s="12">
        <f t="shared" si="2"/>
        <v>30</v>
      </c>
      <c r="J4" s="12">
        <f t="shared" si="2"/>
        <v>31</v>
      </c>
      <c r="K4" s="12">
        <f t="shared" si="2"/>
        <v>31</v>
      </c>
      <c r="L4" s="12">
        <f t="shared" si="2"/>
        <v>30</v>
      </c>
      <c r="M4" s="12">
        <f t="shared" si="2"/>
        <v>31</v>
      </c>
      <c r="N4" s="12">
        <f t="shared" si="2"/>
        <v>30</v>
      </c>
      <c r="O4" s="12">
        <f t="shared" si="2"/>
        <v>31</v>
      </c>
      <c r="P4" s="12">
        <f t="shared" si="2"/>
        <v>31</v>
      </c>
      <c r="Q4" s="12">
        <f t="shared" si="2"/>
        <v>29</v>
      </c>
      <c r="R4" s="12">
        <f t="shared" si="2"/>
        <v>31</v>
      </c>
      <c r="S4" s="12">
        <f t="shared" si="2"/>
        <v>30</v>
      </c>
      <c r="T4" s="12">
        <f t="shared" si="2"/>
        <v>31</v>
      </c>
      <c r="U4" s="12">
        <f t="shared" si="2"/>
        <v>30</v>
      </c>
      <c r="V4" s="12">
        <f t="shared" si="2"/>
        <v>31</v>
      </c>
      <c r="W4" s="12">
        <f t="shared" si="2"/>
        <v>31</v>
      </c>
      <c r="X4" s="12">
        <f t="shared" si="2"/>
        <v>30</v>
      </c>
      <c r="Y4" s="12">
        <f t="shared" si="2"/>
        <v>31</v>
      </c>
      <c r="Z4" s="12">
        <f t="shared" si="2"/>
        <v>30</v>
      </c>
      <c r="AA4" s="12">
        <f t="shared" si="2"/>
        <v>31</v>
      </c>
      <c r="AB4" s="12">
        <f t="shared" si="2"/>
        <v>31</v>
      </c>
      <c r="AC4" s="12">
        <f t="shared" si="2"/>
        <v>28</v>
      </c>
      <c r="AD4" s="12">
        <f t="shared" si="2"/>
        <v>31</v>
      </c>
      <c r="AE4" s="12">
        <f t="shared" si="2"/>
        <v>30</v>
      </c>
      <c r="AF4" s="12">
        <f t="shared" si="2"/>
        <v>31</v>
      </c>
      <c r="AG4" s="12">
        <f t="shared" si="2"/>
        <v>30</v>
      </c>
      <c r="AH4" s="12">
        <f t="shared" si="2"/>
        <v>31</v>
      </c>
      <c r="AI4" s="12">
        <f t="shared" si="2"/>
        <v>31</v>
      </c>
      <c r="AJ4" s="12">
        <f t="shared" si="2"/>
        <v>30</v>
      </c>
      <c r="AK4" s="12">
        <f t="shared" si="2"/>
        <v>31</v>
      </c>
      <c r="AL4" s="12">
        <f t="shared" si="2"/>
        <v>30</v>
      </c>
      <c r="AM4" s="12">
        <f t="shared" si="2"/>
        <v>31</v>
      </c>
      <c r="AN4" s="12">
        <f t="shared" si="2"/>
        <v>31</v>
      </c>
      <c r="AO4" s="12">
        <f t="shared" si="2"/>
        <v>28</v>
      </c>
      <c r="AP4" s="12">
        <f t="shared" si="2"/>
        <v>31</v>
      </c>
      <c r="AQ4" s="12">
        <f t="shared" si="2"/>
        <v>30</v>
      </c>
      <c r="AR4" s="12">
        <f t="shared" si="2"/>
        <v>31</v>
      </c>
      <c r="AS4" s="12">
        <f t="shared" si="2"/>
        <v>30</v>
      </c>
      <c r="AT4" s="12">
        <f t="shared" si="2"/>
        <v>31</v>
      </c>
      <c r="AU4" s="12">
        <f t="shared" si="2"/>
        <v>31</v>
      </c>
      <c r="AV4" s="12">
        <f t="shared" si="2"/>
        <v>30</v>
      </c>
      <c r="AW4" s="12">
        <f t="shared" si="2"/>
        <v>31</v>
      </c>
      <c r="AX4" s="12">
        <f t="shared" si="2"/>
        <v>30</v>
      </c>
      <c r="AY4" s="12">
        <f t="shared" si="2"/>
        <v>31</v>
      </c>
      <c r="AZ4" s="12">
        <f t="shared" si="2"/>
        <v>31</v>
      </c>
      <c r="BA4" s="12">
        <f t="shared" si="2"/>
        <v>28</v>
      </c>
      <c r="BB4" s="12">
        <f t="shared" si="2"/>
        <v>31</v>
      </c>
      <c r="BC4" s="12">
        <f t="shared" si="2"/>
        <v>30</v>
      </c>
      <c r="BD4" s="12">
        <f t="shared" si="2"/>
        <v>31</v>
      </c>
      <c r="BE4" s="12">
        <f t="shared" si="2"/>
        <v>30</v>
      </c>
      <c r="BF4" s="12">
        <f t="shared" si="2"/>
        <v>31</v>
      </c>
      <c r="BG4" s="12">
        <f t="shared" si="2"/>
        <v>31</v>
      </c>
      <c r="BH4" s="12">
        <f t="shared" si="2"/>
        <v>30</v>
      </c>
      <c r="BI4" s="12">
        <f t="shared" si="2"/>
        <v>31</v>
      </c>
      <c r="BJ4" s="12">
        <f t="shared" si="2"/>
        <v>30</v>
      </c>
      <c r="BK4" s="12">
        <f t="shared" si="2"/>
        <v>31</v>
      </c>
      <c r="BO4" s="27">
        <f>AVERAGEIFS($D4:$BM4,$D$6:$BM$6,"&gt;="&amp;BO$2,$D$6:$BM$6,"&lt;="&amp;BO$6,$D$5:$BM$5,BO$5)</f>
        <v>30.2</v>
      </c>
      <c r="BP4" s="27">
        <f t="shared" si="1"/>
        <v>30.2</v>
      </c>
      <c r="BQ4" s="27">
        <f t="shared" si="1"/>
        <v>30</v>
      </c>
      <c r="BR4" s="27">
        <f t="shared" si="1"/>
        <v>30.2</v>
      </c>
      <c r="BS4" s="27">
        <f t="shared" si="1"/>
        <v>30.4</v>
      </c>
      <c r="BT4" s="27">
        <f t="shared" si="1"/>
        <v>30.2</v>
      </c>
    </row>
    <row r="5" spans="1:81" ht="15.75" thickBot="1" x14ac:dyDescent="0.3">
      <c r="C5" s="13" t="s">
        <v>85</v>
      </c>
      <c r="D5" s="12" t="s">
        <v>86</v>
      </c>
      <c r="E5" s="12" t="s">
        <v>86</v>
      </c>
      <c r="F5" s="12" t="s">
        <v>86</v>
      </c>
      <c r="G5" s="12" t="s">
        <v>86</v>
      </c>
      <c r="H5" s="12" t="s">
        <v>86</v>
      </c>
      <c r="I5" s="12" t="s">
        <v>86</v>
      </c>
      <c r="J5" s="12" t="s">
        <v>86</v>
      </c>
      <c r="K5" s="12" t="s">
        <v>86</v>
      </c>
      <c r="L5" s="12" t="s">
        <v>86</v>
      </c>
      <c r="M5" s="12" t="s">
        <v>86</v>
      </c>
      <c r="N5" s="12" t="s">
        <v>86</v>
      </c>
      <c r="O5" s="12" t="s">
        <v>86</v>
      </c>
      <c r="P5" s="12" t="s">
        <v>86</v>
      </c>
      <c r="Q5" s="12" t="s">
        <v>86</v>
      </c>
      <c r="R5" s="12" t="s">
        <v>86</v>
      </c>
      <c r="S5" s="12" t="s">
        <v>86</v>
      </c>
      <c r="T5" s="12" t="s">
        <v>86</v>
      </c>
      <c r="U5" s="12" t="s">
        <v>86</v>
      </c>
      <c r="V5" s="12" t="s">
        <v>86</v>
      </c>
      <c r="W5" s="12" t="s">
        <v>86</v>
      </c>
      <c r="X5" s="12" t="s">
        <v>86</v>
      </c>
      <c r="Y5" s="12" t="s">
        <v>86</v>
      </c>
      <c r="Z5" s="12" t="s">
        <v>86</v>
      </c>
      <c r="AA5" s="12" t="s">
        <v>86</v>
      </c>
      <c r="AB5" s="12" t="s">
        <v>86</v>
      </c>
      <c r="AC5" s="12" t="s">
        <v>86</v>
      </c>
      <c r="AD5" s="12" t="s">
        <v>86</v>
      </c>
      <c r="AE5" s="12" t="s">
        <v>86</v>
      </c>
      <c r="AF5" s="12" t="s">
        <v>86</v>
      </c>
      <c r="AG5" s="12" t="s">
        <v>86</v>
      </c>
      <c r="AH5" s="12" t="s">
        <v>86</v>
      </c>
      <c r="AI5" s="12" t="s">
        <v>86</v>
      </c>
      <c r="AJ5" s="12" t="s">
        <v>86</v>
      </c>
      <c r="AK5" s="12" t="s">
        <v>86</v>
      </c>
      <c r="AL5" s="12" t="s">
        <v>86</v>
      </c>
      <c r="AM5" s="12" t="s">
        <v>86</v>
      </c>
      <c r="AN5" s="12" t="s">
        <v>86</v>
      </c>
      <c r="AO5" s="12" t="s">
        <v>86</v>
      </c>
      <c r="AP5" s="12" t="s">
        <v>86</v>
      </c>
      <c r="AQ5" s="12" t="s">
        <v>86</v>
      </c>
      <c r="AR5" s="12" t="s">
        <v>86</v>
      </c>
      <c r="AS5" s="12" t="s">
        <v>86</v>
      </c>
      <c r="AT5" s="12" t="s">
        <v>86</v>
      </c>
      <c r="AU5" s="12" t="s">
        <v>86</v>
      </c>
      <c r="AV5" s="12" t="s">
        <v>86</v>
      </c>
      <c r="AW5" s="12" t="s">
        <v>86</v>
      </c>
      <c r="AX5" s="12" t="s">
        <v>86</v>
      </c>
      <c r="AY5" s="12" t="s">
        <v>86</v>
      </c>
      <c r="AZ5" s="12" t="s">
        <v>87</v>
      </c>
      <c r="BA5" s="12" t="s">
        <v>87</v>
      </c>
      <c r="BB5" s="12" t="s">
        <v>87</v>
      </c>
      <c r="BC5" s="12" t="s">
        <v>87</v>
      </c>
      <c r="BD5" s="12" t="s">
        <v>87</v>
      </c>
      <c r="BE5" s="12" t="s">
        <v>87</v>
      </c>
      <c r="BF5" s="12" t="s">
        <v>87</v>
      </c>
      <c r="BG5" s="12" t="s">
        <v>87</v>
      </c>
      <c r="BH5" s="12" t="s">
        <v>87</v>
      </c>
      <c r="BI5" s="12" t="s">
        <v>87</v>
      </c>
      <c r="BJ5" s="12" t="s">
        <v>87</v>
      </c>
      <c r="BK5" s="12" t="s">
        <v>87</v>
      </c>
      <c r="BO5" s="12" t="s">
        <v>86</v>
      </c>
      <c r="BP5" s="12" t="s">
        <v>87</v>
      </c>
      <c r="BQ5" s="12" t="s">
        <v>86</v>
      </c>
      <c r="BR5" s="12" t="s">
        <v>86</v>
      </c>
      <c r="BS5" s="12" t="s">
        <v>86</v>
      </c>
      <c r="BT5" s="12" t="s">
        <v>86</v>
      </c>
    </row>
    <row r="6" spans="1:81" ht="16.5" thickTop="1" thickBot="1" x14ac:dyDescent="0.3">
      <c r="C6" s="45" t="s">
        <v>47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30">
        <v>46053</v>
      </c>
      <c r="BA6" s="30">
        <v>46081</v>
      </c>
      <c r="BB6" s="30">
        <v>46112</v>
      </c>
      <c r="BC6" s="30">
        <v>46142</v>
      </c>
      <c r="BD6" s="30">
        <v>46173</v>
      </c>
      <c r="BE6" s="30">
        <v>46203</v>
      </c>
      <c r="BF6" s="30">
        <v>46234</v>
      </c>
      <c r="BG6" s="30">
        <v>46265</v>
      </c>
      <c r="BH6" s="30">
        <v>46295</v>
      </c>
      <c r="BI6" s="30">
        <v>46326</v>
      </c>
      <c r="BJ6" s="30">
        <v>46356</v>
      </c>
      <c r="BK6" s="30">
        <v>46387</v>
      </c>
      <c r="BO6" s="1">
        <f>Desempeño_Financiero!$B$1</f>
        <v>46173</v>
      </c>
      <c r="BP6" s="22">
        <f>BO6</f>
        <v>46173</v>
      </c>
      <c r="BQ6" s="1">
        <f>EOMONTH(BO6,-1)</f>
        <v>46142</v>
      </c>
      <c r="BR6" s="1">
        <f>EOMONTH(BO6,-12)</f>
        <v>45808</v>
      </c>
      <c r="BS6" s="1">
        <f>EOMONTH(BO6,-24)</f>
        <v>45443</v>
      </c>
      <c r="BT6" s="1">
        <f>EOMONTH(BO6,-36)</f>
        <v>45077</v>
      </c>
      <c r="BW6" s="1">
        <f>BO6</f>
        <v>46173</v>
      </c>
      <c r="BX6" s="22">
        <f t="shared" ref="BX6:CB6" si="3">BP6</f>
        <v>46173</v>
      </c>
      <c r="BY6" s="1">
        <f t="shared" si="3"/>
        <v>46142</v>
      </c>
      <c r="BZ6" s="1">
        <f t="shared" si="3"/>
        <v>45808</v>
      </c>
      <c r="CA6" s="1">
        <f t="shared" si="3"/>
        <v>45443</v>
      </c>
      <c r="CB6" s="1">
        <f t="shared" si="3"/>
        <v>45077</v>
      </c>
      <c r="CC6" s="26"/>
    </row>
    <row r="7" spans="1:81" ht="15.75" thickTop="1" x14ac:dyDescent="0.25"/>
    <row r="8" spans="1:81" outlineLevel="1" x14ac:dyDescent="0.25">
      <c r="A8" s="11" t="s">
        <v>51</v>
      </c>
      <c r="C8" s="2" t="s">
        <v>0</v>
      </c>
      <c r="D8" s="8">
        <f>IFERROR(
GETPIVOTDATA(
"[Base].[Importe]",
TDinamica_R!$A$5,
"[Calendario].[AñoMes]",
"[Calendario].[AñoMes].&amp;[" &amp; TEXT(D$6,"yyyymm") &amp; "]",
"[Base].[Metrica]",
"[Base].[Metrica].&amp;[" &amp; $A8 &amp; "]",
"[Base].[SEGMENTO_DESCRIP]",
"[Base].[SEGMENTO_DESCRIP].&amp;[" &amp; $C$6 &amp; "]",
"[Base].[SITUACION]",
"[Base].[SITUACION].&amp;[" &amp; $C8 &amp; "]"
),0)/1000</f>
        <v>4474146.0781579996</v>
      </c>
      <c r="E8" s="8">
        <f>IFERROR(
GETPIVOTDATA(
"[Base].[Importe]",
TDinamica_R!$A$5,
"[Calendario].[AñoMes]",
"[Calendario].[AñoMes].&amp;[" &amp; TEXT(E$6,"yyyymm") &amp; "]",
"[Base].[Metrica]",
"[Base].[Metrica].&amp;[" &amp; $A8 &amp; "]",
"[Base].[SEGMENTO_DESCRIP]",
"[Base].[SEGMENTO_DESCRIP].&amp;[" &amp; $C$6 &amp; "]",
"[Base].[SITUACION]",
"[Base].[SITUACION].&amp;[" &amp; $C8 &amp; "]"
),0)/1000</f>
        <v>4537329.1803562595</v>
      </c>
      <c r="F8" s="8">
        <f>IFERROR(
GETPIVOTDATA(
"[Base].[Importe]",
TDinamica_R!$A$5,
"[Calendario].[AñoMes]",
"[Calendario].[AñoMes].&amp;[" &amp; TEXT(F$6,"yyyymm") &amp; "]",
"[Base].[Metrica]",
"[Base].[Metrica].&amp;[" &amp; $A8 &amp; "]",
"[Base].[SEGMENTO_DESCRIP]",
"[Base].[SEGMENTO_DESCRIP].&amp;[" &amp; $C$6 &amp; "]",
"[Base].[SITUACION]",
"[Base].[SITUACION].&amp;[" &amp; $C8 &amp; "]"
),0)/1000</f>
        <v>4613783.3632342191</v>
      </c>
      <c r="G8" s="8">
        <f>IFERROR(
GETPIVOTDATA(
"[Base].[Importe]",
TDinamica_R!$A$5,
"[Calendario].[AñoMes]",
"[Calendario].[AñoMes].&amp;[" &amp; TEXT(G$6,"yyyymm") &amp; "]",
"[Base].[Metrica]",
"[Base].[Metrica].&amp;[" &amp; $A8 &amp; "]",
"[Base].[SEGMENTO_DESCRIP]",
"[Base].[SEGMENTO_DESCRIP].&amp;[" &amp; $C$6 &amp; "]",
"[Base].[SITUACION]",
"[Base].[SITUACION].&amp;[" &amp; $C8 &amp; "]"
),0)/1000</f>
        <v>4658246.8650000002</v>
      </c>
      <c r="H8" s="8">
        <f>IFERROR(
GETPIVOTDATA(
"[Base].[Importe]",
TDinamica_R!$A$5,
"[Calendario].[AñoMes]",
"[Calendario].[AñoMes].&amp;[" &amp; TEXT(H$6,"yyyymm") &amp; "]",
"[Base].[Metrica]",
"[Base].[Metrica].&amp;[" &amp; $A8 &amp; "]",
"[Base].[SEGMENTO_DESCRIP]",
"[Base].[SEGMENTO_DESCRIP].&amp;[" &amp; $C$6 &amp; "]",
"[Base].[SITUACION]",
"[Base].[SITUACION].&amp;[" &amp; $C8 &amp; "]"
),0)/1000</f>
        <v>4716762.2601699997</v>
      </c>
      <c r="I8" s="8">
        <f>IFERROR(
GETPIVOTDATA(
"[Base].[Importe]",
TDinamica_R!$A$5,
"[Calendario].[AñoMes]",
"[Calendario].[AñoMes].&amp;[" &amp; TEXT(I$6,"yyyymm") &amp; "]",
"[Base].[Metrica]",
"[Base].[Metrica].&amp;[" &amp; $A8 &amp; "]",
"[Base].[SEGMENTO_DESCRIP]",
"[Base].[SEGMENTO_DESCRIP].&amp;[" &amp; $C$6 &amp; "]",
"[Base].[SITUACION]",
"[Base].[SITUACION].&amp;[" &amp; $C8 &amp; "]"
),0)/1000</f>
        <v>4776197.3623884004</v>
      </c>
      <c r="J8" s="8">
        <f>IFERROR(
GETPIVOTDATA(
"[Base].[Importe]",
TDinamica_R!$A$5,
"[Calendario].[AñoMes]",
"[Calendario].[AñoMes].&amp;[" &amp; TEXT(J$6,"yyyymm") &amp; "]",
"[Base].[Metrica]",
"[Base].[Metrica].&amp;[" &amp; $A8 &amp; "]",
"[Base].[SEGMENTO_DESCRIP]",
"[Base].[SEGMENTO_DESCRIP].&amp;[" &amp; $C$6 &amp; "]",
"[Base].[SITUACION]",
"[Base].[SITUACION].&amp;[" &amp; $C8 &amp; "]"
),0)/1000</f>
        <v>4820282.9222808797</v>
      </c>
      <c r="K8" s="8">
        <f>IFERROR(
GETPIVOTDATA(
"[Base].[Importe]",
TDinamica_R!$A$5,
"[Calendario].[AñoMes]",
"[Calendario].[AñoMes].&amp;[" &amp; TEXT(K$6,"yyyymm") &amp; "]",
"[Base].[Metrica]",
"[Base].[Metrica].&amp;[" &amp; $A8 &amp; "]",
"[Base].[SEGMENTO_DESCRIP]",
"[Base].[SEGMENTO_DESCRIP].&amp;[" &amp; $C$6 &amp; "]",
"[Base].[SITUACION]",
"[Base].[SITUACION].&amp;[" &amp; $C8 &amp; "]"
),0)/1000</f>
        <v>4894734.49062155</v>
      </c>
      <c r="L8" s="8">
        <f>IFERROR(
GETPIVOTDATA(
"[Base].[Importe]",
TDinamica_R!$A$5,
"[Calendario].[AñoMes]",
"[Calendario].[AñoMes].&amp;[" &amp; TEXT(L$6,"yyyymm") &amp; "]",
"[Base].[Metrica]",
"[Base].[Metrica].&amp;[" &amp; $A8 &amp; "]",
"[Base].[SEGMENTO_DESCRIP]",
"[Base].[SEGMENTO_DESCRIP].&amp;[" &amp; $C$6 &amp; "]",
"[Base].[SITUACION]",
"[Base].[SITUACION].&amp;[" &amp; $C8 &amp; "]"
),0)/1000</f>
        <v>4936440.0742831994</v>
      </c>
      <c r="M8" s="8">
        <f>IFERROR(
GETPIVOTDATA(
"[Base].[Importe]",
TDinamica_R!$A$5,
"[Calendario].[AñoMes]",
"[Calendario].[AñoMes].&amp;[" &amp; TEXT(M$6,"yyyymm") &amp; "]",
"[Base].[Metrica]",
"[Base].[Metrica].&amp;[" &amp; $A8 &amp; "]",
"[Base].[SEGMENTO_DESCRIP]",
"[Base].[SEGMENTO_DESCRIP].&amp;[" &amp; $C$6 &amp; "]",
"[Base].[SITUACION]",
"[Base].[SITUACION].&amp;[" &amp; $C8 &amp; "]"
),0)/1000</f>
        <v>5001105.9254887011</v>
      </c>
      <c r="N8" s="8">
        <f>IFERROR(
GETPIVOTDATA(
"[Base].[Importe]",
TDinamica_R!$A$5,
"[Calendario].[AñoMes]",
"[Calendario].[AñoMes].&amp;[" &amp; TEXT(N$6,"yyyymm") &amp; "]",
"[Base].[Metrica]",
"[Base].[Metrica].&amp;[" &amp; $A8 &amp; "]",
"[Base].[SEGMENTO_DESCRIP]",
"[Base].[SEGMENTO_DESCRIP].&amp;[" &amp; $C$6 &amp; "]",
"[Base].[SITUACION]",
"[Base].[SITUACION].&amp;[" &amp; $C8 &amp; "]"
),0)/1000</f>
        <v>5056459.2468832806</v>
      </c>
      <c r="O8" s="8">
        <f>IFERROR(
GETPIVOTDATA(
"[Base].[Importe]",
TDinamica_R!$A$5,
"[Calendario].[AñoMes]",
"[Calendario].[AñoMes].&amp;[" &amp; TEXT(O$6,"yyyymm") &amp; "]",
"[Base].[Metrica]",
"[Base].[Metrica].&amp;[" &amp; $A8 &amp; "]",
"[Base].[SEGMENTO_DESCRIP]",
"[Base].[SEGMENTO_DESCRIP].&amp;[" &amp; $C$6 &amp; "]",
"[Base].[SITUACION]",
"[Base].[SITUACION].&amp;[" &amp; $C8 &amp; "]"
),0)/1000</f>
        <v>5077105.7041188003</v>
      </c>
      <c r="P8" s="8">
        <f>IFERROR(
GETPIVOTDATA(
"[Base].[Importe]",
TDinamica_R!$A$5,
"[Calendario].[AñoMes]",
"[Calendario].[AñoMes].&amp;[" &amp; TEXT(P$6,"yyyymm") &amp; "]",
"[Base].[Metrica]",
"[Base].[Metrica].&amp;[" &amp; $A8 &amp; "]",
"[Base].[SEGMENTO_DESCRIP]",
"[Base].[SEGMENTO_DESCRIP].&amp;[" &amp; $C$6 &amp; "]",
"[Base].[SITUACION]",
"[Base].[SITUACION].&amp;[" &amp; $C8 &amp; "]"
),0)/1000</f>
        <v>5134445.2844723593</v>
      </c>
      <c r="Q8" s="8">
        <f>IFERROR(
GETPIVOTDATA(
"[Base].[Importe]",
TDinamica_R!$A$5,
"[Calendario].[AñoMes]",
"[Calendario].[AñoMes].&amp;[" &amp; TEXT(Q$6,"yyyymm") &amp; "]",
"[Base].[Metrica]",
"[Base].[Metrica].&amp;[" &amp; $A8 &amp; "]",
"[Base].[SEGMENTO_DESCRIP]",
"[Base].[SEGMENTO_DESCRIP].&amp;[" &amp; $C$6 &amp; "]",
"[Base].[SITUACION]",
"[Base].[SITUACION].&amp;[" &amp; $C8 &amp; "]"
),0)/1000</f>
        <v>5200503.3648993997</v>
      </c>
      <c r="R8" s="8">
        <f>IFERROR(
GETPIVOTDATA(
"[Base].[Importe]",
TDinamica_R!$A$5,
"[Calendario].[AñoMes]",
"[Calendario].[AñoMes].&amp;[" &amp; TEXT(R$6,"yyyymm") &amp; "]",
"[Base].[Metrica]",
"[Base].[Metrica].&amp;[" &amp; $A8 &amp; "]",
"[Base].[SEGMENTO_DESCRIP]",
"[Base].[SEGMENTO_DESCRIP].&amp;[" &amp; $C$6 &amp; "]",
"[Base].[SITUACION]",
"[Base].[SITUACION].&amp;[" &amp; $C8 &amp; "]"
),0)/1000</f>
        <v>5268856.8233484998</v>
      </c>
      <c r="S8" s="8">
        <f>IFERROR(
GETPIVOTDATA(
"[Base].[Importe]",
TDinamica_R!$A$5,
"[Calendario].[AñoMes]",
"[Calendario].[AñoMes].&amp;[" &amp; TEXT(S$6,"yyyymm") &amp; "]",
"[Base].[Metrica]",
"[Base].[Metrica].&amp;[" &amp; $A8 &amp; "]",
"[Base].[SEGMENTO_DESCRIP]",
"[Base].[SEGMENTO_DESCRIP].&amp;[" &amp; $C$6 &amp; "]",
"[Base].[SITUACION]",
"[Base].[SITUACION].&amp;[" &amp; $C8 &amp; "]"
),0)/1000</f>
        <v>5366720.1634547003</v>
      </c>
      <c r="T8" s="8">
        <f>IFERROR(
GETPIVOTDATA(
"[Base].[Importe]",
TDinamica_R!$A$5,
"[Calendario].[AñoMes]",
"[Calendario].[AñoMes].&amp;[" &amp; TEXT(T$6,"yyyymm") &amp; "]",
"[Base].[Metrica]",
"[Base].[Metrica].&amp;[" &amp; $A8 &amp; "]",
"[Base].[SEGMENTO_DESCRIP]",
"[Base].[SEGMENTO_DESCRIP].&amp;[" &amp; $C$6 &amp; "]",
"[Base].[SITUACION]",
"[Base].[SITUACION].&amp;[" &amp; $C8 &amp; "]"
),0)/1000</f>
        <v>5461764.6312003992</v>
      </c>
      <c r="U8" s="8">
        <f>IFERROR(
GETPIVOTDATA(
"[Base].[Importe]",
TDinamica_R!$A$5,
"[Calendario].[AñoMes]",
"[Calendario].[AñoMes].&amp;[" &amp; TEXT(U$6,"yyyymm") &amp; "]",
"[Base].[Metrica]",
"[Base].[Metrica].&amp;[" &amp; $A8 &amp; "]",
"[Base].[SEGMENTO_DESCRIP]",
"[Base].[SEGMENTO_DESCRIP].&amp;[" &amp; $C$6 &amp; "]",
"[Base].[SITUACION]",
"[Base].[SITUACION].&amp;[" &amp; $C8 &amp; "]"
),0)/1000</f>
        <v>5534426.3665915001</v>
      </c>
      <c r="V8" s="8">
        <f>IFERROR(
GETPIVOTDATA(
"[Base].[Importe]",
TDinamica_R!$A$5,
"[Calendario].[AñoMes]",
"[Calendario].[AñoMes].&amp;[" &amp; TEXT(V$6,"yyyymm") &amp; "]",
"[Base].[Metrica]",
"[Base].[Metrica].&amp;[" &amp; $A8 &amp; "]",
"[Base].[SEGMENTO_DESCRIP]",
"[Base].[SEGMENTO_DESCRIP].&amp;[" &amp; $C$6 &amp; "]",
"[Base].[SITUACION]",
"[Base].[SITUACION].&amp;[" &amp; $C8 &amp; "]"
),0)/1000</f>
        <v>5608554.7537765</v>
      </c>
      <c r="W8" s="8">
        <f>IFERROR(
GETPIVOTDATA(
"[Base].[Importe]",
TDinamica_R!$A$5,
"[Calendario].[AñoMes]",
"[Calendario].[AñoMes].&amp;[" &amp; TEXT(W$6,"yyyymm") &amp; "]",
"[Base].[Metrica]",
"[Base].[Metrica].&amp;[" &amp; $A8 &amp; "]",
"[Base].[SEGMENTO_DESCRIP]",
"[Base].[SEGMENTO_DESCRIP].&amp;[" &amp; $C$6 &amp; "]",
"[Base].[SITUACION]",
"[Base].[SITUACION].&amp;[" &amp; $C8 &amp; "]"
),0)/1000</f>
        <v>5638053.3221249999</v>
      </c>
      <c r="X8" s="8">
        <f>IFERROR(
GETPIVOTDATA(
"[Base].[Importe]",
TDinamica_R!$A$5,
"[Calendario].[AñoMes]",
"[Calendario].[AñoMes].&amp;[" &amp; TEXT(X$6,"yyyymm") &amp; "]",
"[Base].[Metrica]",
"[Base].[Metrica].&amp;[" &amp; $A8 &amp; "]",
"[Base].[SEGMENTO_DESCRIP]",
"[Base].[SEGMENTO_DESCRIP].&amp;[" &amp; $C$6 &amp; "]",
"[Base].[SITUACION]",
"[Base].[SITUACION].&amp;[" &amp; $C8 &amp; "]"
),0)/1000</f>
        <v>5640762.5104983002</v>
      </c>
      <c r="Y8" s="8">
        <f>IFERROR(
GETPIVOTDATA(
"[Base].[Importe]",
TDinamica_R!$A$5,
"[Calendario].[AñoMes]",
"[Calendario].[AñoMes].&amp;[" &amp; TEXT(Y$6,"yyyymm") &amp; "]",
"[Base].[Metrica]",
"[Base].[Metrica].&amp;[" &amp; $A8 &amp; "]",
"[Base].[SEGMENTO_DESCRIP]",
"[Base].[SEGMENTO_DESCRIP].&amp;[" &amp; $C$6 &amp; "]",
"[Base].[SITUACION]",
"[Base].[SITUACION].&amp;[" &amp; $C8 &amp; "]"
),0)/1000</f>
        <v>5617787.6371593997</v>
      </c>
      <c r="Z8" s="8">
        <f>IFERROR(
GETPIVOTDATA(
"[Base].[Importe]",
TDinamica_R!$A$5,
"[Calendario].[AñoMes]",
"[Calendario].[AñoMes].&amp;[" &amp; TEXT(Z$6,"yyyymm") &amp; "]",
"[Base].[Metrica]",
"[Base].[Metrica].&amp;[" &amp; $A8 &amp; "]",
"[Base].[SEGMENTO_DESCRIP]",
"[Base].[SEGMENTO_DESCRIP].&amp;[" &amp; $C$6 &amp; "]",
"[Base].[SITUACION]",
"[Base].[SITUACION].&amp;[" &amp; $C8 &amp; "]"
),0)/1000</f>
        <v>5553442.5982881999</v>
      </c>
      <c r="AA8" s="8">
        <f>IFERROR(
GETPIVOTDATA(
"[Base].[Importe]",
TDinamica_R!$A$5,
"[Calendario].[AñoMes]",
"[Calendario].[AñoMes].&amp;[" &amp; TEXT(AA$6,"yyyymm") &amp; "]",
"[Base].[Metrica]",
"[Base].[Metrica].&amp;[" &amp; $A8 &amp; "]",
"[Base].[SEGMENTO_DESCRIP]",
"[Base].[SEGMENTO_DESCRIP].&amp;[" &amp; $C$6 &amp; "]",
"[Base].[SITUACION]",
"[Base].[SITUACION].&amp;[" &amp; $C8 &amp; "]"
),0)/1000</f>
        <v>5486059.6077367002</v>
      </c>
      <c r="AB8" s="8">
        <f>IFERROR(
GETPIVOTDATA(
"[Base].[Importe]",
TDinamica_R!$A$5,
"[Calendario].[AñoMes]",
"[Calendario].[AñoMes].&amp;[" &amp; TEXT(AB$6,"yyyymm") &amp; "]",
"[Base].[Metrica]",
"[Base].[Metrica].&amp;[" &amp; $A8 &amp; "]",
"[Base].[SEGMENTO_DESCRIP]",
"[Base].[SEGMENTO_DESCRIP].&amp;[" &amp; $C$6 &amp; "]",
"[Base].[SITUACION]",
"[Base].[SITUACION].&amp;[" &amp; $C8 &amp; "]"
),0)/1000</f>
        <v>5454243.4897931004</v>
      </c>
      <c r="AC8" s="8">
        <f>IFERROR(
GETPIVOTDATA(
"[Base].[Importe]",
TDinamica_R!$A$5,
"[Calendario].[AñoMes]",
"[Calendario].[AñoMes].&amp;[" &amp; TEXT(AC$6,"yyyymm") &amp; "]",
"[Base].[Metrica]",
"[Base].[Metrica].&amp;[" &amp; $A8 &amp; "]",
"[Base].[SEGMENTO_DESCRIP]",
"[Base].[SEGMENTO_DESCRIP].&amp;[" &amp; $C$6 &amp; "]",
"[Base].[SITUACION]",
"[Base].[SITUACION].&amp;[" &amp; $C8 &amp; "]"
),0)/1000</f>
        <v>5441012.3881515004</v>
      </c>
      <c r="AD8" s="8">
        <f>IFERROR(
GETPIVOTDATA(
"[Base].[Importe]",
TDinamica_R!$A$5,
"[Calendario].[AñoMes]",
"[Calendario].[AñoMes].&amp;[" &amp; TEXT(AD$6,"yyyymm") &amp; "]",
"[Base].[Metrica]",
"[Base].[Metrica].&amp;[" &amp; $A8 &amp; "]",
"[Base].[SEGMENTO_DESCRIP]",
"[Base].[SEGMENTO_DESCRIP].&amp;[" &amp; $C$6 &amp; "]",
"[Base].[SITUACION]",
"[Base].[SITUACION].&amp;[" &amp; $C8 &amp; "]"
),0)/1000</f>
        <v>5429172.4614483994</v>
      </c>
      <c r="AE8" s="8">
        <f>IFERROR(
GETPIVOTDATA(
"[Base].[Importe]",
TDinamica_R!$A$5,
"[Calendario].[AñoMes]",
"[Calendario].[AñoMes].&amp;[" &amp; TEXT(AE$6,"yyyymm") &amp; "]",
"[Base].[Metrica]",
"[Base].[Metrica].&amp;[" &amp; $A8 &amp; "]",
"[Base].[SEGMENTO_DESCRIP]",
"[Base].[SEGMENTO_DESCRIP].&amp;[" &amp; $C$6 &amp; "]",
"[Base].[SITUACION]",
"[Base].[SITUACION].&amp;[" &amp; $C8 &amp; "]"
),0)/1000</f>
        <v>5440690.9110417999</v>
      </c>
      <c r="AF8" s="8">
        <f>IFERROR(
GETPIVOTDATA(
"[Base].[Importe]",
TDinamica_R!$A$5,
"[Calendario].[AñoMes]",
"[Calendario].[AñoMes].&amp;[" &amp; TEXT(AF$6,"yyyymm") &amp; "]",
"[Base].[Metrica]",
"[Base].[Metrica].&amp;[" &amp; $A8 &amp; "]",
"[Base].[SEGMENTO_DESCRIP]",
"[Base].[SEGMENTO_DESCRIP].&amp;[" &amp; $C$6 &amp; "]",
"[Base].[SITUACION]",
"[Base].[SITUACION].&amp;[" &amp; $C8 &amp; "]"
),0)/1000</f>
        <v>5449700.7721168008</v>
      </c>
      <c r="AG8" s="8">
        <f>IFERROR(
GETPIVOTDATA(
"[Base].[Importe]",
TDinamica_R!$A$5,
"[Calendario].[AñoMes]",
"[Calendario].[AñoMes].&amp;[" &amp; TEXT(AG$6,"yyyymm") &amp; "]",
"[Base].[Metrica]",
"[Base].[Metrica].&amp;[" &amp; $A8 &amp; "]",
"[Base].[SEGMENTO_DESCRIP]",
"[Base].[SEGMENTO_DESCRIP].&amp;[" &amp; $C$6 &amp; "]",
"[Base].[SITUACION]",
"[Base].[SITUACION].&amp;[" &amp; $C8 &amp; "]"
),0)/1000</f>
        <v>5458258.4675743002</v>
      </c>
      <c r="AH8" s="8">
        <f>IFERROR(
GETPIVOTDATA(
"[Base].[Importe]",
TDinamica_R!$A$5,
"[Calendario].[AñoMes]",
"[Calendario].[AñoMes].&amp;[" &amp; TEXT(AH$6,"yyyymm") &amp; "]",
"[Base].[Metrica]",
"[Base].[Metrica].&amp;[" &amp; $A8 &amp; "]",
"[Base].[SEGMENTO_DESCRIP]",
"[Base].[SEGMENTO_DESCRIP].&amp;[" &amp; $C$6 &amp; "]",
"[Base].[SITUACION]",
"[Base].[SITUACION].&amp;[" &amp; $C8 &amp; "]"
),0)/1000</f>
        <v>5479225.1312053902</v>
      </c>
      <c r="AI8" s="8">
        <f>IFERROR(
GETPIVOTDATA(
"[Base].[Importe]",
TDinamica_R!$A$5,
"[Calendario].[AñoMes]",
"[Calendario].[AñoMes].&amp;[" &amp; TEXT(AI$6,"yyyymm") &amp; "]",
"[Base].[Metrica]",
"[Base].[Metrica].&amp;[" &amp; $A8 &amp; "]",
"[Base].[SEGMENTO_DESCRIP]",
"[Base].[SEGMENTO_DESCRIP].&amp;[" &amp; $C$6 &amp; "]",
"[Base].[SITUACION]",
"[Base].[SITUACION].&amp;[" &amp; $C8 &amp; "]"
),0)/1000</f>
        <v>5506978.3143122997</v>
      </c>
      <c r="AJ8" s="8">
        <f>IFERROR(
GETPIVOTDATA(
"[Base].[Importe]",
TDinamica_R!$A$5,
"[Calendario].[AñoMes]",
"[Calendario].[AñoMes].&amp;[" &amp; TEXT(AJ$6,"yyyymm") &amp; "]",
"[Base].[Metrica]",
"[Base].[Metrica].&amp;[" &amp; $A8 &amp; "]",
"[Base].[SEGMENTO_DESCRIP]",
"[Base].[SEGMENTO_DESCRIP].&amp;[" &amp; $C$6 &amp; "]",
"[Base].[SITUACION]",
"[Base].[SITUACION].&amp;[" &amp; $C8 &amp; "]"
),0)/1000</f>
        <v>5513033.5015134998</v>
      </c>
      <c r="AK8" s="8">
        <f>IFERROR(
GETPIVOTDATA(
"[Base].[Importe]",
TDinamica_R!$A$5,
"[Calendario].[AñoMes]",
"[Calendario].[AñoMes].&amp;[" &amp; TEXT(AK$6,"yyyymm") &amp; "]",
"[Base].[Metrica]",
"[Base].[Metrica].&amp;[" &amp; $A8 &amp; "]",
"[Base].[SEGMENTO_DESCRIP]",
"[Base].[SEGMENTO_DESCRIP].&amp;[" &amp; $C$6 &amp; "]",
"[Base].[SITUACION]",
"[Base].[SITUACION].&amp;[" &amp; $C8 &amp; "]"
),0)/1000</f>
        <v>5469392.9554412998</v>
      </c>
      <c r="AL8" s="8">
        <f>IFERROR(
GETPIVOTDATA(
"[Base].[Importe]",
TDinamica_R!$A$5,
"[Calendario].[AñoMes]",
"[Calendario].[AñoMes].&amp;[" &amp; TEXT(AL$6,"yyyymm") &amp; "]",
"[Base].[Metrica]",
"[Base].[Metrica].&amp;[" &amp; $A8 &amp; "]",
"[Base].[SEGMENTO_DESCRIP]",
"[Base].[SEGMENTO_DESCRIP].&amp;[" &amp; $C$6 &amp; "]",
"[Base].[SITUACION]",
"[Base].[SITUACION].&amp;[" &amp; $C8 &amp; "]"
),0)/1000</f>
        <v>5419285.7539005</v>
      </c>
      <c r="AM8" s="8">
        <f>IFERROR(
GETPIVOTDATA(
"[Base].[Importe]",
TDinamica_R!$A$5,
"[Calendario].[AñoMes]",
"[Calendario].[AñoMes].&amp;[" &amp; TEXT(AM$6,"yyyymm") &amp; "]",
"[Base].[Metrica]",
"[Base].[Metrica].&amp;[" &amp; $A8 &amp; "]",
"[Base].[SEGMENTO_DESCRIP]",
"[Base].[SEGMENTO_DESCRIP].&amp;[" &amp; $C$6 &amp; "]",
"[Base].[SITUACION]",
"[Base].[SITUACION].&amp;[" &amp; $C8 &amp; "]"
),0)/1000</f>
        <v>5362941.7079615006</v>
      </c>
      <c r="AN8" s="8">
        <f>IFERROR(
GETPIVOTDATA(
"[Base].[Importe]",
TDinamica_R!$A$5,
"[Calendario].[AñoMes]",
"[Calendario].[AñoMes].&amp;[" &amp; TEXT(AN$6,"yyyymm") &amp; "]",
"[Base].[Metrica]",
"[Base].[Metrica].&amp;[" &amp; $A8 &amp; "]",
"[Base].[SEGMENTO_DESCRIP]",
"[Base].[SEGMENTO_DESCRIP].&amp;[" &amp; $C$6 &amp; "]",
"[Base].[SITUACION]",
"[Base].[SITUACION].&amp;[" &amp; $C8 &amp; "]"
),0)/1000</f>
        <v>5338450.26</v>
      </c>
      <c r="AO8" s="8">
        <f>IFERROR(
GETPIVOTDATA(
"[Base].[Importe]",
TDinamica_R!$A$5,
"[Calendario].[AñoMes]",
"[Calendario].[AñoMes].&amp;[" &amp; TEXT(AO$6,"yyyymm") &amp; "]",
"[Base].[Metrica]",
"[Base].[Metrica].&amp;[" &amp; $A8 &amp; "]",
"[Base].[SEGMENTO_DESCRIP]",
"[Base].[SEGMENTO_DESCRIP].&amp;[" &amp; $C$6 &amp; "]",
"[Base].[SITUACION]",
"[Base].[SITUACION].&amp;[" &amp; $C8 &amp; "]"
),0)/1000</f>
        <v>5292591.84</v>
      </c>
      <c r="AP8" s="8">
        <f>IFERROR(
GETPIVOTDATA(
"[Base].[Importe]",
TDinamica_R!$A$5,
"[Calendario].[AñoMes]",
"[Calendario].[AñoMes].&amp;[" &amp; TEXT(AP$6,"yyyymm") &amp; "]",
"[Base].[Metrica]",
"[Base].[Metrica].&amp;[" &amp; $A8 &amp; "]",
"[Base].[SEGMENTO_DESCRIP]",
"[Base].[SEGMENTO_DESCRIP].&amp;[" &amp; $C$6 &amp; "]",
"[Base].[SITUACION]",
"[Base].[SITUACION].&amp;[" &amp; $C8 &amp; "]"
),0)/1000</f>
        <v>5306123.13</v>
      </c>
      <c r="AQ8" s="8">
        <f>IFERROR(
GETPIVOTDATA(
"[Base].[Importe]",
TDinamica_R!$A$5,
"[Calendario].[AñoMes]",
"[Calendario].[AñoMes].&amp;[" &amp; TEXT(AQ$6,"yyyymm") &amp; "]",
"[Base].[Metrica]",
"[Base].[Metrica].&amp;[" &amp; $A8 &amp; "]",
"[Base].[SEGMENTO_DESCRIP]",
"[Base].[SEGMENTO_DESCRIP].&amp;[" &amp; $C$6 &amp; "]",
"[Base].[SITUACION]",
"[Base].[SITUACION].&amp;[" &amp; $C8 &amp; "]"
),0)/1000</f>
        <v>5329060.4401694005</v>
      </c>
      <c r="AR8" s="8">
        <f>IFERROR(
GETPIVOTDATA(
"[Base].[Importe]",
TDinamica_R!$A$5,
"[Calendario].[AñoMes]",
"[Calendario].[AñoMes].&amp;[" &amp; TEXT(AR$6,"yyyymm") &amp; "]",
"[Base].[Metrica]",
"[Base].[Metrica].&amp;[" &amp; $A8 &amp; "]",
"[Base].[SEGMENTO_DESCRIP]",
"[Base].[SEGMENTO_DESCRIP].&amp;[" &amp; $C$6 &amp; "]",
"[Base].[SITUACION]",
"[Base].[SITUACION].&amp;[" &amp; $C8 &amp; "]"
),0)/1000</f>
        <v>5339651.2560270801</v>
      </c>
      <c r="AS8" s="8">
        <f>IFERROR(
GETPIVOTDATA(
"[Base].[Importe]",
TDinamica_R!$A$5,
"[Calendario].[AñoMes]",
"[Calendario].[AñoMes].&amp;[" &amp; TEXT(AS$6,"yyyymm") &amp; "]",
"[Base].[Metrica]",
"[Base].[Metrica].&amp;[" &amp; $A8 &amp; "]",
"[Base].[SEGMENTO_DESCRIP]",
"[Base].[SEGMENTO_DESCRIP].&amp;[" &amp; $C$6 &amp; "]",
"[Base].[SITUACION]",
"[Base].[SITUACION].&amp;[" &amp; $C8 &amp; "]"
),0)/1000</f>
        <v>5361414.7288008975</v>
      </c>
      <c r="AT8" s="8">
        <f>IFERROR(
GETPIVOTDATA(
"[Base].[Importe]",
TDinamica_R!$A$5,
"[Calendario].[AñoMes]",
"[Calendario].[AñoMes].&amp;[" &amp; TEXT(AT$6,"yyyymm")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U8" s="8">
        <f>IFERROR(
GETPIVOTDATA(
"[Base].[Importe]",
TDinamica_R!$A$5,
"[Calendario].[AñoMes]",
"[Calendario].[AñoMes].&amp;[" &amp; TEXT(AU$6,"yyyymm")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V8" s="8">
        <f>IFERROR(
GETPIVOTDATA(
"[Base].[Importe]",
TDinamica_R!$A$5,
"[Calendario].[AñoMes]",
"[Calendario].[AñoMes].&amp;[" &amp; TEXT(AV$6,"yyyymm")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W8" s="8">
        <f>IFERROR(
GETPIVOTDATA(
"[Base].[Importe]",
TDinamica_R!$A$5,
"[Calendario].[AñoMes]",
"[Calendario].[AñoMes].&amp;[" &amp; TEXT(AW$6,"yyyymm")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X8" s="8">
        <f>IFERROR(
GETPIVOTDATA(
"[Base].[Importe]",
TDinamica_R!$A$5,
"[Calendario].[AñoMes]",
"[Calendario].[AñoMes].&amp;[" &amp; TEXT(AX$6,"yyyymm")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Y8" s="8">
        <f>IFERROR(
GETPIVOTDATA(
"[Base].[Importe]",
TDinamica_R!$A$5,
"[Calendario].[AñoMes]",
"[Calendario].[AñoMes].&amp;[" &amp; TEXT(AY$6,"yyyymm")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Z8" s="8">
        <f>IFERROR(
GETPIVOTDATA(
"[BASE_CONVE_PPTO].[Importe]",
TDinamica_P!$A$5,
"[BASE_CONVE_PPTO].[Periodo]",
"[BASE_CONVE_PPTO].[Periodo].&amp;[" &amp; TEXT(AZ$6,"yyyymm")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5583298.8490754347</v>
      </c>
      <c r="BA8" s="8">
        <f>IFERROR(
GETPIVOTDATA(
"[BASE_CONVE_PPTO].[Importe]",
TDinamica_P!$A$5,
"[BASE_CONVE_PPTO].[Periodo]",
"[BASE_CONVE_PPTO].[Periodo].&amp;[" &amp; TEXT(BA$6,"yyyymm")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5602900.2811105493</v>
      </c>
      <c r="BB8" s="8">
        <f>IFERROR(
GETPIVOTDATA(
"[BASE_CONVE_PPTO].[Importe]",
TDinamica_P!$A$5,
"[BASE_CONVE_PPTO].[Periodo]",
"[BASE_CONVE_PPTO].[Periodo].&amp;[" &amp; TEXT(BB$6,"yyyymm")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5638501.6049163071</v>
      </c>
      <c r="BC8" s="8">
        <f>IFERROR(
GETPIVOTDATA(
"[BASE_CONVE_PPTO].[Importe]",
TDinamica_P!$A$5,
"[BASE_CONVE_PPTO].[Periodo]",
"[BASE_CONVE_PPTO].[Periodo].&amp;[" &amp; TEXT(BC$6,"yyyymm")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5661609.2818224328</v>
      </c>
      <c r="BD8" s="8">
        <f>IFERROR(
GETPIVOTDATA(
"[BASE_CONVE_PPTO].[Importe]",
TDinamica_P!$A$5,
"[BASE_CONVE_PPTO].[Periodo]",
"[BASE_CONVE_PPTO].[Periodo].&amp;[" &amp; TEXT(BD$6,"yyyymm")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5683477.3831308885</v>
      </c>
      <c r="BE8" s="8">
        <f>IFERROR(
GETPIVOTDATA(
"[BASE_CONVE_PPTO].[Importe]",
TDinamica_P!$A$5,
"[BASE_CONVE_PPTO].[Periodo]",
"[BASE_CONVE_PPTO].[Periodo].&amp;[" &amp; TEXT(BE$6,"yyyymm")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5712402.7176921694</v>
      </c>
      <c r="BF8" s="8">
        <f>IFERROR(
GETPIVOTDATA(
"[BASE_CONVE_PPTO].[Importe]",
TDinamica_P!$A$5,
"[BASE_CONVE_PPTO].[Periodo]",
"[BASE_CONVE_PPTO].[Periodo].&amp;[" &amp; TEXT(BF$6,"yyyymm")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5742075.0072266869</v>
      </c>
      <c r="BG8" s="8">
        <f>IFERROR(
GETPIVOTDATA(
"[BASE_CONVE_PPTO].[Importe]",
TDinamica_P!$A$5,
"[BASE_CONVE_PPTO].[Periodo]",
"[BASE_CONVE_PPTO].[Periodo].&amp;[" &amp; TEXT(BG$6,"yyyymm")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5769297.0887398627</v>
      </c>
      <c r="BH8" s="8">
        <f>IFERROR(
GETPIVOTDATA(
"[BASE_CONVE_PPTO].[Importe]",
TDinamica_P!$A$5,
"[BASE_CONVE_PPTO].[Periodo]",
"[BASE_CONVE_PPTO].[Periodo].&amp;[" &amp; TEXT(BH$6,"yyyymm")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5808129.4668721873</v>
      </c>
      <c r="BI8" s="8">
        <f>IFERROR(
GETPIVOTDATA(
"[BASE_CONVE_PPTO].[Importe]",
TDinamica_P!$A$5,
"[BASE_CONVE_PPTO].[Periodo]",
"[BASE_CONVE_PPTO].[Periodo].&amp;[" &amp; TEXT(BI$6,"yyyymm")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5836005.875671939</v>
      </c>
      <c r="BJ8" s="8">
        <f>IFERROR(
GETPIVOTDATA(
"[BASE_CONVE_PPTO].[Importe]",
TDinamica_P!$A$5,
"[BASE_CONVE_PPTO].[Periodo]",
"[BASE_CONVE_PPTO].[Periodo].&amp;[" &amp; TEXT(BJ$6,"yyyymm")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5863264.3059436306</v>
      </c>
      <c r="BK8" s="8">
        <f>IFERROR(
GETPIVOTDATA(
"[BASE_CONVE_PPTO].[Importe]",
TDinamica_P!$A$5,
"[BASE_CONVE_PPTO].[Periodo]",
"[BASE_CONVE_PPTO].[Periodo].&amp;[" &amp; TEXT(BK$6,"yyyymm")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5883750.5739297559</v>
      </c>
      <c r="BO8" s="24">
        <f t="shared" ref="BO8:BO10" si="4">_xlfn.XLOOKUP(BO$6,$D$6:$BM$6,$D8:$BM8,,0,1)</f>
        <v>5339651.2560270801</v>
      </c>
      <c r="BP8" s="24">
        <f>_xlfn.XLOOKUP(BP$6,$D$6:$BM$6,$D8:$BM8,,0,-1)</f>
        <v>5683477.3831308885</v>
      </c>
      <c r="BQ8" s="24">
        <f t="shared" ref="BQ8:BT10" si="5">_xlfn.XLOOKUP(BQ$6,$D$6:$BM$6,$D8:$BM8,,0,1)</f>
        <v>5329060.4401694005</v>
      </c>
      <c r="BR8" s="24">
        <f t="shared" si="5"/>
        <v>5449700.7721168008</v>
      </c>
      <c r="BS8" s="24">
        <f t="shared" si="5"/>
        <v>5461764.6312003992</v>
      </c>
      <c r="BT8" s="24">
        <f t="shared" si="5"/>
        <v>4716762.2601699997</v>
      </c>
    </row>
    <row r="9" spans="1:81" outlineLevel="1" x14ac:dyDescent="0.25">
      <c r="A9" s="11" t="s">
        <v>51</v>
      </c>
      <c r="C9" s="2" t="s">
        <v>1</v>
      </c>
      <c r="D9" s="8">
        <f>IFERROR(
GETPIVOTDATA(
"[Base].[Importe]",
TDinamica_R!$A$5,
"[Calendario].[AñoMes]",
"[Calendario].[AñoMes].&amp;[" &amp; TEXT(D$6,"yyyymm") &amp; "]",
"[Base].[Metrica]",
"[Base].[Metrica].&amp;[" &amp; $A9 &amp; "]",
"[Base].[SEGMENTO_DESCRIP]",
"[Base].[SEGMENTO_DESCRIP].&amp;[" &amp; $C$6 &amp; "]",
"[Base].[SITUACION]",
"[Base].[SITUACION].&amp;[" &amp; $C9 &amp; "]"
),0)/1000</f>
        <v>27457.720960000002</v>
      </c>
      <c r="E9" s="8">
        <f>IFERROR(
GETPIVOTDATA(
"[Base].[Importe]",
TDinamica_R!$A$5,
"[Calendario].[AñoMes]",
"[Calendario].[AñoMes].&amp;[" &amp; TEXT(E$6,"yyyymm") &amp; "]",
"[Base].[Metrica]",
"[Base].[Metrica].&amp;[" &amp; $A9 &amp; "]",
"[Base].[SEGMENTO_DESCRIP]",
"[Base].[SEGMENTO_DESCRIP].&amp;[" &amp; $C$6 &amp; "]",
"[Base].[SITUACION]",
"[Base].[SITUACION].&amp;[" &amp; $C9 &amp; "]"
),0)/1000</f>
        <v>27857.517260000001</v>
      </c>
      <c r="F9" s="8">
        <f>IFERROR(
GETPIVOTDATA(
"[Base].[Importe]",
TDinamica_R!$A$5,
"[Calendario].[AñoMes]",
"[Calendario].[AñoMes].&amp;[" &amp; TEXT(F$6,"yyyymm") &amp; "]",
"[Base].[Metrica]",
"[Base].[Metrica].&amp;[" &amp; $A9 &amp; "]",
"[Base].[SEGMENTO_DESCRIP]",
"[Base].[SEGMENTO_DESCRIP].&amp;[" &amp; $C$6 &amp; "]",
"[Base].[SITUACION]",
"[Base].[SITUACION].&amp;[" &amp; $C9 &amp; "]"
),0)/1000</f>
        <v>28318.497869999999</v>
      </c>
      <c r="G9" s="8">
        <f>IFERROR(
GETPIVOTDATA(
"[Base].[Importe]",
TDinamica_R!$A$5,
"[Calendario].[AñoMes]",
"[Calendario].[AñoMes].&amp;[" &amp; TEXT(G$6,"yyyymm") &amp; "]",
"[Base].[Metrica]",
"[Base].[Metrica].&amp;[" &amp; $A9 &amp; "]",
"[Base].[SEGMENTO_DESCRIP]",
"[Base].[SEGMENTO_DESCRIP].&amp;[" &amp; $C$6 &amp; "]",
"[Base].[SITUACION]",
"[Base].[SITUACION].&amp;[" &amp; $C9 &amp; "]"
),0)/1000</f>
        <v>27641.406640000001</v>
      </c>
      <c r="H9" s="8">
        <f>IFERROR(
GETPIVOTDATA(
"[Base].[Importe]",
TDinamica_R!$A$5,
"[Calendario].[AñoMes]",
"[Calendario].[AñoMes].&amp;[" &amp; TEXT(H$6,"yyyymm") &amp; "]",
"[Base].[Metrica]",
"[Base].[Metrica].&amp;[" &amp; $A9 &amp; "]",
"[Base].[SEGMENTO_DESCRIP]",
"[Base].[SEGMENTO_DESCRIP].&amp;[" &amp; $C$6 &amp; "]",
"[Base].[SITUACION]",
"[Base].[SITUACION].&amp;[" &amp; $C9 &amp; "]"
),0)/1000</f>
        <v>27976.475469999998</v>
      </c>
      <c r="I9" s="8">
        <f>IFERROR(
GETPIVOTDATA(
"[Base].[Importe]",
TDinamica_R!$A$5,
"[Calendario].[AñoMes]",
"[Calendario].[AñoMes].&amp;[" &amp; TEXT(I$6,"yyyymm") &amp; "]",
"[Base].[Metrica]",
"[Base].[Metrica].&amp;[" &amp; $A9 &amp; "]",
"[Base].[SEGMENTO_DESCRIP]",
"[Base].[SEGMENTO_DESCRIP].&amp;[" &amp; $C$6 &amp; "]",
"[Base].[SITUACION]",
"[Base].[SITUACION].&amp;[" &amp; $C9 &amp; "]"
),0)/1000</f>
        <v>28165.56221</v>
      </c>
      <c r="J9" s="8">
        <f>IFERROR(
GETPIVOTDATA(
"[Base].[Importe]",
TDinamica_R!$A$5,
"[Calendario].[AñoMes]",
"[Calendario].[AñoMes].&amp;[" &amp; TEXT(J$6,"yyyymm") &amp; "]",
"[Base].[Metrica]",
"[Base].[Metrica].&amp;[" &amp; $A9 &amp; "]",
"[Base].[SEGMENTO_DESCRIP]",
"[Base].[SEGMENTO_DESCRIP].&amp;[" &amp; $C$6 &amp; "]",
"[Base].[SITUACION]",
"[Base].[SITUACION].&amp;[" &amp; $C9 &amp; "]"
),0)/1000</f>
        <v>27981.925510000001</v>
      </c>
      <c r="K9" s="8">
        <f>IFERROR(
GETPIVOTDATA(
"[Base].[Importe]",
TDinamica_R!$A$5,
"[Calendario].[AñoMes]",
"[Calendario].[AñoMes].&amp;[" &amp; TEXT(K$6,"yyyymm") &amp; "]",
"[Base].[Metrica]",
"[Base].[Metrica].&amp;[" &amp; $A9 &amp; "]",
"[Base].[SEGMENTO_DESCRIP]",
"[Base].[SEGMENTO_DESCRIP].&amp;[" &amp; $C$6 &amp; "]",
"[Base].[SITUACION]",
"[Base].[SITUACION].&amp;[" &amp; $C9 &amp; "]"
),0)/1000</f>
        <v>27376.925429999999</v>
      </c>
      <c r="L9" s="8">
        <f>IFERROR(
GETPIVOTDATA(
"[Base].[Importe]",
TDinamica_R!$A$5,
"[Calendario].[AñoMes]",
"[Calendario].[AñoMes].&amp;[" &amp; TEXT(L$6,"yyyymm") &amp; "]",
"[Base].[Metrica]",
"[Base].[Metrica].&amp;[" &amp; $A9 &amp; "]",
"[Base].[SEGMENTO_DESCRIP]",
"[Base].[SEGMENTO_DESCRIP].&amp;[" &amp; $C$6 &amp; "]",
"[Base].[SITUACION]",
"[Base].[SITUACION].&amp;[" &amp; $C9 &amp; "]"
),0)/1000</f>
        <v>26539.492989999999</v>
      </c>
      <c r="M9" s="8">
        <f>IFERROR(
GETPIVOTDATA(
"[Base].[Importe]",
TDinamica_R!$A$5,
"[Calendario].[AñoMes]",
"[Calendario].[AñoMes].&amp;[" &amp; TEXT(M$6,"yyyymm") &amp; "]",
"[Base].[Metrica]",
"[Base].[Metrica].&amp;[" &amp; $A9 &amp; "]",
"[Base].[SEGMENTO_DESCRIP]",
"[Base].[SEGMENTO_DESCRIP].&amp;[" &amp; $C$6 &amp; "]",
"[Base].[SITUACION]",
"[Base].[SITUACION].&amp;[" &amp; $C9 &amp; "]"
),0)/1000</f>
        <v>25967.150690000002</v>
      </c>
      <c r="N9" s="8">
        <f>IFERROR(
GETPIVOTDATA(
"[Base].[Importe]",
TDinamica_R!$A$5,
"[Calendario].[AñoMes]",
"[Calendario].[AñoMes].&amp;[" &amp; TEXT(N$6,"yyyymm") &amp; "]",
"[Base].[Metrica]",
"[Base].[Metrica].&amp;[" &amp; $A9 &amp; "]",
"[Base].[SEGMENTO_DESCRIP]",
"[Base].[SEGMENTO_DESCRIP].&amp;[" &amp; $C$6 &amp; "]",
"[Base].[SITUACION]",
"[Base].[SITUACION].&amp;[" &amp; $C9 &amp; "]"
),0)/1000</f>
        <v>25911.56725</v>
      </c>
      <c r="O9" s="8">
        <f>IFERROR(
GETPIVOTDATA(
"[Base].[Importe]",
TDinamica_R!$A$5,
"[Calendario].[AñoMes]",
"[Calendario].[AñoMes].&amp;[" &amp; TEXT(O$6,"yyyymm") &amp; "]",
"[Base].[Metrica]",
"[Base].[Metrica].&amp;[" &amp; $A9 &amp; "]",
"[Base].[SEGMENTO_DESCRIP]",
"[Base].[SEGMENTO_DESCRIP].&amp;[" &amp; $C$6 &amp; "]",
"[Base].[SITUACION]",
"[Base].[SITUACION].&amp;[" &amp; $C9 &amp; "]"
),0)/1000</f>
        <v>25929.66634</v>
      </c>
      <c r="P9" s="8">
        <f>IFERROR(
GETPIVOTDATA(
"[Base].[Importe]",
TDinamica_R!$A$5,
"[Calendario].[AñoMes]",
"[Calendario].[AñoMes].&amp;[" &amp; TEXT(P$6,"yyyymm") &amp; "]",
"[Base].[Metrica]",
"[Base].[Metrica].&amp;[" &amp; $A9 &amp; "]",
"[Base].[SEGMENTO_DESCRIP]",
"[Base].[SEGMENTO_DESCRIP].&amp;[" &amp; $C$6 &amp; "]",
"[Base].[SITUACION]",
"[Base].[SITUACION].&amp;[" &amp; $C9 &amp; "]"
),0)/1000</f>
        <v>25172.463309999999</v>
      </c>
      <c r="Q9" s="8">
        <f>IFERROR(
GETPIVOTDATA(
"[Base].[Importe]",
TDinamica_R!$A$5,
"[Calendario].[AñoMes]",
"[Calendario].[AñoMes].&amp;[" &amp; TEXT(Q$6,"yyyymm") &amp; "]",
"[Base].[Metrica]",
"[Base].[Metrica].&amp;[" &amp; $A9 &amp; "]",
"[Base].[SEGMENTO_DESCRIP]",
"[Base].[SEGMENTO_DESCRIP].&amp;[" &amp; $C$6 &amp; "]",
"[Base].[SITUACION]",
"[Base].[SITUACION].&amp;[" &amp; $C9 &amp; "]"
),0)/1000</f>
        <v>24465.387719999999</v>
      </c>
      <c r="R9" s="8">
        <f>IFERROR(
GETPIVOTDATA(
"[Base].[Importe]",
TDinamica_R!$A$5,
"[Calendario].[AñoMes]",
"[Calendario].[AñoMes].&amp;[" &amp; TEXT(R$6,"yyyymm") &amp; "]",
"[Base].[Metrica]",
"[Base].[Metrica].&amp;[" &amp; $A9 &amp; "]",
"[Base].[SEGMENTO_DESCRIP]",
"[Base].[SEGMENTO_DESCRIP].&amp;[" &amp; $C$6 &amp; "]",
"[Base].[SITUACION]",
"[Base].[SITUACION].&amp;[" &amp; $C9 &amp; "]"
),0)/1000</f>
        <v>23105.503780000003</v>
      </c>
      <c r="S9" s="8">
        <f>IFERROR(
GETPIVOTDATA(
"[Base].[Importe]",
TDinamica_R!$A$5,
"[Calendario].[AñoMes]",
"[Calendario].[AñoMes].&amp;[" &amp; TEXT(S$6,"yyyymm") &amp; "]",
"[Base].[Metrica]",
"[Base].[Metrica].&amp;[" &amp; $A9 &amp; "]",
"[Base].[SEGMENTO_DESCRIP]",
"[Base].[SEGMENTO_DESCRIP].&amp;[" &amp; $C$6 &amp; "]",
"[Base].[SITUACION]",
"[Base].[SITUACION].&amp;[" &amp; $C9 &amp; "]"
),0)/1000</f>
        <v>22697.199570000001</v>
      </c>
      <c r="T9" s="8">
        <f>IFERROR(
GETPIVOTDATA(
"[Base].[Importe]",
TDinamica_R!$A$5,
"[Calendario].[AñoMes]",
"[Calendario].[AñoMes].&amp;[" &amp; TEXT(T$6,"yyyymm") &amp; "]",
"[Base].[Metrica]",
"[Base].[Metrica].&amp;[" &amp; $A9 &amp; "]",
"[Base].[SEGMENTO_DESCRIP]",
"[Base].[SEGMENTO_DESCRIP].&amp;[" &amp; $C$6 &amp; "]",
"[Base].[SITUACION]",
"[Base].[SITUACION].&amp;[" &amp; $C9 &amp; "]"
),0)/1000</f>
        <v>21519.28499</v>
      </c>
      <c r="U9" s="8">
        <f>IFERROR(
GETPIVOTDATA(
"[Base].[Importe]",
TDinamica_R!$A$5,
"[Calendario].[AñoMes]",
"[Calendario].[AñoMes].&amp;[" &amp; TEXT(U$6,"yyyymm") &amp; "]",
"[Base].[Metrica]",
"[Base].[Metrica].&amp;[" &amp; $A9 &amp; "]",
"[Base].[SEGMENTO_DESCRIP]",
"[Base].[SEGMENTO_DESCRIP].&amp;[" &amp; $C$6 &amp; "]",
"[Base].[SITUACION]",
"[Base].[SITUACION].&amp;[" &amp; $C9 &amp; "]"
),0)/1000</f>
        <v>21077.50849</v>
      </c>
      <c r="V9" s="8">
        <f>IFERROR(
GETPIVOTDATA(
"[Base].[Importe]",
TDinamica_R!$A$5,
"[Calendario].[AñoMes]",
"[Calendario].[AñoMes].&amp;[" &amp; TEXT(V$6,"yyyymm") &amp; "]",
"[Base].[Metrica]",
"[Base].[Metrica].&amp;[" &amp; $A9 &amp; "]",
"[Base].[SEGMENTO_DESCRIP]",
"[Base].[SEGMENTO_DESCRIP].&amp;[" &amp; $C$6 &amp; "]",
"[Base].[SITUACION]",
"[Base].[SITUACION].&amp;[" &amp; $C9 &amp; "]"
),0)/1000</f>
        <v>19895.976409999999</v>
      </c>
      <c r="W9" s="8">
        <f>IFERROR(
GETPIVOTDATA(
"[Base].[Importe]",
TDinamica_R!$A$5,
"[Calendario].[AñoMes]",
"[Calendario].[AñoMes].&amp;[" &amp; TEXT(W$6,"yyyymm") &amp; "]",
"[Base].[Metrica]",
"[Base].[Metrica].&amp;[" &amp; $A9 &amp; "]",
"[Base].[SEGMENTO_DESCRIP]",
"[Base].[SEGMENTO_DESCRIP].&amp;[" &amp; $C$6 &amp; "]",
"[Base].[SITUACION]",
"[Base].[SITUACION].&amp;[" &amp; $C9 &amp; "]"
),0)/1000</f>
        <v>19366.569329999998</v>
      </c>
      <c r="X9" s="8">
        <f>IFERROR(
GETPIVOTDATA(
"[Base].[Importe]",
TDinamica_R!$A$5,
"[Calendario].[AñoMes]",
"[Calendario].[AñoMes].&amp;[" &amp; TEXT(X$6,"yyyymm") &amp; "]",
"[Base].[Metrica]",
"[Base].[Metrica].&amp;[" &amp; $A9 &amp; "]",
"[Base].[SEGMENTO_DESCRIP]",
"[Base].[SEGMENTO_DESCRIP].&amp;[" &amp; $C$6 &amp; "]",
"[Base].[SITUACION]",
"[Base].[SITUACION].&amp;[" &amp; $C9 &amp; "]"
),0)/1000</f>
        <v>18601.42643</v>
      </c>
      <c r="Y9" s="8">
        <f>IFERROR(
GETPIVOTDATA(
"[Base].[Importe]",
TDinamica_R!$A$5,
"[Calendario].[AñoMes]",
"[Calendario].[AñoMes].&amp;[" &amp; TEXT(Y$6,"yyyymm") &amp; "]",
"[Base].[Metrica]",
"[Base].[Metrica].&amp;[" &amp; $A9 &amp; "]",
"[Base].[SEGMENTO_DESCRIP]",
"[Base].[SEGMENTO_DESCRIP].&amp;[" &amp; $C$6 &amp; "]",
"[Base].[SITUACION]",
"[Base].[SITUACION].&amp;[" &amp; $C9 &amp; "]"
),0)/1000</f>
        <v>19060.74482</v>
      </c>
      <c r="Z9" s="8">
        <f>IFERROR(
GETPIVOTDATA(
"[Base].[Importe]",
TDinamica_R!$A$5,
"[Calendario].[AñoMes]",
"[Calendario].[AñoMes].&amp;[" &amp; TEXT(Z$6,"yyyymm") &amp; "]",
"[Base].[Metrica]",
"[Base].[Metrica].&amp;[" &amp; $A9 &amp; "]",
"[Base].[SEGMENTO_DESCRIP]",
"[Base].[SEGMENTO_DESCRIP].&amp;[" &amp; $C$6 &amp; "]",
"[Base].[SITUACION]",
"[Base].[SITUACION].&amp;[" &amp; $C9 &amp; "]"
),0)/1000</f>
        <v>20401.272379999999</v>
      </c>
      <c r="AA9" s="8">
        <f>IFERROR(
GETPIVOTDATA(
"[Base].[Importe]",
TDinamica_R!$A$5,
"[Calendario].[AñoMes]",
"[Calendario].[AñoMes].&amp;[" &amp; TEXT(AA$6,"yyyymm") &amp; "]",
"[Base].[Metrica]",
"[Base].[Metrica].&amp;[" &amp; $A9 &amp; "]",
"[Base].[SEGMENTO_DESCRIP]",
"[Base].[SEGMENTO_DESCRIP].&amp;[" &amp; $C$6 &amp; "]",
"[Base].[SITUACION]",
"[Base].[SITUACION].&amp;[" &amp; $C9 &amp; "]"
),0)/1000</f>
        <v>20757.970539999998</v>
      </c>
      <c r="AB9" s="8">
        <f>IFERROR(
GETPIVOTDATA(
"[Base].[Importe]",
TDinamica_R!$A$5,
"[Calendario].[AñoMes]",
"[Calendario].[AñoMes].&amp;[" &amp; TEXT(AB$6,"yyyymm") &amp; "]",
"[Base].[Metrica]",
"[Base].[Metrica].&amp;[" &amp; $A9 &amp; "]",
"[Base].[SEGMENTO_DESCRIP]",
"[Base].[SEGMENTO_DESCRIP].&amp;[" &amp; $C$6 &amp; "]",
"[Base].[SITUACION]",
"[Base].[SITUACION].&amp;[" &amp; $C9 &amp; "]"
),0)/1000</f>
        <v>21032.13019</v>
      </c>
      <c r="AC9" s="8">
        <f>IFERROR(
GETPIVOTDATA(
"[Base].[Importe]",
TDinamica_R!$A$5,
"[Calendario].[AñoMes]",
"[Calendario].[AñoMes].&amp;[" &amp; TEXT(AC$6,"yyyymm") &amp; "]",
"[Base].[Metrica]",
"[Base].[Metrica].&amp;[" &amp; $A9 &amp; "]",
"[Base].[SEGMENTO_DESCRIP]",
"[Base].[SEGMENTO_DESCRIP].&amp;[" &amp; $C$6 &amp; "]",
"[Base].[SITUACION]",
"[Base].[SITUACION].&amp;[" &amp; $C9 &amp; "]"
),0)/1000</f>
        <v>22272.703109999999</v>
      </c>
      <c r="AD9" s="8">
        <f>IFERROR(
GETPIVOTDATA(
"[Base].[Importe]",
TDinamica_R!$A$5,
"[Calendario].[AñoMes]",
"[Calendario].[AñoMes].&amp;[" &amp; TEXT(AD$6,"yyyymm") &amp; "]",
"[Base].[Metrica]",
"[Base].[Metrica].&amp;[" &amp; $A9 &amp; "]",
"[Base].[SEGMENTO_DESCRIP]",
"[Base].[SEGMENTO_DESCRIP].&amp;[" &amp; $C$6 &amp; "]",
"[Base].[SITUACION]",
"[Base].[SITUACION].&amp;[" &amp; $C9 &amp; "]"
),0)/1000</f>
        <v>23196.09073</v>
      </c>
      <c r="AE9" s="8">
        <f>IFERROR(
GETPIVOTDATA(
"[Base].[Importe]",
TDinamica_R!$A$5,
"[Calendario].[AñoMes]",
"[Calendario].[AñoMes].&amp;[" &amp; TEXT(AE$6,"yyyymm") &amp; "]",
"[Base].[Metrica]",
"[Base].[Metrica].&amp;[" &amp; $A9 &amp; "]",
"[Base].[SEGMENTO_DESCRIP]",
"[Base].[SEGMENTO_DESCRIP].&amp;[" &amp; $C$6 &amp; "]",
"[Base].[SITUACION]",
"[Base].[SITUACION].&amp;[" &amp; $C9 &amp; "]"
),0)/1000</f>
        <v>25587.635469999997</v>
      </c>
      <c r="AF9" s="8">
        <f>IFERROR(
GETPIVOTDATA(
"[Base].[Importe]",
TDinamica_R!$A$5,
"[Calendario].[AñoMes]",
"[Calendario].[AñoMes].&amp;[" &amp; TEXT(AF$6,"yyyymm") &amp; "]",
"[Base].[Metrica]",
"[Base].[Metrica].&amp;[" &amp; $A9 &amp; "]",
"[Base].[SEGMENTO_DESCRIP]",
"[Base].[SEGMENTO_DESCRIP].&amp;[" &amp; $C$6 &amp; "]",
"[Base].[SITUACION]",
"[Base].[SITUACION].&amp;[" &amp; $C9 &amp; "]"
),0)/1000</f>
        <v>26371.18867</v>
      </c>
      <c r="AG9" s="8">
        <f>IFERROR(
GETPIVOTDATA(
"[Base].[Importe]",
TDinamica_R!$A$5,
"[Calendario].[AñoMes]",
"[Calendario].[AñoMes].&amp;[" &amp; TEXT(AG$6,"yyyymm") &amp; "]",
"[Base].[Metrica]",
"[Base].[Metrica].&amp;[" &amp; $A9 &amp; "]",
"[Base].[SEGMENTO_DESCRIP]",
"[Base].[SEGMENTO_DESCRIP].&amp;[" &amp; $C$6 &amp; "]",
"[Base].[SITUACION]",
"[Base].[SITUACION].&amp;[" &amp; $C9 &amp; "]"
),0)/1000</f>
        <v>28307.949649999999</v>
      </c>
      <c r="AH9" s="8">
        <f>IFERROR(
GETPIVOTDATA(
"[Base].[Importe]",
TDinamica_R!$A$5,
"[Calendario].[AñoMes]",
"[Calendario].[AñoMes].&amp;[" &amp; TEXT(AH$6,"yyyymm") &amp; "]",
"[Base].[Metrica]",
"[Base].[Metrica].&amp;[" &amp; $A9 &amp; "]",
"[Base].[SEGMENTO_DESCRIP]",
"[Base].[SEGMENTO_DESCRIP].&amp;[" &amp; $C$6 &amp; "]",
"[Base].[SITUACION]",
"[Base].[SITUACION].&amp;[" &amp; $C9 &amp; "]"
),0)/1000</f>
        <v>28234.379379999998</v>
      </c>
      <c r="AI9" s="8">
        <f>IFERROR(
GETPIVOTDATA(
"[Base].[Importe]",
TDinamica_R!$A$5,
"[Calendario].[AñoMes]",
"[Calendario].[AñoMes].&amp;[" &amp; TEXT(AI$6,"yyyymm") &amp; "]",
"[Base].[Metrica]",
"[Base].[Metrica].&amp;[" &amp; $A9 &amp; "]",
"[Base].[SEGMENTO_DESCRIP]",
"[Base].[SEGMENTO_DESCRIP].&amp;[" &amp; $C$6 &amp; "]",
"[Base].[SITUACION]",
"[Base].[SITUACION].&amp;[" &amp; $C9 &amp; "]"
),0)/1000</f>
        <v>28085.885939999996</v>
      </c>
      <c r="AJ9" s="8">
        <f>IFERROR(
GETPIVOTDATA(
"[Base].[Importe]",
TDinamica_R!$A$5,
"[Calendario].[AñoMes]",
"[Calendario].[AñoMes].&amp;[" &amp; TEXT(AJ$6,"yyyymm") &amp; "]",
"[Base].[Metrica]",
"[Base].[Metrica].&amp;[" &amp; $A9 &amp; "]",
"[Base].[SEGMENTO_DESCRIP]",
"[Base].[SEGMENTO_DESCRIP].&amp;[" &amp; $C$6 &amp; "]",
"[Base].[SITUACION]",
"[Base].[SITUACION].&amp;[" &amp; $C9 &amp; "]"
),0)/1000</f>
        <v>27577.470160000001</v>
      </c>
      <c r="AK9" s="8">
        <f>IFERROR(
GETPIVOTDATA(
"[Base].[Importe]",
TDinamica_R!$A$5,
"[Calendario].[AñoMes]",
"[Calendario].[AñoMes].&amp;[" &amp; TEXT(AK$6,"yyyymm") &amp; "]",
"[Base].[Metrica]",
"[Base].[Metrica].&amp;[" &amp; $A9 &amp; "]",
"[Base].[SEGMENTO_DESCRIP]",
"[Base].[SEGMENTO_DESCRIP].&amp;[" &amp; $C$6 &amp; "]",
"[Base].[SITUACION]",
"[Base].[SITUACION].&amp;[" &amp; $C9 &amp; "]"
),0)/1000</f>
        <v>28122.832859999999</v>
      </c>
      <c r="AL9" s="8">
        <f>IFERROR(
GETPIVOTDATA(
"[Base].[Importe]",
TDinamica_R!$A$5,
"[Calendario].[AñoMes]",
"[Calendario].[AñoMes].&amp;[" &amp; TEXT(AL$6,"yyyymm") &amp; "]",
"[Base].[Metrica]",
"[Base].[Metrica].&amp;[" &amp; $A9 &amp; "]",
"[Base].[SEGMENTO_DESCRIP]",
"[Base].[SEGMENTO_DESCRIP].&amp;[" &amp; $C$6 &amp; "]",
"[Base].[SITUACION]",
"[Base].[SITUACION].&amp;[" &amp; $C9 &amp; "]"
),0)/1000</f>
        <v>28040.113759999997</v>
      </c>
      <c r="AM9" s="8">
        <f>IFERROR(
GETPIVOTDATA(
"[Base].[Importe]",
TDinamica_R!$A$5,
"[Calendario].[AñoMes]",
"[Calendario].[AñoMes].&amp;[" &amp; TEXT(AM$6,"yyyymm") &amp; "]",
"[Base].[Metrica]",
"[Base].[Metrica].&amp;[" &amp; $A9 &amp; "]",
"[Base].[SEGMENTO_DESCRIP]",
"[Base].[SEGMENTO_DESCRIP].&amp;[" &amp; $C$6 &amp; "]",
"[Base].[SITUACION]",
"[Base].[SITUACION].&amp;[" &amp; $C9 &amp; "]"
),0)/1000</f>
        <v>28927.607779999998</v>
      </c>
      <c r="AN9" s="8">
        <f>IFERROR(
GETPIVOTDATA(
"[Base].[Importe]",
TDinamica_R!$A$5,
"[Calendario].[AñoMes]",
"[Calendario].[AñoMes].&amp;[" &amp; TEXT(AN$6,"yyyymm") &amp; "]",
"[Base].[Metrica]",
"[Base].[Metrica].&amp;[" &amp; $A9 &amp; "]",
"[Base].[SEGMENTO_DESCRIP]",
"[Base].[SEGMENTO_DESCRIP].&amp;[" &amp; $C$6 &amp; "]",
"[Base].[SITUACION]",
"[Base].[SITUACION].&amp;[" &amp; $C9 &amp; "]"
),0)/1000</f>
        <v>28560.43</v>
      </c>
      <c r="AO9" s="8">
        <f>IFERROR(
GETPIVOTDATA(
"[Base].[Importe]",
TDinamica_R!$A$5,
"[Calendario].[AñoMes]",
"[Calendario].[AñoMes].&amp;[" &amp; TEXT(AO$6,"yyyymm") &amp; "]",
"[Base].[Metrica]",
"[Base].[Metrica].&amp;[" &amp; $A9 &amp; "]",
"[Base].[SEGMENTO_DESCRIP]",
"[Base].[SEGMENTO_DESCRIP].&amp;[" &amp; $C$6 &amp; "]",
"[Base].[SITUACION]",
"[Base].[SITUACION].&amp;[" &amp; $C9 &amp; "]"
),0)/1000</f>
        <v>28053.69</v>
      </c>
      <c r="AP9" s="8">
        <f>IFERROR(
GETPIVOTDATA(
"[Base].[Importe]",
TDinamica_R!$A$5,
"[Calendario].[AñoMes]",
"[Calendario].[AñoMes].&amp;[" &amp; TEXT(AP$6,"yyyymm") &amp; "]",
"[Base].[Metrica]",
"[Base].[Metrica].&amp;[" &amp; $A9 &amp; "]",
"[Base].[SEGMENTO_DESCRIP]",
"[Base].[SEGMENTO_DESCRIP].&amp;[" &amp; $C$6 &amp; "]",
"[Base].[SITUACION]",
"[Base].[SITUACION].&amp;[" &amp; $C9 &amp; "]"
),0)/1000</f>
        <v>27795.72</v>
      </c>
      <c r="AQ9" s="8">
        <f>IFERROR(
GETPIVOTDATA(
"[Base].[Importe]",
TDinamica_R!$A$5,
"[Calendario].[AñoMes]",
"[Calendario].[AñoMes].&amp;[" &amp; TEXT(AQ$6,"yyyymm") &amp; "]",
"[Base].[Metrica]",
"[Base].[Metrica].&amp;[" &amp; $A9 &amp; "]",
"[Base].[SEGMENTO_DESCRIP]",
"[Base].[SEGMENTO_DESCRIP].&amp;[" &amp; $C$6 &amp; "]",
"[Base].[SITUACION]",
"[Base].[SITUACION].&amp;[" &amp; $C9 &amp; "]"
),0)/1000</f>
        <v>27109.063690000014</v>
      </c>
      <c r="AR9" s="8">
        <f>IFERROR(
GETPIVOTDATA(
"[Base].[Importe]",
TDinamica_R!$A$5,
"[Calendario].[AñoMes]",
"[Calendario].[AñoMes].&amp;[" &amp; TEXT(AR$6,"yyyymm") &amp; "]",
"[Base].[Metrica]",
"[Base].[Metrica].&amp;[" &amp; $A9 &amp; "]",
"[Base].[SEGMENTO_DESCRIP]",
"[Base].[SEGMENTO_DESCRIP].&amp;[" &amp; $C$6 &amp; "]",
"[Base].[SITUACION]",
"[Base].[SITUACION].&amp;[" &amp; $C9 &amp; "]"
),0)/1000</f>
        <v>26511.615120000006</v>
      </c>
      <c r="AS9" s="8">
        <f>IFERROR(
GETPIVOTDATA(
"[Base].[Importe]",
TDinamica_R!$A$5,
"[Calendario].[AñoMes]",
"[Calendario].[AñoMes].&amp;[" &amp; TEXT(AS$6,"yyyymm") &amp; "]",
"[Base].[Metrica]",
"[Base].[Metrica].&amp;[" &amp; $A9 &amp; "]",
"[Base].[SEGMENTO_DESCRIP]",
"[Base].[SEGMENTO_DESCRIP].&amp;[" &amp; $C$6 &amp; "]",
"[Base].[SITUACION]",
"[Base].[SITUACION].&amp;[" &amp; $C9 &amp; "]"
),0)/1000</f>
        <v>25934.411939999998</v>
      </c>
      <c r="AT9" s="8">
        <f>IFERROR(
GETPIVOTDATA(
"[Base].[Importe]",
TDinamica_R!$A$5,
"[Calendario].[AñoMes]",
"[Calendario].[AñoMes].&amp;[" &amp; TEXT(AT$6,"yyyymm")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U9" s="8">
        <f>IFERROR(
GETPIVOTDATA(
"[Base].[Importe]",
TDinamica_R!$A$5,
"[Calendario].[AñoMes]",
"[Calendario].[AñoMes].&amp;[" &amp; TEXT(AU$6,"yyyymm")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V9" s="8">
        <f>IFERROR(
GETPIVOTDATA(
"[Base].[Importe]",
TDinamica_R!$A$5,
"[Calendario].[AñoMes]",
"[Calendario].[AñoMes].&amp;[" &amp; TEXT(AV$6,"yyyymm")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W9" s="8">
        <f>IFERROR(
GETPIVOTDATA(
"[Base].[Importe]",
TDinamica_R!$A$5,
"[Calendario].[AñoMes]",
"[Calendario].[AñoMes].&amp;[" &amp; TEXT(AW$6,"yyyymm")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X9" s="8">
        <f>IFERROR(
GETPIVOTDATA(
"[Base].[Importe]",
TDinamica_R!$A$5,
"[Calendario].[AñoMes]",
"[Calendario].[AñoMes].&amp;[" &amp; TEXT(AX$6,"yyyymm")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Y9" s="8">
        <f>IFERROR(
GETPIVOTDATA(
"[Base].[Importe]",
TDinamica_R!$A$5,
"[Calendario].[AñoMes]",
"[Calendario].[AñoMes].&amp;[" &amp; TEXT(AY$6,"yyyymm")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Z9" s="8">
        <f>IFERROR(
GETPIVOTDATA(
"[BASE_CONVE_PPTO].[Importe]",
TDinamica_P!$A$5,
"[BASE_CONVE_PPTO].[Periodo]",
"[BASE_CONVE_PPTO].[Periodo].&amp;[" &amp; TEXT(AZ$6,"yyyymm")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27689.594678846654</v>
      </c>
      <c r="BA9" s="8">
        <f>IFERROR(
GETPIVOTDATA(
"[BASE_CONVE_PPTO].[Importe]",
TDinamica_P!$A$5,
"[BASE_CONVE_PPTO].[Periodo]",
"[BASE_CONVE_PPTO].[Periodo].&amp;[" &amp; TEXT(BA$6,"yyyymm")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27800.594495752477</v>
      </c>
      <c r="BB9" s="8">
        <f>IFERROR(
GETPIVOTDATA(
"[BASE_CONVE_PPTO].[Importe]",
TDinamica_P!$A$5,
"[BASE_CONVE_PPTO].[Periodo]",
"[BASE_CONVE_PPTO].[Periodo].&amp;[" &amp; TEXT(BB$6,"yyyymm")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27947.668688609432</v>
      </c>
      <c r="BC9" s="8">
        <f>IFERROR(
GETPIVOTDATA(
"[BASE_CONVE_PPTO].[Importe]",
TDinamica_P!$A$5,
"[BASE_CONVE_PPTO].[Periodo]",
"[BASE_CONVE_PPTO].[Periodo].&amp;[" &amp; TEXT(BC$6,"yyyymm")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28584.706519969812</v>
      </c>
      <c r="BD9" s="8">
        <f>IFERROR(
GETPIVOTDATA(
"[BASE_CONVE_PPTO].[Importe]",
TDinamica_P!$A$5,
"[BASE_CONVE_PPTO].[Periodo]",
"[BASE_CONVE_PPTO].[Periodo].&amp;[" &amp; TEXT(BD$6,"yyyymm")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28902.469334193425</v>
      </c>
      <c r="BE9" s="8">
        <f>IFERROR(
GETPIVOTDATA(
"[BASE_CONVE_PPTO].[Importe]",
TDinamica_P!$A$5,
"[BASE_CONVE_PPTO].[Periodo]",
"[BASE_CONVE_PPTO].[Periodo].&amp;[" &amp; TEXT(BE$6,"yyyymm")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29341.062264911572</v>
      </c>
      <c r="BF9" s="8">
        <f>IFERROR(
GETPIVOTDATA(
"[BASE_CONVE_PPTO].[Importe]",
TDinamica_P!$A$5,
"[BASE_CONVE_PPTO].[Periodo]",
"[BASE_CONVE_PPTO].[Periodo].&amp;[" &amp; TEXT(BF$6,"yyyymm")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29518.080540722309</v>
      </c>
      <c r="BG9" s="8">
        <f>IFERROR(
GETPIVOTDATA(
"[BASE_CONVE_PPTO].[Importe]",
TDinamica_P!$A$5,
"[BASE_CONVE_PPTO].[Periodo]",
"[BASE_CONVE_PPTO].[Periodo].&amp;[" &amp; TEXT(BG$6,"yyyymm")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29743.131165770719</v>
      </c>
      <c r="BH9" s="8">
        <f>IFERROR(
GETPIVOTDATA(
"[BASE_CONVE_PPTO].[Importe]",
TDinamica_P!$A$5,
"[BASE_CONVE_PPTO].[Periodo]",
"[BASE_CONVE_PPTO].[Periodo].&amp;[" &amp; TEXT(BH$6,"yyyymm")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29889.85764595123</v>
      </c>
      <c r="BI9" s="8">
        <f>IFERROR(
GETPIVOTDATA(
"[BASE_CONVE_PPTO].[Importe]",
TDinamica_P!$A$5,
"[BASE_CONVE_PPTO].[Periodo]",
"[BASE_CONVE_PPTO].[Periodo].&amp;[" &amp; TEXT(BI$6,"yyyymm")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30097.133167506556</v>
      </c>
      <c r="BJ9" s="8">
        <f>IFERROR(
GETPIVOTDATA(
"[BASE_CONVE_PPTO].[Importe]",
TDinamica_P!$A$5,
"[BASE_CONVE_PPTO].[Periodo]",
"[BASE_CONVE_PPTO].[Periodo].&amp;[" &amp; TEXT(BJ$6,"yyyymm")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30237.187886926662</v>
      </c>
      <c r="BK9" s="8">
        <f>IFERROR(
GETPIVOTDATA(
"[BASE_CONVE_PPTO].[Importe]",
TDinamica_P!$A$5,
"[BASE_CONVE_PPTO].[Periodo]",
"[BASE_CONVE_PPTO].[Periodo].&amp;[" &amp; TEXT(BK$6,"yyyymm")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30355.413809248661</v>
      </c>
      <c r="BO9" s="24">
        <f t="shared" si="4"/>
        <v>26511.615120000006</v>
      </c>
      <c r="BP9" s="24">
        <f t="shared" ref="BP9:BP10" si="6">_xlfn.XLOOKUP(BP$6,$D$6:$BM$6,$D9:$BM9,,0,-1)</f>
        <v>28902.469334193425</v>
      </c>
      <c r="BQ9" s="24">
        <f t="shared" si="5"/>
        <v>27109.063690000014</v>
      </c>
      <c r="BR9" s="24">
        <f t="shared" si="5"/>
        <v>26371.18867</v>
      </c>
      <c r="BS9" s="24">
        <f t="shared" si="5"/>
        <v>21519.28499</v>
      </c>
      <c r="BT9" s="24">
        <f t="shared" si="5"/>
        <v>27976.475469999998</v>
      </c>
    </row>
    <row r="10" spans="1:81" ht="14.45" customHeight="1" outlineLevel="1" x14ac:dyDescent="0.25">
      <c r="A10" s="11" t="s">
        <v>51</v>
      </c>
      <c r="C10" s="2" t="s">
        <v>45</v>
      </c>
      <c r="D10" s="8">
        <f>IFERROR(
GETPIVOTDATA(
"[Base].[Importe]",
TDinamica_R!$A$5,
"[Calendario].[AñoMes]",
"[Calendario].[AñoMes].&amp;[" &amp; TEXT(D$6,"yyyymm") &amp; "]",
"[Base].[Metrica]",
"[Base].[Metrica].&amp;[" &amp; $A10 &amp; "]",
"[Base].[SEGMENTO_DESCRIP]",
"[Base].[SEGMENTO_DESCRIP].&amp;[" &amp; $C$6 &amp; "]",
"[Base].[SITUACION]",
"[Base].[SITUACION].&amp;[" &amp; $C10 &amp; "]"
),0)/1000</f>
        <v>68241.731719999996</v>
      </c>
      <c r="E10" s="8">
        <f>IFERROR(
GETPIVOTDATA(
"[Base].[Importe]",
TDinamica_R!$A$5,
"[Calendario].[AñoMes]",
"[Calendario].[AñoMes].&amp;[" &amp; TEXT(E$6,"yyyymm") &amp; "]",
"[Base].[Metrica]",
"[Base].[Metrica].&amp;[" &amp; $A10 &amp; "]",
"[Base].[SEGMENTO_DESCRIP]",
"[Base].[SEGMENTO_DESCRIP].&amp;[" &amp; $C$6 &amp; "]",
"[Base].[SITUACION]",
"[Base].[SITUACION].&amp;[" &amp; $C10 &amp; "]"
),0)/1000</f>
        <v>69307.041389999999</v>
      </c>
      <c r="F10" s="8">
        <f>IFERROR(
GETPIVOTDATA(
"[Base].[Importe]",
TDinamica_R!$A$5,
"[Calendario].[AñoMes]",
"[Calendario].[AñoMes].&amp;[" &amp; TEXT(F$6,"yyyymm") &amp; "]",
"[Base].[Metrica]",
"[Base].[Metrica].&amp;[" &amp; $A10 &amp; "]",
"[Base].[SEGMENTO_DESCRIP]",
"[Base].[SEGMENTO_DESCRIP].&amp;[" &amp; $C$6 &amp; "]",
"[Base].[SITUACION]",
"[Base].[SITUACION].&amp;[" &amp; $C10 &amp; "]"
),0)/1000</f>
        <v>69008.703330000004</v>
      </c>
      <c r="G10" s="8">
        <f>IFERROR(
GETPIVOTDATA(
"[Base].[Importe]",
TDinamica_R!$A$5,
"[Calendario].[AñoMes]",
"[Calendario].[AñoMes].&amp;[" &amp; TEXT(G$6,"yyyymm") &amp; "]",
"[Base].[Metrica]",
"[Base].[Metrica].&amp;[" &amp; $A10 &amp; "]",
"[Base].[SEGMENTO_DESCRIP]",
"[Base].[SEGMENTO_DESCRIP].&amp;[" &amp; $C$6 &amp; "]",
"[Base].[SITUACION]",
"[Base].[SITUACION].&amp;[" &amp; $C10 &amp; "]"
),0)/1000</f>
        <v>67298.311199999996</v>
      </c>
      <c r="H10" s="8">
        <f>IFERROR(
GETPIVOTDATA(
"[Base].[Importe]",
TDinamica_R!$A$5,
"[Calendario].[AñoMes]",
"[Calendario].[AñoMes].&amp;[" &amp; TEXT(H$6,"yyyymm") &amp; "]",
"[Base].[Metrica]",
"[Base].[Metrica].&amp;[" &amp; $A10 &amp; "]",
"[Base].[SEGMENTO_DESCRIP]",
"[Base].[SEGMENTO_DESCRIP].&amp;[" &amp; $C$6 &amp; "]",
"[Base].[SITUACION]",
"[Base].[SITUACION].&amp;[" &amp; $C10 &amp; "]"
),0)/1000</f>
        <v>63308.004529999991</v>
      </c>
      <c r="I10" s="8">
        <f>IFERROR(
GETPIVOTDATA(
"[Base].[Importe]",
TDinamica_R!$A$5,
"[Calendario].[AñoMes]",
"[Calendario].[AñoMes].&amp;[" &amp; TEXT(I$6,"yyyymm") &amp; "]",
"[Base].[Metrica]",
"[Base].[Metrica].&amp;[" &amp; $A10 &amp; "]",
"[Base].[SEGMENTO_DESCRIP]",
"[Base].[SEGMENTO_DESCRIP].&amp;[" &amp; $C$6 &amp; "]",
"[Base].[SITUACION]",
"[Base].[SITUACION].&amp;[" &amp; $C10 &amp; "]"
),0)/1000</f>
        <v>59814.186310000005</v>
      </c>
      <c r="J10" s="8">
        <f>IFERROR(
GETPIVOTDATA(
"[Base].[Importe]",
TDinamica_R!$A$5,
"[Calendario].[AñoMes]",
"[Calendario].[AñoMes].&amp;[" &amp; TEXT(J$6,"yyyymm") &amp; "]",
"[Base].[Metrica]",
"[Base].[Metrica].&amp;[" &amp; $A10 &amp; "]",
"[Base].[SEGMENTO_DESCRIP]",
"[Base].[SEGMENTO_DESCRIP].&amp;[" &amp; $C$6 &amp; "]",
"[Base].[SITUACION]",
"[Base].[SITUACION].&amp;[" &amp; $C10 &amp; "]"
),0)/1000</f>
        <v>60225.919329999997</v>
      </c>
      <c r="K10" s="8">
        <f>IFERROR(
GETPIVOTDATA(
"[Base].[Importe]",
TDinamica_R!$A$5,
"[Calendario].[AñoMes]",
"[Calendario].[AñoMes].&amp;[" &amp; TEXT(K$6,"yyyymm") &amp; "]",
"[Base].[Metrica]",
"[Base].[Metrica].&amp;[" &amp; $A10 &amp; "]",
"[Base].[SEGMENTO_DESCRIP]",
"[Base].[SEGMENTO_DESCRIP].&amp;[" &amp; $C$6 &amp; "]",
"[Base].[SITUACION]",
"[Base].[SITUACION].&amp;[" &amp; $C10 &amp; "]"
),0)/1000</f>
        <v>58064.694040000002</v>
      </c>
      <c r="L10" s="8">
        <f>IFERROR(
GETPIVOTDATA(
"[Base].[Importe]",
TDinamica_R!$A$5,
"[Calendario].[AñoMes]",
"[Calendario].[AñoMes].&amp;[" &amp; TEXT(L$6,"yyyymm") &amp; "]",
"[Base].[Metrica]",
"[Base].[Metrica].&amp;[" &amp; $A10 &amp; "]",
"[Base].[SEGMENTO_DESCRIP]",
"[Base].[SEGMENTO_DESCRIP].&amp;[" &amp; $C$6 &amp; "]",
"[Base].[SITUACION]",
"[Base].[SITUACION].&amp;[" &amp; $C10 &amp; "]"
),0)/1000</f>
        <v>64180.814890000001</v>
      </c>
      <c r="M10" s="8">
        <f>IFERROR(
GETPIVOTDATA(
"[Base].[Importe]",
TDinamica_R!$A$5,
"[Calendario].[AñoMes]",
"[Calendario].[AñoMes].&amp;[" &amp; TEXT(M$6,"yyyymm") &amp; "]",
"[Base].[Metrica]",
"[Base].[Metrica].&amp;[" &amp; $A10 &amp; "]",
"[Base].[SEGMENTO_DESCRIP]",
"[Base].[SEGMENTO_DESCRIP].&amp;[" &amp; $C$6 &amp; "]",
"[Base].[SITUACION]",
"[Base].[SITUACION].&amp;[" &amp; $C10 &amp; "]"
),0)/1000</f>
        <v>61707.408920000002</v>
      </c>
      <c r="N10" s="8">
        <f>IFERROR(
GETPIVOTDATA(
"[Base].[Importe]",
TDinamica_R!$A$5,
"[Calendario].[AñoMes]",
"[Calendario].[AñoMes].&amp;[" &amp; TEXT(N$6,"yyyymm") &amp; "]",
"[Base].[Metrica]",
"[Base].[Metrica].&amp;[" &amp; $A10 &amp; "]",
"[Base].[SEGMENTO_DESCRIP]",
"[Base].[SEGMENTO_DESCRIP].&amp;[" &amp; $C$6 &amp; "]",
"[Base].[SITUACION]",
"[Base].[SITUACION].&amp;[" &amp; $C10 &amp; "]"
),0)/1000</f>
        <v>63735.49136</v>
      </c>
      <c r="O10" s="8">
        <f>IFERROR(
GETPIVOTDATA(
"[Base].[Importe]",
TDinamica_R!$A$5,
"[Calendario].[AñoMes]",
"[Calendario].[AñoMes].&amp;[" &amp; TEXT(O$6,"yyyymm") &amp; "]",
"[Base].[Metrica]",
"[Base].[Metrica].&amp;[" &amp; $A10 &amp; "]",
"[Base].[SEGMENTO_DESCRIP]",
"[Base].[SEGMENTO_DESCRIP].&amp;[" &amp; $C$6 &amp; "]",
"[Base].[SITUACION]",
"[Base].[SITUACION].&amp;[" &amp; $C10 &amp; "]"
),0)/1000</f>
        <v>65874.349620000008</v>
      </c>
      <c r="P10" s="8">
        <f>IFERROR(
GETPIVOTDATA(
"[Base].[Importe]",
TDinamica_R!$A$5,
"[Calendario].[AñoMes]",
"[Calendario].[AñoMes].&amp;[" &amp; TEXT(P$6,"yyyymm") &amp; "]",
"[Base].[Metrica]",
"[Base].[Metrica].&amp;[" &amp; $A10 &amp; "]",
"[Base].[SEGMENTO_DESCRIP]",
"[Base].[SEGMENTO_DESCRIP].&amp;[" &amp; $C$6 &amp; "]",
"[Base].[SITUACION]",
"[Base].[SITUACION].&amp;[" &amp; $C10 &amp; "]"
),0)/1000</f>
        <v>66682.249930000005</v>
      </c>
      <c r="Q10" s="8">
        <f>IFERROR(
GETPIVOTDATA(
"[Base].[Importe]",
TDinamica_R!$A$5,
"[Calendario].[AñoMes]",
"[Calendario].[AñoMes].&amp;[" &amp; TEXT(Q$6,"yyyymm") &amp; "]",
"[Base].[Metrica]",
"[Base].[Metrica].&amp;[" &amp; $A10 &amp; "]",
"[Base].[SEGMENTO_DESCRIP]",
"[Base].[SEGMENTO_DESCRIP].&amp;[" &amp; $C$6 &amp; "]",
"[Base].[SITUACION]",
"[Base].[SITUACION].&amp;[" &amp; $C10 &amp; "]"
),0)/1000</f>
        <v>66309.281159999999</v>
      </c>
      <c r="R10" s="8">
        <f>IFERROR(
GETPIVOTDATA(
"[Base].[Importe]",
TDinamica_R!$A$5,
"[Calendario].[AñoMes]",
"[Calendario].[AñoMes].&amp;[" &amp; TEXT(R$6,"yyyymm") &amp; "]",
"[Base].[Metrica]",
"[Base].[Metrica].&amp;[" &amp; $A10 &amp; "]",
"[Base].[SEGMENTO_DESCRIP]",
"[Base].[SEGMENTO_DESCRIP].&amp;[" &amp; $C$6 &amp; "]",
"[Base].[SITUACION]",
"[Base].[SITUACION].&amp;[" &amp; $C10 &amp; "]"
),0)/1000</f>
        <v>67959.272129999998</v>
      </c>
      <c r="S10" s="8">
        <f>IFERROR(
GETPIVOTDATA(
"[Base].[Importe]",
TDinamica_R!$A$5,
"[Calendario].[AñoMes]",
"[Calendario].[AñoMes].&amp;[" &amp; TEXT(S$6,"yyyymm") &amp; "]",
"[Base].[Metrica]",
"[Base].[Metrica].&amp;[" &amp; $A10 &amp; "]",
"[Base].[SEGMENTO_DESCRIP]",
"[Base].[SEGMENTO_DESCRIP].&amp;[" &amp; $C$6 &amp; "]",
"[Base].[SITUACION]",
"[Base].[SITUACION].&amp;[" &amp; $C10 &amp; "]"
),0)/1000</f>
        <v>65956.0429</v>
      </c>
      <c r="T10" s="8">
        <f>IFERROR(
GETPIVOTDATA(
"[Base].[Importe]",
TDinamica_R!$A$5,
"[Calendario].[AñoMes]",
"[Calendario].[AñoMes].&amp;[" &amp; TEXT(T$6,"yyyymm") &amp; "]",
"[Base].[Metrica]",
"[Base].[Metrica].&amp;[" &amp; $A10 &amp; "]",
"[Base].[SEGMENTO_DESCRIP]",
"[Base].[SEGMENTO_DESCRIP].&amp;[" &amp; $C$6 &amp; "]",
"[Base].[SITUACION]",
"[Base].[SITUACION].&amp;[" &amp; $C10 &amp; "]"
),0)/1000</f>
        <v>64864.476260000003</v>
      </c>
      <c r="U10" s="8">
        <f>IFERROR(
GETPIVOTDATA(
"[Base].[Importe]",
TDinamica_R!$A$5,
"[Calendario].[AñoMes]",
"[Calendario].[AñoMes].&amp;[" &amp; TEXT(U$6,"yyyymm") &amp; "]",
"[Base].[Metrica]",
"[Base].[Metrica].&amp;[" &amp; $A10 &amp; "]",
"[Base].[SEGMENTO_DESCRIP]",
"[Base].[SEGMENTO_DESCRIP].&amp;[" &amp; $C$6 &amp; "]",
"[Base].[SITUACION]",
"[Base].[SITUACION].&amp;[" &amp; $C10 &amp; "]"
),0)/1000</f>
        <v>65166.960200000001</v>
      </c>
      <c r="V10" s="8">
        <f>IFERROR(
GETPIVOTDATA(
"[Base].[Importe]",
TDinamica_R!$A$5,
"[Calendario].[AñoMes]",
"[Calendario].[AñoMes].&amp;[" &amp; TEXT(V$6,"yyyymm") &amp; "]",
"[Base].[Metrica]",
"[Base].[Metrica].&amp;[" &amp; $A10 &amp; "]",
"[Base].[SEGMENTO_DESCRIP]",
"[Base].[SEGMENTO_DESCRIP].&amp;[" &amp; $C$6 &amp; "]",
"[Base].[SITUACION]",
"[Base].[SITUACION].&amp;[" &amp; $C10 &amp; "]"
),0)/1000</f>
        <v>69137.826710000008</v>
      </c>
      <c r="W10" s="8">
        <f>IFERROR(
GETPIVOTDATA(
"[Base].[Importe]",
TDinamica_R!$A$5,
"[Calendario].[AñoMes]",
"[Calendario].[AñoMes].&amp;[" &amp; TEXT(W$6,"yyyymm") &amp; "]",
"[Base].[Metrica]",
"[Base].[Metrica].&amp;[" &amp; $A10 &amp; "]",
"[Base].[SEGMENTO_DESCRIP]",
"[Base].[SEGMENTO_DESCRIP].&amp;[" &amp; $C$6 &amp; "]",
"[Base].[SITUACION]",
"[Base].[SITUACION].&amp;[" &amp; $C10 &amp; "]"
),0)/1000</f>
        <v>75593.071570000015</v>
      </c>
      <c r="X10" s="8">
        <f>IFERROR(
GETPIVOTDATA(
"[Base].[Importe]",
TDinamica_R!$A$5,
"[Calendario].[AñoMes]",
"[Calendario].[AñoMes].&amp;[" &amp; TEXT(X$6,"yyyymm") &amp; "]",
"[Base].[Metrica]",
"[Base].[Metrica].&amp;[" &amp; $A10 &amp; "]",
"[Base].[SEGMENTO_DESCRIP]",
"[Base].[SEGMENTO_DESCRIP].&amp;[" &amp; $C$6 &amp; "]",
"[Base].[SITUACION]",
"[Base].[SITUACION].&amp;[" &amp; $C10 &amp; "]"
),0)/1000</f>
        <v>79135.192750000017</v>
      </c>
      <c r="Y10" s="8">
        <f>IFERROR(
GETPIVOTDATA(
"[Base].[Importe]",
TDinamica_R!$A$5,
"[Calendario].[AñoMes]",
"[Calendario].[AñoMes].&amp;[" &amp; TEXT(Y$6,"yyyymm") &amp; "]",
"[Base].[Metrica]",
"[Base].[Metrica].&amp;[" &amp; $A10 &amp; "]",
"[Base].[SEGMENTO_DESCRIP]",
"[Base].[SEGMENTO_DESCRIP].&amp;[" &amp; $C$6 &amp; "]",
"[Base].[SITUACION]",
"[Base].[SITUACION].&amp;[" &amp; $C10 &amp; "]"
),0)/1000</f>
        <v>80358.711039999995</v>
      </c>
      <c r="Z10" s="8">
        <f>IFERROR(
GETPIVOTDATA(
"[Base].[Importe]",
TDinamica_R!$A$5,
"[Calendario].[AñoMes]",
"[Calendario].[AñoMes].&amp;[" &amp; TEXT(Z$6,"yyyymm") &amp; "]",
"[Base].[Metrica]",
"[Base].[Metrica].&amp;[" &amp; $A10 &amp; "]",
"[Base].[SEGMENTO_DESCRIP]",
"[Base].[SEGMENTO_DESCRIP].&amp;[" &amp; $C$6 &amp; "]",
"[Base].[SITUACION]",
"[Base].[SITUACION].&amp;[" &amp; $C10 &amp; "]"
),0)/1000</f>
        <v>78818.526129999998</v>
      </c>
      <c r="AA10" s="8">
        <f>IFERROR(
GETPIVOTDATA(
"[Base].[Importe]",
TDinamica_R!$A$5,
"[Calendario].[AñoMes]",
"[Calendario].[AñoMes].&amp;[" &amp; TEXT(AA$6,"yyyymm") &amp; "]",
"[Base].[Metrica]",
"[Base].[Metrica].&amp;[" &amp; $A10 &amp; "]",
"[Base].[SEGMENTO_DESCRIP]",
"[Base].[SEGMENTO_DESCRIP].&amp;[" &amp; $C$6 &amp; "]",
"[Base].[SITUACION]",
"[Base].[SITUACION].&amp;[" &amp; $C10 &amp; "]"
),0)/1000</f>
        <v>88242.582049999997</v>
      </c>
      <c r="AB10" s="8">
        <f>IFERROR(
GETPIVOTDATA(
"[Base].[Importe]",
TDinamica_R!$A$5,
"[Calendario].[AñoMes]",
"[Calendario].[AñoMes].&amp;[" &amp; TEXT(AB$6,"yyyymm") &amp; "]",
"[Base].[Metrica]",
"[Base].[Metrica].&amp;[" &amp; $A10 &amp; "]",
"[Base].[SEGMENTO_DESCRIP]",
"[Base].[SEGMENTO_DESCRIP].&amp;[" &amp; $C$6 &amp; "]",
"[Base].[SITUACION]",
"[Base].[SITUACION].&amp;[" &amp; $C10 &amp; "]"
),0)/1000</f>
        <v>87214.762289999999</v>
      </c>
      <c r="AC10" s="8">
        <f>IFERROR(
GETPIVOTDATA(
"[Base].[Importe]",
TDinamica_R!$A$5,
"[Calendario].[AñoMes]",
"[Calendario].[AñoMes].&amp;[" &amp; TEXT(AC$6,"yyyymm") &amp; "]",
"[Base].[Metrica]",
"[Base].[Metrica].&amp;[" &amp; $A10 &amp; "]",
"[Base].[SEGMENTO_DESCRIP]",
"[Base].[SEGMENTO_DESCRIP].&amp;[" &amp; $C$6 &amp; "]",
"[Base].[SITUACION]",
"[Base].[SITUACION].&amp;[" &amp; $C10 &amp; "]"
),0)/1000</f>
        <v>86522.718049999996</v>
      </c>
      <c r="AD10" s="8">
        <f>IFERROR(
GETPIVOTDATA(
"[Base].[Importe]",
TDinamica_R!$A$5,
"[Calendario].[AñoMes]",
"[Calendario].[AñoMes].&amp;[" &amp; TEXT(AD$6,"yyyymm") &amp; "]",
"[Base].[Metrica]",
"[Base].[Metrica].&amp;[" &amp; $A10 &amp; "]",
"[Base].[SEGMENTO_DESCRIP]",
"[Base].[SEGMENTO_DESCRIP].&amp;[" &amp; $C$6 &amp; "]",
"[Base].[SITUACION]",
"[Base].[SITUACION].&amp;[" &amp; $C10 &amp; "]"
),0)/1000</f>
        <v>89266.755010000008</v>
      </c>
      <c r="AE10" s="8">
        <f>IFERROR(
GETPIVOTDATA(
"[Base].[Importe]",
TDinamica_R!$A$5,
"[Calendario].[AñoMes]",
"[Calendario].[AñoMes].&amp;[" &amp; TEXT(AE$6,"yyyymm") &amp; "]",
"[Base].[Metrica]",
"[Base].[Metrica].&amp;[" &amp; $A10 &amp; "]",
"[Base].[SEGMENTO_DESCRIP]",
"[Base].[SEGMENTO_DESCRIP].&amp;[" &amp; $C$6 &amp; "]",
"[Base].[SITUACION]",
"[Base].[SITUACION].&amp;[" &amp; $C10 &amp; "]"
),0)/1000</f>
        <v>87875.791670000006</v>
      </c>
      <c r="AF10" s="8">
        <f>IFERROR(
GETPIVOTDATA(
"[Base].[Importe]",
TDinamica_R!$A$5,
"[Calendario].[AñoMes]",
"[Calendario].[AñoMes].&amp;[" &amp; TEXT(AF$6,"yyyymm") &amp; "]",
"[Base].[Metrica]",
"[Base].[Metrica].&amp;[" &amp; $A10 &amp; "]",
"[Base].[SEGMENTO_DESCRIP]",
"[Base].[SEGMENTO_DESCRIP].&amp;[" &amp; $C$6 &amp; "]",
"[Base].[SITUACION]",
"[Base].[SITUACION].&amp;[" &amp; $C10 &amp; "]"
),0)/1000</f>
        <v>89758.083719999995</v>
      </c>
      <c r="AG10" s="8">
        <f>IFERROR(
GETPIVOTDATA(
"[Base].[Importe]",
TDinamica_R!$A$5,
"[Calendario].[AñoMes]",
"[Calendario].[AñoMes].&amp;[" &amp; TEXT(AG$6,"yyyymm") &amp; "]",
"[Base].[Metrica]",
"[Base].[Metrica].&amp;[" &amp; $A10 &amp; "]",
"[Base].[SEGMENTO_DESCRIP]",
"[Base].[SEGMENTO_DESCRIP].&amp;[" &amp; $C$6 &amp; "]",
"[Base].[SITUACION]",
"[Base].[SITUACION].&amp;[" &amp; $C10 &amp; "]"
),0)/1000</f>
        <v>91979.568099999989</v>
      </c>
      <c r="AH10" s="8">
        <f>IFERROR(
GETPIVOTDATA(
"[Base].[Importe]",
TDinamica_R!$A$5,
"[Calendario].[AñoMes]",
"[Calendario].[AñoMes].&amp;[" &amp; TEXT(AH$6,"yyyymm") &amp; "]",
"[Base].[Metrica]",
"[Base].[Metrica].&amp;[" &amp; $A10 &amp; "]",
"[Base].[SEGMENTO_DESCRIP]",
"[Base].[SEGMENTO_DESCRIP].&amp;[" &amp; $C$6 &amp; "]",
"[Base].[SITUACION]",
"[Base].[SITUACION].&amp;[" &amp; $C10 &amp; "]"
),0)/1000</f>
        <v>91989.562879999998</v>
      </c>
      <c r="AI10" s="8">
        <f>IFERROR(
GETPIVOTDATA(
"[Base].[Importe]",
TDinamica_R!$A$5,
"[Calendario].[AñoMes]",
"[Calendario].[AñoMes].&amp;[" &amp; TEXT(AI$6,"yyyymm") &amp; "]",
"[Base].[Metrica]",
"[Base].[Metrica].&amp;[" &amp; $A10 &amp; "]",
"[Base].[SEGMENTO_DESCRIP]",
"[Base].[SEGMENTO_DESCRIP].&amp;[" &amp; $C$6 &amp; "]",
"[Base].[SITUACION]",
"[Base].[SITUACION].&amp;[" &amp; $C10 &amp; "]"
),0)/1000</f>
        <v>95856.34117</v>
      </c>
      <c r="AJ10" s="8">
        <f>IFERROR(
GETPIVOTDATA(
"[Base].[Importe]",
TDinamica_R!$A$5,
"[Calendario].[AñoMes]",
"[Calendario].[AñoMes].&amp;[" &amp; TEXT(AJ$6,"yyyymm") &amp; "]",
"[Base].[Metrica]",
"[Base].[Metrica].&amp;[" &amp; $A10 &amp; "]",
"[Base].[SEGMENTO_DESCRIP]",
"[Base].[SEGMENTO_DESCRIP].&amp;[" &amp; $C$6 &amp; "]",
"[Base].[SITUACION]",
"[Base].[SITUACION].&amp;[" &amp; $C10 &amp; "]"
),0)/1000</f>
        <v>101805.90086999998</v>
      </c>
      <c r="AK10" s="8">
        <f>IFERROR(
GETPIVOTDATA(
"[Base].[Importe]",
TDinamica_R!$A$5,
"[Calendario].[AñoMes]",
"[Calendario].[AñoMes].&amp;[" &amp; TEXT(AK$6,"yyyymm") &amp; "]",
"[Base].[Metrica]",
"[Base].[Metrica].&amp;[" &amp; $A10 &amp; "]",
"[Base].[SEGMENTO_DESCRIP]",
"[Base].[SEGMENTO_DESCRIP].&amp;[" &amp; $C$6 &amp; "]",
"[Base].[SITUACION]",
"[Base].[SITUACION].&amp;[" &amp; $C10 &amp; "]"
),0)/1000</f>
        <v>110422.61012</v>
      </c>
      <c r="AL10" s="8">
        <f>IFERROR(
GETPIVOTDATA(
"[Base].[Importe]",
TDinamica_R!$A$5,
"[Calendario].[AñoMes]",
"[Calendario].[AñoMes].&amp;[" &amp; TEXT(AL$6,"yyyymm") &amp; "]",
"[Base].[Metrica]",
"[Base].[Metrica].&amp;[" &amp; $A10 &amp; "]",
"[Base].[SEGMENTO_DESCRIP]",
"[Base].[SEGMENTO_DESCRIP].&amp;[" &amp; $C$6 &amp; "]",
"[Base].[SITUACION]",
"[Base].[SITUACION].&amp;[" &amp; $C10 &amp; "]"
),0)/1000</f>
        <v>111972.36109000001</v>
      </c>
      <c r="AM10" s="8">
        <f>IFERROR(
GETPIVOTDATA(
"[Base].[Importe]",
TDinamica_R!$A$5,
"[Calendario].[AñoMes]",
"[Calendario].[AñoMes].&amp;[" &amp; TEXT(AM$6,"yyyymm") &amp; "]",
"[Base].[Metrica]",
"[Base].[Metrica].&amp;[" &amp; $A10 &amp; "]",
"[Base].[SEGMENTO_DESCRIP]",
"[Base].[SEGMENTO_DESCRIP].&amp;[" &amp; $C$6 &amp; "]",
"[Base].[SITUACION]",
"[Base].[SITUACION].&amp;[" &amp; $C10 &amp; "]"
),0)/1000</f>
        <v>113921.63431000001</v>
      </c>
      <c r="AN10" s="8">
        <f>IFERROR(
GETPIVOTDATA(
"[Base].[Importe]",
TDinamica_R!$A$5,
"[Calendario].[AñoMes]",
"[Calendario].[AñoMes].&amp;[" &amp; TEXT(AN$6,"yyyymm") &amp; "]",
"[Base].[Metrica]",
"[Base].[Metrica].&amp;[" &amp; $A10 &amp; "]",
"[Base].[SEGMENTO_DESCRIP]",
"[Base].[SEGMENTO_DESCRIP].&amp;[" &amp; $C$6 &amp; "]",
"[Base].[SITUACION]",
"[Base].[SITUACION].&amp;[" &amp; $C10 &amp; "]"
),0)/1000</f>
        <v>117541.8</v>
      </c>
      <c r="AO10" s="8">
        <f>IFERROR(
GETPIVOTDATA(
"[Base].[Importe]",
TDinamica_R!$A$5,
"[Calendario].[AñoMes]",
"[Calendario].[AñoMes].&amp;[" &amp; TEXT(AO$6,"yyyymm") &amp; "]",
"[Base].[Metrica]",
"[Base].[Metrica].&amp;[" &amp; $A10 &amp; "]",
"[Base].[SEGMENTO_DESCRIP]",
"[Base].[SEGMENTO_DESCRIP].&amp;[" &amp; $C$6 &amp; "]",
"[Base].[SITUACION]",
"[Base].[SITUACION].&amp;[" &amp; $C10 &amp; "]"
),0)/1000</f>
        <v>117479.51</v>
      </c>
      <c r="AP10" s="8">
        <f>IFERROR(
GETPIVOTDATA(
"[Base].[Importe]",
TDinamica_R!$A$5,
"[Calendario].[AñoMes]",
"[Calendario].[AñoMes].&amp;[" &amp; TEXT(AP$6,"yyyymm") &amp; "]",
"[Base].[Metrica]",
"[Base].[Metrica].&amp;[" &amp; $A10 &amp; "]",
"[Base].[SEGMENTO_DESCRIP]",
"[Base].[SEGMENTO_DESCRIP].&amp;[" &amp; $C$6 &amp; "]",
"[Base].[SITUACION]",
"[Base].[SITUACION].&amp;[" &amp; $C10 &amp; "]"
),0)/1000</f>
        <v>114739.42</v>
      </c>
      <c r="AQ10" s="8">
        <f>IFERROR(
GETPIVOTDATA(
"[Base].[Importe]",
TDinamica_R!$A$5,
"[Calendario].[AñoMes]",
"[Calendario].[AñoMes].&amp;[" &amp; TEXT(AQ$6,"yyyymm") &amp; "]",
"[Base].[Metrica]",
"[Base].[Metrica].&amp;[" &amp; $A10 &amp; "]",
"[Base].[SEGMENTO_DESCRIP]",
"[Base].[SEGMENTO_DESCRIP].&amp;[" &amp; $C$6 &amp; "]",
"[Base].[SITUACION]",
"[Base].[SITUACION].&amp;[" &amp; $C10 &amp; "]"
),0)/1000</f>
        <v>114163.90263999996</v>
      </c>
      <c r="AR10" s="8">
        <f>IFERROR(
GETPIVOTDATA(
"[Base].[Importe]",
TDinamica_R!$A$5,
"[Calendario].[AñoMes]",
"[Calendario].[AñoMes].&amp;[" &amp; TEXT(AR$6,"yyyymm") &amp; "]",
"[Base].[Metrica]",
"[Base].[Metrica].&amp;[" &amp; $A10 &amp; "]",
"[Base].[SEGMENTO_DESCRIP]",
"[Base].[SEGMENTO_DESCRIP].&amp;[" &amp; $C$6 &amp; "]",
"[Base].[SITUACION]",
"[Base].[SITUACION].&amp;[" &amp; $C10 &amp; "]"
),0)/1000</f>
        <v>114389.02833</v>
      </c>
      <c r="AS10" s="8">
        <f>IFERROR(
GETPIVOTDATA(
"[Base].[Importe]",
TDinamica_R!$A$5,
"[Calendario].[AñoMes]",
"[Calendario].[AñoMes].&amp;[" &amp; TEXT(AS$6,"yyyymm") &amp; "]",
"[Base].[Metrica]",
"[Base].[Metrica].&amp;[" &amp; $A10 &amp; "]",
"[Base].[SEGMENTO_DESCRIP]",
"[Base].[SEGMENTO_DESCRIP].&amp;[" &amp; $C$6 &amp; "]",
"[Base].[SITUACION]",
"[Base].[SITUACION].&amp;[" &amp; $C10 &amp; "]"
),0)/1000</f>
        <v>110308.50075999998</v>
      </c>
      <c r="AT10" s="8">
        <f>IFERROR(
GETPIVOTDATA(
"[Base].[Importe]",
TDinamica_R!$A$5,
"[Calendario].[AñoMes]",
"[Calendario].[AñoMes].&amp;[" &amp; TEXT(AT$6,"yyyymm")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U10" s="8">
        <f>IFERROR(
GETPIVOTDATA(
"[Base].[Importe]",
TDinamica_R!$A$5,
"[Calendario].[AñoMes]",
"[Calendario].[AñoMes].&amp;[" &amp; TEXT(AU$6,"yyyymm")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V10" s="8">
        <f>IFERROR(
GETPIVOTDATA(
"[Base].[Importe]",
TDinamica_R!$A$5,
"[Calendario].[AñoMes]",
"[Calendario].[AñoMes].&amp;[" &amp; TEXT(AV$6,"yyyymm")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W10" s="8">
        <f>IFERROR(
GETPIVOTDATA(
"[Base].[Importe]",
TDinamica_R!$A$5,
"[Calendario].[AñoMes]",
"[Calendario].[AñoMes].&amp;[" &amp; TEXT(AW$6,"yyyymm")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X10" s="8">
        <f>IFERROR(
GETPIVOTDATA(
"[Base].[Importe]",
TDinamica_R!$A$5,
"[Calendario].[AñoMes]",
"[Calendario].[AñoMes].&amp;[" &amp; TEXT(AX$6,"yyyymm")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Y10" s="8">
        <f>IFERROR(
GETPIVOTDATA(
"[Base].[Importe]",
TDinamica_R!$A$5,
"[Calendario].[AñoMes]",
"[Calendario].[AñoMes].&amp;[" &amp; TEXT(AY$6,"yyyymm")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Z10" s="8">
        <f>IFERROR(
GETPIVOTDATA(
"[BASE_CONVE_PPTO].[Importe]",
TDinamica_P!$A$5,
"[BASE_CONVE_PPTO].[Periodo]",
"[BASE_CONVE_PPTO].[Periodo].&amp;[" &amp; TEXT(AZ$6,"yyyymm")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114832.03818792684</v>
      </c>
      <c r="BA10" s="8">
        <f>IFERROR(
GETPIVOTDATA(
"[BASE_CONVE_PPTO].[Importe]",
TDinamica_P!$A$5,
"[BASE_CONVE_PPTO].[Periodo]",
"[BASE_CONVE_PPTO].[Periodo].&amp;[" &amp; TEXT(BA$6,"yyyymm")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112462.20056223762</v>
      </c>
      <c r="BB10" s="8">
        <f>IFERROR(
GETPIVOTDATA(
"[BASE_CONVE_PPTO].[Importe]",
TDinamica_P!$A$5,
"[BASE_CONVE_PPTO].[Periodo]",
"[BASE_CONVE_PPTO].[Periodo].&amp;[" &amp; TEXT(BB$6,"yyyymm")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110637.66259457897</v>
      </c>
      <c r="BC10" s="8">
        <f>IFERROR(
GETPIVOTDATA(
"[BASE_CONVE_PPTO].[Importe]",
TDinamica_P!$A$5,
"[BASE_CONVE_PPTO].[Periodo]",
"[BASE_CONVE_PPTO].[Periodo].&amp;[" &amp; TEXT(BC$6,"yyyymm")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107962.06708034301</v>
      </c>
      <c r="BD10" s="8">
        <f>IFERROR(
GETPIVOTDATA(
"[BASE_CONVE_PPTO].[Importe]",
TDinamica_P!$A$5,
"[BASE_CONVE_PPTO].[Periodo]",
"[BASE_CONVE_PPTO].[Periodo].&amp;[" &amp; TEXT(BD$6,"yyyymm")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107183.00756691652</v>
      </c>
      <c r="BE10" s="8">
        <f>IFERROR(
GETPIVOTDATA(
"[BASE_CONVE_PPTO].[Importe]",
TDinamica_P!$A$5,
"[BASE_CONVE_PPTO].[Periodo]",
"[BASE_CONVE_PPTO].[Periodo].&amp;[" &amp; TEXT(BE$6,"yyyymm")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106436.41251151994</v>
      </c>
      <c r="BF10" s="8">
        <f>IFERROR(
GETPIVOTDATA(
"[BASE_CONVE_PPTO].[Importe]",
TDinamica_P!$A$5,
"[BASE_CONVE_PPTO].[Periodo]",
"[BASE_CONVE_PPTO].[Periodo].&amp;[" &amp; TEXT(BF$6,"yyyymm")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105257.8860798254</v>
      </c>
      <c r="BG10" s="8">
        <f>IFERROR(
GETPIVOTDATA(
"[BASE_CONVE_PPTO].[Importe]",
TDinamica_P!$A$5,
"[BASE_CONVE_PPTO].[Periodo]",
"[BASE_CONVE_PPTO].[Periodo].&amp;[" &amp; TEXT(BG$6,"yyyymm")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105830.03171967657</v>
      </c>
      <c r="BH10" s="8">
        <f>IFERROR(
GETPIVOTDATA(
"[BASE_CONVE_PPTO].[Importe]",
TDinamica_P!$A$5,
"[BASE_CONVE_PPTO].[Periodo]",
"[BASE_CONVE_PPTO].[Periodo].&amp;[" &amp; TEXT(BH$6,"yyyymm")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104920.73634495122</v>
      </c>
      <c r="BI10" s="8">
        <f>IFERROR(
GETPIVOTDATA(
"[BASE_CONVE_PPTO].[Importe]",
TDinamica_P!$A$5,
"[BASE_CONVE_PPTO].[Periodo]",
"[BASE_CONVE_PPTO].[Periodo].&amp;[" &amp; TEXT(BI$6,"yyyymm")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104649.07064495095</v>
      </c>
      <c r="BJ10" s="8">
        <f>IFERROR(
GETPIVOTDATA(
"[BASE_CONVE_PPTO].[Importe]",
TDinamica_P!$A$5,
"[BASE_CONVE_PPTO].[Periodo]",
"[BASE_CONVE_PPTO].[Periodo].&amp;[" &amp; TEXT(BJ$6,"yyyymm")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104656.24409447472</v>
      </c>
      <c r="BK10" s="8">
        <f>IFERROR(
GETPIVOTDATA(
"[BASE_CONVE_PPTO].[Importe]",
TDinamica_P!$A$5,
"[BASE_CONVE_PPTO].[Periodo]",
"[BASE_CONVE_PPTO].[Periodo].&amp;[" &amp; TEXT(BK$6,"yyyymm")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104827.26769365546</v>
      </c>
      <c r="BO10" s="24">
        <f t="shared" si="4"/>
        <v>114389.02833</v>
      </c>
      <c r="BP10" s="24">
        <f t="shared" si="6"/>
        <v>107183.00756691652</v>
      </c>
      <c r="BQ10" s="24">
        <f t="shared" si="5"/>
        <v>114163.90263999996</v>
      </c>
      <c r="BR10" s="24">
        <f t="shared" si="5"/>
        <v>89758.083719999995</v>
      </c>
      <c r="BS10" s="24">
        <f t="shared" si="5"/>
        <v>64864.476260000003</v>
      </c>
      <c r="BT10" s="24">
        <f t="shared" si="5"/>
        <v>63308.004529999991</v>
      </c>
    </row>
    <row r="11" spans="1:81" x14ac:dyDescent="0.25">
      <c r="C11" s="3" t="s">
        <v>2</v>
      </c>
      <c r="D11" s="10">
        <f>SUM(D8:D10)</f>
        <v>4569845.5308379987</v>
      </c>
      <c r="E11" s="10">
        <f t="shared" ref="E11:AY11" si="7">SUM(E8:E10)</f>
        <v>4634493.7390062595</v>
      </c>
      <c r="F11" s="10">
        <f t="shared" si="7"/>
        <v>4711110.5644342192</v>
      </c>
      <c r="G11" s="10">
        <f t="shared" si="7"/>
        <v>4753186.5828400003</v>
      </c>
      <c r="H11" s="10">
        <f t="shared" si="7"/>
        <v>4808046.7401699992</v>
      </c>
      <c r="I11" s="10">
        <f t="shared" si="7"/>
        <v>4864177.1109084003</v>
      </c>
      <c r="J11" s="10">
        <f t="shared" si="7"/>
        <v>4908490.7671208801</v>
      </c>
      <c r="K11" s="10">
        <f t="shared" si="7"/>
        <v>4980176.1100915503</v>
      </c>
      <c r="L11" s="10">
        <f t="shared" si="7"/>
        <v>5027160.3821631996</v>
      </c>
      <c r="M11" s="10">
        <f t="shared" si="7"/>
        <v>5088780.485098701</v>
      </c>
      <c r="N11" s="10">
        <f t="shared" si="7"/>
        <v>5146106.3054932812</v>
      </c>
      <c r="O11" s="10">
        <f t="shared" si="7"/>
        <v>5168909.7200788008</v>
      </c>
      <c r="P11" s="10">
        <f t="shared" si="7"/>
        <v>5226299.9977123588</v>
      </c>
      <c r="Q11" s="10">
        <f t="shared" si="7"/>
        <v>5291278.0337793995</v>
      </c>
      <c r="R11" s="10">
        <f t="shared" si="7"/>
        <v>5359921.5992585002</v>
      </c>
      <c r="S11" s="10">
        <f t="shared" si="7"/>
        <v>5455373.4059247002</v>
      </c>
      <c r="T11" s="10">
        <f t="shared" si="7"/>
        <v>5548148.3924503988</v>
      </c>
      <c r="U11" s="10">
        <f t="shared" si="7"/>
        <v>5620670.8352814997</v>
      </c>
      <c r="V11" s="10">
        <f t="shared" si="7"/>
        <v>5697588.5568964994</v>
      </c>
      <c r="W11" s="10">
        <f t="shared" si="7"/>
        <v>5733012.9630249999</v>
      </c>
      <c r="X11" s="10">
        <f t="shared" si="7"/>
        <v>5738499.1296783006</v>
      </c>
      <c r="Y11" s="10">
        <f t="shared" si="7"/>
        <v>5717207.0930193998</v>
      </c>
      <c r="Z11" s="10">
        <f t="shared" si="7"/>
        <v>5652662.3967982</v>
      </c>
      <c r="AA11" s="10">
        <f t="shared" si="7"/>
        <v>5595060.1603267007</v>
      </c>
      <c r="AB11" s="10">
        <f t="shared" si="7"/>
        <v>5562490.3822731003</v>
      </c>
      <c r="AC11" s="10">
        <f t="shared" si="7"/>
        <v>5549807.8093115008</v>
      </c>
      <c r="AD11" s="10">
        <f t="shared" si="7"/>
        <v>5541635.3071884001</v>
      </c>
      <c r="AE11" s="10">
        <f t="shared" si="7"/>
        <v>5554154.3381818002</v>
      </c>
      <c r="AF11" s="10">
        <f t="shared" si="7"/>
        <v>5565830.0445068013</v>
      </c>
      <c r="AG11" s="10">
        <f t="shared" si="7"/>
        <v>5578545.9853242999</v>
      </c>
      <c r="AH11" s="10">
        <f t="shared" si="7"/>
        <v>5599449.0734653901</v>
      </c>
      <c r="AI11" s="10">
        <f t="shared" si="7"/>
        <v>5630920.5414223</v>
      </c>
      <c r="AJ11" s="10">
        <f t="shared" si="7"/>
        <v>5642416.8725434998</v>
      </c>
      <c r="AK11" s="10">
        <f t="shared" si="7"/>
        <v>5607938.3984213006</v>
      </c>
      <c r="AL11" s="10">
        <f t="shared" si="7"/>
        <v>5559298.2287504999</v>
      </c>
      <c r="AM11" s="10">
        <f t="shared" si="7"/>
        <v>5505790.9500515005</v>
      </c>
      <c r="AN11" s="10">
        <f t="shared" si="7"/>
        <v>5484552.4899999993</v>
      </c>
      <c r="AO11" s="10">
        <f t="shared" si="7"/>
        <v>5438125.04</v>
      </c>
      <c r="AP11" s="10">
        <f t="shared" si="7"/>
        <v>5448658.2699999996</v>
      </c>
      <c r="AQ11" s="10">
        <f t="shared" si="7"/>
        <v>5470333.4064994007</v>
      </c>
      <c r="AR11" s="10">
        <f t="shared" si="7"/>
        <v>5480551.8994770804</v>
      </c>
      <c r="AS11" s="10">
        <f t="shared" si="7"/>
        <v>5497657.6415008977</v>
      </c>
      <c r="AT11" s="10">
        <f t="shared" si="7"/>
        <v>0</v>
      </c>
      <c r="AU11" s="10">
        <f t="shared" si="7"/>
        <v>0</v>
      </c>
      <c r="AV11" s="10">
        <f t="shared" si="7"/>
        <v>0</v>
      </c>
      <c r="AW11" s="10">
        <f t="shared" si="7"/>
        <v>0</v>
      </c>
      <c r="AX11" s="10">
        <f t="shared" si="7"/>
        <v>0</v>
      </c>
      <c r="AY11" s="10">
        <f t="shared" si="7"/>
        <v>0</v>
      </c>
      <c r="AZ11" s="10">
        <f>SUM(AZ8:AZ10)</f>
        <v>5725820.4819422085</v>
      </c>
      <c r="BA11" s="10">
        <f t="shared" ref="BA11:BK11" si="8">SUM(BA8:BA10)</f>
        <v>5743163.0761685399</v>
      </c>
      <c r="BB11" s="10">
        <f t="shared" si="8"/>
        <v>5777086.9361994956</v>
      </c>
      <c r="BC11" s="10">
        <f t="shared" si="8"/>
        <v>5798156.0554227456</v>
      </c>
      <c r="BD11" s="10">
        <f t="shared" si="8"/>
        <v>5819562.8600319987</v>
      </c>
      <c r="BE11" s="10">
        <f t="shared" si="8"/>
        <v>5848180.1924686013</v>
      </c>
      <c r="BF11" s="10">
        <f t="shared" si="8"/>
        <v>5876850.9738472346</v>
      </c>
      <c r="BG11" s="10">
        <f t="shared" si="8"/>
        <v>5904870.2516253097</v>
      </c>
      <c r="BH11" s="10">
        <f t="shared" si="8"/>
        <v>5942940.0608630897</v>
      </c>
      <c r="BI11" s="10">
        <f t="shared" si="8"/>
        <v>5970752.0794843957</v>
      </c>
      <c r="BJ11" s="10">
        <f t="shared" si="8"/>
        <v>5998157.7379250322</v>
      </c>
      <c r="BK11" s="10">
        <f t="shared" si="8"/>
        <v>6018933.2554326598</v>
      </c>
      <c r="BO11" s="23">
        <f>SUM(BO8:BO10)</f>
        <v>5480551.8994770804</v>
      </c>
      <c r="BP11" s="23">
        <f>SUM(BP8:BP10)</f>
        <v>5819562.8600319987</v>
      </c>
      <c r="BQ11" s="23">
        <f t="shared" ref="BQ11:BT11" si="9">SUM(BQ8:BQ10)</f>
        <v>5470333.4064994007</v>
      </c>
      <c r="BR11" s="23">
        <f t="shared" si="9"/>
        <v>5565830.0445068013</v>
      </c>
      <c r="BS11" s="23">
        <f t="shared" si="9"/>
        <v>5548148.3924503988</v>
      </c>
      <c r="BT11" s="23">
        <f t="shared" si="9"/>
        <v>4808046.7401699992</v>
      </c>
    </row>
    <row r="14" spans="1:81" outlineLevel="1" x14ac:dyDescent="0.25">
      <c r="A14" s="11" t="s">
        <v>52</v>
      </c>
      <c r="C14" s="2" t="s">
        <v>0</v>
      </c>
      <c r="D14" s="8">
        <f>IFERROR(
GETPIVOTDATA(
"[Base].[Importe]",
TDinamica_R!$A$5,
"[Calendario].[AñoMes]",
"[Calendario].[AñoMes].&amp;[" &amp; TEXT(D$6,"yyyymm") &amp; "]",
"[Base].[Metrica]",
"[Base].[Metrica].&amp;[" &amp; $A14 &amp; "]",
"[Base].[SEGMENTO_DESCRIP]",
"[Base].[SEGMENTO_DESCRIP].&amp;[" &amp; $C$6 &amp; "]",
"[Base].[SITUACION]",
"[Base].[SITUACION].&amp;[" &amp; $C14 &amp; "]"
),0)/1000</f>
        <v>4429764.0665956894</v>
      </c>
      <c r="E14" s="8">
        <f>IFERROR(
GETPIVOTDATA(
"[Base].[Importe]",
TDinamica_R!$A$5,
"[Calendario].[AñoMes]",
"[Calendario].[AñoMes].&amp;[" &amp; TEXT(E$6,"yyyymm") &amp; "]",
"[Base].[Metrica]",
"[Base].[Metrica].&amp;[" &amp; $A14 &amp; "]",
"[Base].[SEGMENTO_DESCRIP]",
"[Base].[SEGMENTO_DESCRIP].&amp;[" &amp; $C$6 &amp; "]",
"[Base].[SITUACION]",
"[Base].[SITUACION].&amp;[" &amp; $C14 &amp; "]"
),0)/1000</f>
        <v>4499625.4758874197</v>
      </c>
      <c r="F14" s="8">
        <f>IFERROR(
GETPIVOTDATA(
"[Base].[Importe]",
TDinamica_R!$A$5,
"[Calendario].[AñoMes]",
"[Calendario].[AñoMes].&amp;[" &amp; TEXT(F$6,"yyyymm") &amp; "]",
"[Base].[Metrica]",
"[Base].[Metrica].&amp;[" &amp; $A14 &amp; "]",
"[Base].[SEGMENTO_DESCRIP]",
"[Base].[SEGMENTO_DESCRIP].&amp;[" &amp; $C$6 &amp; "]",
"[Base].[SITUACION]",
"[Base].[SITUACION].&amp;[" &amp; $C14 &amp; "]"
),0)/1000</f>
        <v>4560237.50428</v>
      </c>
      <c r="G14" s="8">
        <f>IFERROR(
GETPIVOTDATA(
"[Base].[Importe]",
TDinamica_R!$A$5,
"[Calendario].[AñoMes]",
"[Calendario].[AñoMes].&amp;[" &amp; TEXT(G$6,"yyyymm") &amp; "]",
"[Base].[Metrica]",
"[Base].[Metrica].&amp;[" &amp; $A14 &amp; "]",
"[Base].[SEGMENTO_DESCRIP]",
"[Base].[SEGMENTO_DESCRIP].&amp;[" &amp; $C$6 &amp; "]",
"[Base].[SITUACION]",
"[Base].[SITUACION].&amp;[" &amp; $C14 &amp; "]"
),0)/1000</f>
        <v>4621285.4530506805</v>
      </c>
      <c r="H14" s="8">
        <f>IFERROR(
GETPIVOTDATA(
"[Base].[Importe]",
TDinamica_R!$A$5,
"[Calendario].[AñoMes]",
"[Calendario].[AñoMes].&amp;[" &amp; TEXT(H$6,"yyyymm") &amp; "]",
"[Base].[Metrica]",
"[Base].[Metrica].&amp;[" &amp; $A14 &amp; "]",
"[Base].[SEGMENTO_DESCRIP]",
"[Base].[SEGMENTO_DESCRIP].&amp;[" &amp; $C$6 &amp; "]",
"[Base].[SITUACION]",
"[Base].[SITUACION].&amp;[" &amp; $C14 &amp; "]"
),0)/1000</f>
        <v>4668734.46969264</v>
      </c>
      <c r="I14" s="8">
        <f>IFERROR(
GETPIVOTDATA(
"[Base].[Importe]",
TDinamica_R!$A$5,
"[Calendario].[AñoMes]",
"[Calendario].[AñoMes].&amp;[" &amp; TEXT(I$6,"yyyymm") &amp; "]",
"[Base].[Metrica]",
"[Base].[Metrica].&amp;[" &amp; $A14 &amp; "]",
"[Base].[SEGMENTO_DESCRIP]",
"[Base].[SEGMENTO_DESCRIP].&amp;[" &amp; $C$6 &amp; "]",
"[Base].[SITUACION]",
"[Base].[SITUACION].&amp;[" &amp; $C14 &amp; "]"
),0)/1000</f>
        <v>4728956.6282515004</v>
      </c>
      <c r="J14" s="8">
        <f>IFERROR(
GETPIVOTDATA(
"[Base].[Importe]",
TDinamica_R!$A$5,
"[Calendario].[AñoMes]",
"[Calendario].[AñoMes].&amp;[" &amp; TEXT(J$6,"yyyymm") &amp; "]",
"[Base].[Metrica]",
"[Base].[Metrica].&amp;[" &amp; $A14 &amp; "]",
"[Base].[SEGMENTO_DESCRIP]",
"[Base].[SEGMENTO_DESCRIP].&amp;[" &amp; $C$6 &amp; "]",
"[Base].[SITUACION]",
"[Base].[SITUACION].&amp;[" &amp; $C14 &amp; "]"
),0)/1000</f>
        <v>4780625.4589574402</v>
      </c>
      <c r="K14" s="8">
        <f>IFERROR(
GETPIVOTDATA(
"[Base].[Importe]",
TDinamica_R!$A$5,
"[Calendario].[AñoMes]",
"[Calendario].[AñoMes].&amp;[" &amp; TEXT(K$6,"yyyymm") &amp; "]",
"[Base].[Metrica]",
"[Base].[Metrica].&amp;[" &amp; $A14 &amp; "]",
"[Base].[SEGMENTO_DESCRIP]",
"[Base].[SEGMENTO_DESCRIP].&amp;[" &amp; $C$6 &amp; "]",
"[Base].[SITUACION]",
"[Base].[SITUACION].&amp;[" &amp; $C14 &amp; "]"
),0)/1000</f>
        <v>4835004.0584001597</v>
      </c>
      <c r="L14" s="8">
        <f>IFERROR(
GETPIVOTDATA(
"[Base].[Importe]",
TDinamica_R!$A$5,
"[Calendario].[AñoMes]",
"[Calendario].[AñoMes].&amp;[" &amp; TEXT(L$6,"yyyymm") &amp; "]",
"[Base].[Metrica]",
"[Base].[Metrica].&amp;[" &amp; $A14 &amp; "]",
"[Base].[SEGMENTO_DESCRIP]",
"[Base].[SEGMENTO_DESCRIP].&amp;[" &amp; $C$6 &amp; "]",
"[Base].[SITUACION]",
"[Base].[SITUACION].&amp;[" &amp; $C14 &amp; "]"
),0)/1000</f>
        <v>4893436.9692638097</v>
      </c>
      <c r="M14" s="8">
        <f>IFERROR(
GETPIVOTDATA(
"[Base].[Importe]",
TDinamica_R!$A$5,
"[Calendario].[AñoMes]",
"[Calendario].[AñoMes].&amp;[" &amp; TEXT(M$6,"yyyymm") &amp; "]",
"[Base].[Metrica]",
"[Base].[Metrica].&amp;[" &amp; $A14 &amp; "]",
"[Base].[SEGMENTO_DESCRIP]",
"[Base].[SEGMENTO_DESCRIP].&amp;[" &amp; $C$6 &amp; "]",
"[Base].[SITUACION]",
"[Base].[SITUACION].&amp;[" &amp; $C14 &amp; "]"
),0)/1000</f>
        <v>4949677.6133267498</v>
      </c>
      <c r="N14" s="8">
        <f>IFERROR(
GETPIVOTDATA(
"[Base].[Importe]",
TDinamica_R!$A$5,
"[Calendario].[AñoMes]",
"[Calendario].[AñoMes].&amp;[" &amp; TEXT(N$6,"yyyymm") &amp; "]",
"[Base].[Metrica]",
"[Base].[Metrica].&amp;[" &amp; $A14 &amp; "]",
"[Base].[SEGMENTO_DESCRIP]",
"[Base].[SEGMENTO_DESCRIP].&amp;[" &amp; $C$6 &amp; "]",
"[Base].[SITUACION]",
"[Base].[SITUACION].&amp;[" &amp; $C14 &amp; "]"
),0)/1000</f>
        <v>5011054.4400859</v>
      </c>
      <c r="O14" s="8">
        <f>IFERROR(
GETPIVOTDATA(
"[Base].[Importe]",
TDinamica_R!$A$5,
"[Calendario].[AñoMes]",
"[Calendario].[AñoMes].&amp;[" &amp; TEXT(O$6,"yyyymm") &amp; "]",
"[Base].[Metrica]",
"[Base].[Metrica].&amp;[" &amp; $A14 &amp; "]",
"[Base].[SEGMENTO_DESCRIP]",
"[Base].[SEGMENTO_DESCRIP].&amp;[" &amp; $C$6 &amp; "]",
"[Base].[SITUACION]",
"[Base].[SITUACION].&amp;[" &amp; $C14 &amp; "]"
),0)/1000</f>
        <v>5052485.1979904901</v>
      </c>
      <c r="P14" s="8">
        <f>IFERROR(
GETPIVOTDATA(
"[Base].[Importe]",
TDinamica_R!$A$5,
"[Calendario].[AñoMes]",
"[Calendario].[AñoMes].&amp;[" &amp; TEXT(P$6,"yyyymm") &amp; "]",
"[Base].[Metrica]",
"[Base].[Metrica].&amp;[" &amp; $A14 &amp; "]",
"[Base].[SEGMENTO_DESCRIP]",
"[Base].[SEGMENTO_DESCRIP].&amp;[" &amp; $C$6 &amp; "]",
"[Base].[SITUACION]",
"[Base].[SITUACION].&amp;[" &amp; $C14 &amp; "]"
),0)/1000</f>
        <v>5086452.1663286397</v>
      </c>
      <c r="Q14" s="8">
        <f>IFERROR(
GETPIVOTDATA(
"[Base].[Importe]",
TDinamica_R!$A$5,
"[Calendario].[AñoMes]",
"[Calendario].[AñoMes].&amp;[" &amp; TEXT(Q$6,"yyyymm") &amp; "]",
"[Base].[Metrica]",
"[Base].[Metrica].&amp;[" &amp; $A14 &amp; "]",
"[Base].[SEGMENTO_DESCRIP]",
"[Base].[SEGMENTO_DESCRIP].&amp;[" &amp; $C$6 &amp; "]",
"[Base].[SITUACION]",
"[Base].[SITUACION].&amp;[" &amp; $C14 &amp; "]"
),0)/1000</f>
        <v>5150104.0960911196</v>
      </c>
      <c r="R14" s="8">
        <f>IFERROR(
GETPIVOTDATA(
"[Base].[Importe]",
TDinamica_R!$A$5,
"[Calendario].[AñoMes]",
"[Calendario].[AñoMes].&amp;[" &amp; TEXT(R$6,"yyyymm") &amp; "]",
"[Base].[Metrica]",
"[Base].[Metrica].&amp;[" &amp; $A14 &amp; "]",
"[Base].[SEGMENTO_DESCRIP]",
"[Base].[SEGMENTO_DESCRIP].&amp;[" &amp; $C$6 &amp; "]",
"[Base].[SITUACION]",
"[Base].[SITUACION].&amp;[" &amp; $C14 &amp; "]"
),0)/1000</f>
        <v>5225047.7638262995</v>
      </c>
      <c r="S14" s="8">
        <f>IFERROR(
GETPIVOTDATA(
"[Base].[Importe]",
TDinamica_R!$A$5,
"[Calendario].[AñoMes]",
"[Calendario].[AñoMes].&amp;[" &amp; TEXT(S$6,"yyyymm") &amp; "]",
"[Base].[Metrica]",
"[Base].[Metrica].&amp;[" &amp; $A14 &amp; "]",
"[Base].[SEGMENTO_DESCRIP]",
"[Base].[SEGMENTO_DESCRIP].&amp;[" &amp; $C$6 &amp; "]",
"[Base].[SITUACION]",
"[Base].[SITUACION].&amp;[" &amp; $C14 &amp; "]"
),0)/1000</f>
        <v>5310432.1762950001</v>
      </c>
      <c r="T14" s="8">
        <f>IFERROR(
GETPIVOTDATA(
"[Base].[Importe]",
TDinamica_R!$A$5,
"[Calendario].[AñoMes]",
"[Calendario].[AñoMes].&amp;[" &amp; TEXT(T$6,"yyyymm") &amp; "]",
"[Base].[Metrica]",
"[Base].[Metrica].&amp;[" &amp; $A14 &amp; "]",
"[Base].[SEGMENTO_DESCRIP]",
"[Base].[SEGMENTO_DESCRIP].&amp;[" &amp; $C$6 &amp; "]",
"[Base].[SITUACION]",
"[Base].[SITUACION].&amp;[" &amp; $C14 &amp; "]"
),0)/1000</f>
        <v>5386938.9410993997</v>
      </c>
      <c r="U14" s="8">
        <f>IFERROR(
GETPIVOTDATA(
"[Base].[Importe]",
TDinamica_R!$A$5,
"[Calendario].[AñoMes]",
"[Calendario].[AñoMes].&amp;[" &amp; TEXT(U$6,"yyyymm") &amp; "]",
"[Base].[Metrica]",
"[Base].[Metrica].&amp;[" &amp; $A14 &amp; "]",
"[Base].[SEGMENTO_DESCRIP]",
"[Base].[SEGMENTO_DESCRIP].&amp;[" &amp; $C$6 &amp; "]",
"[Base].[SITUACION]",
"[Base].[SITUACION].&amp;[" &amp; $C14 &amp; "]"
),0)/1000</f>
        <v>5474327.0371534992</v>
      </c>
      <c r="V14" s="8">
        <f>IFERROR(
GETPIVOTDATA(
"[Base].[Importe]",
TDinamica_R!$A$5,
"[Calendario].[AñoMes]",
"[Calendario].[AñoMes].&amp;[" &amp; TEXT(V$6,"yyyymm") &amp; "]",
"[Base].[Metrica]",
"[Base].[Metrica].&amp;[" &amp; $A14 &amp; "]",
"[Base].[SEGMENTO_DESCRIP]",
"[Base].[SEGMENTO_DESCRIP].&amp;[" &amp; $C$6 &amp; "]",
"[Base].[SITUACION]",
"[Base].[SITUACION].&amp;[" &amp; $C14 &amp; "]"
),0)/1000</f>
        <v>5550769.9877415001</v>
      </c>
      <c r="W14" s="8">
        <f>IFERROR(
GETPIVOTDATA(
"[Base].[Importe]",
TDinamica_R!$A$5,
"[Calendario].[AñoMes]",
"[Calendario].[AñoMes].&amp;[" &amp; TEXT(W$6,"yyyymm") &amp; "]",
"[Base].[Metrica]",
"[Base].[Metrica].&amp;[" &amp; $A14 &amp; "]",
"[Base].[SEGMENTO_DESCRIP]",
"[Base].[SEGMENTO_DESCRIP].&amp;[" &amp; $C$6 &amp; "]",
"[Base].[SITUACION]",
"[Base].[SITUACION].&amp;[" &amp; $C14 &amp; "]"
),0)/1000</f>
        <v>5595547.7195725003</v>
      </c>
      <c r="X14" s="8">
        <f>IFERROR(
GETPIVOTDATA(
"[Base].[Importe]",
TDinamica_R!$A$5,
"[Calendario].[AñoMes]",
"[Calendario].[AñoMes].&amp;[" &amp; TEXT(X$6,"yyyymm") &amp; "]",
"[Base].[Metrica]",
"[Base].[Metrica].&amp;[" &amp; $A14 &amp; "]",
"[Base].[SEGMENTO_DESCRIP]",
"[Base].[SEGMENTO_DESCRIP].&amp;[" &amp; $C$6 &amp; "]",
"[Base].[SITUACION]",
"[Base].[SITUACION].&amp;[" &amp; $C14 &amp; "]"
),0)/1000</f>
        <v>5609760.4219152005</v>
      </c>
      <c r="Y14" s="8">
        <f>IFERROR(
GETPIVOTDATA(
"[Base].[Importe]",
TDinamica_R!$A$5,
"[Calendario].[AñoMes]",
"[Calendario].[AñoMes].&amp;[" &amp; TEXT(Y$6,"yyyymm") &amp; "]",
"[Base].[Metrica]",
"[Base].[Metrica].&amp;[" &amp; $A14 &amp; "]",
"[Base].[SEGMENTO_DESCRIP]",
"[Base].[SEGMENTO_DESCRIP].&amp;[" &amp; $C$6 &amp; "]",
"[Base].[SITUACION]",
"[Base].[SITUACION].&amp;[" &amp; $C14 &amp; "]"
),0)/1000</f>
        <v>5414972.2501165997</v>
      </c>
      <c r="Z14" s="8">
        <f>IFERROR(
GETPIVOTDATA(
"[Base].[Importe]",
TDinamica_R!$A$5,
"[Calendario].[AñoMes]",
"[Calendario].[AñoMes].&amp;[" &amp; TEXT(Z$6,"yyyymm") &amp; "]",
"[Base].[Metrica]",
"[Base].[Metrica].&amp;[" &amp; $A14 &amp; "]",
"[Base].[SEGMENTO_DESCRIP]",
"[Base].[SEGMENTO_DESCRIP].&amp;[" &amp; $C$6 &amp; "]",
"[Base].[SITUACION]",
"[Base].[SITUACION].&amp;[" &amp; $C14 &amp; "]"
),0)/1000</f>
        <v>5559286.9736788999</v>
      </c>
      <c r="AA14" s="8">
        <f>IFERROR(
GETPIVOTDATA(
"[Base].[Importe]",
TDinamica_R!$A$5,
"[Calendario].[AñoMes]",
"[Calendario].[AñoMes].&amp;[" &amp; TEXT(AA$6,"yyyymm") &amp; "]",
"[Base].[Metrica]",
"[Base].[Metrica].&amp;[" &amp; $A14 &amp; "]",
"[Base].[SEGMENTO_DESCRIP]",
"[Base].[SEGMENTO_DESCRIP].&amp;[" &amp; $C$6 &amp; "]",
"[Base].[SITUACION]",
"[Base].[SITUACION].&amp;[" &amp; $C14 &amp; "]"
),0)/1000</f>
        <v>5499936.6594553003</v>
      </c>
      <c r="AB14" s="8">
        <f>IFERROR(
GETPIVOTDATA(
"[Base].[Importe]",
TDinamica_R!$A$5,
"[Calendario].[AñoMes]",
"[Calendario].[AñoMes].&amp;[" &amp; TEXT(AB$6,"yyyymm") &amp; "]",
"[Base].[Metrica]",
"[Base].[Metrica].&amp;[" &amp; $A14 &amp; "]",
"[Base].[SEGMENTO_DESCRIP]",
"[Base].[SEGMENTO_DESCRIP].&amp;[" &amp; $C$6 &amp; "]",
"[Base].[SITUACION]",
"[Base].[SITUACION].&amp;[" &amp; $C14 &amp; "]"
),0)/1000</f>
        <v>5438095.6875069002</v>
      </c>
      <c r="AC14" s="8">
        <f>IFERROR(
GETPIVOTDATA(
"[Base].[Importe]",
TDinamica_R!$A$5,
"[Calendario].[AñoMes]",
"[Calendario].[AñoMes].&amp;[" &amp; TEXT(AC$6,"yyyymm") &amp; "]",
"[Base].[Metrica]",
"[Base].[Metrica].&amp;[" &amp; $A14 &amp; "]",
"[Base].[SEGMENTO_DESCRIP]",
"[Base].[SEGMENTO_DESCRIP].&amp;[" &amp; $C$6 &amp; "]",
"[Base].[SITUACION]",
"[Base].[SITUACION].&amp;[" &amp; $C14 &amp; "]"
),0)/1000</f>
        <v>5413009.9238700001</v>
      </c>
      <c r="AD14" s="8">
        <f>IFERROR(
GETPIVOTDATA(
"[Base].[Importe]",
TDinamica_R!$A$5,
"[Calendario].[AñoMes]",
"[Calendario].[AñoMes].&amp;[" &amp; TEXT(AD$6,"yyyymm") &amp; "]",
"[Base].[Metrica]",
"[Base].[Metrica].&amp;[" &amp; $A14 &amp; "]",
"[Base].[SEGMENTO_DESCRIP]",
"[Base].[SEGMENTO_DESCRIP].&amp;[" &amp; $C$6 &amp; "]",
"[Base].[SITUACION]",
"[Base].[SITUACION].&amp;[" &amp; $C14 &amp; "]"
),0)/1000</f>
        <v>5404473.7020357</v>
      </c>
      <c r="AE14" s="8">
        <f>IFERROR(
GETPIVOTDATA(
"[Base].[Importe]",
TDinamica_R!$A$5,
"[Calendario].[AñoMes]",
"[Calendario].[AñoMes].&amp;[" &amp; TEXT(AE$6,"yyyymm") &amp; "]",
"[Base].[Metrica]",
"[Base].[Metrica].&amp;[" &amp; $A14 &amp; "]",
"[Base].[SEGMENTO_DESCRIP]",
"[Base].[SEGMENTO_DESCRIP].&amp;[" &amp; $C$6 &amp; "]",
"[Base].[SITUACION]",
"[Base].[SITUACION].&amp;[" &amp; $C14 &amp; "]"
),0)/1000</f>
        <v>5388135.3398748999</v>
      </c>
      <c r="AF14" s="8">
        <f>IFERROR(
GETPIVOTDATA(
"[Base].[Importe]",
TDinamica_R!$A$5,
"[Calendario].[AñoMes]",
"[Calendario].[AñoMes].&amp;[" &amp; TEXT(AF$6,"yyyymm") &amp; "]",
"[Base].[Metrica]",
"[Base].[Metrica].&amp;[" &amp; $A14 &amp; "]",
"[Base].[SEGMENTO_DESCRIP]",
"[Base].[SEGMENTO_DESCRIP].&amp;[" &amp; $C$6 &amp; "]",
"[Base].[SITUACION]",
"[Base].[SITUACION].&amp;[" &amp; $C14 &amp; "]"
),0)/1000</f>
        <v>5408719.8557293992</v>
      </c>
      <c r="AG14" s="8">
        <f>IFERROR(
GETPIVOTDATA(
"[Base].[Importe]",
TDinamica_R!$A$5,
"[Calendario].[AñoMes]",
"[Calendario].[AñoMes].&amp;[" &amp; TEXT(AG$6,"yyyymm") &amp; "]",
"[Base].[Metrica]",
"[Base].[Metrica].&amp;[" &amp; $A14 &amp; "]",
"[Base].[SEGMENTO_DESCRIP]",
"[Base].[SEGMENTO_DESCRIP].&amp;[" &amp; $C$6 &amp; "]",
"[Base].[SITUACION]",
"[Base].[SITUACION].&amp;[" &amp; $C14 &amp; "]"
),0)/1000</f>
        <v>5415772.0094788997</v>
      </c>
      <c r="AH14" s="8">
        <f>IFERROR(
GETPIVOTDATA(
"[Base].[Importe]",
TDinamica_R!$A$5,
"[Calendario].[AñoMes]",
"[Calendario].[AñoMes].&amp;[" &amp; TEXT(AH$6,"yyyymm") &amp; "]",
"[Base].[Metrica]",
"[Base].[Metrica].&amp;[" &amp; $A14 &amp; "]",
"[Base].[SEGMENTO_DESCRIP]",
"[Base].[SEGMENTO_DESCRIP].&amp;[" &amp; $C$6 &amp; "]",
"[Base].[SITUACION]",
"[Base].[SITUACION].&amp;[" &amp; $C14 &amp; "]"
),0)/1000</f>
        <v>5435155.5437309602</v>
      </c>
      <c r="AI14" s="8">
        <f>IFERROR(
GETPIVOTDATA(
"[Base].[Importe]",
TDinamica_R!$A$5,
"[Calendario].[AñoMes]",
"[Calendario].[AñoMes].&amp;[" &amp; TEXT(AI$6,"yyyymm") &amp; "]",
"[Base].[Metrica]",
"[Base].[Metrica].&amp;[" &amp; $A14 &amp; "]",
"[Base].[SEGMENTO_DESCRIP]",
"[Base].[SEGMENTO_DESCRIP].&amp;[" &amp; $C$6 &amp; "]",
"[Base].[SITUACION]",
"[Base].[SITUACION].&amp;[" &amp; $C14 &amp; "]"
),0)/1000</f>
        <v>5456009.2964369999</v>
      </c>
      <c r="AJ14" s="8">
        <f>IFERROR(
GETPIVOTDATA(
"[Base].[Importe]",
TDinamica_R!$A$5,
"[Calendario].[AñoMes]",
"[Calendario].[AñoMes].&amp;[" &amp; TEXT(AJ$6,"yyyymm") &amp; "]",
"[Base].[Metrica]",
"[Base].[Metrica].&amp;[" &amp; $A14 &amp; "]",
"[Base].[SEGMENTO_DESCRIP]",
"[Base].[SEGMENTO_DESCRIP].&amp;[" &amp; $C$6 &amp; "]",
"[Base].[SITUACION]",
"[Base].[SITUACION].&amp;[" &amp; $C14 &amp; "]"
),0)/1000</f>
        <v>5470678.0702728992</v>
      </c>
      <c r="AK14" s="8">
        <f>IFERROR(
GETPIVOTDATA(
"[Base].[Importe]",
TDinamica_R!$A$5,
"[Calendario].[AñoMes]",
"[Calendario].[AñoMes].&amp;[" &amp; TEXT(AK$6,"yyyymm") &amp; "]",
"[Base].[Metrica]",
"[Base].[Metrica].&amp;[" &amp; $A14 &amp; "]",
"[Base].[SEGMENTO_DESCRIP]",
"[Base].[SEGMENTO_DESCRIP].&amp;[" &amp; $C$6 &amp; "]",
"[Base].[SITUACION]",
"[Base].[SITUACION].&amp;[" &amp; $C14 &amp; "]"
),0)/1000</f>
        <v>5449896.4954805002</v>
      </c>
      <c r="AL14" s="8">
        <f>IFERROR(
GETPIVOTDATA(
"[Base].[Importe]",
TDinamica_R!$A$5,
"[Calendario].[AñoMes]",
"[Calendario].[AñoMes].&amp;[" &amp; TEXT(AL$6,"yyyymm") &amp; "]",
"[Base].[Metrica]",
"[Base].[Metrica].&amp;[" &amp; $A14 &amp; "]",
"[Base].[SEGMENTO_DESCRIP]",
"[Base].[SEGMENTO_DESCRIP].&amp;[" &amp; $C$6 &amp; "]",
"[Base].[SITUACION]",
"[Base].[SITUACION].&amp;[" &amp; $C14 &amp; "]"
),0)/1000</f>
        <v>5404433.4258936998</v>
      </c>
      <c r="AM14" s="8">
        <f>IFERROR(
GETPIVOTDATA(
"[Base].[Importe]",
TDinamica_R!$A$5,
"[Calendario].[AñoMes]",
"[Calendario].[AñoMes].&amp;[" &amp; TEXT(AM$6,"yyyymm") &amp; "]",
"[Base].[Metrica]",
"[Base].[Metrica].&amp;[" &amp; $A14 &amp; "]",
"[Base].[SEGMENTO_DESCRIP]",
"[Base].[SEGMENTO_DESCRIP].&amp;[" &amp; $C$6 &amp; "]",
"[Base].[SITUACION]",
"[Base].[SITUACION].&amp;[" &amp; $C14 &amp; "]"
),0)/1000</f>
        <v>5354228.3213322004</v>
      </c>
      <c r="AN14" s="8">
        <f>IFERROR(
GETPIVOTDATA(
"[Base].[Importe]",
TDinamica_R!$A$5,
"[Calendario].[AñoMes]",
"[Calendario].[AñoMes].&amp;[" &amp; TEXT(AN$6,"yyyymm") &amp; "]",
"[Base].[Metrica]",
"[Base].[Metrica].&amp;[" &amp; $A14 &amp; "]",
"[Base].[SEGMENTO_DESCRIP]",
"[Base].[SEGMENTO_DESCRIP].&amp;[" &amp; $C$6 &amp; "]",
"[Base].[SITUACION]",
"[Base].[SITUACION].&amp;[" &amp; $C14 &amp; "]"
),0)/1000</f>
        <v>5303132.4400000004</v>
      </c>
      <c r="AO14" s="8">
        <f>IFERROR(
GETPIVOTDATA(
"[Base].[Importe]",
TDinamica_R!$A$5,
"[Calendario].[AñoMes]",
"[Calendario].[AñoMes].&amp;[" &amp; TEXT(AO$6,"yyyymm") &amp; "]",
"[Base].[Metrica]",
"[Base].[Metrica].&amp;[" &amp; $A14 &amp; "]",
"[Base].[SEGMENTO_DESCRIP]",
"[Base].[SEGMENTO_DESCRIP].&amp;[" &amp; $C$6 &amp; "]",
"[Base].[SITUACION]",
"[Base].[SITUACION].&amp;[" &amp; $C14 &amp; "]"
),0)/1000</f>
        <v>5274058.92</v>
      </c>
      <c r="AP14" s="8">
        <f>IFERROR(
GETPIVOTDATA(
"[Base].[Importe]",
TDinamica_R!$A$5,
"[Calendario].[AñoMes]",
"[Calendario].[AñoMes].&amp;[" &amp; TEXT(AP$6,"yyyymm") &amp; "]",
"[Base].[Metrica]",
"[Base].[Metrica].&amp;[" &amp; $A14 &amp; "]",
"[Base].[SEGMENTO_DESCRIP]",
"[Base].[SEGMENTO_DESCRIP].&amp;[" &amp; $C$6 &amp; "]",
"[Base].[SITUACION]",
"[Base].[SITUACION].&amp;[" &amp; $C14 &amp; "]"
),0)/1000</f>
        <v>5267424.8499999996</v>
      </c>
      <c r="AQ14" s="8">
        <f>IFERROR(
GETPIVOTDATA(
"[Base].[Importe]",
TDinamica_R!$A$5,
"[Calendario].[AñoMes]",
"[Calendario].[AñoMes].&amp;[" &amp; TEXT(AQ$6,"yyyymm") &amp; "]",
"[Base].[Metrica]",
"[Base].[Metrica].&amp;[" &amp; $A14 &amp; "]",
"[Base].[SEGMENTO_DESCRIP]",
"[Base].[SEGMENTO_DESCRIP].&amp;[" &amp; $C$6 &amp; "]",
"[Base].[SITUACION]",
"[Base].[SITUACION].&amp;[" &amp; $C14 &amp; "]"
),0)/1000</f>
        <v>5283261.0377608584</v>
      </c>
      <c r="AR14" s="8">
        <f>IFERROR(
GETPIVOTDATA(
"[Base].[Importe]",
TDinamica_R!$A$5,
"[Calendario].[AñoMes]",
"[Calendario].[AñoMes].&amp;[" &amp; TEXT(AR$6,"yyyymm") &amp; "]",
"[Base].[Metrica]",
"[Base].[Metrica].&amp;[" &amp; $A14 &amp; "]",
"[Base].[SEGMENTO_DESCRIP]",
"[Base].[SEGMENTO_DESCRIP].&amp;[" &amp; $C$6 &amp; "]",
"[Base].[SITUACION]",
"[Base].[SITUACION].&amp;[" &amp; $C14 &amp; "]"
),0)/1000</f>
        <v>5301595.4457906811</v>
      </c>
      <c r="AS14" s="8">
        <f>IFERROR(
GETPIVOTDATA(
"[Base].[Importe]",
TDinamica_R!$A$5,
"[Calendario].[AñoMes]",
"[Calendario].[AñoMes].&amp;[" &amp; TEXT(AS$6,"yyyymm") &amp; "]",
"[Base].[Metrica]",
"[Base].[Metrica].&amp;[" &amp; $A14 &amp; "]",
"[Base].[SEGMENTO_DESCRIP]",
"[Base].[SEGMENTO_DESCRIP].&amp;[" &amp; $C$6 &amp; "]",
"[Base].[SITUACION]",
"[Base].[SITUACION].&amp;[" &amp; $C14 &amp; "]"
),0)/1000</f>
        <v>5320272.4754834482</v>
      </c>
      <c r="AT14" s="8">
        <f>IFERROR(
GETPIVOTDATA(
"[Base].[Importe]",
TDinamica_R!$A$5,
"[Calendario].[AñoMes]",
"[Calendario].[AñoMes].&amp;[" &amp; TEXT(AT$6,"yyyymm")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U14" s="8">
        <f>IFERROR(
GETPIVOTDATA(
"[Base].[Importe]",
TDinamica_R!$A$5,
"[Calendario].[AñoMes]",
"[Calendario].[AñoMes].&amp;[" &amp; TEXT(AU$6,"yyyymm")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V14" s="8">
        <f>IFERROR(
GETPIVOTDATA(
"[Base].[Importe]",
TDinamica_R!$A$5,
"[Calendario].[AñoMes]",
"[Calendario].[AñoMes].&amp;[" &amp; TEXT(AV$6,"yyyymm")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W14" s="8">
        <f>IFERROR(
GETPIVOTDATA(
"[Base].[Importe]",
TDinamica_R!$A$5,
"[Calendario].[AñoMes]",
"[Calendario].[AñoMes].&amp;[" &amp; TEXT(AW$6,"yyyymm")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X14" s="8">
        <f>IFERROR(
GETPIVOTDATA(
"[Base].[Importe]",
TDinamica_R!$A$5,
"[Calendario].[AñoMes]",
"[Calendario].[AñoMes].&amp;[" &amp; TEXT(AX$6,"yyyymm")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Y14" s="8">
        <f>IFERROR(
GETPIVOTDATA(
"[Base].[Importe]",
TDinamica_R!$A$5,
"[Calendario].[AñoMes]",
"[Calendario].[AñoMes].&amp;[" &amp; TEXT(AY$6,"yyyymm")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Z14" s="8">
        <f>IFERROR(
GETPIVOTDATA(
"[BASE_CONVE_PPTO].[Importe]",
TDinamica_P!$A$5,
"[BASE_CONVE_PPTO].[Periodo]",
"[BASE_CONVE_PPTO].[Periodo].&amp;[" &amp; TEXT(AZ$6,"yyyymm")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5541424.1077073682</v>
      </c>
      <c r="BA14" s="8">
        <f>IFERROR(
GETPIVOTDATA(
"[BASE_CONVE_PPTO].[Importe]",
TDinamica_P!$A$5,
"[BASE_CONVE_PPTO].[Periodo]",
"[BASE_CONVE_PPTO].[Periodo].&amp;[" &amp; TEXT(BA$6,"yyyymm")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5560878.5290022204</v>
      </c>
      <c r="BB14" s="8">
        <f>IFERROR(
GETPIVOTDATA(
"[BASE_CONVE_PPTO].[Importe]",
TDinamica_P!$A$5,
"[BASE_CONVE_PPTO].[Periodo]",
"[BASE_CONVE_PPTO].[Periodo].&amp;[" &amp; TEXT(BB$6,"yyyymm")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5595085.1425584517</v>
      </c>
      <c r="BC14" s="8">
        <f>IFERROR(
GETPIVOTDATA(
"[BASE_CONVE_PPTO].[Importe]",
TDinamica_P!$A$5,
"[BASE_CONVE_PPTO].[Periodo]",
"[BASE_CONVE_PPTO].[Periodo].&amp;[" &amp; TEXT(BC$6,"yyyymm")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5619147.2122087646</v>
      </c>
      <c r="BD14" s="8">
        <f>IFERROR(
GETPIVOTDATA(
"[BASE_CONVE_PPTO].[Importe]",
TDinamica_P!$A$5,
"[BASE_CONVE_PPTO].[Periodo]",
"[BASE_CONVE_PPTO].[Periodo].&amp;[" &amp; TEXT(BD$6,"yyyymm")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5640851.3027574066</v>
      </c>
      <c r="BE14" s="8">
        <f>IFERROR(
GETPIVOTDATA(
"[BASE_CONVE_PPTO].[Importe]",
TDinamica_P!$A$5,
"[BASE_CONVE_PPTO].[Periodo]",
"[BASE_CONVE_PPTO].[Periodo].&amp;[" &amp; TEXT(BE$6,"yyyymm")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5668417.2167659393</v>
      </c>
      <c r="BF14" s="8">
        <f>IFERROR(
GETPIVOTDATA(
"[BASE_CONVE_PPTO].[Importe]",
TDinamica_P!$A$5,
"[BASE_CONVE_PPTO].[Periodo]",
"[BASE_CONVE_PPTO].[Periodo].&amp;[" &amp; TEXT(BF$6,"yyyymm")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5697861.0296710422</v>
      </c>
      <c r="BG14" s="8">
        <f>IFERROR(
GETPIVOTDATA(
"[BASE_CONVE_PPTO].[Importe]",
TDinamica_P!$A$5,
"[BASE_CONVE_PPTO].[Periodo]",
"[BASE_CONVE_PPTO].[Periodo].&amp;[" &amp; TEXT(BG$6,"yyyymm")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5726027.3605743144</v>
      </c>
      <c r="BH14" s="8">
        <f>IFERROR(
GETPIVOTDATA(
"[BASE_CONVE_PPTO].[Importe]",
TDinamica_P!$A$5,
"[BASE_CONVE_PPTO].[Periodo]",
"[BASE_CONVE_PPTO].[Periodo].&amp;[" &amp; TEXT(BH$6,"yyyymm")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5763406.8699772712</v>
      </c>
      <c r="BI14" s="8">
        <f>IFERROR(
GETPIVOTDATA(
"[BASE_CONVE_PPTO].[Importe]",
TDinamica_P!$A$5,
"[BASE_CONVE_PPTO].[Periodo]",
"[BASE_CONVE_PPTO].[Periodo].&amp;[" &amp; TEXT(BI$6,"yyyymm")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5792235.8316043997</v>
      </c>
      <c r="BJ14" s="8">
        <f>IFERROR(
GETPIVOTDATA(
"[BASE_CONVE_PPTO].[Importe]",
TDinamica_P!$A$5,
"[BASE_CONVE_PPTO].[Periodo]",
"[BASE_CONVE_PPTO].[Periodo].&amp;[" &amp; TEXT(BJ$6,"yyyymm")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5819289.8236490535</v>
      </c>
      <c r="BK14" s="8">
        <f>IFERROR(
GETPIVOTDATA(
"[BASE_CONVE_PPTO].[Importe]",
TDinamica_P!$A$5,
"[BASE_CONVE_PPTO].[Periodo]",
"[BASE_CONVE_PPTO].[Periodo].&amp;[" &amp; TEXT(BK$6,"yyyymm")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5839622.4446252827</v>
      </c>
      <c r="BO14" s="24">
        <f t="shared" ref="BO14:BT16" si="10">IFERROR(AVERAGEIFS($D14:$BM14,$D$6:$BM$6,"&gt;="&amp;BO$2,$D$6:$BM$6,"&lt;="&amp;BO$6,$D$5:$BM$5,BO$5,$D14:$BM14,"&lt;&gt;0"),0)</f>
        <v>5285894.5387103083</v>
      </c>
      <c r="BP14" s="24">
        <f t="shared" si="10"/>
        <v>5591477.2588468418</v>
      </c>
      <c r="BQ14" s="24">
        <f t="shared" si="10"/>
        <v>5281969.3119402146</v>
      </c>
      <c r="BR14" s="24">
        <f t="shared" si="10"/>
        <v>5410486.9018033799</v>
      </c>
      <c r="BS14" s="24">
        <f t="shared" si="10"/>
        <v>5231795.0287280921</v>
      </c>
      <c r="BT14" s="24">
        <f t="shared" si="10"/>
        <v>4555929.3939012866</v>
      </c>
      <c r="BW14" s="24">
        <f t="shared" ref="BW14:CB16" si="11">SUMIFS($D14:$BM14,$D$6:$BM$6,"&gt;="&amp;BO$2,$D$6:$BM$6,"&lt;="&amp;BO$6,$D$5:$BM$5,BO$5)</f>
        <v>26429472.69355154</v>
      </c>
      <c r="BX14" s="24">
        <f t="shared" si="11"/>
        <v>27957386.294234209</v>
      </c>
      <c r="BY14" s="24">
        <f t="shared" si="11"/>
        <v>21127877.247760858</v>
      </c>
      <c r="BZ14" s="24">
        <f t="shared" si="11"/>
        <v>27052434.509016901</v>
      </c>
      <c r="CA14" s="24">
        <f t="shared" si="11"/>
        <v>26158975.143640459</v>
      </c>
      <c r="CB14" s="24">
        <f t="shared" si="11"/>
        <v>22779646.969506431</v>
      </c>
    </row>
    <row r="15" spans="1:81" outlineLevel="1" x14ac:dyDescent="0.25">
      <c r="A15" s="11" t="s">
        <v>52</v>
      </c>
      <c r="C15" s="2" t="s">
        <v>1</v>
      </c>
      <c r="D15" s="8">
        <f>IFERROR(
GETPIVOTDATA(
"[Base].[Importe]",
TDinamica_R!$A$5,
"[Calendario].[AñoMes]",
"[Calendario].[AñoMes].&amp;[" &amp; TEXT(D$6,"yyyymm") &amp; "]",
"[Base].[Metrica]",
"[Base].[Metrica].&amp;[" &amp; $A15 &amp; "]",
"[Base].[SEGMENTO_DESCRIP]",
"[Base].[SEGMENTO_DESCRIP].&amp;[" &amp; $C$6 &amp; "]",
"[Base].[SITUACION]",
"[Base].[SITUACION].&amp;[" &amp; $C15 &amp; "]"
),0)/1000</f>
        <v>27427.701430000001</v>
      </c>
      <c r="E15" s="8">
        <f>IFERROR(
GETPIVOTDATA(
"[Base].[Importe]",
TDinamica_R!$A$5,
"[Calendario].[AñoMes]",
"[Calendario].[AñoMes].&amp;[" &amp; TEXT(E$6,"yyyymm") &amp; "]",
"[Base].[Metrica]",
"[Base].[Metrica].&amp;[" &amp; $A15 &amp; "]",
"[Base].[SEGMENTO_DESCRIP]",
"[Base].[SEGMENTO_DESCRIP].&amp;[" &amp; $C$6 &amp; "]",
"[Base].[SITUACION]",
"[Base].[SITUACION].&amp;[" &amp; $C15 &amp; "]"
),0)/1000</f>
        <v>27389.457039999998</v>
      </c>
      <c r="F15" s="8">
        <f>IFERROR(
GETPIVOTDATA(
"[Base].[Importe]",
TDinamica_R!$A$5,
"[Calendario].[AñoMes]",
"[Calendario].[AñoMes].&amp;[" &amp; TEXT(F$6,"yyyymm") &amp; "]",
"[Base].[Metrica]",
"[Base].[Metrica].&amp;[" &amp; $A15 &amp; "]",
"[Base].[SEGMENTO_DESCRIP]",
"[Base].[SEGMENTO_DESCRIP].&amp;[" &amp; $C$6 &amp; "]",
"[Base].[SITUACION]",
"[Base].[SITUACION].&amp;[" &amp; $C15 &amp; "]"
),0)/1000</f>
        <v>27699.04306</v>
      </c>
      <c r="G15" s="8">
        <f>IFERROR(
GETPIVOTDATA(
"[Base].[Importe]",
TDinamica_R!$A$5,
"[Calendario].[AñoMes]",
"[Calendario].[AñoMes].&amp;[" &amp; TEXT(G$6,"yyyymm") &amp; "]",
"[Base].[Metrica]",
"[Base].[Metrica].&amp;[" &amp; $A15 &amp; "]",
"[Base].[SEGMENTO_DESCRIP]",
"[Base].[SEGMENTO_DESCRIP].&amp;[" &amp; $C$6 &amp; "]",
"[Base].[SITUACION]",
"[Base].[SITUACION].&amp;[" &amp; $C15 &amp; "]"
),0)/1000</f>
        <v>27766.90854</v>
      </c>
      <c r="H15" s="8">
        <f>IFERROR(
GETPIVOTDATA(
"[Base].[Importe]",
TDinamica_R!$A$5,
"[Calendario].[AñoMes]",
"[Calendario].[AñoMes].&amp;[" &amp; TEXT(H$6,"yyyymm") &amp; "]",
"[Base].[Metrica]",
"[Base].[Metrica].&amp;[" &amp; $A15 &amp; "]",
"[Base].[SEGMENTO_DESCRIP]",
"[Base].[SEGMENTO_DESCRIP].&amp;[" &amp; $C$6 &amp; "]",
"[Base].[SITUACION]",
"[Base].[SITUACION].&amp;[" &amp; $C15 &amp; "]"
),0)/1000</f>
        <v>27286.06479</v>
      </c>
      <c r="I15" s="8">
        <f>IFERROR(
GETPIVOTDATA(
"[Base].[Importe]",
TDinamica_R!$A$5,
"[Calendario].[AñoMes]",
"[Calendario].[AñoMes].&amp;[" &amp; TEXT(I$6,"yyyymm") &amp; "]",
"[Base].[Metrica]",
"[Base].[Metrica].&amp;[" &amp; $A15 &amp; "]",
"[Base].[SEGMENTO_DESCRIP]",
"[Base].[SEGMENTO_DESCRIP].&amp;[" &amp; $C$6 &amp; "]",
"[Base].[SITUACION]",
"[Base].[SITUACION].&amp;[" &amp; $C15 &amp; "]"
),0)/1000</f>
        <v>27844.363499999999</v>
      </c>
      <c r="J15" s="8">
        <f>IFERROR(
GETPIVOTDATA(
"[Base].[Importe]",
TDinamica_R!$A$5,
"[Calendario].[AñoMes]",
"[Calendario].[AñoMes].&amp;[" &amp; TEXT(J$6,"yyyymm") &amp; "]",
"[Base].[Metrica]",
"[Base].[Metrica].&amp;[" &amp; $A15 &amp; "]",
"[Base].[SEGMENTO_DESCRIP]",
"[Base].[SEGMENTO_DESCRIP].&amp;[" &amp; $C$6 &amp; "]",
"[Base].[SITUACION]",
"[Base].[SITUACION].&amp;[" &amp; $C15 &amp; "]"
),0)/1000</f>
        <v>27827.809940000003</v>
      </c>
      <c r="K15" s="8">
        <f>IFERROR(
GETPIVOTDATA(
"[Base].[Importe]",
TDinamica_R!$A$5,
"[Calendario].[AñoMes]",
"[Calendario].[AñoMes].&amp;[" &amp; TEXT(K$6,"yyyymm") &amp; "]",
"[Base].[Metrica]",
"[Base].[Metrica].&amp;[" &amp; $A15 &amp; "]",
"[Base].[SEGMENTO_DESCRIP]",
"[Base].[SEGMENTO_DESCRIP].&amp;[" &amp; $C$6 &amp; "]",
"[Base].[SITUACION]",
"[Base].[SITUACION].&amp;[" &amp; $C15 &amp; "]"
),0)/1000</f>
        <v>27574.344530000002</v>
      </c>
      <c r="L15" s="8">
        <f>IFERROR(
GETPIVOTDATA(
"[Base].[Importe]",
TDinamica_R!$A$5,
"[Calendario].[AñoMes]",
"[Calendario].[AñoMes].&amp;[" &amp; TEXT(L$6,"yyyymm") &amp; "]",
"[Base].[Metrica]",
"[Base].[Metrica].&amp;[" &amp; $A15 &amp; "]",
"[Base].[SEGMENTO_DESCRIP]",
"[Base].[SEGMENTO_DESCRIP].&amp;[" &amp; $C$6 &amp; "]",
"[Base].[SITUACION]",
"[Base].[SITUACION].&amp;[" &amp; $C15 &amp; "]"
),0)/1000</f>
        <v>26741.561510000003</v>
      </c>
      <c r="M15" s="8">
        <f>IFERROR(
GETPIVOTDATA(
"[Base].[Importe]",
TDinamica_R!$A$5,
"[Calendario].[AñoMes]",
"[Calendario].[AñoMes].&amp;[" &amp; TEXT(M$6,"yyyymm") &amp; "]",
"[Base].[Metrica]",
"[Base].[Metrica].&amp;[" &amp; $A15 &amp; "]",
"[Base].[SEGMENTO_DESCRIP]",
"[Base].[SEGMENTO_DESCRIP].&amp;[" &amp; $C$6 &amp; "]",
"[Base].[SITUACION]",
"[Base].[SITUACION].&amp;[" &amp; $C15 &amp; "]"
),0)/1000</f>
        <v>25997.847429999998</v>
      </c>
      <c r="N15" s="8">
        <f>IFERROR(
GETPIVOTDATA(
"[Base].[Importe]",
TDinamica_R!$A$5,
"[Calendario].[AñoMes]",
"[Calendario].[AñoMes].&amp;[" &amp; TEXT(N$6,"yyyymm") &amp; "]",
"[Base].[Metrica]",
"[Base].[Metrica].&amp;[" &amp; $A15 &amp; "]",
"[Base].[SEGMENTO_DESCRIP]",
"[Base].[SEGMENTO_DESCRIP].&amp;[" &amp; $C$6 &amp; "]",
"[Base].[SITUACION]",
"[Base].[SITUACION].&amp;[" &amp; $C15 &amp; "]"
),0)/1000</f>
        <v>25419.246079999997</v>
      </c>
      <c r="O15" s="8">
        <f>IFERROR(
GETPIVOTDATA(
"[Base].[Importe]",
TDinamica_R!$A$5,
"[Calendario].[AñoMes]",
"[Calendario].[AñoMes].&amp;[" &amp; TEXT(O$6,"yyyymm") &amp; "]",
"[Base].[Metrica]",
"[Base].[Metrica].&amp;[" &amp; $A15 &amp; "]",
"[Base].[SEGMENTO_DESCRIP]",
"[Base].[SEGMENTO_DESCRIP].&amp;[" &amp; $C$6 &amp; "]",
"[Base].[SITUACION]",
"[Base].[SITUACION].&amp;[" &amp; $C15 &amp; "]"
),0)/1000</f>
        <v>25756.75693</v>
      </c>
      <c r="P15" s="8">
        <f>IFERROR(
GETPIVOTDATA(
"[Base].[Importe]",
TDinamica_R!$A$5,
"[Calendario].[AñoMes]",
"[Calendario].[AñoMes].&amp;[" &amp; TEXT(P$6,"yyyymm") &amp; "]",
"[Base].[Metrica]",
"[Base].[Metrica].&amp;[" &amp; $A15 &amp; "]",
"[Base].[SEGMENTO_DESCRIP]",
"[Base].[SEGMENTO_DESCRIP].&amp;[" &amp; $C$6 &amp; "]",
"[Base].[SITUACION]",
"[Base].[SITUACION].&amp;[" &amp; $C15 &amp; "]"
),0)/1000</f>
        <v>25367.945920000002</v>
      </c>
      <c r="Q15" s="8">
        <f>IFERROR(
GETPIVOTDATA(
"[Base].[Importe]",
TDinamica_R!$A$5,
"[Calendario].[AñoMes]",
"[Calendario].[AñoMes].&amp;[" &amp; TEXT(Q$6,"yyyymm") &amp; "]",
"[Base].[Metrica]",
"[Base].[Metrica].&amp;[" &amp; $A15 &amp; "]",
"[Base].[SEGMENTO_DESCRIP]",
"[Base].[SEGMENTO_DESCRIP].&amp;[" &amp; $C$6 &amp; "]",
"[Base].[SITUACION]",
"[Base].[SITUACION].&amp;[" &amp; $C15 &amp; "]"
),0)/1000</f>
        <v>24605.38279</v>
      </c>
      <c r="R15" s="8">
        <f>IFERROR(
GETPIVOTDATA(
"[Base].[Importe]",
TDinamica_R!$A$5,
"[Calendario].[AñoMes]",
"[Calendario].[AñoMes].&amp;[" &amp; TEXT(R$6,"yyyymm") &amp; "]",
"[Base].[Metrica]",
"[Base].[Metrica].&amp;[" &amp; $A15 &amp; "]",
"[Base].[SEGMENTO_DESCRIP]",
"[Base].[SEGMENTO_DESCRIP].&amp;[" &amp; $C$6 &amp; "]",
"[Base].[SITUACION]",
"[Base].[SITUACION].&amp;[" &amp; $C15 &amp; "]"
),0)/1000</f>
        <v>23380.516159999999</v>
      </c>
      <c r="S15" s="8">
        <f>IFERROR(
GETPIVOTDATA(
"[Base].[Importe]",
TDinamica_R!$A$5,
"[Calendario].[AñoMes]",
"[Calendario].[AñoMes].&amp;[" &amp; TEXT(S$6,"yyyymm") &amp; "]",
"[Base].[Metrica]",
"[Base].[Metrica].&amp;[" &amp; $A15 &amp; "]",
"[Base].[SEGMENTO_DESCRIP]",
"[Base].[SEGMENTO_DESCRIP].&amp;[" &amp; $C$6 &amp; "]",
"[Base].[SITUACION]",
"[Base].[SITUACION].&amp;[" &amp; $C15 &amp; "]"
),0)/1000</f>
        <v>22713.934420000001</v>
      </c>
      <c r="T15" s="8">
        <f>IFERROR(
GETPIVOTDATA(
"[Base].[Importe]",
TDinamica_R!$A$5,
"[Calendario].[AñoMes]",
"[Calendario].[AñoMes].&amp;[" &amp; TEXT(T$6,"yyyymm") &amp; "]",
"[Base].[Metrica]",
"[Base].[Metrica].&amp;[" &amp; $A15 &amp; "]",
"[Base].[SEGMENTO_DESCRIP]",
"[Base].[SEGMENTO_DESCRIP].&amp;[" &amp; $C$6 &amp; "]",
"[Base].[SITUACION]",
"[Base].[SITUACION].&amp;[" &amp; $C15 &amp; "]"
),0)/1000</f>
        <v>21882.491000000002</v>
      </c>
      <c r="U15" s="8">
        <f>IFERROR(
GETPIVOTDATA(
"[Base].[Importe]",
TDinamica_R!$A$5,
"[Calendario].[AñoMes]",
"[Calendario].[AñoMes].&amp;[" &amp; TEXT(U$6,"yyyymm") &amp; "]",
"[Base].[Metrica]",
"[Base].[Metrica].&amp;[" &amp; $A15 &amp; "]",
"[Base].[SEGMENTO_DESCRIP]",
"[Base].[SEGMENTO_DESCRIP].&amp;[" &amp; $C$6 &amp; "]",
"[Base].[SITUACION]",
"[Base].[SITUACION].&amp;[" &amp; $C15 &amp; "]"
),0)/1000</f>
        <v>21169.04189</v>
      </c>
      <c r="V15" s="8">
        <f>IFERROR(
GETPIVOTDATA(
"[Base].[Importe]",
TDinamica_R!$A$5,
"[Calendario].[AñoMes]",
"[Calendario].[AñoMes].&amp;[" &amp; TEXT(V$6,"yyyymm") &amp; "]",
"[Base].[Metrica]",
"[Base].[Metrica].&amp;[" &amp; $A15 &amp; "]",
"[Base].[SEGMENTO_DESCRIP]",
"[Base].[SEGMENTO_DESCRIP].&amp;[" &amp; $C$6 &amp; "]",
"[Base].[SITUACION]",
"[Base].[SITUACION].&amp;[" &amp; $C15 &amp; "]"
),0)/1000</f>
        <v>19979.991320000001</v>
      </c>
      <c r="W15" s="8">
        <f>IFERROR(
GETPIVOTDATA(
"[Base].[Importe]",
TDinamica_R!$A$5,
"[Calendario].[AñoMes]",
"[Calendario].[AñoMes].&amp;[" &amp; TEXT(W$6,"yyyymm") &amp; "]",
"[Base].[Metrica]",
"[Base].[Metrica].&amp;[" &amp; $A15 &amp; "]",
"[Base].[SEGMENTO_DESCRIP]",
"[Base].[SEGMENTO_DESCRIP].&amp;[" &amp; $C$6 &amp; "]",
"[Base].[SITUACION]",
"[Base].[SITUACION].&amp;[" &amp; $C15 &amp; "]"
),0)/1000</f>
        <v>19320.006170000001</v>
      </c>
      <c r="X15" s="8">
        <f>IFERROR(
GETPIVOTDATA(
"[Base].[Importe]",
TDinamica_R!$A$5,
"[Calendario].[AñoMes]",
"[Calendario].[AñoMes].&amp;[" &amp; TEXT(X$6,"yyyymm") &amp; "]",
"[Base].[Metrica]",
"[Base].[Metrica].&amp;[" &amp; $A15 &amp; "]",
"[Base].[SEGMENTO_DESCRIP]",
"[Base].[SEGMENTO_DESCRIP].&amp;[" &amp; $C$6 &amp; "]",
"[Base].[SITUACION]",
"[Base].[SITUACION].&amp;[" &amp; $C15 &amp; "]"
),0)/1000</f>
        <v>18792.096439999998</v>
      </c>
      <c r="Y15" s="8">
        <f>IFERROR(
GETPIVOTDATA(
"[Base].[Importe]",
TDinamica_R!$A$5,
"[Calendario].[AñoMes]",
"[Calendario].[AñoMes].&amp;[" &amp; TEXT(Y$6,"yyyymm") &amp; "]",
"[Base].[Metrica]",
"[Base].[Metrica].&amp;[" &amp; $A15 &amp; "]",
"[Base].[SEGMENTO_DESCRIP]",
"[Base].[SEGMENTO_DESCRIP].&amp;[" &amp; $C$6 &amp; "]",
"[Base].[SITUACION]",
"[Base].[SITUACION].&amp;[" &amp; $C15 &amp; "]"
),0)/1000</f>
        <v>18261.299320000002</v>
      </c>
      <c r="Z15" s="8">
        <f>IFERROR(
GETPIVOTDATA(
"[Base].[Importe]",
TDinamica_R!$A$5,
"[Calendario].[AñoMes]",
"[Calendario].[AñoMes].&amp;[" &amp; TEXT(Z$6,"yyyymm") &amp; "]",
"[Base].[Metrica]",
"[Base].[Metrica].&amp;[" &amp; $A15 &amp; "]",
"[Base].[SEGMENTO_DESCRIP]",
"[Base].[SEGMENTO_DESCRIP].&amp;[" &amp; $C$6 &amp; "]",
"[Base].[SITUACION]",
"[Base].[SITUACION].&amp;[" &amp; $C15 &amp; "]"
),0)/1000</f>
        <v>19141.140709999996</v>
      </c>
      <c r="AA15" s="8">
        <f>IFERROR(
GETPIVOTDATA(
"[Base].[Importe]",
TDinamica_R!$A$5,
"[Calendario].[AñoMes]",
"[Calendario].[AñoMes].&amp;[" &amp; TEXT(AA$6,"yyyymm") &amp; "]",
"[Base].[Metrica]",
"[Base].[Metrica].&amp;[" &amp; $A15 &amp; "]",
"[Base].[SEGMENTO_DESCRIP]",
"[Base].[SEGMENTO_DESCRIP].&amp;[" &amp; $C$6 &amp; "]",
"[Base].[SITUACION]",
"[Base].[SITUACION].&amp;[" &amp; $C15 &amp; "]"
),0)/1000</f>
        <v>19897.105669999997</v>
      </c>
      <c r="AB15" s="8">
        <f>IFERROR(
GETPIVOTDATA(
"[Base].[Importe]",
TDinamica_R!$A$5,
"[Calendario].[AñoMes]",
"[Calendario].[AñoMes].&amp;[" &amp; TEXT(AB$6,"yyyymm") &amp; "]",
"[Base].[Metrica]",
"[Base].[Metrica].&amp;[" &amp; $A15 &amp; "]",
"[Base].[SEGMENTO_DESCRIP]",
"[Base].[SEGMENTO_DESCRIP].&amp;[" &amp; $C$6 &amp; "]",
"[Base].[SITUACION]",
"[Base].[SITUACION].&amp;[" &amp; $C15 &amp; "]"
),0)/1000</f>
        <v>20328.904350000001</v>
      </c>
      <c r="AC15" s="8">
        <f>IFERROR(
GETPIVOTDATA(
"[Base].[Importe]",
TDinamica_R!$A$5,
"[Calendario].[AñoMes]",
"[Calendario].[AñoMes].&amp;[" &amp; TEXT(AC$6,"yyyymm") &amp; "]",
"[Base].[Metrica]",
"[Base].[Metrica].&amp;[" &amp; $A15 &amp; "]",
"[Base].[SEGMENTO_DESCRIP]",
"[Base].[SEGMENTO_DESCRIP].&amp;[" &amp; $C$6 &amp; "]",
"[Base].[SITUACION]",
"[Base].[SITUACION].&amp;[" &amp; $C15 &amp; "]"
),0)/1000</f>
        <v>21260.193360000001</v>
      </c>
      <c r="AD15" s="8">
        <f>IFERROR(
GETPIVOTDATA(
"[Base].[Importe]",
TDinamica_R!$A$5,
"[Calendario].[AñoMes]",
"[Calendario].[AñoMes].&amp;[" &amp; TEXT(AD$6,"yyyymm") &amp; "]",
"[Base].[Metrica]",
"[Base].[Metrica].&amp;[" &amp; $A15 &amp; "]",
"[Base].[SEGMENTO_DESCRIP]",
"[Base].[SEGMENTO_DESCRIP].&amp;[" &amp; $C$6 &amp; "]",
"[Base].[SITUACION]",
"[Base].[SITUACION].&amp;[" &amp; $C15 &amp; "]"
),0)/1000</f>
        <v>22313.240679999999</v>
      </c>
      <c r="AE15" s="8">
        <f>IFERROR(
GETPIVOTDATA(
"[Base].[Importe]",
TDinamica_R!$A$5,
"[Calendario].[AñoMes]",
"[Calendario].[AñoMes].&amp;[" &amp; TEXT(AE$6,"yyyymm") &amp; "]",
"[Base].[Metrica]",
"[Base].[Metrica].&amp;[" &amp; $A15 &amp; "]",
"[Base].[SEGMENTO_DESCRIP]",
"[Base].[SEGMENTO_DESCRIP].&amp;[" &amp; $C$6 &amp; "]",
"[Base].[SITUACION]",
"[Base].[SITUACION].&amp;[" &amp; $C15 &amp; "]"
),0)/1000</f>
        <v>23632.3982</v>
      </c>
      <c r="AF15" s="8">
        <f>IFERROR(
GETPIVOTDATA(
"[Base].[Importe]",
TDinamica_R!$A$5,
"[Calendario].[AñoMes]",
"[Calendario].[AñoMes].&amp;[" &amp; TEXT(AF$6,"yyyymm") &amp; "]",
"[Base].[Metrica]",
"[Base].[Metrica].&amp;[" &amp; $A15 &amp; "]",
"[Base].[SEGMENTO_DESCRIP]",
"[Base].[SEGMENTO_DESCRIP].&amp;[" &amp; $C$6 &amp; "]",
"[Base].[SITUACION]",
"[Base].[SITUACION].&amp;[" &amp; $C15 &amp; "]"
),0)/1000</f>
        <v>25576.875210000002</v>
      </c>
      <c r="AG15" s="8">
        <f>IFERROR(
GETPIVOTDATA(
"[Base].[Importe]",
TDinamica_R!$A$5,
"[Calendario].[AñoMes]",
"[Calendario].[AñoMes].&amp;[" &amp; TEXT(AG$6,"yyyymm") &amp; "]",
"[Base].[Metrica]",
"[Base].[Metrica].&amp;[" &amp; $A15 &amp; "]",
"[Base].[SEGMENTO_DESCRIP]",
"[Base].[SEGMENTO_DESCRIP].&amp;[" &amp; $C$6 &amp; "]",
"[Base].[SITUACION]",
"[Base].[SITUACION].&amp;[" &amp; $C15 &amp; "]"
),0)/1000</f>
        <v>26522.130240000002</v>
      </c>
      <c r="AH15" s="8">
        <f>IFERROR(
GETPIVOTDATA(
"[Base].[Importe]",
TDinamica_R!$A$5,
"[Calendario].[AñoMes]",
"[Calendario].[AñoMes].&amp;[" &amp; TEXT(AH$6,"yyyymm") &amp; "]",
"[Base].[Metrica]",
"[Base].[Metrica].&amp;[" &amp; $A15 &amp; "]",
"[Base].[SEGMENTO_DESCRIP]",
"[Base].[SEGMENTO_DESCRIP].&amp;[" &amp; $C$6 &amp; "]",
"[Base].[SITUACION]",
"[Base].[SITUACION].&amp;[" &amp; $C15 &amp; "]"
),0)/1000</f>
        <v>27886.759740000001</v>
      </c>
      <c r="AI15" s="8">
        <f>IFERROR(
GETPIVOTDATA(
"[Base].[Importe]",
TDinamica_R!$A$5,
"[Calendario].[AñoMes]",
"[Calendario].[AñoMes].&amp;[" &amp; TEXT(AI$6,"yyyymm") &amp; "]",
"[Base].[Metrica]",
"[Base].[Metrica].&amp;[" &amp; $A15 &amp; "]",
"[Base].[SEGMENTO_DESCRIP]",
"[Base].[SEGMENTO_DESCRIP].&amp;[" &amp; $C$6 &amp; "]",
"[Base].[SITUACION]",
"[Base].[SITUACION].&amp;[" &amp; $C15 &amp; "]"
),0)/1000</f>
        <v>27757.007379999999</v>
      </c>
      <c r="AJ15" s="8">
        <f>IFERROR(
GETPIVOTDATA(
"[Base].[Importe]",
TDinamica_R!$A$5,
"[Calendario].[AñoMes]",
"[Calendario].[AñoMes].&amp;[" &amp; TEXT(AJ$6,"yyyymm") &amp; "]",
"[Base].[Metrica]",
"[Base].[Metrica].&amp;[" &amp; $A15 &amp; "]",
"[Base].[SEGMENTO_DESCRIP]",
"[Base].[SEGMENTO_DESCRIP].&amp;[" &amp; $C$6 &amp; "]",
"[Base].[SITUACION]",
"[Base].[SITUACION].&amp;[" &amp; $C15 &amp; "]"
),0)/1000</f>
        <v>27332.383839999999</v>
      </c>
      <c r="AK15" s="8">
        <f>IFERROR(
GETPIVOTDATA(
"[Base].[Importe]",
TDinamica_R!$A$5,
"[Calendario].[AñoMes]",
"[Calendario].[AñoMes].&amp;[" &amp; TEXT(AK$6,"yyyymm") &amp; "]",
"[Base].[Metrica]",
"[Base].[Metrica].&amp;[" &amp; $A15 &amp; "]",
"[Base].[SEGMENTO_DESCRIP]",
"[Base].[SEGMENTO_DESCRIP].&amp;[" &amp; $C$6 &amp; "]",
"[Base].[SITUACION]",
"[Base].[SITUACION].&amp;[" &amp; $C15 &amp; "]"
),0)/1000</f>
        <v>27309.515780000002</v>
      </c>
      <c r="AL15" s="8">
        <f>IFERROR(
GETPIVOTDATA(
"[Base].[Importe]",
TDinamica_R!$A$5,
"[Calendario].[AñoMes]",
"[Calendario].[AñoMes].&amp;[" &amp; TEXT(AL$6,"yyyymm") &amp; "]",
"[Base].[Metrica]",
"[Base].[Metrica].&amp;[" &amp; $A15 &amp; "]",
"[Base].[SEGMENTO_DESCRIP]",
"[Base].[SEGMENTO_DESCRIP].&amp;[" &amp; $C$6 &amp; "]",
"[Base].[SITUACION]",
"[Base].[SITUACION].&amp;[" &amp; $C15 &amp; "]"
),0)/1000</f>
        <v>27673.278610000001</v>
      </c>
      <c r="AM15" s="8">
        <f>IFERROR(
GETPIVOTDATA(
"[Base].[Importe]",
TDinamica_R!$A$5,
"[Calendario].[AñoMes]",
"[Calendario].[AñoMes].&amp;[" &amp; TEXT(AM$6,"yyyymm") &amp; "]",
"[Base].[Metrica]",
"[Base].[Metrica].&amp;[" &amp; $A15 &amp; "]",
"[Base].[SEGMENTO_DESCRIP]",
"[Base].[SEGMENTO_DESCRIP].&amp;[" &amp; $C$6 &amp; "]",
"[Base].[SITUACION]",
"[Base].[SITUACION].&amp;[" &amp; $C15 &amp; "]"
),0)/1000</f>
        <v>28192.704129999998</v>
      </c>
      <c r="AN15" s="8">
        <f>IFERROR(
GETPIVOTDATA(
"[Base].[Importe]",
TDinamica_R!$A$5,
"[Calendario].[AñoMes]",
"[Calendario].[AñoMes].&amp;[" &amp; TEXT(AN$6,"yyyymm") &amp; "]",
"[Base].[Metrica]",
"[Base].[Metrica].&amp;[" &amp; $A15 &amp; "]",
"[Base].[SEGMENTO_DESCRIP]",
"[Base].[SEGMENTO_DESCRIP].&amp;[" &amp; $C$6 &amp; "]",
"[Base].[SITUACION]",
"[Base].[SITUACION].&amp;[" &amp; $C15 &amp; "]"
),0)/1000</f>
        <v>28367.200000000001</v>
      </c>
      <c r="AO15" s="8">
        <f>IFERROR(
GETPIVOTDATA(
"[Base].[Importe]",
TDinamica_R!$A$5,
"[Calendario].[AñoMes]",
"[Calendario].[AñoMes].&amp;[" &amp; TEXT(AO$6,"yyyymm") &amp; "]",
"[Base].[Metrica]",
"[Base].[Metrica].&amp;[" &amp; $A15 &amp; "]",
"[Base].[SEGMENTO_DESCRIP]",
"[Base].[SEGMENTO_DESCRIP].&amp;[" &amp; $C$6 &amp; "]",
"[Base].[SITUACION]",
"[Base].[SITUACION].&amp;[" &amp; $C15 &amp; "]"
),0)/1000</f>
        <v>28037.919999999998</v>
      </c>
      <c r="AP15" s="8">
        <f>IFERROR(
GETPIVOTDATA(
"[Base].[Importe]",
TDinamica_R!$A$5,
"[Calendario].[AñoMes]",
"[Calendario].[AñoMes].&amp;[" &amp; TEXT(AP$6,"yyyymm") &amp; "]",
"[Base].[Metrica]",
"[Base].[Metrica].&amp;[" &amp; $A15 &amp; "]",
"[Base].[SEGMENTO_DESCRIP]",
"[Base].[SEGMENTO_DESCRIP].&amp;[" &amp; $C$6 &amp; "]",
"[Base].[SITUACION]",
"[Base].[SITUACION].&amp;[" &amp; $C15 &amp; "]"
),0)/1000</f>
        <v>27591.58</v>
      </c>
      <c r="AQ15" s="8">
        <f>IFERROR(
GETPIVOTDATA(
"[Base].[Importe]",
TDinamica_R!$A$5,
"[Calendario].[AñoMes]",
"[Calendario].[AñoMes].&amp;[" &amp; TEXT(AQ$6,"yyyymm") &amp; "]",
"[Base].[Metrica]",
"[Base].[Metrica].&amp;[" &amp; $A15 &amp; "]",
"[Base].[SEGMENTO_DESCRIP]",
"[Base].[SEGMENTO_DESCRIP].&amp;[" &amp; $C$6 &amp; "]",
"[Base].[SITUACION]",
"[Base].[SITUACION].&amp;[" &amp; $C15 &amp; "]"
),0)/1000</f>
        <v>27391.392259999993</v>
      </c>
      <c r="AR15" s="8">
        <f>IFERROR(
GETPIVOTDATA(
"[Base].[Importe]",
TDinamica_R!$A$5,
"[Calendario].[AñoMes]",
"[Calendario].[AñoMes].&amp;[" &amp; TEXT(AR$6,"yyyymm") &amp; "]",
"[Base].[Metrica]",
"[Base].[Metrica].&amp;[" &amp; $A15 &amp; "]",
"[Base].[SEGMENTO_DESCRIP]",
"[Base].[SEGMENTO_DESCRIP].&amp;[" &amp; $C$6 &amp; "]",
"[Base].[SITUACION]",
"[Base].[SITUACION].&amp;[" &amp; $C15 &amp; "]"
),0)/1000</f>
        <v>26590.637929999997</v>
      </c>
      <c r="AS15" s="8">
        <f>IFERROR(
GETPIVOTDATA(
"[Base].[Importe]",
TDinamica_R!$A$5,
"[Calendario].[AñoMes]",
"[Calendario].[AñoMes].&amp;[" &amp; TEXT(AS$6,"yyyymm") &amp; "]",
"[Base].[Metrica]",
"[Base].[Metrica].&amp;[" &amp; $A15 &amp; "]",
"[Base].[SEGMENTO_DESCRIP]",
"[Base].[SEGMENTO_DESCRIP].&amp;[" &amp; $C$6 &amp; "]",
"[Base].[SITUACION]",
"[Base].[SITUACION].&amp;[" &amp; $C15 &amp; "]"
),0)/1000</f>
        <v>25914.528209999989</v>
      </c>
      <c r="AT15" s="8">
        <f>IFERROR(
GETPIVOTDATA(
"[Base].[Importe]",
TDinamica_R!$A$5,
"[Calendario].[AñoMes]",
"[Calendario].[AñoMes].&amp;[" &amp; TEXT(AT$6,"yyyymm")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U15" s="8">
        <f>IFERROR(
GETPIVOTDATA(
"[Base].[Importe]",
TDinamica_R!$A$5,
"[Calendario].[AñoMes]",
"[Calendario].[AñoMes].&amp;[" &amp; TEXT(AU$6,"yyyymm")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V15" s="8">
        <f>IFERROR(
GETPIVOTDATA(
"[Base].[Importe]",
TDinamica_R!$A$5,
"[Calendario].[AñoMes]",
"[Calendario].[AñoMes].&amp;[" &amp; TEXT(AV$6,"yyyymm")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W15" s="8">
        <f>IFERROR(
GETPIVOTDATA(
"[Base].[Importe]",
TDinamica_R!$A$5,
"[Calendario].[AñoMes]",
"[Calendario].[AñoMes].&amp;[" &amp; TEXT(AW$6,"yyyymm")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X15" s="8">
        <f>IFERROR(
GETPIVOTDATA(
"[Base].[Importe]",
TDinamica_R!$A$5,
"[Calendario].[AñoMes]",
"[Calendario].[AñoMes].&amp;[" &amp; TEXT(AX$6,"yyyymm")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Y15" s="8">
        <f>IFERROR(
GETPIVOTDATA(
"[Base].[Importe]",
TDinamica_R!$A$5,
"[Calendario].[AñoMes]",
"[Calendario].[AñoMes].&amp;[" &amp; TEXT(AY$6,"yyyymm")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Z15" s="8">
        <f>IFERROR(
GETPIVOTDATA(
"[BASE_CONVE_PPTO].[Importe]",
TDinamica_P!$A$5,
"[BASE_CONVE_PPTO].[Periodo]",
"[BASE_CONVE_PPTO].[Periodo].&amp;[" &amp; TEXT(AZ$6,"yyyymm")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27481.922718755304</v>
      </c>
      <c r="BA15" s="8">
        <f>IFERROR(
GETPIVOTDATA(
"[BASE_CONVE_PPTO].[Importe]",
TDinamica_P!$A$5,
"[BASE_CONVE_PPTO].[Periodo]",
"[BASE_CONVE_PPTO].[Periodo].&amp;[" &amp; TEXT(BA$6,"yyyymm")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27592.090037034333</v>
      </c>
      <c r="BB15" s="8">
        <f>IFERROR(
GETPIVOTDATA(
"[BASE_CONVE_PPTO].[Importe]",
TDinamica_P!$A$5,
"[BASE_CONVE_PPTO].[Periodo]",
"[BASE_CONVE_PPTO].[Periodo].&amp;[" &amp; TEXT(BB$6,"yyyymm")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27732.471639707139</v>
      </c>
      <c r="BC15" s="8">
        <f>IFERROR(
GETPIVOTDATA(
"[BASE_CONVE_PPTO].[Importe]",
TDinamica_P!$A$5,
"[BASE_CONVE_PPTO].[Periodo]",
"[BASE_CONVE_PPTO].[Periodo].&amp;[" &amp; TEXT(BC$6,"yyyymm")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28370.321221070037</v>
      </c>
      <c r="BD15" s="8">
        <f>IFERROR(
GETPIVOTDATA(
"[BASE_CONVE_PPTO].[Importe]",
TDinamica_P!$A$5,
"[BASE_CONVE_PPTO].[Periodo]",
"[BASE_CONVE_PPTO].[Periodo].&amp;[" &amp; TEXT(BD$6,"yyyymm")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28685.700814186977</v>
      </c>
      <c r="BE15" s="8">
        <f>IFERROR(
GETPIVOTDATA(
"[BASE_CONVE_PPTO].[Importe]",
TDinamica_P!$A$5,
"[BASE_CONVE_PPTO].[Periodo]",
"[BASE_CONVE_PPTO].[Periodo].&amp;[" &amp; TEXT(BE$6,"yyyymm")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29115.13608547175</v>
      </c>
      <c r="BF15" s="8">
        <f>IFERROR(
GETPIVOTDATA(
"[BASE_CONVE_PPTO].[Importe]",
TDinamica_P!$A$5,
"[BASE_CONVE_PPTO].[Periodo]",
"[BASE_CONVE_PPTO].[Periodo].&amp;[" &amp; TEXT(BF$6,"yyyymm")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29290.79132055875</v>
      </c>
      <c r="BG15" s="8">
        <f>IFERROR(
GETPIVOTDATA(
"[BASE_CONVE_PPTO].[Importe]",
TDinamica_P!$A$5,
"[BASE_CONVE_PPTO].[Periodo]",
"[BASE_CONVE_PPTO].[Periodo].&amp;[" &amp; TEXT(BG$6,"yyyymm")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29520.057682027444</v>
      </c>
      <c r="BH15" s="8">
        <f>IFERROR(
GETPIVOTDATA(
"[BASE_CONVE_PPTO].[Importe]",
TDinamica_P!$A$5,
"[BASE_CONVE_PPTO].[Periodo]",
"[BASE_CONVE_PPTO].[Periodo].&amp;[" &amp; TEXT(BH$6,"yyyymm")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29659.705742077404</v>
      </c>
      <c r="BI15" s="8">
        <f>IFERROR(
GETPIVOTDATA(
"[BASE_CONVE_PPTO].[Importe]",
TDinamica_P!$A$5,
"[BASE_CONVE_PPTO].[Periodo]",
"[BASE_CONVE_PPTO].[Periodo].&amp;[" &amp; TEXT(BI$6,"yyyymm")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29871.404668750256</v>
      </c>
      <c r="BJ15" s="8">
        <f>IFERROR(
GETPIVOTDATA(
"[BASE_CONVE_PPTO].[Importe]",
TDinamica_P!$A$5,
"[BASE_CONVE_PPTO].[Periodo]",
"[BASE_CONVE_PPTO].[Periodo].&amp;[" &amp; TEXT(BJ$6,"yyyymm")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30010.40897777471</v>
      </c>
      <c r="BK15" s="8">
        <f>IFERROR(
GETPIVOTDATA(
"[BASE_CONVE_PPTO].[Importe]",
TDinamica_P!$A$5,
"[BASE_CONVE_PPTO].[Periodo]",
"[BASE_CONVE_PPTO].[Periodo].&amp;[" &amp; TEXT(BK$6,"yyyymm")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30127.748205679294</v>
      </c>
      <c r="BO15" s="24">
        <f t="shared" si="10"/>
        <v>27595.746037999994</v>
      </c>
      <c r="BP15" s="24">
        <f t="shared" si="10"/>
        <v>27972.50128615076</v>
      </c>
      <c r="BQ15" s="24">
        <f t="shared" si="10"/>
        <v>27847.023064999998</v>
      </c>
      <c r="BR15" s="24">
        <f t="shared" si="10"/>
        <v>22622.322359999998</v>
      </c>
      <c r="BS15" s="24">
        <f t="shared" si="10"/>
        <v>23590.054058000002</v>
      </c>
      <c r="BT15" s="24">
        <f t="shared" si="10"/>
        <v>27513.834972000001</v>
      </c>
      <c r="BW15" s="24">
        <f t="shared" si="11"/>
        <v>137978.73018999997</v>
      </c>
      <c r="BX15" s="24">
        <f t="shared" si="11"/>
        <v>139862.5064307538</v>
      </c>
      <c r="BY15" s="24">
        <f t="shared" si="11"/>
        <v>111388.09225999999</v>
      </c>
      <c r="BZ15" s="24">
        <f t="shared" si="11"/>
        <v>113111.6118</v>
      </c>
      <c r="CA15" s="24">
        <f t="shared" si="11"/>
        <v>117950.27029000001</v>
      </c>
      <c r="CB15" s="24">
        <f t="shared" si="11"/>
        <v>137569.17486</v>
      </c>
    </row>
    <row r="16" spans="1:81" outlineLevel="1" x14ac:dyDescent="0.25">
      <c r="A16" s="11" t="s">
        <v>52</v>
      </c>
      <c r="C16" s="2" t="s">
        <v>45</v>
      </c>
      <c r="D16" s="8">
        <f>IFERROR(
GETPIVOTDATA(
"[Base].[Importe]",
TDinamica_R!$A$5,
"[Calendario].[AñoMes]",
"[Calendario].[AñoMes].&amp;[" &amp; TEXT(D$6,"yyyymm") &amp; "]",
"[Base].[Metrica]",
"[Base].[Metrica].&amp;[" &amp; $A16 &amp; "]",
"[Base].[SEGMENTO_DESCRIP]",
"[Base].[SEGMENTO_DESCRIP].&amp;[" &amp; $C$6 &amp; "]",
"[Base].[SITUACION]",
"[Base].[SITUACION].&amp;[" &amp; $C16 &amp; "]"
),0)/1000</f>
        <v>76079.15774000001</v>
      </c>
      <c r="E16" s="8">
        <f>IFERROR(
GETPIVOTDATA(
"[Base].[Importe]",
TDinamica_R!$A$5,
"[Calendario].[AñoMes]",
"[Calendario].[AñoMes].&amp;[" &amp; TEXT(E$6,"yyyymm") &amp; "]",
"[Base].[Metrica]",
"[Base].[Metrica].&amp;[" &amp; $A16 &amp; "]",
"[Base].[SEGMENTO_DESCRIP]",
"[Base].[SEGMENTO_DESCRIP].&amp;[" &amp; $C$6 &amp; "]",
"[Base].[SITUACION]",
"[Base].[SITUACION].&amp;[" &amp; $C16 &amp; "]"
),0)/1000</f>
        <v>74278.104250000004</v>
      </c>
      <c r="F16" s="8">
        <f>IFERROR(
GETPIVOTDATA(
"[Base].[Importe]",
TDinamica_R!$A$5,
"[Calendario].[AñoMes]",
"[Calendario].[AñoMes].&amp;[" &amp; TEXT(F$6,"yyyymm") &amp; "]",
"[Base].[Metrica]",
"[Base].[Metrica].&amp;[" &amp; $A16 &amp; "]",
"[Base].[SEGMENTO_DESCRIP]",
"[Base].[SEGMENTO_DESCRIP].&amp;[" &amp; $C$6 &amp; "]",
"[Base].[SITUACION]",
"[Base].[SITUACION].&amp;[" &amp; $C16 &amp; "]"
),0)/1000</f>
        <v>74592.47623</v>
      </c>
      <c r="G16" s="8">
        <f>IFERROR(
GETPIVOTDATA(
"[Base].[Importe]",
TDinamica_R!$A$5,
"[Calendario].[AñoMes]",
"[Calendario].[AñoMes].&amp;[" &amp; TEXT(G$6,"yyyymm") &amp; "]",
"[Base].[Metrica]",
"[Base].[Metrica].&amp;[" &amp; $A16 &amp; "]",
"[Base].[SEGMENTO_DESCRIP]",
"[Base].[SEGMENTO_DESCRIP].&amp;[" &amp; $C$6 &amp; "]",
"[Base].[SITUACION]",
"[Base].[SITUACION].&amp;[" &amp; $C16 &amp; "]"
),0)/1000</f>
        <v>73148.064530000003</v>
      </c>
      <c r="H16" s="8">
        <f>IFERROR(
GETPIVOTDATA(
"[Base].[Importe]",
TDinamica_R!$A$5,
"[Calendario].[AñoMes]",
"[Calendario].[AñoMes].&amp;[" &amp; TEXT(H$6,"yyyymm") &amp; "]",
"[Base].[Metrica]",
"[Base].[Metrica].&amp;[" &amp; $A16 &amp; "]",
"[Base].[SEGMENTO_DESCRIP]",
"[Base].[SEGMENTO_DESCRIP].&amp;[" &amp; $C$6 &amp; "]",
"[Base].[SITUACION]",
"[Base].[SITUACION].&amp;[" &amp; $C16 &amp; "]"
),0)/1000</f>
        <v>70500.856050000002</v>
      </c>
      <c r="I16" s="8">
        <f>IFERROR(
GETPIVOTDATA(
"[Base].[Importe]",
TDinamica_R!$A$5,
"[Calendario].[AñoMes]",
"[Calendario].[AñoMes].&amp;[" &amp; TEXT(I$6,"yyyymm") &amp; "]",
"[Base].[Metrica]",
"[Base].[Metrica].&amp;[" &amp; $A16 &amp; "]",
"[Base].[SEGMENTO_DESCRIP]",
"[Base].[SEGMENTO_DESCRIP].&amp;[" &amp; $C$6 &amp; "]",
"[Base].[SITUACION]",
"[Base].[SITUACION].&amp;[" &amp; $C16 &amp; "]"
),0)/1000</f>
        <v>67893.902349999989</v>
      </c>
      <c r="J16" s="8">
        <f>IFERROR(
GETPIVOTDATA(
"[Base].[Importe]",
TDinamica_R!$A$5,
"[Calendario].[AñoMes]",
"[Calendario].[AñoMes].&amp;[" &amp; TEXT(J$6,"yyyymm") &amp; "]",
"[Base].[Metrica]",
"[Base].[Metrica].&amp;[" &amp; $A16 &amp; "]",
"[Base].[SEGMENTO_DESCRIP]",
"[Base].[SEGMENTO_DESCRIP].&amp;[" &amp; $C$6 &amp; "]",
"[Base].[SITUACION]",
"[Base].[SITUACION].&amp;[" &amp; $C16 &amp; "]"
),0)/1000</f>
        <v>63715.798480000005</v>
      </c>
      <c r="K16" s="8">
        <f>IFERROR(
GETPIVOTDATA(
"[Base].[Importe]",
TDinamica_R!$A$5,
"[Calendario].[AñoMes]",
"[Calendario].[AñoMes].&amp;[" &amp; TEXT(K$6,"yyyymm") &amp; "]",
"[Base].[Metrica]",
"[Base].[Metrica].&amp;[" &amp; $A16 &amp; "]",
"[Base].[SEGMENTO_DESCRIP]",
"[Base].[SEGMENTO_DESCRIP].&amp;[" &amp; $C$6 &amp; "]",
"[Base].[SITUACION]",
"[Base].[SITUACION].&amp;[" &amp; $C16 &amp; "]"
),0)/1000</f>
        <v>65472.617689999999</v>
      </c>
      <c r="L16" s="8">
        <f>IFERROR(
GETPIVOTDATA(
"[Base].[Importe]",
TDinamica_R!$A$5,
"[Calendario].[AñoMes]",
"[Calendario].[AñoMes].&amp;[" &amp; TEXT(L$6,"yyyymm") &amp; "]",
"[Base].[Metrica]",
"[Base].[Metrica].&amp;[" &amp; $A16 &amp; "]",
"[Base].[SEGMENTO_DESCRIP]",
"[Base].[SEGMENTO_DESCRIP].&amp;[" &amp; $C$6 &amp; "]",
"[Base].[SITUACION]",
"[Base].[SITUACION].&amp;[" &amp; $C16 &amp; "]"
),0)/1000</f>
        <v>67527.133989999988</v>
      </c>
      <c r="M16" s="8">
        <f>IFERROR(
GETPIVOTDATA(
"[Base].[Importe]",
TDinamica_R!$A$5,
"[Calendario].[AñoMes]",
"[Calendario].[AñoMes].&amp;[" &amp; TEXT(M$6,"yyyymm") &amp; "]",
"[Base].[Metrica]",
"[Base].[Metrica].&amp;[" &amp; $A16 &amp; "]",
"[Base].[SEGMENTO_DESCRIP]",
"[Base].[SEGMENTO_DESCRIP].&amp;[" &amp; $C$6 &amp; "]",
"[Base].[SITUACION]",
"[Base].[SITUACION].&amp;[" &amp; $C16 &amp; "]"
),0)/1000</f>
        <v>68712.51784</v>
      </c>
      <c r="N16" s="8">
        <f>IFERROR(
GETPIVOTDATA(
"[Base].[Importe]",
TDinamica_R!$A$5,
"[Calendario].[AñoMes]",
"[Calendario].[AñoMes].&amp;[" &amp; TEXT(N$6,"yyyymm") &amp; "]",
"[Base].[Metrica]",
"[Base].[Metrica].&amp;[" &amp; $A16 &amp; "]",
"[Base].[SEGMENTO_DESCRIP]",
"[Base].[SEGMENTO_DESCRIP].&amp;[" &amp; $C$6 &amp; "]",
"[Base].[SITUACION]",
"[Base].[SITUACION].&amp;[" &amp; $C16 &amp; "]"
),0)/1000</f>
        <v>67234.805179999996</v>
      </c>
      <c r="O16" s="8">
        <f>IFERROR(
GETPIVOTDATA(
"[Base].[Importe]",
TDinamica_R!$A$5,
"[Calendario].[AñoMes]",
"[Calendario].[AñoMes].&amp;[" &amp; TEXT(O$6,"yyyymm") &amp; "]",
"[Base].[Metrica]",
"[Base].[Metrica].&amp;[" &amp; $A16 &amp; "]",
"[Base].[SEGMENTO_DESCRIP]",
"[Base].[SEGMENTO_DESCRIP].&amp;[" &amp; $C$6 &amp; "]",
"[Base].[SITUACION]",
"[Base].[SITUACION].&amp;[" &amp; $C16 &amp; "]"
),0)/1000</f>
        <v>67613.935559999998</v>
      </c>
      <c r="P16" s="8">
        <f>IFERROR(
GETPIVOTDATA(
"[Base].[Importe]",
TDinamica_R!$A$5,
"[Calendario].[AñoMes]",
"[Calendario].[AñoMes].&amp;[" &amp; TEXT(P$6,"yyyymm") &amp; "]",
"[Base].[Metrica]",
"[Base].[Metrica].&amp;[" &amp; $A16 &amp; "]",
"[Base].[SEGMENTO_DESCRIP]",
"[Base].[SEGMENTO_DESCRIP].&amp;[" &amp; $C$6 &amp; "]",
"[Base].[SITUACION]",
"[Base].[SITUACION].&amp;[" &amp; $C16 &amp; "]"
),0)/1000</f>
        <v>73280.041939999996</v>
      </c>
      <c r="Q16" s="8">
        <f>IFERROR(
GETPIVOTDATA(
"[Base].[Importe]",
TDinamica_R!$A$5,
"[Calendario].[AñoMes]",
"[Calendario].[AñoMes].&amp;[" &amp; TEXT(Q$6,"yyyymm") &amp; "]",
"[Base].[Metrica]",
"[Base].[Metrica].&amp;[" &amp; $A16 &amp; "]",
"[Base].[SEGMENTO_DESCRIP]",
"[Base].[SEGMENTO_DESCRIP].&amp;[" &amp; $C$6 &amp; "]",
"[Base].[SITUACION]",
"[Base].[SITUACION].&amp;[" &amp; $C16 &amp; "]"
),0)/1000</f>
        <v>73187.075679999994</v>
      </c>
      <c r="R16" s="8">
        <f>IFERROR(
GETPIVOTDATA(
"[Base].[Importe]",
TDinamica_R!$A$5,
"[Calendario].[AñoMes]",
"[Calendario].[AñoMes].&amp;[" &amp; TEXT(R$6,"yyyymm") &amp; "]",
"[Base].[Metrica]",
"[Base].[Metrica].&amp;[" &amp; $A16 &amp; "]",
"[Base].[SEGMENTO_DESCRIP]",
"[Base].[SEGMENTO_DESCRIP].&amp;[" &amp; $C$6 &amp; "]",
"[Base].[SITUACION]",
"[Base].[SITUACION].&amp;[" &amp; $C16 &amp; "]"
),0)/1000</f>
        <v>70738.11473999999</v>
      </c>
      <c r="S16" s="8">
        <f>IFERROR(
GETPIVOTDATA(
"[Base].[Importe]",
TDinamica_R!$A$5,
"[Calendario].[AñoMes]",
"[Calendario].[AñoMes].&amp;[" &amp; TEXT(S$6,"yyyymm") &amp; "]",
"[Base].[Metrica]",
"[Base].[Metrica].&amp;[" &amp; $A16 &amp; "]",
"[Base].[SEGMENTO_DESCRIP]",
"[Base].[SEGMENTO_DESCRIP].&amp;[" &amp; $C$6 &amp; "]",
"[Base].[SITUACION]",
"[Base].[SITUACION].&amp;[" &amp; $C16 &amp; "]"
),0)/1000</f>
        <v>74106.899449999997</v>
      </c>
      <c r="T16" s="8">
        <f>IFERROR(
GETPIVOTDATA(
"[Base].[Importe]",
TDinamica_R!$A$5,
"[Calendario].[AñoMes]",
"[Calendario].[AñoMes].&amp;[" &amp; TEXT(T$6,"yyyymm") &amp; "]",
"[Base].[Metrica]",
"[Base].[Metrica].&amp;[" &amp; $A16 &amp; "]",
"[Base].[SEGMENTO_DESCRIP]",
"[Base].[SEGMENTO_DESCRIP].&amp;[" &amp; $C$6 &amp; "]",
"[Base].[SITUACION]",
"[Base].[SITUACION].&amp;[" &amp; $C16 &amp; "]"
),0)/1000</f>
        <v>72202.567290000006</v>
      </c>
      <c r="U16" s="8">
        <f>IFERROR(
GETPIVOTDATA(
"[Base].[Importe]",
TDinamica_R!$A$5,
"[Calendario].[AñoMes]",
"[Calendario].[AñoMes].&amp;[" &amp; TEXT(U$6,"yyyymm") &amp; "]",
"[Base].[Metrica]",
"[Base].[Metrica].&amp;[" &amp; $A16 &amp; "]",
"[Base].[SEGMENTO_DESCRIP]",
"[Base].[SEGMENTO_DESCRIP].&amp;[" &amp; $C$6 &amp; "]",
"[Base].[SITUACION]",
"[Base].[SITUACION].&amp;[" &amp; $C16 &amp; "]"
),0)/1000</f>
        <v>69548.686569999991</v>
      </c>
      <c r="V16" s="8">
        <f>IFERROR(
GETPIVOTDATA(
"[Base].[Importe]",
TDinamica_R!$A$5,
"[Calendario].[AñoMes]",
"[Calendario].[AñoMes].&amp;[" &amp; TEXT(V$6,"yyyymm") &amp; "]",
"[Base].[Metrica]",
"[Base].[Metrica].&amp;[" &amp; $A16 &amp; "]",
"[Base].[SEGMENTO_DESCRIP]",
"[Base].[SEGMENTO_DESCRIP].&amp;[" &amp; $C$6 &amp; "]",
"[Base].[SITUACION]",
"[Base].[SITUACION].&amp;[" &amp; $C16 &amp; "]"
),0)/1000</f>
        <v>71655.681620000003</v>
      </c>
      <c r="W16" s="8">
        <f>IFERROR(
GETPIVOTDATA(
"[Base].[Importe]",
TDinamica_R!$A$5,
"[Calendario].[AñoMes]",
"[Calendario].[AñoMes].&amp;[" &amp; TEXT(W$6,"yyyymm") &amp; "]",
"[Base].[Metrica]",
"[Base].[Metrica].&amp;[" &amp; $A16 &amp; "]",
"[Base].[SEGMENTO_DESCRIP]",
"[Base].[SEGMENTO_DESCRIP].&amp;[" &amp; $C$6 &amp; "]",
"[Base].[SITUACION]",
"[Base].[SITUACION].&amp;[" &amp; $C16 &amp; "]"
),0)/1000</f>
        <v>77665.36970000001</v>
      </c>
      <c r="X16" s="8">
        <f>IFERROR(
GETPIVOTDATA(
"[Base].[Importe]",
TDinamica_R!$A$5,
"[Calendario].[AñoMes]",
"[Calendario].[AñoMes].&amp;[" &amp; TEXT(X$6,"yyyymm") &amp; "]",
"[Base].[Metrica]",
"[Base].[Metrica].&amp;[" &amp; $A16 &amp; "]",
"[Base].[SEGMENTO_DESCRIP]",
"[Base].[SEGMENTO_DESCRIP].&amp;[" &amp; $C$6 &amp; "]",
"[Base].[SITUACION]",
"[Base].[SITUACION].&amp;[" &amp; $C16 &amp; "]"
),0)/1000</f>
        <v>84616.982710000011</v>
      </c>
      <c r="Y16" s="8">
        <f>IFERROR(
GETPIVOTDATA(
"[Base].[Importe]",
TDinamica_R!$A$5,
"[Calendario].[AñoMes]",
"[Calendario].[AñoMes].&amp;[" &amp; TEXT(Y$6,"yyyymm") &amp; "]",
"[Base].[Metrica]",
"[Base].[Metrica].&amp;[" &amp; $A16 &amp; "]",
"[Base].[SEGMENTO_DESCRIP]",
"[Base].[SEGMENTO_DESCRIP].&amp;[" &amp; $C$6 &amp; "]",
"[Base].[SITUACION]",
"[Base].[SITUACION].&amp;[" &amp; $C16 &amp; "]"
),0)/1000</f>
        <v>84426.981019999992</v>
      </c>
      <c r="Z16" s="8">
        <f>IFERROR(
GETPIVOTDATA(
"[Base].[Importe]",
TDinamica_R!$A$5,
"[Calendario].[AñoMes]",
"[Calendario].[AñoMes].&amp;[" &amp; TEXT(Z$6,"yyyymm") &amp; "]",
"[Base].[Metrica]",
"[Base].[Metrica].&amp;[" &amp; $A16 &amp; "]",
"[Base].[SEGMENTO_DESCRIP]",
"[Base].[SEGMENTO_DESCRIP].&amp;[" &amp; $C$6 &amp; "]",
"[Base].[SITUACION]",
"[Base].[SITUACION].&amp;[" &amp; $C16 &amp; "]"
),0)/1000</f>
        <v>83025.204850000009</v>
      </c>
      <c r="AA16" s="8">
        <f>IFERROR(
GETPIVOTDATA(
"[Base].[Importe]",
TDinamica_R!$A$5,
"[Calendario].[AñoMes]",
"[Calendario].[AñoMes].&amp;[" &amp; TEXT(AA$6,"yyyymm") &amp; "]",
"[Base].[Metrica]",
"[Base].[Metrica].&amp;[" &amp; $A16 &amp; "]",
"[Base].[SEGMENTO_DESCRIP]",
"[Base].[SEGMENTO_DESCRIP].&amp;[" &amp; $C$6 &amp; "]",
"[Base].[SITUACION]",
"[Base].[SITUACION].&amp;[" &amp; $C16 &amp; "]"
),0)/1000</f>
        <v>88249.793139999994</v>
      </c>
      <c r="AB16" s="8">
        <f>IFERROR(
GETPIVOTDATA(
"[Base].[Importe]",
TDinamica_R!$A$5,
"[Calendario].[AñoMes]",
"[Calendario].[AñoMes].&amp;[" &amp; TEXT(AB$6,"yyyymm") &amp; "]",
"[Base].[Metrica]",
"[Base].[Metrica].&amp;[" &amp; $A16 &amp; "]",
"[Base].[SEGMENTO_DESCRIP]",
"[Base].[SEGMENTO_DESCRIP].&amp;[" &amp; $C$6 &amp; "]",
"[Base].[SITUACION]",
"[Base].[SITUACION].&amp;[" &amp; $C16 &amp; "]"
),0)/1000</f>
        <v>98907.16158</v>
      </c>
      <c r="AC16" s="8">
        <f>IFERROR(
GETPIVOTDATA(
"[Base].[Importe]",
TDinamica_R!$A$5,
"[Calendario].[AñoMes]",
"[Calendario].[AñoMes].&amp;[" &amp; TEXT(AC$6,"yyyymm") &amp; "]",
"[Base].[Metrica]",
"[Base].[Metrica].&amp;[" &amp; $A16 &amp; "]",
"[Base].[SEGMENTO_DESCRIP]",
"[Base].[SEGMENTO_DESCRIP].&amp;[" &amp; $C$6 &amp; "]",
"[Base].[SITUACION]",
"[Base].[SITUACION].&amp;[" &amp; $C16 &amp; "]"
),0)/1000</f>
        <v>92214.186489999993</v>
      </c>
      <c r="AD16" s="8">
        <f>IFERROR(
GETPIVOTDATA(
"[Base].[Importe]",
TDinamica_R!$A$5,
"[Calendario].[AñoMes]",
"[Calendario].[AñoMes].&amp;[" &amp; TEXT(AD$6,"yyyymm") &amp; "]",
"[Base].[Metrica]",
"[Base].[Metrica].&amp;[" &amp; $A16 &amp; "]",
"[Base].[SEGMENTO_DESCRIP]",
"[Base].[SEGMENTO_DESCRIP].&amp;[" &amp; $C$6 &amp; "]",
"[Base].[SITUACION]",
"[Base].[SITUACION].&amp;[" &amp; $C16 &amp; "]"
),0)/1000</f>
        <v>95672.765549999996</v>
      </c>
      <c r="AE16" s="8">
        <f>IFERROR(
GETPIVOTDATA(
"[Base].[Importe]",
TDinamica_R!$A$5,
"[Calendario].[AñoMes]",
"[Calendario].[AñoMes].&amp;[" &amp; TEXT(AE$6,"yyyymm") &amp; "]",
"[Base].[Metrica]",
"[Base].[Metrica].&amp;[" &amp; $A16 &amp; "]",
"[Base].[SEGMENTO_DESCRIP]",
"[Base].[SEGMENTO_DESCRIP].&amp;[" &amp; $C$6 &amp; "]",
"[Base].[SITUACION]",
"[Base].[SITUACION].&amp;[" &amp; $C16 &amp; "]"
),0)/1000</f>
        <v>96097.032990000007</v>
      </c>
      <c r="AF16" s="8">
        <f>IFERROR(
GETPIVOTDATA(
"[Base].[Importe]",
TDinamica_R!$A$5,
"[Calendario].[AñoMes]",
"[Calendario].[AñoMes].&amp;[" &amp; TEXT(AF$6,"yyyymm") &amp; "]",
"[Base].[Metrica]",
"[Base].[Metrica].&amp;[" &amp; $A16 &amp; "]",
"[Base].[SEGMENTO_DESCRIP]",
"[Base].[SEGMENTO_DESCRIP].&amp;[" &amp; $C$6 &amp; "]",
"[Base].[SITUACION]",
"[Base].[SITUACION].&amp;[" &amp; $C16 &amp; "]"
),0)/1000</f>
        <v>93749.627970000016</v>
      </c>
      <c r="AG16" s="8">
        <f>IFERROR(
GETPIVOTDATA(
"[Base].[Importe]",
TDinamica_R!$A$5,
"[Calendario].[AñoMes]",
"[Calendario].[AñoMes].&amp;[" &amp; TEXT(AG$6,"yyyymm") &amp; "]",
"[Base].[Metrica]",
"[Base].[Metrica].&amp;[" &amp; $A16 &amp; "]",
"[Base].[SEGMENTO_DESCRIP]",
"[Base].[SEGMENTO_DESCRIP].&amp;[" &amp; $C$6 &amp; "]",
"[Base].[SITUACION]",
"[Base].[SITUACION].&amp;[" &amp; $C16 &amp; "]"
),0)/1000</f>
        <v>97869.218609999996</v>
      </c>
      <c r="AH16" s="8">
        <f>IFERROR(
GETPIVOTDATA(
"[Base].[Importe]",
TDinamica_R!$A$5,
"[Calendario].[AñoMes]",
"[Calendario].[AñoMes].&amp;[" &amp; TEXT(AH$6,"yyyymm") &amp; "]",
"[Base].[Metrica]",
"[Base].[Metrica].&amp;[" &amp; $A16 &amp; "]",
"[Base].[SEGMENTO_DESCRIP]",
"[Base].[SEGMENTO_DESCRIP].&amp;[" &amp; $C$6 &amp; "]",
"[Base].[SITUACION]",
"[Base].[SITUACION].&amp;[" &amp; $C16 &amp; "]"
),0)/1000</f>
        <v>97421.554239999998</v>
      </c>
      <c r="AI16" s="8">
        <f>IFERROR(
GETPIVOTDATA(
"[Base].[Importe]",
TDinamica_R!$A$5,
"[Calendario].[AñoMes]",
"[Calendario].[AñoMes].&amp;[" &amp; TEXT(AI$6,"yyyymm") &amp; "]",
"[Base].[Metrica]",
"[Base].[Metrica].&amp;[" &amp; $A16 &amp; "]",
"[Base].[SEGMENTO_DESCRIP]",
"[Base].[SEGMENTO_DESCRIP].&amp;[" &amp; $C$6 &amp; "]",
"[Base].[SITUACION]",
"[Base].[SITUACION].&amp;[" &amp; $C16 &amp; "]"
),0)/1000</f>
        <v>101884.24232999999</v>
      </c>
      <c r="AJ16" s="8">
        <f>IFERROR(
GETPIVOTDATA(
"[Base].[Importe]",
TDinamica_R!$A$5,
"[Calendario].[AñoMes]",
"[Calendario].[AñoMes].&amp;[" &amp; TEXT(AJ$6,"yyyymm") &amp; "]",
"[Base].[Metrica]",
"[Base].[Metrica].&amp;[" &amp; $A16 &amp; "]",
"[Base].[SEGMENTO_DESCRIP]",
"[Base].[SEGMENTO_DESCRIP].&amp;[" &amp; $C$6 &amp; "]",
"[Base].[SITUACION]",
"[Base].[SITUACION].&amp;[" &amp; $C16 &amp; "]"
),0)/1000</f>
        <v>106492.55082999999</v>
      </c>
      <c r="AK16" s="8">
        <f>IFERROR(
GETPIVOTDATA(
"[Base].[Importe]",
TDinamica_R!$A$5,
"[Calendario].[AñoMes]",
"[Calendario].[AñoMes].&amp;[" &amp; TEXT(AK$6,"yyyymm") &amp; "]",
"[Base].[Metrica]",
"[Base].[Metrica].&amp;[" &amp; $A16 &amp; "]",
"[Base].[SEGMENTO_DESCRIP]",
"[Base].[SEGMENTO_DESCRIP].&amp;[" &amp; $C$6 &amp; "]",
"[Base].[SITUACION]",
"[Base].[SITUACION].&amp;[" &amp; $C16 &amp; "]"
),0)/1000</f>
        <v>116166.07097999999</v>
      </c>
      <c r="AL16" s="8">
        <f>IFERROR(
GETPIVOTDATA(
"[Base].[Importe]",
TDinamica_R!$A$5,
"[Calendario].[AñoMes]",
"[Calendario].[AñoMes].&amp;[" &amp; TEXT(AL$6,"yyyymm") &amp; "]",
"[Base].[Metrica]",
"[Base].[Metrica].&amp;[" &amp; $A16 &amp; "]",
"[Base].[SEGMENTO_DESCRIP]",
"[Base].[SEGMENTO_DESCRIP].&amp;[" &amp; $C$6 &amp; "]",
"[Base].[SITUACION]",
"[Base].[SITUACION].&amp;[" &amp; $C16 &amp; "]"
),0)/1000</f>
        <v>116645.84010000002</v>
      </c>
      <c r="AM16" s="8">
        <f>IFERROR(
GETPIVOTDATA(
"[Base].[Importe]",
TDinamica_R!$A$5,
"[Calendario].[AñoMes]",
"[Calendario].[AñoMes].&amp;[" &amp; TEXT(AM$6,"yyyymm") &amp; "]",
"[Base].[Metrica]",
"[Base].[Metrica].&amp;[" &amp; $A16 &amp; "]",
"[Base].[SEGMENTO_DESCRIP]",
"[Base].[SEGMENTO_DESCRIP].&amp;[" &amp; $C$6 &amp; "]",
"[Base].[SITUACION]",
"[Base].[SITUACION].&amp;[" &amp; $C16 &amp; "]"
),0)/1000</f>
        <v>115869.27456000001</v>
      </c>
      <c r="AN16" s="8">
        <f>IFERROR(
GETPIVOTDATA(
"[Base].[Importe]",
TDinamica_R!$A$5,
"[Calendario].[AñoMes]",
"[Calendario].[AñoMes].&amp;[" &amp; TEXT(AN$6,"yyyymm") &amp; "]",
"[Base].[Metrica]",
"[Base].[Metrica].&amp;[" &amp; $A16 &amp; "]",
"[Base].[SEGMENTO_DESCRIP]",
"[Base].[SEGMENTO_DESCRIP].&amp;[" &amp; $C$6 &amp; "]",
"[Base].[SITUACION]",
"[Base].[SITUACION].&amp;[" &amp; $C16 &amp; "]"
),0)/1000</f>
        <v>126625.69</v>
      </c>
      <c r="AO16" s="8">
        <f>IFERROR(
GETPIVOTDATA(
"[Base].[Importe]",
TDinamica_R!$A$5,
"[Calendario].[AñoMes]",
"[Calendario].[AñoMes].&amp;[" &amp; TEXT(AO$6,"yyyymm") &amp; "]",
"[Base].[Metrica]",
"[Base].[Metrica].&amp;[" &amp; $A16 &amp; "]",
"[Base].[SEGMENTO_DESCRIP]",
"[Base].[SEGMENTO_DESCRIP].&amp;[" &amp; $C$6 &amp; "]",
"[Base].[SITUACION]",
"[Base].[SITUACION].&amp;[" &amp; $C16 &amp; "]"
),0)/1000</f>
        <v>127915.86</v>
      </c>
      <c r="AP16" s="8">
        <f>IFERROR(
GETPIVOTDATA(
"[Base].[Importe]",
TDinamica_R!$A$5,
"[Calendario].[AñoMes]",
"[Calendario].[AñoMes].&amp;[" &amp; TEXT(AP$6,"yyyymm") &amp; "]",
"[Base].[Metrica]",
"[Base].[Metrica].&amp;[" &amp; $A16 &amp; "]",
"[Base].[SEGMENTO_DESCRIP]",
"[Base].[SEGMENTO_DESCRIP].&amp;[" &amp; $C$6 &amp; "]",
"[Base].[SITUACION]",
"[Base].[SITUACION].&amp;[" &amp; $C16 &amp; "]"
),0)/1000</f>
        <v>121938.53</v>
      </c>
      <c r="AQ16" s="8">
        <f>IFERROR(
GETPIVOTDATA(
"[Base].[Importe]",
TDinamica_R!$A$5,
"[Calendario].[AñoMes]",
"[Calendario].[AñoMes].&amp;[" &amp; TEXT(AQ$6,"yyyymm") &amp; "]",
"[Base].[Metrica]",
"[Base].[Metrica].&amp;[" &amp; $A16 &amp; "]",
"[Base].[SEGMENTO_DESCRIP]",
"[Base].[SEGMENTO_DESCRIP].&amp;[" &amp; $C$6 &amp; "]",
"[Base].[SITUACION]",
"[Base].[SITUACION].&amp;[" &amp; $C16 &amp; "]"
),0)/1000</f>
        <v>116866.01378999998</v>
      </c>
      <c r="AR16" s="8">
        <f>IFERROR(
GETPIVOTDATA(
"[Base].[Importe]",
TDinamica_R!$A$5,
"[Calendario].[AñoMes]",
"[Calendario].[AñoMes].&amp;[" &amp; TEXT(AR$6,"yyyymm") &amp; "]",
"[Base].[Metrica]",
"[Base].[Metrica].&amp;[" &amp; $A16 &amp; "]",
"[Base].[SEGMENTO_DESCRIP]",
"[Base].[SEGMENTO_DESCRIP].&amp;[" &amp; $C$6 &amp; "]",
"[Base].[SITUACION]",
"[Base].[SITUACION].&amp;[" &amp; $C16 &amp; "]"
),0)/1000</f>
        <v>117791.45043000004</v>
      </c>
      <c r="AS16" s="8">
        <f>IFERROR(
GETPIVOTDATA(
"[Base].[Importe]",
TDinamica_R!$A$5,
"[Calendario].[AñoMes]",
"[Calendario].[AñoMes].&amp;[" &amp; TEXT(AS$6,"yyyymm") &amp; "]",
"[Base].[Metrica]",
"[Base].[Metrica].&amp;[" &amp; $A16 &amp; "]",
"[Base].[SEGMENTO_DESCRIP]",
"[Base].[SEGMENTO_DESCRIP].&amp;[" &amp; $C$6 &amp; "]",
"[Base].[SITUACION]",
"[Base].[SITUACION].&amp;[" &amp; $C16 &amp; "]"
),0)/1000</f>
        <v>119151.18455999995</v>
      </c>
      <c r="AT16" s="8">
        <f>IFERROR(
GETPIVOTDATA(
"[Base].[Importe]",
TDinamica_R!$A$5,
"[Calendario].[AñoMes]",
"[Calendario].[AñoMes].&amp;[" &amp; TEXT(AT$6,"yyyymm")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U16" s="8">
        <f>IFERROR(
GETPIVOTDATA(
"[Base].[Importe]",
TDinamica_R!$A$5,
"[Calendario].[AñoMes]",
"[Calendario].[AñoMes].&amp;[" &amp; TEXT(AU$6,"yyyymm")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V16" s="8">
        <f>IFERROR(
GETPIVOTDATA(
"[Base].[Importe]",
TDinamica_R!$A$5,
"[Calendario].[AñoMes]",
"[Calendario].[AñoMes].&amp;[" &amp; TEXT(AV$6,"yyyymm")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W16" s="8">
        <f>IFERROR(
GETPIVOTDATA(
"[Base].[Importe]",
TDinamica_R!$A$5,
"[Calendario].[AñoMes]",
"[Calendario].[AñoMes].&amp;[" &amp; TEXT(AW$6,"yyyymm")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X16" s="8">
        <f>IFERROR(
GETPIVOTDATA(
"[Base].[Importe]",
TDinamica_R!$A$5,
"[Calendario].[AñoMes]",
"[Calendario].[AñoMes].&amp;[" &amp; TEXT(AX$6,"yyyymm")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Y16" s="8">
        <f>IFERROR(
GETPIVOTDATA(
"[Base].[Importe]",
TDinamica_R!$A$5,
"[Calendario].[AñoMes]",
"[Calendario].[AñoMes].&amp;[" &amp; TEXT(AY$6,"yyyymm")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Z16" s="8">
        <f>IFERROR(
GETPIVOTDATA(
"[BASE_CONVE_PPTO].[Importe]",
TDinamica_P!$A$5,
"[BASE_CONVE_PPTO].[Periodo]",
"[BASE_CONVE_PPTO].[Periodo].&amp;[" &amp; TEXT(AZ$6,"yyyymm")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113970.79790151739</v>
      </c>
      <c r="BA16" s="8">
        <f>IFERROR(
GETPIVOTDATA(
"[BASE_CONVE_PPTO].[Importe]",
TDinamica_P!$A$5,
"[BASE_CONVE_PPTO].[Periodo]",
"[BASE_CONVE_PPTO].[Periodo].&amp;[" &amp; TEXT(BA$6,"yyyymm")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111618.73405802084</v>
      </c>
      <c r="BB16" s="8">
        <f>IFERROR(
GETPIVOTDATA(
"[BASE_CONVE_PPTO].[Importe]",
TDinamica_P!$A$5,
"[BASE_CONVE_PPTO].[Periodo]",
"[BASE_CONVE_PPTO].[Periodo].&amp;[" &amp; TEXT(BB$6,"yyyymm")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109785.75259260071</v>
      </c>
      <c r="BC16" s="8">
        <f>IFERROR(
GETPIVOTDATA(
"[BASE_CONVE_PPTO].[Importe]",
TDinamica_P!$A$5,
"[BASE_CONVE_PPTO].[Periodo]",
"[BASE_CONVE_PPTO].[Periodo].&amp;[" &amp; TEXT(BC$6,"yyyymm")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107152.35157724044</v>
      </c>
      <c r="BD16" s="8">
        <f>IFERROR(
GETPIVOTDATA(
"[BASE_CONVE_PPTO].[Importe]",
TDinamica_P!$A$5,
"[BASE_CONVE_PPTO].[Periodo]",
"[BASE_CONVE_PPTO].[Periodo].&amp;[" &amp; TEXT(BD$6,"yyyymm")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106379.13501016467</v>
      </c>
      <c r="BE16" s="8">
        <f>IFERROR(
GETPIVOTDATA(
"[BASE_CONVE_PPTO].[Importe]",
TDinamica_P!$A$5,
"[BASE_CONVE_PPTO].[Periodo]",
"[BASE_CONVE_PPTO].[Periodo].&amp;[" &amp; TEXT(BE$6,"yyyymm")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105616.85213518124</v>
      </c>
      <c r="BF16" s="8">
        <f>IFERROR(
GETPIVOTDATA(
"[BASE_CONVE_PPTO].[Importe]",
TDinamica_P!$A$5,
"[BASE_CONVE_PPTO].[Periodo]",
"[BASE_CONVE_PPTO].[Periodo].&amp;[" &amp; TEXT(BF$6,"yyyymm")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104447.40035701076</v>
      </c>
      <c r="BG16" s="8">
        <f>IFERROR(
GETPIVOTDATA(
"[BASE_CONVE_PPTO].[Importe]",
TDinamica_P!$A$5,
"[BASE_CONVE_PPTO].[Periodo]",
"[BASE_CONVE_PPTO].[Periodo].&amp;[" &amp; TEXT(BG$6,"yyyymm")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105036.30648177901</v>
      </c>
      <c r="BH16" s="8">
        <f>IFERROR(
GETPIVOTDATA(
"[BASE_CONVE_PPTO].[Importe]",
TDinamica_P!$A$5,
"[BASE_CONVE_PPTO].[Periodo]",
"[BASE_CONVE_PPTO].[Periodo].&amp;[" &amp; TEXT(BH$6,"yyyymm")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104112.84667509509</v>
      </c>
      <c r="BI16" s="8">
        <f>IFERROR(
GETPIVOTDATA(
"[BASE_CONVE_PPTO].[Importe]",
TDinamica_P!$A$5,
"[BASE_CONVE_PPTO].[Periodo]",
"[BASE_CONVE_PPTO].[Periodo].&amp;[" &amp; TEXT(BI$6,"yyyymm")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103864.20261511383</v>
      </c>
      <c r="BJ16" s="8">
        <f>IFERROR(
GETPIVOTDATA(
"[BASE_CONVE_PPTO].[Importe]",
TDinamica_P!$A$5,
"[BASE_CONVE_PPTO].[Periodo]",
"[BASE_CONVE_PPTO].[Periodo].&amp;[" &amp; TEXT(BJ$6,"yyyymm")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103871.32226376615</v>
      </c>
      <c r="BK16" s="8">
        <f>IFERROR(
GETPIVOTDATA(
"[BASE_CONVE_PPTO].[Importe]",
TDinamica_P!$A$5,
"[BASE_CONVE_PPTO].[Periodo]",
"[BASE_CONVE_PPTO].[Periodo].&amp;[" &amp; TEXT(BK$6,"yyyymm")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104041.06318595304</v>
      </c>
      <c r="BO16" s="24">
        <f t="shared" si="10"/>
        <v>122227.50884400001</v>
      </c>
      <c r="BP16" s="24">
        <f t="shared" si="10"/>
        <v>109781.35422790881</v>
      </c>
      <c r="BQ16" s="24">
        <f t="shared" si="10"/>
        <v>123336.52344749999</v>
      </c>
      <c r="BR16" s="24">
        <f t="shared" si="10"/>
        <v>95328.154916000014</v>
      </c>
      <c r="BS16" s="24">
        <f t="shared" si="10"/>
        <v>72702.93982</v>
      </c>
      <c r="BT16" s="24">
        <f t="shared" si="10"/>
        <v>73719.73176000001</v>
      </c>
      <c r="BW16" s="24">
        <f t="shared" si="11"/>
        <v>611137.54422000004</v>
      </c>
      <c r="BX16" s="24">
        <f t="shared" si="11"/>
        <v>548906.77113954409</v>
      </c>
      <c r="BY16" s="24">
        <f t="shared" si="11"/>
        <v>493346.09378999996</v>
      </c>
      <c r="BZ16" s="24">
        <f t="shared" si="11"/>
        <v>476640.77458000008</v>
      </c>
      <c r="CA16" s="24">
        <f t="shared" si="11"/>
        <v>363514.69909999997</v>
      </c>
      <c r="CB16" s="24">
        <f t="shared" si="11"/>
        <v>368598.65880000003</v>
      </c>
    </row>
    <row r="17" spans="1:80" x14ac:dyDescent="0.25">
      <c r="C17" s="3" t="s">
        <v>56</v>
      </c>
      <c r="D17" s="10">
        <f>SUM(D14:D16)</f>
        <v>4533270.9257656895</v>
      </c>
      <c r="E17" s="10">
        <f t="shared" ref="E17:AY17" si="12">SUM(E14:E16)</f>
        <v>4601293.0371774193</v>
      </c>
      <c r="F17" s="10">
        <f t="shared" si="12"/>
        <v>4662529.0235700002</v>
      </c>
      <c r="G17" s="10">
        <f t="shared" si="12"/>
        <v>4722200.4261206808</v>
      </c>
      <c r="H17" s="10">
        <f t="shared" si="12"/>
        <v>4766521.3905326398</v>
      </c>
      <c r="I17" s="10">
        <f t="shared" si="12"/>
        <v>4824694.8941015005</v>
      </c>
      <c r="J17" s="10">
        <f t="shared" si="12"/>
        <v>4872169.0673774406</v>
      </c>
      <c r="K17" s="10">
        <f t="shared" si="12"/>
        <v>4928051.0206201598</v>
      </c>
      <c r="L17" s="10">
        <f t="shared" si="12"/>
        <v>4987705.6647638101</v>
      </c>
      <c r="M17" s="10">
        <f t="shared" si="12"/>
        <v>5044387.9785967497</v>
      </c>
      <c r="N17" s="10">
        <f t="shared" si="12"/>
        <v>5103708.4913459001</v>
      </c>
      <c r="O17" s="10">
        <f t="shared" si="12"/>
        <v>5145855.8904804904</v>
      </c>
      <c r="P17" s="10">
        <f t="shared" si="12"/>
        <v>5185100.1541886395</v>
      </c>
      <c r="Q17" s="10">
        <f t="shared" si="12"/>
        <v>5247896.5545611195</v>
      </c>
      <c r="R17" s="10">
        <f t="shared" si="12"/>
        <v>5319166.3947262997</v>
      </c>
      <c r="S17" s="10">
        <f t="shared" si="12"/>
        <v>5407253.0101650003</v>
      </c>
      <c r="T17" s="10">
        <f t="shared" si="12"/>
        <v>5481023.9993893998</v>
      </c>
      <c r="U17" s="10">
        <f t="shared" si="12"/>
        <v>5565044.7656134991</v>
      </c>
      <c r="V17" s="10">
        <f t="shared" si="12"/>
        <v>5642405.6606815001</v>
      </c>
      <c r="W17" s="10">
        <f t="shared" si="12"/>
        <v>5692533.0954425</v>
      </c>
      <c r="X17" s="10">
        <f t="shared" si="12"/>
        <v>5713169.5010652011</v>
      </c>
      <c r="Y17" s="10">
        <f t="shared" si="12"/>
        <v>5517660.5304565998</v>
      </c>
      <c r="Z17" s="10">
        <f t="shared" si="12"/>
        <v>5661453.3192389002</v>
      </c>
      <c r="AA17" s="10">
        <f t="shared" si="12"/>
        <v>5608083.5582653005</v>
      </c>
      <c r="AB17" s="10">
        <f t="shared" si="12"/>
        <v>5557331.7534369007</v>
      </c>
      <c r="AC17" s="10">
        <f t="shared" si="12"/>
        <v>5526484.3037200002</v>
      </c>
      <c r="AD17" s="10">
        <f t="shared" si="12"/>
        <v>5522459.7082656994</v>
      </c>
      <c r="AE17" s="10">
        <f t="shared" si="12"/>
        <v>5507864.7710648999</v>
      </c>
      <c r="AF17" s="10">
        <f t="shared" si="12"/>
        <v>5528046.3589093992</v>
      </c>
      <c r="AG17" s="10">
        <f t="shared" si="12"/>
        <v>5540163.3583288994</v>
      </c>
      <c r="AH17" s="10">
        <f t="shared" si="12"/>
        <v>5560463.8577109603</v>
      </c>
      <c r="AI17" s="10">
        <f t="shared" si="12"/>
        <v>5585650.546147</v>
      </c>
      <c r="AJ17" s="10">
        <f t="shared" si="12"/>
        <v>5604503.0049428996</v>
      </c>
      <c r="AK17" s="10">
        <f t="shared" si="12"/>
        <v>5593372.0822405005</v>
      </c>
      <c r="AL17" s="10">
        <f t="shared" si="12"/>
        <v>5548752.5446036998</v>
      </c>
      <c r="AM17" s="10">
        <f t="shared" si="12"/>
        <v>5498290.3000222007</v>
      </c>
      <c r="AN17" s="10">
        <f t="shared" si="12"/>
        <v>5458125.330000001</v>
      </c>
      <c r="AO17" s="10">
        <f t="shared" si="12"/>
        <v>5430012.7000000002</v>
      </c>
      <c r="AP17" s="10">
        <f t="shared" si="12"/>
        <v>5416954.96</v>
      </c>
      <c r="AQ17" s="10">
        <f t="shared" si="12"/>
        <v>5427518.4438108588</v>
      </c>
      <c r="AR17" s="10">
        <f t="shared" si="12"/>
        <v>5445977.5341506815</v>
      </c>
      <c r="AS17" s="10">
        <f t="shared" si="12"/>
        <v>5465338.1882534483</v>
      </c>
      <c r="AT17" s="10">
        <f t="shared" si="12"/>
        <v>0</v>
      </c>
      <c r="AU17" s="10">
        <f t="shared" si="12"/>
        <v>0</v>
      </c>
      <c r="AV17" s="10">
        <f t="shared" si="12"/>
        <v>0</v>
      </c>
      <c r="AW17" s="10">
        <f t="shared" si="12"/>
        <v>0</v>
      </c>
      <c r="AX17" s="10">
        <f t="shared" si="12"/>
        <v>0</v>
      </c>
      <c r="AY17" s="10">
        <f t="shared" si="12"/>
        <v>0</v>
      </c>
      <c r="AZ17" s="10">
        <f>SUM(AZ14:AZ16)</f>
        <v>5682876.8283276409</v>
      </c>
      <c r="BA17" s="10">
        <f t="shared" ref="BA17:BK17" si="13">SUM(BA14:BA16)</f>
        <v>5700089.3530972749</v>
      </c>
      <c r="BB17" s="10">
        <f t="shared" si="13"/>
        <v>5732603.3667907594</v>
      </c>
      <c r="BC17" s="10">
        <f t="shared" si="13"/>
        <v>5754669.885007075</v>
      </c>
      <c r="BD17" s="10">
        <f t="shared" si="13"/>
        <v>5775916.1385817574</v>
      </c>
      <c r="BE17" s="10">
        <f t="shared" si="13"/>
        <v>5803149.2049865928</v>
      </c>
      <c r="BF17" s="10">
        <f t="shared" si="13"/>
        <v>5831599.2213486116</v>
      </c>
      <c r="BG17" s="10">
        <f t="shared" si="13"/>
        <v>5860583.7247381201</v>
      </c>
      <c r="BH17" s="10">
        <f t="shared" si="13"/>
        <v>5897179.4223944433</v>
      </c>
      <c r="BI17" s="10">
        <f t="shared" si="13"/>
        <v>5925971.4388882639</v>
      </c>
      <c r="BJ17" s="10">
        <f t="shared" si="13"/>
        <v>5953171.5548905944</v>
      </c>
      <c r="BK17" s="10">
        <f t="shared" si="13"/>
        <v>5973791.2560169147</v>
      </c>
      <c r="BO17" s="23">
        <f>SUM(BO14:BO16)</f>
        <v>5435717.7935923086</v>
      </c>
      <c r="BP17" s="23">
        <f t="shared" ref="BP17:BT17" si="14">SUM(BP14:BP16)</f>
        <v>5729231.1143609015</v>
      </c>
      <c r="BQ17" s="23">
        <f t="shared" si="14"/>
        <v>5433152.858452714</v>
      </c>
      <c r="BR17" s="23">
        <f t="shared" si="14"/>
        <v>5528437.3790793791</v>
      </c>
      <c r="BS17" s="23">
        <f t="shared" si="14"/>
        <v>5328088.0226060925</v>
      </c>
      <c r="BT17" s="23">
        <f t="shared" si="14"/>
        <v>4657162.9606332863</v>
      </c>
      <c r="BW17" s="23">
        <f>SUM(BW14:BW16)</f>
        <v>27178588.967961542</v>
      </c>
      <c r="BX17" s="23">
        <f t="shared" ref="BX17:CB17" si="15">SUM(BX14:BX16)</f>
        <v>28646155.571804505</v>
      </c>
      <c r="BY17" s="23">
        <f t="shared" si="15"/>
        <v>21732611.433810856</v>
      </c>
      <c r="BZ17" s="23">
        <f t="shared" si="15"/>
        <v>27642186.895396903</v>
      </c>
      <c r="CA17" s="23">
        <f t="shared" si="15"/>
        <v>26640440.113030456</v>
      </c>
      <c r="CB17" s="23">
        <f t="shared" si="15"/>
        <v>23285814.80316643</v>
      </c>
    </row>
    <row r="18" spans="1:80" x14ac:dyDescent="0.25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80" x14ac:dyDescent="0.25"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80" outlineLevel="1" x14ac:dyDescent="0.25">
      <c r="A20" s="11"/>
      <c r="C20" s="2" t="s">
        <v>0</v>
      </c>
      <c r="D20" s="14">
        <f>IFERROR(((1+D38/D14)^(360/D$3))-1,0)</f>
        <v>0.12194498491147154</v>
      </c>
      <c r="E20" s="14">
        <f t="shared" ref="E20:AY23" si="16">IFERROR(((1+E38/E14)^(360/E$3))-1,0)</f>
        <v>0.11937100625623676</v>
      </c>
      <c r="F20" s="14">
        <f t="shared" si="16"/>
        <v>0.11930440422118993</v>
      </c>
      <c r="G20" s="14">
        <f t="shared" si="16"/>
        <v>0.11844442498162366</v>
      </c>
      <c r="H20" s="14">
        <f t="shared" si="16"/>
        <v>0.11916318834542983</v>
      </c>
      <c r="I20" s="14">
        <f t="shared" si="16"/>
        <v>0.1207878306735013</v>
      </c>
      <c r="J20" s="14">
        <f t="shared" si="16"/>
        <v>0.12011516370612418</v>
      </c>
      <c r="K20" s="14">
        <f t="shared" si="16"/>
        <v>0.12106837651490099</v>
      </c>
      <c r="L20" s="14">
        <f t="shared" si="16"/>
        <v>0.12067230776846949</v>
      </c>
      <c r="M20" s="14">
        <f t="shared" si="16"/>
        <v>0.11988054048479557</v>
      </c>
      <c r="N20" s="14">
        <f t="shared" si="16"/>
        <v>0.11982889020629783</v>
      </c>
      <c r="O20" s="14">
        <f t="shared" si="16"/>
        <v>0.12002063033926591</v>
      </c>
      <c r="P20" s="14">
        <f t="shared" si="16"/>
        <v>0.11940181265516836</v>
      </c>
      <c r="Q20" s="14">
        <f t="shared" si="16"/>
        <v>0.12217751416784095</v>
      </c>
      <c r="R20" s="14">
        <f t="shared" si="16"/>
        <v>0.11801548955641405</v>
      </c>
      <c r="S20" s="14">
        <f t="shared" si="16"/>
        <v>0.11565527784749863</v>
      </c>
      <c r="T20" s="14">
        <f t="shared" si="16"/>
        <v>0.11823256708859242</v>
      </c>
      <c r="U20" s="14">
        <f t="shared" si="16"/>
        <v>0.11842877568940779</v>
      </c>
      <c r="V20" s="14">
        <f t="shared" si="16"/>
        <v>0.11896226552143618</v>
      </c>
      <c r="W20" s="14">
        <f t="shared" si="16"/>
        <v>0.11902819371724682</v>
      </c>
      <c r="X20" s="14">
        <f t="shared" si="16"/>
        <v>0.11952663156835719</v>
      </c>
      <c r="Y20" s="14">
        <f t="shared" si="16"/>
        <v>0.12279750720114091</v>
      </c>
      <c r="Z20" s="14">
        <f t="shared" si="16"/>
        <v>0.1190734163303111</v>
      </c>
      <c r="AA20" s="14">
        <f t="shared" si="16"/>
        <v>0.11789824906428881</v>
      </c>
      <c r="AB20" s="14">
        <f t="shared" si="16"/>
        <v>0.11833645107742874</v>
      </c>
      <c r="AC20" s="14">
        <f t="shared" si="16"/>
        <v>0.11763421084269221</v>
      </c>
      <c r="AD20" s="14">
        <f t="shared" si="16"/>
        <v>0.11855324283246471</v>
      </c>
      <c r="AE20" s="14">
        <f t="shared" si="16"/>
        <v>0.11781798556934109</v>
      </c>
      <c r="AF20" s="14">
        <f t="shared" si="16"/>
        <v>0.11891391377847782</v>
      </c>
      <c r="AG20" s="14">
        <f t="shared" si="16"/>
        <v>0.11744574222225546</v>
      </c>
      <c r="AH20" s="14">
        <f t="shared" si="16"/>
        <v>0.11711408316841898</v>
      </c>
      <c r="AI20" s="14">
        <f t="shared" si="16"/>
        <v>0.11555660358588926</v>
      </c>
      <c r="AJ20" s="14">
        <f t="shared" si="16"/>
        <v>0.1161989301962667</v>
      </c>
      <c r="AK20" s="14">
        <f t="shared" si="16"/>
        <v>0.11741999157301275</v>
      </c>
      <c r="AL20" s="14">
        <f t="shared" si="16"/>
        <v>0.11625085632745291</v>
      </c>
      <c r="AM20" s="14">
        <f t="shared" si="16"/>
        <v>0.11599491865406586</v>
      </c>
      <c r="AN20" s="14">
        <f t="shared" si="16"/>
        <v>0.1150039854583722</v>
      </c>
      <c r="AO20" s="14">
        <f t="shared" si="16"/>
        <v>0.11380105261199058</v>
      </c>
      <c r="AP20" s="14">
        <f t="shared" si="16"/>
        <v>0.11417910608241288</v>
      </c>
      <c r="AQ20" s="14">
        <f t="shared" si="16"/>
        <v>0.11359006622188295</v>
      </c>
      <c r="AR20" s="14">
        <f t="shared" si="16"/>
        <v>0.11341790395752893</v>
      </c>
      <c r="AS20" s="14">
        <f t="shared" si="16"/>
        <v>0.11213631370783972</v>
      </c>
      <c r="AT20" s="14">
        <f t="shared" si="16"/>
        <v>0</v>
      </c>
      <c r="AU20" s="14">
        <f t="shared" si="16"/>
        <v>0</v>
      </c>
      <c r="AV20" s="14">
        <f t="shared" si="16"/>
        <v>0</v>
      </c>
      <c r="AW20" s="14">
        <f t="shared" si="16"/>
        <v>0</v>
      </c>
      <c r="AX20" s="14">
        <f t="shared" si="16"/>
        <v>0</v>
      </c>
      <c r="AY20" s="14">
        <f t="shared" si="16"/>
        <v>0</v>
      </c>
      <c r="AZ20" s="14">
        <f t="shared" ref="AZ20:BK23" si="17">IFERROR(((1+AZ38/AZ14)^(360/AZ$3))-1,0)</f>
        <v>0.11460467363029214</v>
      </c>
      <c r="BA20" s="14">
        <f t="shared" si="17"/>
        <v>0.11522219783836851</v>
      </c>
      <c r="BB20" s="14">
        <f t="shared" si="17"/>
        <v>0.11351057290071664</v>
      </c>
      <c r="BC20" s="14">
        <f t="shared" si="17"/>
        <v>0.11389495822142326</v>
      </c>
      <c r="BD20" s="14">
        <f t="shared" si="17"/>
        <v>0.11333072427472612</v>
      </c>
      <c r="BE20" s="14">
        <f t="shared" si="17"/>
        <v>0.11326263769163103</v>
      </c>
      <c r="BF20" s="14">
        <f t="shared" si="17"/>
        <v>0.1134787895863556</v>
      </c>
      <c r="BG20" s="14">
        <f t="shared" si="17"/>
        <v>0.11340724391174972</v>
      </c>
      <c r="BH20" s="14">
        <f t="shared" si="17"/>
        <v>0.11309325625844369</v>
      </c>
      <c r="BI20" s="14">
        <f t="shared" si="17"/>
        <v>0.11367425641534612</v>
      </c>
      <c r="BJ20" s="14">
        <f t="shared" si="17"/>
        <v>0.11280683150376092</v>
      </c>
      <c r="BK20" s="14">
        <f t="shared" si="17"/>
        <v>0.11338326724147363</v>
      </c>
      <c r="BO20" s="28">
        <f>IFERROR(((1+BO38/BW14)^(360/BO$3))-1,0)</f>
        <v>0.11399860581552956</v>
      </c>
      <c r="BP20" s="28">
        <f t="shared" ref="BP20:BT23" si="18">IFERROR(((1+BP38/BX14)^(360/BP$3))-1,0)</f>
        <v>0.11410865109368484</v>
      </c>
      <c r="BQ20" s="28">
        <f t="shared" si="18"/>
        <v>0.11414436427225128</v>
      </c>
      <c r="BR20" s="28">
        <f t="shared" si="18"/>
        <v>0.11825134719145902</v>
      </c>
      <c r="BS20" s="28">
        <f t="shared" si="18"/>
        <v>0.1186681830884897</v>
      </c>
      <c r="BT20" s="28">
        <f t="shared" si="18"/>
        <v>0.11962707034892128</v>
      </c>
    </row>
    <row r="21" spans="1:80" outlineLevel="1" x14ac:dyDescent="0.25">
      <c r="A21" s="11"/>
      <c r="C21" s="2" t="s">
        <v>1</v>
      </c>
      <c r="D21" s="14">
        <f t="shared" ref="D21:S23" si="19">IFERROR(((1+D39/D15)^(360/D$3))-1,0)</f>
        <v>0.11539199887204266</v>
      </c>
      <c r="E21" s="14">
        <f t="shared" si="19"/>
        <v>0.11193414641796418</v>
      </c>
      <c r="F21" s="14">
        <f t="shared" si="19"/>
        <v>0.10782087824713926</v>
      </c>
      <c r="G21" s="14">
        <f t="shared" si="19"/>
        <v>0.11061326655998371</v>
      </c>
      <c r="H21" s="14">
        <f t="shared" si="19"/>
        <v>0.10224964827995997</v>
      </c>
      <c r="I21" s="14">
        <f t="shared" si="19"/>
        <v>0.10507691333555513</v>
      </c>
      <c r="J21" s="14">
        <f t="shared" si="19"/>
        <v>0.1240579342216297</v>
      </c>
      <c r="K21" s="14">
        <f t="shared" si="19"/>
        <v>0.11642703316910641</v>
      </c>
      <c r="L21" s="14">
        <f t="shared" si="19"/>
        <v>0.11608487479991836</v>
      </c>
      <c r="M21" s="14">
        <f t="shared" si="19"/>
        <v>0.11595971575635855</v>
      </c>
      <c r="N21" s="14">
        <f t="shared" si="19"/>
        <v>0.11579959951541507</v>
      </c>
      <c r="O21" s="14">
        <f t="shared" si="19"/>
        <v>0.11565806967578318</v>
      </c>
      <c r="P21" s="14">
        <f t="shared" si="19"/>
        <v>0.11340740780434055</v>
      </c>
      <c r="Q21" s="14">
        <f t="shared" si="19"/>
        <v>0.10892483499375949</v>
      </c>
      <c r="R21" s="14">
        <f t="shared" si="19"/>
        <v>0.11380332070474908</v>
      </c>
      <c r="S21" s="14">
        <f t="shared" si="19"/>
        <v>0.10824597614351839</v>
      </c>
      <c r="T21" s="14">
        <f t="shared" si="16"/>
        <v>0.11656670012550463</v>
      </c>
      <c r="U21" s="14">
        <f t="shared" si="16"/>
        <v>0.10449632800784059</v>
      </c>
      <c r="V21" s="14">
        <f t="shared" si="16"/>
        <v>0.11933147732767391</v>
      </c>
      <c r="W21" s="14">
        <f t="shared" si="16"/>
        <v>0.11875777232843521</v>
      </c>
      <c r="X21" s="14">
        <f t="shared" si="16"/>
        <v>0.12163065770287962</v>
      </c>
      <c r="Y21" s="14">
        <f t="shared" si="16"/>
        <v>0.12222717608750688</v>
      </c>
      <c r="Z21" s="14">
        <f t="shared" si="16"/>
        <v>0.11524715108111994</v>
      </c>
      <c r="AA21" s="14">
        <f t="shared" si="16"/>
        <v>0.1232269974868927</v>
      </c>
      <c r="AB21" s="14">
        <f t="shared" si="16"/>
        <v>0.12146855346390195</v>
      </c>
      <c r="AC21" s="14">
        <f t="shared" si="16"/>
        <v>0.1119620505038319</v>
      </c>
      <c r="AD21" s="14">
        <f t="shared" si="16"/>
        <v>0.11431685429864813</v>
      </c>
      <c r="AE21" s="14">
        <f t="shared" si="16"/>
        <v>0.11694164234150195</v>
      </c>
      <c r="AF21" s="14">
        <f t="shared" si="16"/>
        <v>0.11548230886906197</v>
      </c>
      <c r="AG21" s="14">
        <f t="shared" si="16"/>
        <v>0.1112910734185184</v>
      </c>
      <c r="AH21" s="14">
        <f t="shared" si="16"/>
        <v>0.11352274681400987</v>
      </c>
      <c r="AI21" s="14">
        <f t="shared" si="16"/>
        <v>0.11984163094389233</v>
      </c>
      <c r="AJ21" s="14">
        <f t="shared" si="16"/>
        <v>0.11936903162154655</v>
      </c>
      <c r="AK21" s="14">
        <f t="shared" si="16"/>
        <v>0.11836526535806358</v>
      </c>
      <c r="AL21" s="14">
        <f t="shared" si="16"/>
        <v>0.11412347668550438</v>
      </c>
      <c r="AM21" s="14">
        <f t="shared" si="16"/>
        <v>0.11158483653717854</v>
      </c>
      <c r="AN21" s="14">
        <f t="shared" si="16"/>
        <v>0.11548554897024377</v>
      </c>
      <c r="AO21" s="14">
        <f t="shared" si="16"/>
        <v>0.11319446634787012</v>
      </c>
      <c r="AP21" s="14">
        <f t="shared" si="16"/>
        <v>0.10625648070051996</v>
      </c>
      <c r="AQ21" s="14">
        <f t="shared" si="16"/>
        <v>0.11063174332095338</v>
      </c>
      <c r="AR21" s="14">
        <f t="shared" si="16"/>
        <v>0.10675548717508931</v>
      </c>
      <c r="AS21" s="14">
        <f t="shared" si="16"/>
        <v>0.11023205048014217</v>
      </c>
      <c r="AT21" s="14">
        <f t="shared" si="16"/>
        <v>0</v>
      </c>
      <c r="AU21" s="14">
        <f t="shared" si="16"/>
        <v>0</v>
      </c>
      <c r="AV21" s="14">
        <f t="shared" si="16"/>
        <v>0</v>
      </c>
      <c r="AW21" s="14">
        <f t="shared" si="16"/>
        <v>0</v>
      </c>
      <c r="AX21" s="14">
        <f t="shared" si="16"/>
        <v>0</v>
      </c>
      <c r="AY21" s="14">
        <f t="shared" si="16"/>
        <v>0</v>
      </c>
      <c r="AZ21" s="14">
        <f t="shared" si="17"/>
        <v>0.11864838223937624</v>
      </c>
      <c r="BA21" s="14">
        <f t="shared" si="17"/>
        <v>0.11922647149383048</v>
      </c>
      <c r="BB21" s="14">
        <f t="shared" si="17"/>
        <v>0.11758326453656842</v>
      </c>
      <c r="BC21" s="14">
        <f t="shared" si="17"/>
        <v>0.1157156636081782</v>
      </c>
      <c r="BD21" s="14">
        <f t="shared" si="17"/>
        <v>0.11427435970938271</v>
      </c>
      <c r="BE21" s="14">
        <f t="shared" si="17"/>
        <v>0.11301457665288406</v>
      </c>
      <c r="BF21" s="14">
        <f t="shared" si="17"/>
        <v>0.1131311238760917</v>
      </c>
      <c r="BG21" s="14">
        <f t="shared" si="17"/>
        <v>0.11272021220264139</v>
      </c>
      <c r="BH21" s="14">
        <f t="shared" si="17"/>
        <v>0.11261928361175455</v>
      </c>
      <c r="BI21" s="14">
        <f t="shared" si="17"/>
        <v>0.11294576835022818</v>
      </c>
      <c r="BJ21" s="14">
        <f t="shared" si="17"/>
        <v>0.11208618055238539</v>
      </c>
      <c r="BK21" s="14">
        <f t="shared" si="17"/>
        <v>0.11260977209360079</v>
      </c>
      <c r="BO21" s="28">
        <f t="shared" ref="BO21:BO23" si="20">IFERROR(((1+BO39/BW15)^(360/BO$3))-1,0)</f>
        <v>0.1105231451372759</v>
      </c>
      <c r="BP21" s="28">
        <f t="shared" si="18"/>
        <v>0.11705782826276234</v>
      </c>
      <c r="BQ21" s="28">
        <f t="shared" si="18"/>
        <v>0.11142429950342714</v>
      </c>
      <c r="BR21" s="28">
        <f t="shared" si="18"/>
        <v>0.11596772281568746</v>
      </c>
      <c r="BS21" s="28">
        <f t="shared" si="18"/>
        <v>0.11213900064406124</v>
      </c>
      <c r="BT21" s="28">
        <f t="shared" si="18"/>
        <v>0.10959989420785132</v>
      </c>
    </row>
    <row r="22" spans="1:80" outlineLevel="1" x14ac:dyDescent="0.25">
      <c r="A22" s="11"/>
      <c r="C22" s="2" t="s">
        <v>45</v>
      </c>
      <c r="D22" s="14">
        <f t="shared" si="19"/>
        <v>4.4265040762140107E-2</v>
      </c>
      <c r="E22" s="14">
        <f t="shared" si="16"/>
        <v>5.4540722854190982E-2</v>
      </c>
      <c r="F22" s="14">
        <f t="shared" si="16"/>
        <v>3.9470456278175581E-2</v>
      </c>
      <c r="G22" s="14">
        <f t="shared" si="16"/>
        <v>4.6911819603076887E-2</v>
      </c>
      <c r="H22" s="14">
        <f t="shared" si="16"/>
        <v>4.6242814740023341E-2</v>
      </c>
      <c r="I22" s="14">
        <f t="shared" si="16"/>
        <v>4.8649879965165566E-2</v>
      </c>
      <c r="J22" s="14">
        <f t="shared" si="16"/>
        <v>3.5903071812009912E-2</v>
      </c>
      <c r="K22" s="14">
        <f t="shared" si="16"/>
        <v>2.8981253319925626E-2</v>
      </c>
      <c r="L22" s="14">
        <f t="shared" si="16"/>
        <v>2.8560157711803535E-2</v>
      </c>
      <c r="M22" s="14">
        <f t="shared" si="16"/>
        <v>3.7648452972926849E-2</v>
      </c>
      <c r="N22" s="14">
        <f t="shared" si="16"/>
        <v>2.9050203795484064E-2</v>
      </c>
      <c r="O22" s="14">
        <f t="shared" si="16"/>
        <v>3.092104433764975E-2</v>
      </c>
      <c r="P22" s="14">
        <f t="shared" si="16"/>
        <v>3.5763081395348673E-2</v>
      </c>
      <c r="Q22" s="14">
        <f t="shared" si="16"/>
        <v>3.9263467196330115E-2</v>
      </c>
      <c r="R22" s="14">
        <f t="shared" si="16"/>
        <v>3.0452999938103131E-2</v>
      </c>
      <c r="S22" s="14">
        <f t="shared" si="16"/>
        <v>2.9901569174341169E-2</v>
      </c>
      <c r="T22" s="14">
        <f t="shared" si="16"/>
        <v>3.8633841144796621E-2</v>
      </c>
      <c r="U22" s="14">
        <f t="shared" si="16"/>
        <v>4.822027712596233E-2</v>
      </c>
      <c r="V22" s="14">
        <f t="shared" si="16"/>
        <v>3.5730451855058298E-2</v>
      </c>
      <c r="W22" s="14">
        <f t="shared" si="16"/>
        <v>2.6272067914630215E-2</v>
      </c>
      <c r="X22" s="14">
        <f t="shared" si="16"/>
        <v>2.1047978785933452E-2</v>
      </c>
      <c r="Y22" s="14">
        <f t="shared" si="16"/>
        <v>1.8304346810807948E-2</v>
      </c>
      <c r="Z22" s="14">
        <f t="shared" si="16"/>
        <v>2.084066135883833E-2</v>
      </c>
      <c r="AA22" s="14">
        <f t="shared" si="16"/>
        <v>2.3104128471069352E-2</v>
      </c>
      <c r="AB22" s="14">
        <f t="shared" si="16"/>
        <v>2.2777308746880331E-2</v>
      </c>
      <c r="AC22" s="14">
        <f t="shared" si="16"/>
        <v>2.7822960582457368E-2</v>
      </c>
      <c r="AD22" s="14">
        <f t="shared" si="16"/>
        <v>2.7779662590883714E-2</v>
      </c>
      <c r="AE22" s="14">
        <f t="shared" si="16"/>
        <v>2.1345530588540162E-2</v>
      </c>
      <c r="AF22" s="14">
        <f t="shared" si="16"/>
        <v>2.8214178394687428E-2</v>
      </c>
      <c r="AG22" s="14">
        <f t="shared" si="16"/>
        <v>2.636598094846887E-2</v>
      </c>
      <c r="AH22" s="14">
        <f t="shared" si="16"/>
        <v>2.2424302850247546E-2</v>
      </c>
      <c r="AI22" s="14">
        <f t="shared" si="16"/>
        <v>2.5924680372650055E-2</v>
      </c>
      <c r="AJ22" s="14">
        <f t="shared" si="16"/>
        <v>3.2730876379506224E-2</v>
      </c>
      <c r="AK22" s="14">
        <f t="shared" si="16"/>
        <v>2.1201114390029918E-2</v>
      </c>
      <c r="AL22" s="14">
        <f t="shared" si="16"/>
        <v>1.963934980125126E-2</v>
      </c>
      <c r="AM22" s="14">
        <f t="shared" si="16"/>
        <v>2.0445058266783001E-2</v>
      </c>
      <c r="AN22" s="14">
        <f t="shared" si="16"/>
        <v>2.390631403729393E-2</v>
      </c>
      <c r="AO22" s="14">
        <f t="shared" si="16"/>
        <v>2.454601705949444E-2</v>
      </c>
      <c r="AP22" s="14">
        <f t="shared" si="16"/>
        <v>3.1707539893265801E-2</v>
      </c>
      <c r="AQ22" s="14">
        <f t="shared" si="16"/>
        <v>2.2909250810149606E-2</v>
      </c>
      <c r="AR22" s="14">
        <f t="shared" si="16"/>
        <v>2.4992468677530022E-2</v>
      </c>
      <c r="AS22" s="14">
        <f t="shared" si="16"/>
        <v>3.3472353092328877E-2</v>
      </c>
      <c r="AT22" s="14">
        <f t="shared" si="16"/>
        <v>0</v>
      </c>
      <c r="AU22" s="14">
        <f t="shared" si="16"/>
        <v>0</v>
      </c>
      <c r="AV22" s="14">
        <f t="shared" si="16"/>
        <v>0</v>
      </c>
      <c r="AW22" s="14">
        <f t="shared" si="16"/>
        <v>0</v>
      </c>
      <c r="AX22" s="14">
        <f t="shared" si="16"/>
        <v>0</v>
      </c>
      <c r="AY22" s="14">
        <f t="shared" si="16"/>
        <v>0</v>
      </c>
      <c r="AZ22" s="14">
        <f t="shared" si="17"/>
        <v>3.0544255619135319E-2</v>
      </c>
      <c r="BA22" s="14">
        <f t="shared" si="17"/>
        <v>3.1470914558525687E-2</v>
      </c>
      <c r="BB22" s="14">
        <f t="shared" si="17"/>
        <v>3.1741551500244825E-2</v>
      </c>
      <c r="BC22" s="14">
        <f t="shared" si="17"/>
        <v>3.2782047490110822E-2</v>
      </c>
      <c r="BD22" s="14">
        <f t="shared" si="17"/>
        <v>3.2994590679570779E-2</v>
      </c>
      <c r="BE22" s="14">
        <f t="shared" si="17"/>
        <v>3.3381787631077797E-2</v>
      </c>
      <c r="BF22" s="14">
        <f t="shared" si="17"/>
        <v>3.4001962661184271E-2</v>
      </c>
      <c r="BG22" s="14">
        <f t="shared" si="17"/>
        <v>3.3957386066201689E-2</v>
      </c>
      <c r="BH22" s="14">
        <f t="shared" si="17"/>
        <v>3.4398040559586951E-2</v>
      </c>
      <c r="BI22" s="14">
        <f t="shared" si="17"/>
        <v>3.4829084331012172E-2</v>
      </c>
      <c r="BJ22" s="14">
        <f t="shared" si="17"/>
        <v>3.4733530255946388E-2</v>
      </c>
      <c r="BK22" s="14">
        <f t="shared" si="17"/>
        <v>3.4971080592553827E-2</v>
      </c>
      <c r="BO22" s="28">
        <f t="shared" si="20"/>
        <v>2.561111172983499E-2</v>
      </c>
      <c r="BP22" s="28">
        <f t="shared" si="18"/>
        <v>3.188351896752839E-2</v>
      </c>
      <c r="BQ22" s="28">
        <f t="shared" si="18"/>
        <v>2.575886972419128E-2</v>
      </c>
      <c r="BR22" s="28">
        <f t="shared" si="18"/>
        <v>2.55344401441846E-2</v>
      </c>
      <c r="BS22" s="28">
        <f t="shared" si="18"/>
        <v>3.480281457239065E-2</v>
      </c>
      <c r="BT22" s="28">
        <f t="shared" si="18"/>
        <v>4.6258484698241231E-2</v>
      </c>
    </row>
    <row r="23" spans="1:80" x14ac:dyDescent="0.25">
      <c r="C23" s="3" t="s">
        <v>59</v>
      </c>
      <c r="D23" s="15">
        <f t="shared" si="19"/>
        <v>0.1205590629987634</v>
      </c>
      <c r="E23" s="15">
        <f t="shared" si="16"/>
        <v>0.1182517144142845</v>
      </c>
      <c r="F23" s="15">
        <f t="shared" si="16"/>
        <v>0.11791568431959965</v>
      </c>
      <c r="G23" s="15">
        <f t="shared" si="16"/>
        <v>0.11725687538478224</v>
      </c>
      <c r="H23" s="15">
        <f t="shared" si="16"/>
        <v>0.11795411765861741</v>
      </c>
      <c r="I23" s="15">
        <f t="shared" si="16"/>
        <v>0.11965072486083073</v>
      </c>
      <c r="J23" s="15">
        <f t="shared" si="16"/>
        <v>0.11899699782568529</v>
      </c>
      <c r="K23" s="15">
        <f t="shared" si="16"/>
        <v>0.11977097074844378</v>
      </c>
      <c r="L23" s="15">
        <f t="shared" si="16"/>
        <v>0.11935169426685999</v>
      </c>
      <c r="M23" s="15">
        <f t="shared" si="16"/>
        <v>0.11870117257611223</v>
      </c>
      <c r="N23" s="15">
        <f t="shared" si="16"/>
        <v>0.11856666935812687</v>
      </c>
      <c r="O23" s="15">
        <f t="shared" si="16"/>
        <v>0.1187836686521242</v>
      </c>
      <c r="P23" s="15">
        <f t="shared" si="16"/>
        <v>0.11814848217129459</v>
      </c>
      <c r="Q23" s="15">
        <f t="shared" si="16"/>
        <v>0.12091825612531348</v>
      </c>
      <c r="R23" s="15">
        <f t="shared" si="16"/>
        <v>0.11678907147327</v>
      </c>
      <c r="S23" s="15">
        <f t="shared" si="16"/>
        <v>0.11440587995260643</v>
      </c>
      <c r="T23" s="15">
        <f t="shared" si="16"/>
        <v>0.11714197914666991</v>
      </c>
      <c r="U23" s="15">
        <f t="shared" si="16"/>
        <v>0.11747211689995218</v>
      </c>
      <c r="V23" s="15">
        <f t="shared" si="16"/>
        <v>0.11786921402545292</v>
      </c>
      <c r="W23" s="15">
        <f t="shared" si="16"/>
        <v>0.1177116907125797</v>
      </c>
      <c r="X23" s="15">
        <f t="shared" si="16"/>
        <v>0.11801359314548265</v>
      </c>
      <c r="Y23" s="15">
        <f t="shared" si="16"/>
        <v>0.12112533647620727</v>
      </c>
      <c r="Z23" s="15">
        <f t="shared" si="16"/>
        <v>0.1175593835644364</v>
      </c>
      <c r="AA23" s="15">
        <f t="shared" si="16"/>
        <v>0.11636505755640081</v>
      </c>
      <c r="AB23" s="15">
        <f t="shared" si="16"/>
        <v>0.11657795382941383</v>
      </c>
      <c r="AC23" s="15">
        <f t="shared" si="16"/>
        <v>0.11605657736557706</v>
      </c>
      <c r="AD23" s="15">
        <f t="shared" si="16"/>
        <v>0.11690290739931042</v>
      </c>
      <c r="AE23" s="15">
        <f t="shared" si="16"/>
        <v>0.11606181302299512</v>
      </c>
      <c r="AF23" s="15">
        <f t="shared" si="16"/>
        <v>0.11730061935390101</v>
      </c>
      <c r="AG23" s="15">
        <f t="shared" si="16"/>
        <v>0.11574499516977865</v>
      </c>
      <c r="AH23" s="15">
        <f t="shared" si="16"/>
        <v>0.11537011845371903</v>
      </c>
      <c r="AI23" s="15">
        <f t="shared" si="16"/>
        <v>0.11388060605457229</v>
      </c>
      <c r="AJ23" s="15">
        <f t="shared" si="16"/>
        <v>0.11457235518929787</v>
      </c>
      <c r="AK23" s="15">
        <f t="shared" si="16"/>
        <v>0.11534455294603996</v>
      </c>
      <c r="AL23" s="15">
        <f t="shared" si="16"/>
        <v>0.11412580465099276</v>
      </c>
      <c r="AM23" s="15">
        <f t="shared" si="16"/>
        <v>0.11387689256588573</v>
      </c>
      <c r="AN23" s="15">
        <f t="shared" si="16"/>
        <v>0.11281151292988834</v>
      </c>
      <c r="AO23" s="15">
        <f t="shared" si="16"/>
        <v>0.11161586277869584</v>
      </c>
      <c r="AP23" s="15">
        <f t="shared" si="16"/>
        <v>0.11221759363905104</v>
      </c>
      <c r="AQ23" s="15">
        <f t="shared" si="16"/>
        <v>0.11154738061553671</v>
      </c>
      <c r="AR23" s="15">
        <f t="shared" si="16"/>
        <v>0.11140103296801596</v>
      </c>
      <c r="AS23" s="15">
        <f t="shared" si="16"/>
        <v>0.11035536612527519</v>
      </c>
      <c r="AT23" s="15">
        <f t="shared" si="16"/>
        <v>0</v>
      </c>
      <c r="AU23" s="15">
        <f t="shared" si="16"/>
        <v>0</v>
      </c>
      <c r="AV23" s="15">
        <f t="shared" si="16"/>
        <v>0</v>
      </c>
      <c r="AW23" s="15">
        <f t="shared" si="16"/>
        <v>0</v>
      </c>
      <c r="AX23" s="15">
        <f t="shared" si="16"/>
        <v>0</v>
      </c>
      <c r="AY23" s="15">
        <f t="shared" si="16"/>
        <v>0</v>
      </c>
      <c r="AZ23" s="15">
        <f t="shared" si="17"/>
        <v>0.11287833571482531</v>
      </c>
      <c r="BA23" s="15">
        <f t="shared" si="17"/>
        <v>0.1135433818793401</v>
      </c>
      <c r="BB23" s="15">
        <f t="shared" si="17"/>
        <v>0.11191001062539385</v>
      </c>
      <c r="BC23" s="15">
        <f t="shared" si="17"/>
        <v>0.11234170799174703</v>
      </c>
      <c r="BD23" s="15">
        <f t="shared" si="17"/>
        <v>0.11180544392088443</v>
      </c>
      <c r="BE23" s="15">
        <f t="shared" si="17"/>
        <v>0.11175837476777462</v>
      </c>
      <c r="BF23" s="15">
        <f t="shared" si="17"/>
        <v>0.1120056510127263</v>
      </c>
      <c r="BG23" s="15">
        <f t="shared" si="17"/>
        <v>0.11193192825109444</v>
      </c>
      <c r="BH23" s="15">
        <f t="shared" si="17"/>
        <v>0.11165522028390762</v>
      </c>
      <c r="BI23" s="15">
        <f t="shared" si="17"/>
        <v>0.11224253153981323</v>
      </c>
      <c r="BJ23" s="15">
        <f t="shared" si="17"/>
        <v>0.11139591633944823</v>
      </c>
      <c r="BK23" s="15">
        <f t="shared" si="17"/>
        <v>0.11196837026514728</v>
      </c>
      <c r="BO23" s="29">
        <f t="shared" si="20"/>
        <v>0.11191907216669916</v>
      </c>
      <c r="BP23" s="29">
        <f t="shared" si="18"/>
        <v>0.11249258869642742</v>
      </c>
      <c r="BQ23" s="29">
        <f t="shared" si="18"/>
        <v>0.11204892234568353</v>
      </c>
      <c r="BR23" s="29">
        <f t="shared" si="18"/>
        <v>0.11658021905392579</v>
      </c>
      <c r="BS23" s="29">
        <f t="shared" si="18"/>
        <v>0.11745412649287745</v>
      </c>
      <c r="BT23" s="29">
        <f t="shared" si="18"/>
        <v>0.11837044359566318</v>
      </c>
    </row>
    <row r="26" spans="1:80" outlineLevel="1" x14ac:dyDescent="0.25">
      <c r="A26" s="11"/>
      <c r="C26" s="2" t="s">
        <v>0</v>
      </c>
      <c r="D26" s="14">
        <f>-IFERROR(((1-D44/D14)^(360/D$4))-1,0)</f>
        <v>-6.0738473457790265E-2</v>
      </c>
      <c r="E26" s="14">
        <f t="shared" ref="E26:AY29" si="21">-IFERROR(((1-E44/E14)^(360/E$4))-1,0)</f>
        <v>-6.2820022427003019E-2</v>
      </c>
      <c r="F26" s="14">
        <f t="shared" si="21"/>
        <v>-6.5053711236920497E-2</v>
      </c>
      <c r="G26" s="14">
        <f t="shared" si="21"/>
        <v>-6.7222751329313102E-2</v>
      </c>
      <c r="H26" s="14">
        <f t="shared" si="21"/>
        <v>-6.8491227295646162E-2</v>
      </c>
      <c r="I26" s="14">
        <f t="shared" si="21"/>
        <v>-6.9700158806995649E-2</v>
      </c>
      <c r="J26" s="14">
        <f t="shared" si="21"/>
        <v>-7.0453299935025138E-2</v>
      </c>
      <c r="K26" s="14">
        <f t="shared" si="21"/>
        <v>-7.1376470411807613E-2</v>
      </c>
      <c r="L26" s="14">
        <f t="shared" si="21"/>
        <v>-7.2065374365060775E-2</v>
      </c>
      <c r="M26" s="14">
        <f t="shared" si="21"/>
        <v>-7.2868821979275689E-2</v>
      </c>
      <c r="N26" s="14">
        <f t="shared" si="21"/>
        <v>-7.3470331477234696E-2</v>
      </c>
      <c r="O26" s="14">
        <f t="shared" si="21"/>
        <v>-7.3730709229122393E-2</v>
      </c>
      <c r="P26" s="14">
        <f t="shared" si="21"/>
        <v>-7.3713219135019159E-2</v>
      </c>
      <c r="Q26" s="14">
        <f t="shared" si="21"/>
        <v>-7.33995711323987E-2</v>
      </c>
      <c r="R26" s="14">
        <f t="shared" si="21"/>
        <v>-7.2962303846756615E-2</v>
      </c>
      <c r="S26" s="14">
        <f t="shared" si="21"/>
        <v>-7.2615420501773276E-2</v>
      </c>
      <c r="T26" s="14">
        <f t="shared" si="21"/>
        <v>-7.2354021473881369E-2</v>
      </c>
      <c r="U26" s="14">
        <f t="shared" si="21"/>
        <v>-7.1821481746267235E-2</v>
      </c>
      <c r="V26" s="14">
        <f t="shared" si="21"/>
        <v>-7.1363107342572452E-2</v>
      </c>
      <c r="W26" s="14">
        <f t="shared" si="21"/>
        <v>-7.0810731479869604E-2</v>
      </c>
      <c r="X26" s="14">
        <f t="shared" si="21"/>
        <v>-7.0148532840403233E-2</v>
      </c>
      <c r="Y26" s="14">
        <f t="shared" si="21"/>
        <v>-6.9508703024361074E-2</v>
      </c>
      <c r="Z26" s="14">
        <f t="shared" si="21"/>
        <v>-6.902731194256706E-2</v>
      </c>
      <c r="AA26" s="14">
        <f t="shared" si="21"/>
        <v>-6.8614341883498575E-2</v>
      </c>
      <c r="AB26" s="14">
        <f t="shared" si="21"/>
        <v>-6.8286819088053674E-2</v>
      </c>
      <c r="AC26" s="14">
        <f t="shared" si="21"/>
        <v>-6.7704560427328531E-2</v>
      </c>
      <c r="AD26" s="14">
        <f t="shared" si="21"/>
        <v>-6.6813432472920153E-2</v>
      </c>
      <c r="AE26" s="14">
        <f t="shared" si="21"/>
        <v>-6.5903519932644761E-2</v>
      </c>
      <c r="AF26" s="14">
        <f t="shared" si="21"/>
        <v>-6.5242011172604641E-2</v>
      </c>
      <c r="AG26" s="14">
        <f t="shared" si="21"/>
        <v>-6.4494982824560676E-2</v>
      </c>
      <c r="AH26" s="14">
        <f t="shared" si="21"/>
        <v>-6.3454618746941138E-2</v>
      </c>
      <c r="AI26" s="14">
        <f t="shared" si="21"/>
        <v>-6.2466246349418109E-2</v>
      </c>
      <c r="AJ26" s="14">
        <f t="shared" si="21"/>
        <v>-6.1623509581695934E-2</v>
      </c>
      <c r="AK26" s="14">
        <f t="shared" si="21"/>
        <v>-6.0384747204514477E-2</v>
      </c>
      <c r="AL26" s="14">
        <f t="shared" si="21"/>
        <v>-6.0682382243120614E-2</v>
      </c>
      <c r="AM26" s="14">
        <f t="shared" si="21"/>
        <v>-5.9986363049228109E-2</v>
      </c>
      <c r="AN26" s="14">
        <f t="shared" si="21"/>
        <v>-5.9535859976122651E-2</v>
      </c>
      <c r="AO26" s="14">
        <f t="shared" si="21"/>
        <v>-5.8838541946379053E-2</v>
      </c>
      <c r="AP26" s="14">
        <f t="shared" si="21"/>
        <v>-5.8158154189196676E-2</v>
      </c>
      <c r="AQ26" s="14">
        <f t="shared" si="21"/>
        <v>-5.7688210559985187E-2</v>
      </c>
      <c r="AR26" s="14">
        <f t="shared" si="21"/>
        <v>-5.7370306665981419E-2</v>
      </c>
      <c r="AS26" s="14">
        <f t="shared" si="21"/>
        <v>-5.6926283466480987E-2</v>
      </c>
      <c r="AT26" s="14">
        <f t="shared" si="21"/>
        <v>0</v>
      </c>
      <c r="AU26" s="14">
        <f t="shared" si="21"/>
        <v>0</v>
      </c>
      <c r="AV26" s="14">
        <f t="shared" si="21"/>
        <v>0</v>
      </c>
      <c r="AW26" s="14">
        <f t="shared" si="21"/>
        <v>0</v>
      </c>
      <c r="AX26" s="14">
        <f t="shared" si="21"/>
        <v>0</v>
      </c>
      <c r="AY26" s="14">
        <f t="shared" si="21"/>
        <v>0</v>
      </c>
      <c r="AZ26" s="14">
        <f t="shared" ref="AZ26:BK29" si="22">-IFERROR(((1-AZ44/AZ14)^(360/AZ$4))-1,0)</f>
        <v>-5.9028489423904151E-2</v>
      </c>
      <c r="BA26" s="14">
        <f t="shared" si="22"/>
        <v>-5.8436959073616679E-2</v>
      </c>
      <c r="BB26" s="14">
        <f t="shared" si="22"/>
        <v>-5.7816466894909269E-2</v>
      </c>
      <c r="BC26" s="14">
        <f t="shared" si="22"/>
        <v>-5.7277953254409208E-2</v>
      </c>
      <c r="BD26" s="14">
        <f t="shared" si="22"/>
        <v>-5.6792243226379213E-2</v>
      </c>
      <c r="BE26" s="14">
        <f t="shared" si="22"/>
        <v>-5.6306987642817496E-2</v>
      </c>
      <c r="BF26" s="14">
        <f t="shared" si="22"/>
        <v>-5.5846975702845469E-2</v>
      </c>
      <c r="BG26" s="14">
        <f t="shared" si="22"/>
        <v>-5.5435279067718612E-2</v>
      </c>
      <c r="BH26" s="14">
        <f t="shared" si="22"/>
        <v>-5.501522360791089E-2</v>
      </c>
      <c r="BI26" s="14">
        <f t="shared" si="22"/>
        <v>-5.4648399910676382E-2</v>
      </c>
      <c r="BJ26" s="14">
        <f t="shared" si="22"/>
        <v>-5.4312575555595988E-2</v>
      </c>
      <c r="BK26" s="14">
        <f t="shared" si="22"/>
        <v>-5.4015627460469506E-2</v>
      </c>
      <c r="BO26" s="28">
        <f>-IFERROR(((1-BO44/BW14)^(360/BO$4))-1,0)</f>
        <v>-5.8315029928491358E-2</v>
      </c>
      <c r="BP26" s="28">
        <f t="shared" ref="BP26:BT29" si="23">-IFERROR(((1-BP44/BX14)^(360/BP$4))-1,0)</f>
        <v>-5.786226134766026E-2</v>
      </c>
      <c r="BQ26" s="28">
        <f t="shared" si="23"/>
        <v>-5.8558637042188666E-2</v>
      </c>
      <c r="BR26" s="28">
        <f t="shared" si="23"/>
        <v>-6.6781167422329757E-2</v>
      </c>
      <c r="BS26" s="28">
        <f t="shared" si="23"/>
        <v>-7.3004176907306872E-2</v>
      </c>
      <c r="BT26" s="28">
        <f t="shared" si="23"/>
        <v>-6.4950592071713276E-2</v>
      </c>
    </row>
    <row r="27" spans="1:80" outlineLevel="1" x14ac:dyDescent="0.25">
      <c r="A27" s="11"/>
      <c r="C27" s="2" t="s">
        <v>1</v>
      </c>
      <c r="D27" s="14">
        <f t="shared" ref="D27:S29" si="24">-IFERROR(((1-D45/D15)^(360/D$4))-1,0)</f>
        <v>-5.339975364599403E-2</v>
      </c>
      <c r="E27" s="14">
        <f t="shared" si="24"/>
        <v>-5.4919494710684802E-2</v>
      </c>
      <c r="F27" s="14">
        <f t="shared" si="24"/>
        <v>-5.6583449115746198E-2</v>
      </c>
      <c r="G27" s="14">
        <f t="shared" si="24"/>
        <v>-5.8277800602745344E-2</v>
      </c>
      <c r="H27" s="14">
        <f t="shared" si="24"/>
        <v>-5.9337164798913378E-2</v>
      </c>
      <c r="I27" s="14">
        <f t="shared" si="24"/>
        <v>-6.1364628442142966E-2</v>
      </c>
      <c r="J27" s="14">
        <f t="shared" si="24"/>
        <v>-6.1477082883372391E-2</v>
      </c>
      <c r="K27" s="14">
        <f t="shared" si="24"/>
        <v>-6.3211836251106046E-2</v>
      </c>
      <c r="L27" s="14">
        <f t="shared" si="24"/>
        <v>-6.3695898449348975E-2</v>
      </c>
      <c r="M27" s="14">
        <f t="shared" si="24"/>
        <v>-6.4566521226534723E-2</v>
      </c>
      <c r="N27" s="14">
        <f t="shared" si="24"/>
        <v>-6.5525221793353516E-2</v>
      </c>
      <c r="O27" s="14">
        <f t="shared" si="24"/>
        <v>-6.646579380774309E-2</v>
      </c>
      <c r="P27" s="14">
        <f t="shared" si="24"/>
        <v>-6.6932783023775366E-2</v>
      </c>
      <c r="Q27" s="14">
        <f t="shared" si="24"/>
        <v>-6.7284766053359535E-2</v>
      </c>
      <c r="R27" s="14">
        <f t="shared" si="24"/>
        <v>-6.8622884558179553E-2</v>
      </c>
      <c r="S27" s="14">
        <f t="shared" si="24"/>
        <v>-6.8847496096234195E-2</v>
      </c>
      <c r="T27" s="14">
        <f t="shared" si="21"/>
        <v>-6.9136787840926139E-2</v>
      </c>
      <c r="U27" s="14">
        <f t="shared" si="21"/>
        <v>-6.9188292238288263E-2</v>
      </c>
      <c r="V27" s="14">
        <f t="shared" si="21"/>
        <v>-6.9206813719425275E-2</v>
      </c>
      <c r="W27" s="14">
        <f t="shared" si="21"/>
        <v>-6.9403180502686679E-2</v>
      </c>
      <c r="X27" s="14">
        <f t="shared" si="21"/>
        <v>-6.9219761635363808E-2</v>
      </c>
      <c r="Y27" s="14">
        <f t="shared" si="21"/>
        <v>-6.9348210925957554E-2</v>
      </c>
      <c r="Z27" s="14">
        <f t="shared" si="21"/>
        <v>-6.8928551990992126E-2</v>
      </c>
      <c r="AA27" s="14">
        <f t="shared" si="21"/>
        <v>-6.7970603905904481E-2</v>
      </c>
      <c r="AB27" s="14">
        <f t="shared" si="21"/>
        <v>-6.7713627886228034E-2</v>
      </c>
      <c r="AC27" s="14">
        <f t="shared" si="21"/>
        <v>-6.7431820637310791E-2</v>
      </c>
      <c r="AD27" s="14">
        <f t="shared" si="21"/>
        <v>-6.6847973977012032E-2</v>
      </c>
      <c r="AE27" s="14">
        <f t="shared" si="21"/>
        <v>-6.5862031110796027E-2</v>
      </c>
      <c r="AF27" s="14">
        <f t="shared" si="21"/>
        <v>-6.5128193137690804E-2</v>
      </c>
      <c r="AG27" s="14">
        <f t="shared" si="21"/>
        <v>-6.4546168005548354E-2</v>
      </c>
      <c r="AH27" s="14">
        <f t="shared" si="21"/>
        <v>-6.3844669296754475E-2</v>
      </c>
      <c r="AI27" s="14">
        <f t="shared" si="21"/>
        <v>-6.3536850983169968E-2</v>
      </c>
      <c r="AJ27" s="14">
        <f t="shared" si="21"/>
        <v>-6.3424512721787174E-2</v>
      </c>
      <c r="AK27" s="14">
        <f t="shared" si="21"/>
        <v>-6.3775777780470388E-2</v>
      </c>
      <c r="AL27" s="14">
        <f t="shared" si="21"/>
        <v>-6.2969110052512711E-2</v>
      </c>
      <c r="AM27" s="14">
        <f t="shared" si="21"/>
        <v>-6.2383506963579638E-2</v>
      </c>
      <c r="AN27" s="14">
        <f t="shared" si="21"/>
        <v>-6.2071269474075708E-2</v>
      </c>
      <c r="AO27" s="14">
        <f t="shared" si="21"/>
        <v>-6.1768617877885124E-2</v>
      </c>
      <c r="AP27" s="14">
        <f t="shared" si="21"/>
        <v>-6.1620978994232578E-2</v>
      </c>
      <c r="AQ27" s="14">
        <f t="shared" si="21"/>
        <v>-6.1451389742259277E-2</v>
      </c>
      <c r="AR27" s="14">
        <f t="shared" si="21"/>
        <v>-6.1475233088814418E-2</v>
      </c>
      <c r="AS27" s="14">
        <f t="shared" si="21"/>
        <v>-6.1474958291057424E-2</v>
      </c>
      <c r="AT27" s="14">
        <f t="shared" si="21"/>
        <v>0</v>
      </c>
      <c r="AU27" s="14">
        <f t="shared" si="21"/>
        <v>0</v>
      </c>
      <c r="AV27" s="14">
        <f t="shared" si="21"/>
        <v>0</v>
      </c>
      <c r="AW27" s="14">
        <f t="shared" si="21"/>
        <v>0</v>
      </c>
      <c r="AX27" s="14">
        <f t="shared" si="21"/>
        <v>0</v>
      </c>
      <c r="AY27" s="14">
        <f t="shared" si="21"/>
        <v>0</v>
      </c>
      <c r="AZ27" s="14">
        <f t="shared" si="22"/>
        <v>-6.1214665487239639E-2</v>
      </c>
      <c r="BA27" s="14">
        <f t="shared" si="22"/>
        <v>-6.0570310949608963E-2</v>
      </c>
      <c r="BB27" s="14">
        <f t="shared" si="22"/>
        <v>-5.9991183102210188E-2</v>
      </c>
      <c r="BC27" s="14">
        <f t="shared" si="22"/>
        <v>-5.8317268864309879E-2</v>
      </c>
      <c r="BD27" s="14">
        <f t="shared" si="22"/>
        <v>-5.7396953917493221E-2</v>
      </c>
      <c r="BE27" s="14">
        <f t="shared" si="22"/>
        <v>-5.6326792071904608E-2</v>
      </c>
      <c r="BF27" s="14">
        <f t="shared" si="22"/>
        <v>-5.5818870512946095E-2</v>
      </c>
      <c r="BG27" s="14">
        <f t="shared" si="22"/>
        <v>-5.5244911270129649E-2</v>
      </c>
      <c r="BH27" s="14">
        <f t="shared" si="22"/>
        <v>-5.4926819780980907E-2</v>
      </c>
      <c r="BI27" s="14">
        <f t="shared" si="22"/>
        <v>-5.4442093309431172E-2</v>
      </c>
      <c r="BJ27" s="14">
        <f t="shared" si="22"/>
        <v>-5.4108506134954437E-2</v>
      </c>
      <c r="BK27" s="14">
        <f t="shared" si="22"/>
        <v>-5.3789880684716795E-2</v>
      </c>
      <c r="BO27" s="28">
        <f t="shared" ref="BO27:BO29" si="25">-IFERROR(((1-BO45/BW15)^(360/BO$4))-1,0)</f>
        <v>-6.1664667509313098E-2</v>
      </c>
      <c r="BP27" s="28">
        <f t="shared" si="23"/>
        <v>-5.9470550068890127E-2</v>
      </c>
      <c r="BQ27" s="28">
        <f t="shared" si="23"/>
        <v>-6.1730485092347465E-2</v>
      </c>
      <c r="BR27" s="28">
        <f t="shared" si="23"/>
        <v>-6.656754863957004E-2</v>
      </c>
      <c r="BS27" s="28">
        <f t="shared" si="23"/>
        <v>-6.810284319107418E-2</v>
      </c>
      <c r="BT27" s="28">
        <f t="shared" si="23"/>
        <v>-5.6525035701644688E-2</v>
      </c>
    </row>
    <row r="28" spans="1:80" outlineLevel="1" x14ac:dyDescent="0.25">
      <c r="A28" s="11"/>
      <c r="C28" s="2" t="s">
        <v>45</v>
      </c>
      <c r="D28" s="14">
        <f t="shared" si="24"/>
        <v>-3.5364857693342966E-2</v>
      </c>
      <c r="E28" s="14">
        <f t="shared" si="21"/>
        <v>-3.6971760210185334E-2</v>
      </c>
      <c r="F28" s="14">
        <f t="shared" si="21"/>
        <v>-3.9700739247494621E-2</v>
      </c>
      <c r="G28" s="14">
        <f t="shared" si="21"/>
        <v>-4.0501125114943415E-2</v>
      </c>
      <c r="H28" s="14">
        <f t="shared" si="21"/>
        <v>-3.9070349139687988E-2</v>
      </c>
      <c r="I28" s="14">
        <f t="shared" si="21"/>
        <v>-4.0220240336306778E-2</v>
      </c>
      <c r="J28" s="14">
        <f t="shared" si="21"/>
        <v>-4.3875782982303768E-2</v>
      </c>
      <c r="K28" s="14">
        <f t="shared" si="21"/>
        <v>-5.4288600128965525E-2</v>
      </c>
      <c r="L28" s="14">
        <f t="shared" si="21"/>
        <v>-5.1257006422741336E-2</v>
      </c>
      <c r="M28" s="14">
        <f t="shared" si="21"/>
        <v>-5.7930138810333709E-2</v>
      </c>
      <c r="N28" s="14">
        <f t="shared" si="21"/>
        <v>-6.4015823985303033E-2</v>
      </c>
      <c r="O28" s="14">
        <f t="shared" si="21"/>
        <v>-6.5086253867039812E-2</v>
      </c>
      <c r="P28" s="14">
        <f t="shared" si="21"/>
        <v>-6.5966080413115691E-2</v>
      </c>
      <c r="Q28" s="14">
        <f t="shared" si="21"/>
        <v>-6.6538806604858003E-2</v>
      </c>
      <c r="R28" s="14">
        <f t="shared" si="21"/>
        <v>-6.6860186012109191E-2</v>
      </c>
      <c r="S28" s="14">
        <f t="shared" si="21"/>
        <v>-6.7715918063482983E-2</v>
      </c>
      <c r="T28" s="14">
        <f t="shared" si="21"/>
        <v>-6.8559415791837885E-2</v>
      </c>
      <c r="U28" s="14">
        <f t="shared" si="21"/>
        <v>-6.8114063168356553E-2</v>
      </c>
      <c r="V28" s="14">
        <f t="shared" si="21"/>
        <v>-6.7785576412113135E-2</v>
      </c>
      <c r="W28" s="14">
        <f t="shared" si="21"/>
        <v>-6.8492707800186237E-2</v>
      </c>
      <c r="X28" s="14">
        <f t="shared" si="21"/>
        <v>-6.8967153915706181E-2</v>
      </c>
      <c r="Y28" s="14">
        <f t="shared" si="21"/>
        <v>-6.8522505019206204E-2</v>
      </c>
      <c r="Z28" s="14">
        <f t="shared" si="21"/>
        <v>-6.7554015258856293E-2</v>
      </c>
      <c r="AA28" s="14">
        <f t="shared" si="21"/>
        <v>-6.743644393110193E-2</v>
      </c>
      <c r="AB28" s="14">
        <f t="shared" si="21"/>
        <v>-6.7589387762300168E-2</v>
      </c>
      <c r="AC28" s="14">
        <f t="shared" si="21"/>
        <v>-6.6831927098549126E-2</v>
      </c>
      <c r="AD28" s="14">
        <f t="shared" si="21"/>
        <v>-6.6554887483168734E-2</v>
      </c>
      <c r="AE28" s="14">
        <f t="shared" si="21"/>
        <v>-6.6535846075473692E-2</v>
      </c>
      <c r="AF28" s="14">
        <f t="shared" si="21"/>
        <v>-6.5667233874822095E-2</v>
      </c>
      <c r="AG28" s="14">
        <f t="shared" si="21"/>
        <v>-6.4874028574777753E-2</v>
      </c>
      <c r="AH28" s="14">
        <f t="shared" si="21"/>
        <v>-6.4898428067976965E-2</v>
      </c>
      <c r="AI28" s="14">
        <f t="shared" si="21"/>
        <v>-6.4304381188734716E-2</v>
      </c>
      <c r="AJ28" s="14">
        <f t="shared" si="21"/>
        <v>-6.4173635302271714E-2</v>
      </c>
      <c r="AK28" s="14">
        <f t="shared" si="21"/>
        <v>-0.10510733465945887</v>
      </c>
      <c r="AL28" s="14">
        <f t="shared" si="21"/>
        <v>-6.2436280623221929E-2</v>
      </c>
      <c r="AM28" s="14">
        <f t="shared" si="21"/>
        <v>-6.1305373856487266E-2</v>
      </c>
      <c r="AN28" s="14">
        <f t="shared" si="21"/>
        <v>-5.7601739623682979E-2</v>
      </c>
      <c r="AO28" s="14">
        <f t="shared" si="21"/>
        <v>-5.482751028415267E-2</v>
      </c>
      <c r="AP28" s="14">
        <f t="shared" si="21"/>
        <v>-5.5146378992396938E-2</v>
      </c>
      <c r="AQ28" s="14">
        <f t="shared" si="21"/>
        <v>-5.5779188350818742E-2</v>
      </c>
      <c r="AR28" s="14">
        <f t="shared" si="21"/>
        <v>-5.6522389451313826E-2</v>
      </c>
      <c r="AS28" s="14">
        <f t="shared" si="21"/>
        <v>-5.6731218769750846E-2</v>
      </c>
      <c r="AT28" s="14">
        <f t="shared" si="21"/>
        <v>0</v>
      </c>
      <c r="AU28" s="14">
        <f t="shared" si="21"/>
        <v>0</v>
      </c>
      <c r="AV28" s="14">
        <f t="shared" si="21"/>
        <v>0</v>
      </c>
      <c r="AW28" s="14">
        <f t="shared" si="21"/>
        <v>0</v>
      </c>
      <c r="AX28" s="14">
        <f t="shared" si="21"/>
        <v>0</v>
      </c>
      <c r="AY28" s="14">
        <f t="shared" si="21"/>
        <v>0</v>
      </c>
      <c r="AZ28" s="14">
        <f t="shared" si="22"/>
        <v>-5.809216821480101E-2</v>
      </c>
      <c r="BA28" s="14">
        <f t="shared" si="22"/>
        <v>-5.896583383774967E-2</v>
      </c>
      <c r="BB28" s="14">
        <f t="shared" si="22"/>
        <v>-5.9714126470691076E-2</v>
      </c>
      <c r="BC28" s="14">
        <f t="shared" si="22"/>
        <v>-6.0919042305882076E-2</v>
      </c>
      <c r="BD28" s="14">
        <f t="shared" si="22"/>
        <v>-6.1093802449533996E-2</v>
      </c>
      <c r="BE28" s="14">
        <f t="shared" si="22"/>
        <v>-6.1326723167667296E-2</v>
      </c>
      <c r="BF28" s="14">
        <f t="shared" si="22"/>
        <v>-6.1852394117722032E-2</v>
      </c>
      <c r="BG28" s="14">
        <f t="shared" si="22"/>
        <v>-6.1351670293013694E-2</v>
      </c>
      <c r="BH28" s="14">
        <f t="shared" si="22"/>
        <v>-6.1853240853129154E-2</v>
      </c>
      <c r="BI28" s="14">
        <f t="shared" si="22"/>
        <v>-6.1906792888532847E-2</v>
      </c>
      <c r="BJ28" s="14">
        <f t="shared" si="22"/>
        <v>-6.1816771804104054E-2</v>
      </c>
      <c r="BK28" s="14">
        <f t="shared" si="22"/>
        <v>-6.1594387640414361E-2</v>
      </c>
      <c r="BO28" s="28">
        <f t="shared" si="25"/>
        <v>-5.5963089518728859E-2</v>
      </c>
      <c r="BP28" s="28">
        <f t="shared" si="23"/>
        <v>-5.9724473470753381E-2</v>
      </c>
      <c r="BQ28" s="28">
        <f t="shared" si="23"/>
        <v>-5.5842325464050768E-2</v>
      </c>
      <c r="BR28" s="28">
        <f t="shared" si="23"/>
        <v>-6.6682927937042447E-2</v>
      </c>
      <c r="BS28" s="28">
        <f t="shared" si="23"/>
        <v>-6.7115953212357304E-2</v>
      </c>
      <c r="BT28" s="28">
        <f t="shared" si="23"/>
        <v>-3.8300765314148943E-2</v>
      </c>
    </row>
    <row r="29" spans="1:80" x14ac:dyDescent="0.25">
      <c r="C29" s="3" t="s">
        <v>60</v>
      </c>
      <c r="D29" s="15">
        <f t="shared" si="24"/>
        <v>-6.0263471224382581E-2</v>
      </c>
      <c r="E29" s="15">
        <f t="shared" si="21"/>
        <v>-6.2350908691022555E-2</v>
      </c>
      <c r="F29" s="15">
        <f t="shared" si="21"/>
        <v>-6.4593214336136295E-2</v>
      </c>
      <c r="G29" s="15">
        <f t="shared" si="21"/>
        <v>-6.6751294405736683E-2</v>
      </c>
      <c r="H29" s="15">
        <f t="shared" si="21"/>
        <v>-6.79979896338061E-2</v>
      </c>
      <c r="I29" s="15">
        <f t="shared" si="21"/>
        <v>-6.9231793543092834E-2</v>
      </c>
      <c r="J29" s="15">
        <f t="shared" si="21"/>
        <v>-7.0050329003456202E-2</v>
      </c>
      <c r="K29" s="15">
        <f t="shared" si="21"/>
        <v>-7.1101962476407099E-2</v>
      </c>
      <c r="L29" s="15">
        <f t="shared" si="21"/>
        <v>-7.1736130131757836E-2</v>
      </c>
      <c r="M29" s="15">
        <f t="shared" si="21"/>
        <v>-7.2621112797419451E-2</v>
      </c>
      <c r="N29" s="15">
        <f t="shared" si="21"/>
        <v>-7.3305580601440878E-2</v>
      </c>
      <c r="O29" s="15">
        <f t="shared" si="21"/>
        <v>-7.3580238815182053E-2</v>
      </c>
      <c r="P29" s="15">
        <f t="shared" si="21"/>
        <v>-7.3570107159566245E-2</v>
      </c>
      <c r="Q29" s="15">
        <f t="shared" si="21"/>
        <v>-7.3274870045248575E-2</v>
      </c>
      <c r="R29" s="15">
        <f t="shared" si="21"/>
        <v>-7.2861836765665711E-2</v>
      </c>
      <c r="S29" s="15">
        <f t="shared" si="21"/>
        <v>-7.2532281090283313E-2</v>
      </c>
      <c r="T29" s="15">
        <f t="shared" si="21"/>
        <v>-7.2291092937580625E-2</v>
      </c>
      <c r="U29" s="15">
        <f t="shared" si="21"/>
        <v>-7.176504856779764E-2</v>
      </c>
      <c r="V29" s="15">
        <f t="shared" si="21"/>
        <v>-7.1309963696846168E-2</v>
      </c>
      <c r="W29" s="15">
        <f t="shared" si="21"/>
        <v>-7.0774295063191106E-2</v>
      </c>
      <c r="X29" s="15">
        <f t="shared" si="21"/>
        <v>-7.0127970732947631E-2</v>
      </c>
      <c r="Y29" s="15">
        <f t="shared" si="21"/>
        <v>-6.9493075523849202E-2</v>
      </c>
      <c r="Z29" s="15">
        <f t="shared" si="21"/>
        <v>-6.9005358678372541E-2</v>
      </c>
      <c r="AA29" s="15">
        <f t="shared" si="21"/>
        <v>-6.8593512548113189E-2</v>
      </c>
      <c r="AB29" s="15">
        <f t="shared" si="21"/>
        <v>-6.8272305604000216E-2</v>
      </c>
      <c r="AC29" s="15">
        <f t="shared" si="21"/>
        <v>-6.7688945053882676E-2</v>
      </c>
      <c r="AD29" s="15">
        <f t="shared" si="21"/>
        <v>-6.6809092434403361E-2</v>
      </c>
      <c r="AE29" s="15">
        <f t="shared" si="21"/>
        <v>-6.5914371312305375E-2</v>
      </c>
      <c r="AF29" s="15">
        <f t="shared" si="21"/>
        <v>-6.5248694556263143E-2</v>
      </c>
      <c r="AG29" s="15">
        <f t="shared" si="21"/>
        <v>-6.4501922779382825E-2</v>
      </c>
      <c r="AH29" s="15">
        <f t="shared" si="21"/>
        <v>-6.3481855352093497E-2</v>
      </c>
      <c r="AI29" s="15">
        <f t="shared" si="21"/>
        <v>-6.2505066503487194E-2</v>
      </c>
      <c r="AJ29" s="15">
        <f t="shared" si="21"/>
        <v>-6.1680689718669246E-2</v>
      </c>
      <c r="AK29" s="15">
        <f t="shared" si="21"/>
        <v>-6.131303991196746E-2</v>
      </c>
      <c r="AL29" s="15">
        <f t="shared" si="21"/>
        <v>-6.0730619112849604E-2</v>
      </c>
      <c r="AM29" s="15">
        <f t="shared" si="21"/>
        <v>-6.0026423143660246E-2</v>
      </c>
      <c r="AN29" s="15">
        <f t="shared" si="21"/>
        <v>-5.950411509675857E-2</v>
      </c>
      <c r="AO29" s="15">
        <f t="shared" si="21"/>
        <v>-5.875900080495744E-2</v>
      </c>
      <c r="AP29" s="15">
        <f t="shared" si="21"/>
        <v>-5.8107882070419059E-2</v>
      </c>
      <c r="AQ29" s="15">
        <f t="shared" si="21"/>
        <v>-5.7666032390389921E-2</v>
      </c>
      <c r="AR29" s="15">
        <f t="shared" si="21"/>
        <v>-5.7371967607513952E-2</v>
      </c>
      <c r="AS29" s="15">
        <f t="shared" si="21"/>
        <v>-5.6943556219396951E-2</v>
      </c>
      <c r="AT29" s="15">
        <f t="shared" si="21"/>
        <v>0</v>
      </c>
      <c r="AU29" s="15">
        <f t="shared" si="21"/>
        <v>0</v>
      </c>
      <c r="AV29" s="15">
        <f t="shared" si="21"/>
        <v>0</v>
      </c>
      <c r="AW29" s="15">
        <f t="shared" si="21"/>
        <v>0</v>
      </c>
      <c r="AX29" s="15">
        <f t="shared" si="21"/>
        <v>0</v>
      </c>
      <c r="AY29" s="15">
        <f t="shared" si="21"/>
        <v>0</v>
      </c>
      <c r="AZ29" s="15">
        <f t="shared" si="22"/>
        <v>-5.9020266032167923E-2</v>
      </c>
      <c r="BA29" s="15">
        <f t="shared" si="22"/>
        <v>-5.8457630468060184E-2</v>
      </c>
      <c r="BB29" s="15">
        <f t="shared" si="22"/>
        <v>-5.7863291083855461E-2</v>
      </c>
      <c r="BC29" s="15">
        <f t="shared" si="22"/>
        <v>-5.7350767587369678E-2</v>
      </c>
      <c r="BD29" s="15">
        <f t="shared" si="22"/>
        <v>-5.687432649780777E-2</v>
      </c>
      <c r="BE29" s="15">
        <f t="shared" si="22"/>
        <v>-5.6398251018870971E-2</v>
      </c>
      <c r="BF29" s="15">
        <f t="shared" si="22"/>
        <v>-5.5954121568960513E-2</v>
      </c>
      <c r="BG29" s="15">
        <f t="shared" si="22"/>
        <v>-5.5540090726972968E-2</v>
      </c>
      <c r="BH29" s="15">
        <f t="shared" si="22"/>
        <v>-5.5135151107286839E-2</v>
      </c>
      <c r="BI29" s="15">
        <f t="shared" si="22"/>
        <v>-5.4774185889276072E-2</v>
      </c>
      <c r="BJ29" s="15">
        <f t="shared" si="22"/>
        <v>-5.44420625188482E-2</v>
      </c>
      <c r="BK29" s="15">
        <f t="shared" si="22"/>
        <v>-5.4146058120059459E-2</v>
      </c>
      <c r="BO29" s="29">
        <f t="shared" si="25"/>
        <v>-5.827907150947631E-2</v>
      </c>
      <c r="BP29" s="29">
        <f t="shared" si="23"/>
        <v>-5.790576330418884E-2</v>
      </c>
      <c r="BQ29" s="29">
        <f t="shared" si="23"/>
        <v>-5.8513137720819453E-2</v>
      </c>
      <c r="BR29" s="29">
        <f t="shared" si="23"/>
        <v>-6.6778599180422393E-2</v>
      </c>
      <c r="BS29" s="29">
        <f t="shared" si="23"/>
        <v>-7.2901886594719745E-2</v>
      </c>
      <c r="BT29" s="29">
        <f t="shared" si="23"/>
        <v>-6.4473968657726033E-2</v>
      </c>
    </row>
    <row r="32" spans="1:80" outlineLevel="1" x14ac:dyDescent="0.25">
      <c r="A32" s="11"/>
      <c r="C32" s="2" t="s">
        <v>0</v>
      </c>
      <c r="D32" s="14">
        <f>D20+D26</f>
        <v>6.1206511453681278E-2</v>
      </c>
      <c r="E32" s="14">
        <f t="shared" ref="E32:BK35" si="26">E20+E26</f>
        <v>5.6550983829233736E-2</v>
      </c>
      <c r="F32" s="14">
        <f t="shared" si="26"/>
        <v>5.4250692984269433E-2</v>
      </c>
      <c r="G32" s="14">
        <f t="shared" si="26"/>
        <v>5.1221673652310562E-2</v>
      </c>
      <c r="H32" s="14">
        <f t="shared" si="26"/>
        <v>5.0671961049783665E-2</v>
      </c>
      <c r="I32" s="14">
        <f t="shared" si="26"/>
        <v>5.1087671866505646E-2</v>
      </c>
      <c r="J32" s="14">
        <f t="shared" si="26"/>
        <v>4.9661863771099046E-2</v>
      </c>
      <c r="K32" s="14">
        <f t="shared" si="26"/>
        <v>4.9691906103093375E-2</v>
      </c>
      <c r="L32" s="14">
        <f t="shared" si="26"/>
        <v>4.8606933403408714E-2</v>
      </c>
      <c r="M32" s="14">
        <f t="shared" si="26"/>
        <v>4.7011718505519884E-2</v>
      </c>
      <c r="N32" s="14">
        <f t="shared" si="26"/>
        <v>4.6358558729063137E-2</v>
      </c>
      <c r="O32" s="14">
        <f t="shared" si="26"/>
        <v>4.6289921110143517E-2</v>
      </c>
      <c r="P32" s="14">
        <f t="shared" si="26"/>
        <v>4.5688593520149201E-2</v>
      </c>
      <c r="Q32" s="14">
        <f t="shared" si="26"/>
        <v>4.8777943035442251E-2</v>
      </c>
      <c r="R32" s="14">
        <f t="shared" si="26"/>
        <v>4.505318570965744E-2</v>
      </c>
      <c r="S32" s="14">
        <f t="shared" si="26"/>
        <v>4.3039857345725352E-2</v>
      </c>
      <c r="T32" s="14">
        <f t="shared" si="26"/>
        <v>4.5878545614711053E-2</v>
      </c>
      <c r="U32" s="14">
        <f t="shared" si="26"/>
        <v>4.660729394314056E-2</v>
      </c>
      <c r="V32" s="14">
        <f t="shared" si="26"/>
        <v>4.7599158178863732E-2</v>
      </c>
      <c r="W32" s="14">
        <f t="shared" si="26"/>
        <v>4.8217462237377218E-2</v>
      </c>
      <c r="X32" s="14">
        <f t="shared" si="26"/>
        <v>4.9378098727953956E-2</v>
      </c>
      <c r="Y32" s="14">
        <f t="shared" si="26"/>
        <v>5.3288804176779836E-2</v>
      </c>
      <c r="Z32" s="14">
        <f t="shared" si="26"/>
        <v>5.0046104387744039E-2</v>
      </c>
      <c r="AA32" s="14">
        <f t="shared" si="26"/>
        <v>4.9283907180790232E-2</v>
      </c>
      <c r="AB32" s="14">
        <f t="shared" si="26"/>
        <v>5.0049631989375065E-2</v>
      </c>
      <c r="AC32" s="14">
        <f t="shared" si="26"/>
        <v>4.992965041536368E-2</v>
      </c>
      <c r="AD32" s="14">
        <f t="shared" si="26"/>
        <v>5.1739810359544558E-2</v>
      </c>
      <c r="AE32" s="14">
        <f t="shared" si="26"/>
        <v>5.1914465636696328E-2</v>
      </c>
      <c r="AF32" s="14">
        <f t="shared" si="26"/>
        <v>5.3671902605873179E-2</v>
      </c>
      <c r="AG32" s="14">
        <f t="shared" si="26"/>
        <v>5.295075939769478E-2</v>
      </c>
      <c r="AH32" s="14">
        <f t="shared" si="26"/>
        <v>5.3659464421477843E-2</v>
      </c>
      <c r="AI32" s="14">
        <f t="shared" si="26"/>
        <v>5.3090357236471153E-2</v>
      </c>
      <c r="AJ32" s="14">
        <f t="shared" si="26"/>
        <v>5.4575420614570769E-2</v>
      </c>
      <c r="AK32" s="14">
        <f t="shared" si="26"/>
        <v>5.7035244368498272E-2</v>
      </c>
      <c r="AL32" s="14">
        <f t="shared" si="26"/>
        <v>5.5568474084332298E-2</v>
      </c>
      <c r="AM32" s="14">
        <f t="shared" si="26"/>
        <v>5.6008555604837751E-2</v>
      </c>
      <c r="AN32" s="14">
        <f t="shared" si="26"/>
        <v>5.5468125482249553E-2</v>
      </c>
      <c r="AO32" s="14">
        <f t="shared" si="26"/>
        <v>5.496251066561153E-2</v>
      </c>
      <c r="AP32" s="14">
        <f t="shared" si="26"/>
        <v>5.6020951893216209E-2</v>
      </c>
      <c r="AQ32" s="14">
        <f t="shared" si="26"/>
        <v>5.5901855661897759E-2</v>
      </c>
      <c r="AR32" s="14">
        <f t="shared" si="26"/>
        <v>5.6047597291547513E-2</v>
      </c>
      <c r="AS32" s="14">
        <f t="shared" si="26"/>
        <v>5.5210030241358732E-2</v>
      </c>
      <c r="AT32" s="14">
        <f t="shared" si="26"/>
        <v>0</v>
      </c>
      <c r="AU32" s="14">
        <f t="shared" si="26"/>
        <v>0</v>
      </c>
      <c r="AV32" s="14">
        <f t="shared" si="26"/>
        <v>0</v>
      </c>
      <c r="AW32" s="14">
        <f t="shared" si="26"/>
        <v>0</v>
      </c>
      <c r="AX32" s="14">
        <f t="shared" si="26"/>
        <v>0</v>
      </c>
      <c r="AY32" s="14">
        <f t="shared" si="26"/>
        <v>0</v>
      </c>
      <c r="AZ32" s="14">
        <f t="shared" si="26"/>
        <v>5.5576184206387991E-2</v>
      </c>
      <c r="BA32" s="14">
        <f t="shared" si="26"/>
        <v>5.6785238764751833E-2</v>
      </c>
      <c r="BB32" s="14">
        <f t="shared" si="26"/>
        <v>5.5694106005807376E-2</v>
      </c>
      <c r="BC32" s="14">
        <f t="shared" si="26"/>
        <v>5.6617004967014051E-2</v>
      </c>
      <c r="BD32" s="14">
        <f t="shared" si="26"/>
        <v>5.6538481048346911E-2</v>
      </c>
      <c r="BE32" s="14">
        <f t="shared" si="26"/>
        <v>5.6955650048813533E-2</v>
      </c>
      <c r="BF32" s="14">
        <f t="shared" si="26"/>
        <v>5.763181388351013E-2</v>
      </c>
      <c r="BG32" s="14">
        <f t="shared" si="26"/>
        <v>5.797196484403111E-2</v>
      </c>
      <c r="BH32" s="14">
        <f t="shared" si="26"/>
        <v>5.8078032650532796E-2</v>
      </c>
      <c r="BI32" s="14">
        <f t="shared" si="26"/>
        <v>5.9025856504669738E-2</v>
      </c>
      <c r="BJ32" s="14">
        <f t="shared" si="26"/>
        <v>5.849425594816493E-2</v>
      </c>
      <c r="BK32" s="14">
        <f t="shared" si="26"/>
        <v>5.9367639781004122E-2</v>
      </c>
      <c r="BO32" s="28">
        <f>BO20+BO26</f>
        <v>5.5683575887038206E-2</v>
      </c>
      <c r="BP32" s="28">
        <f t="shared" ref="BP32:BT32" si="27">BP20+BP26</f>
        <v>5.6246389746024583E-2</v>
      </c>
      <c r="BQ32" s="28">
        <f t="shared" si="27"/>
        <v>5.5585727230062609E-2</v>
      </c>
      <c r="BR32" s="28">
        <f t="shared" si="27"/>
        <v>5.1470179769129265E-2</v>
      </c>
      <c r="BS32" s="28">
        <f t="shared" si="27"/>
        <v>4.5664006181182826E-2</v>
      </c>
      <c r="BT32" s="28">
        <f t="shared" si="27"/>
        <v>5.4676478277208007E-2</v>
      </c>
    </row>
    <row r="33" spans="1:72" outlineLevel="1" x14ac:dyDescent="0.25">
      <c r="A33" s="11"/>
      <c r="C33" s="2" t="s">
        <v>1</v>
      </c>
      <c r="D33" s="14">
        <f t="shared" ref="D33:AY35" si="28">D21+D27</f>
        <v>6.1992245226048626E-2</v>
      </c>
      <c r="E33" s="14">
        <f t="shared" si="28"/>
        <v>5.7014651707279373E-2</v>
      </c>
      <c r="F33" s="14">
        <f t="shared" si="28"/>
        <v>5.1237429131393064E-2</v>
      </c>
      <c r="G33" s="14">
        <f t="shared" si="28"/>
        <v>5.233546595723837E-2</v>
      </c>
      <c r="H33" s="14">
        <f t="shared" si="28"/>
        <v>4.2912483481046593E-2</v>
      </c>
      <c r="I33" s="14">
        <f t="shared" si="28"/>
        <v>4.3712284893412168E-2</v>
      </c>
      <c r="J33" s="14">
        <f t="shared" si="28"/>
        <v>6.2580851338257304E-2</v>
      </c>
      <c r="K33" s="14">
        <f t="shared" si="28"/>
        <v>5.3215196918000363E-2</v>
      </c>
      <c r="L33" s="14">
        <f t="shared" si="28"/>
        <v>5.2388976350569383E-2</v>
      </c>
      <c r="M33" s="14">
        <f t="shared" si="28"/>
        <v>5.1393194529823827E-2</v>
      </c>
      <c r="N33" s="14">
        <f t="shared" si="28"/>
        <v>5.0274377722061558E-2</v>
      </c>
      <c r="O33" s="14">
        <f t="shared" si="28"/>
        <v>4.9192275868040092E-2</v>
      </c>
      <c r="P33" s="14">
        <f t="shared" si="28"/>
        <v>4.6474624780565188E-2</v>
      </c>
      <c r="Q33" s="14">
        <f t="shared" si="28"/>
        <v>4.1640068940399955E-2</v>
      </c>
      <c r="R33" s="14">
        <f t="shared" si="28"/>
        <v>4.5180436146569525E-2</v>
      </c>
      <c r="S33" s="14">
        <f t="shared" si="28"/>
        <v>3.939848004728419E-2</v>
      </c>
      <c r="T33" s="14">
        <f t="shared" si="28"/>
        <v>4.742991228457849E-2</v>
      </c>
      <c r="U33" s="14">
        <f t="shared" si="28"/>
        <v>3.5308035769552326E-2</v>
      </c>
      <c r="V33" s="14">
        <f t="shared" si="28"/>
        <v>5.0124663608248632E-2</v>
      </c>
      <c r="W33" s="14">
        <f t="shared" si="28"/>
        <v>4.9354591825748528E-2</v>
      </c>
      <c r="X33" s="14">
        <f t="shared" si="28"/>
        <v>5.2410896067515811E-2</v>
      </c>
      <c r="Y33" s="14">
        <f t="shared" si="28"/>
        <v>5.2878965161549329E-2</v>
      </c>
      <c r="Z33" s="14">
        <f t="shared" si="28"/>
        <v>4.631859909012781E-2</v>
      </c>
      <c r="AA33" s="14">
        <f t="shared" si="28"/>
        <v>5.5256393580988217E-2</v>
      </c>
      <c r="AB33" s="14">
        <f t="shared" si="28"/>
        <v>5.3754925577673918E-2</v>
      </c>
      <c r="AC33" s="14">
        <f t="shared" si="28"/>
        <v>4.4530229866521109E-2</v>
      </c>
      <c r="AD33" s="14">
        <f t="shared" si="28"/>
        <v>4.7468880321636098E-2</v>
      </c>
      <c r="AE33" s="14">
        <f t="shared" si="28"/>
        <v>5.1079611230705924E-2</v>
      </c>
      <c r="AF33" s="14">
        <f t="shared" si="28"/>
        <v>5.0354115731371163E-2</v>
      </c>
      <c r="AG33" s="14">
        <f t="shared" si="28"/>
        <v>4.674490541297005E-2</v>
      </c>
      <c r="AH33" s="14">
        <f t="shared" si="28"/>
        <v>4.9678077517255392E-2</v>
      </c>
      <c r="AI33" s="14">
        <f t="shared" si="28"/>
        <v>5.6304779960722362E-2</v>
      </c>
      <c r="AJ33" s="14">
        <f t="shared" si="28"/>
        <v>5.5944518899759377E-2</v>
      </c>
      <c r="AK33" s="14">
        <f t="shared" si="28"/>
        <v>5.4589487577593188E-2</v>
      </c>
      <c r="AL33" s="14">
        <f t="shared" si="28"/>
        <v>5.1154366632991666E-2</v>
      </c>
      <c r="AM33" s="14">
        <f t="shared" si="28"/>
        <v>4.9201329573598906E-2</v>
      </c>
      <c r="AN33" s="14">
        <f t="shared" si="28"/>
        <v>5.341427949616806E-2</v>
      </c>
      <c r="AO33" s="14">
        <f t="shared" si="28"/>
        <v>5.1425848469984992E-2</v>
      </c>
      <c r="AP33" s="14">
        <f t="shared" si="28"/>
        <v>4.4635501706287384E-2</v>
      </c>
      <c r="AQ33" s="14">
        <f t="shared" si="28"/>
        <v>4.9180353578694103E-2</v>
      </c>
      <c r="AR33" s="14">
        <f t="shared" si="28"/>
        <v>4.5280254086274896E-2</v>
      </c>
      <c r="AS33" s="14">
        <f t="shared" si="28"/>
        <v>4.875709218908475E-2</v>
      </c>
      <c r="AT33" s="14">
        <f t="shared" si="28"/>
        <v>0</v>
      </c>
      <c r="AU33" s="14">
        <f t="shared" si="28"/>
        <v>0</v>
      </c>
      <c r="AV33" s="14">
        <f t="shared" si="28"/>
        <v>0</v>
      </c>
      <c r="AW33" s="14">
        <f t="shared" si="28"/>
        <v>0</v>
      </c>
      <c r="AX33" s="14">
        <f t="shared" si="28"/>
        <v>0</v>
      </c>
      <c r="AY33" s="14">
        <f t="shared" si="28"/>
        <v>0</v>
      </c>
      <c r="AZ33" s="14">
        <f t="shared" si="26"/>
        <v>5.7433716752136599E-2</v>
      </c>
      <c r="BA33" s="14">
        <f t="shared" si="26"/>
        <v>5.8656160544221514E-2</v>
      </c>
      <c r="BB33" s="14">
        <f t="shared" si="26"/>
        <v>5.7592081434358233E-2</v>
      </c>
      <c r="BC33" s="14">
        <f t="shared" si="26"/>
        <v>5.739839474386832E-2</v>
      </c>
      <c r="BD33" s="14">
        <f t="shared" si="26"/>
        <v>5.687740579188949E-2</v>
      </c>
      <c r="BE33" s="14">
        <f t="shared" si="26"/>
        <v>5.668778458097945E-2</v>
      </c>
      <c r="BF33" s="14">
        <f t="shared" si="26"/>
        <v>5.7312253363145604E-2</v>
      </c>
      <c r="BG33" s="14">
        <f t="shared" si="26"/>
        <v>5.7475300932511741E-2</v>
      </c>
      <c r="BH33" s="14">
        <f t="shared" si="26"/>
        <v>5.7692463830773644E-2</v>
      </c>
      <c r="BI33" s="14">
        <f t="shared" si="26"/>
        <v>5.850367504079701E-2</v>
      </c>
      <c r="BJ33" s="14">
        <f t="shared" si="26"/>
        <v>5.7977674417430958E-2</v>
      </c>
      <c r="BK33" s="14">
        <f t="shared" si="26"/>
        <v>5.8819891408883995E-2</v>
      </c>
      <c r="BO33" s="28">
        <f t="shared" ref="BO33:BT35" si="29">BO21+BO27</f>
        <v>4.8858477627962804E-2</v>
      </c>
      <c r="BP33" s="28">
        <f t="shared" si="29"/>
        <v>5.7587278193872216E-2</v>
      </c>
      <c r="BQ33" s="28">
        <f t="shared" si="29"/>
        <v>4.9693814411079673E-2</v>
      </c>
      <c r="BR33" s="28">
        <f t="shared" si="29"/>
        <v>4.9400174176117417E-2</v>
      </c>
      <c r="BS33" s="28">
        <f t="shared" si="29"/>
        <v>4.4036157452987057E-2</v>
      </c>
      <c r="BT33" s="28">
        <f t="shared" si="29"/>
        <v>5.3074858506206635E-2</v>
      </c>
    </row>
    <row r="34" spans="1:72" outlineLevel="1" x14ac:dyDescent="0.25">
      <c r="A34" s="11"/>
      <c r="C34" s="2" t="s">
        <v>45</v>
      </c>
      <c r="D34" s="14">
        <f t="shared" si="28"/>
        <v>8.9001830687971406E-3</v>
      </c>
      <c r="E34" s="14">
        <f t="shared" si="28"/>
        <v>1.7568962644005648E-2</v>
      </c>
      <c r="F34" s="14">
        <f t="shared" si="28"/>
        <v>-2.3028296931904002E-4</v>
      </c>
      <c r="G34" s="14">
        <f t="shared" si="28"/>
        <v>6.4106944881334726E-3</v>
      </c>
      <c r="H34" s="14">
        <f t="shared" si="28"/>
        <v>7.1724656003353537E-3</v>
      </c>
      <c r="I34" s="14">
        <f t="shared" si="28"/>
        <v>8.4296396288587871E-3</v>
      </c>
      <c r="J34" s="14">
        <f t="shared" si="28"/>
        <v>-7.9727111702938558E-3</v>
      </c>
      <c r="K34" s="14">
        <f t="shared" si="28"/>
        <v>-2.5307346809039899E-2</v>
      </c>
      <c r="L34" s="14">
        <f t="shared" si="28"/>
        <v>-2.26968487109378E-2</v>
      </c>
      <c r="M34" s="14">
        <f t="shared" si="28"/>
        <v>-2.028168583740686E-2</v>
      </c>
      <c r="N34" s="14">
        <f t="shared" si="28"/>
        <v>-3.4965620189818969E-2</v>
      </c>
      <c r="O34" s="14">
        <f t="shared" si="28"/>
        <v>-3.4165209529390062E-2</v>
      </c>
      <c r="P34" s="14">
        <f t="shared" si="28"/>
        <v>-3.0202999017767018E-2</v>
      </c>
      <c r="Q34" s="14">
        <f t="shared" si="28"/>
        <v>-2.7275339408527888E-2</v>
      </c>
      <c r="R34" s="14">
        <f t="shared" si="28"/>
        <v>-3.6407186074006059E-2</v>
      </c>
      <c r="S34" s="14">
        <f t="shared" si="28"/>
        <v>-3.7814348889141813E-2</v>
      </c>
      <c r="T34" s="14">
        <f t="shared" si="28"/>
        <v>-2.9925574647041264E-2</v>
      </c>
      <c r="U34" s="14">
        <f t="shared" si="28"/>
        <v>-1.9893786042394224E-2</v>
      </c>
      <c r="V34" s="14">
        <f t="shared" si="28"/>
        <v>-3.2055124557054837E-2</v>
      </c>
      <c r="W34" s="14">
        <f t="shared" si="28"/>
        <v>-4.2220639885556022E-2</v>
      </c>
      <c r="X34" s="14">
        <f t="shared" si="28"/>
        <v>-4.7919175129772729E-2</v>
      </c>
      <c r="Y34" s="14">
        <f t="shared" si="28"/>
        <v>-5.0218158208398256E-2</v>
      </c>
      <c r="Z34" s="14">
        <f t="shared" si="28"/>
        <v>-4.6713353900017962E-2</v>
      </c>
      <c r="AA34" s="14">
        <f t="shared" si="28"/>
        <v>-4.4332315460032579E-2</v>
      </c>
      <c r="AB34" s="14">
        <f t="shared" si="28"/>
        <v>-4.4812079015419837E-2</v>
      </c>
      <c r="AC34" s="14">
        <f t="shared" si="28"/>
        <v>-3.9008966516091759E-2</v>
      </c>
      <c r="AD34" s="14">
        <f t="shared" si="28"/>
        <v>-3.8775224892285021E-2</v>
      </c>
      <c r="AE34" s="14">
        <f t="shared" si="28"/>
        <v>-4.519031548693353E-2</v>
      </c>
      <c r="AF34" s="14">
        <f t="shared" si="28"/>
        <v>-3.7453055480134667E-2</v>
      </c>
      <c r="AG34" s="14">
        <f t="shared" si="28"/>
        <v>-3.8508047626308883E-2</v>
      </c>
      <c r="AH34" s="14">
        <f t="shared" si="28"/>
        <v>-4.2474125217729419E-2</v>
      </c>
      <c r="AI34" s="14">
        <f t="shared" si="28"/>
        <v>-3.8379700816084661E-2</v>
      </c>
      <c r="AJ34" s="14">
        <f t="shared" si="28"/>
        <v>-3.144275892276549E-2</v>
      </c>
      <c r="AK34" s="14">
        <f t="shared" si="28"/>
        <v>-8.3906220269428955E-2</v>
      </c>
      <c r="AL34" s="14">
        <f t="shared" si="28"/>
        <v>-4.2796930821970669E-2</v>
      </c>
      <c r="AM34" s="14">
        <f t="shared" si="28"/>
        <v>-4.0860315589704266E-2</v>
      </c>
      <c r="AN34" s="14">
        <f t="shared" si="28"/>
        <v>-3.3695425586389049E-2</v>
      </c>
      <c r="AO34" s="14">
        <f t="shared" si="28"/>
        <v>-3.0281493224658229E-2</v>
      </c>
      <c r="AP34" s="14">
        <f t="shared" si="28"/>
        <v>-2.3438839099131137E-2</v>
      </c>
      <c r="AQ34" s="14">
        <f t="shared" si="28"/>
        <v>-3.2869937540669136E-2</v>
      </c>
      <c r="AR34" s="14">
        <f t="shared" si="28"/>
        <v>-3.1529920773783804E-2</v>
      </c>
      <c r="AS34" s="14">
        <f t="shared" si="28"/>
        <v>-2.3258865677421969E-2</v>
      </c>
      <c r="AT34" s="14">
        <f t="shared" si="28"/>
        <v>0</v>
      </c>
      <c r="AU34" s="14">
        <f t="shared" si="28"/>
        <v>0</v>
      </c>
      <c r="AV34" s="14">
        <f t="shared" si="28"/>
        <v>0</v>
      </c>
      <c r="AW34" s="14">
        <f t="shared" si="28"/>
        <v>0</v>
      </c>
      <c r="AX34" s="14">
        <f t="shared" si="28"/>
        <v>0</v>
      </c>
      <c r="AY34" s="14">
        <f t="shared" si="28"/>
        <v>0</v>
      </c>
      <c r="AZ34" s="14">
        <f t="shared" si="26"/>
        <v>-2.7547912595665691E-2</v>
      </c>
      <c r="BA34" s="14">
        <f t="shared" si="26"/>
        <v>-2.7494919279223984E-2</v>
      </c>
      <c r="BB34" s="14">
        <f t="shared" si="26"/>
        <v>-2.7972574970446251E-2</v>
      </c>
      <c r="BC34" s="14">
        <f t="shared" si="26"/>
        <v>-2.8136994815771255E-2</v>
      </c>
      <c r="BD34" s="14">
        <f t="shared" si="26"/>
        <v>-2.8099211769963217E-2</v>
      </c>
      <c r="BE34" s="14">
        <f t="shared" si="26"/>
        <v>-2.7944935536589499E-2</v>
      </c>
      <c r="BF34" s="14">
        <f t="shared" si="26"/>
        <v>-2.7850431456537761E-2</v>
      </c>
      <c r="BG34" s="14">
        <f t="shared" si="26"/>
        <v>-2.7394284226812005E-2</v>
      </c>
      <c r="BH34" s="14">
        <f t="shared" si="26"/>
        <v>-2.7455200293542203E-2</v>
      </c>
      <c r="BI34" s="14">
        <f t="shared" si="26"/>
        <v>-2.7077708557520674E-2</v>
      </c>
      <c r="BJ34" s="14">
        <f t="shared" si="26"/>
        <v>-2.7083241548157666E-2</v>
      </c>
      <c r="BK34" s="14">
        <f t="shared" si="26"/>
        <v>-2.6623307047860534E-2</v>
      </c>
      <c r="BO34" s="28">
        <f t="shared" si="29"/>
        <v>-3.0351977788893869E-2</v>
      </c>
      <c r="BP34" s="28">
        <f t="shared" si="29"/>
        <v>-2.7840954503224991E-2</v>
      </c>
      <c r="BQ34" s="28">
        <f t="shared" si="29"/>
        <v>-3.0083455739859488E-2</v>
      </c>
      <c r="BR34" s="28">
        <f t="shared" si="29"/>
        <v>-4.1148487792857846E-2</v>
      </c>
      <c r="BS34" s="28">
        <f t="shared" si="29"/>
        <v>-3.2313138639966654E-2</v>
      </c>
      <c r="BT34" s="28">
        <f t="shared" si="29"/>
        <v>7.9577193840922877E-3</v>
      </c>
    </row>
    <row r="35" spans="1:72" x14ac:dyDescent="0.25">
      <c r="C35" s="3" t="s">
        <v>63</v>
      </c>
      <c r="D35" s="15">
        <f t="shared" si="28"/>
        <v>6.0295591774380819E-2</v>
      </c>
      <c r="E35" s="15">
        <f t="shared" si="28"/>
        <v>5.5900805723261948E-2</v>
      </c>
      <c r="F35" s="15">
        <f t="shared" si="28"/>
        <v>5.332246998346335E-2</v>
      </c>
      <c r="G35" s="15">
        <f t="shared" si="28"/>
        <v>5.0505580979045561E-2</v>
      </c>
      <c r="H35" s="15">
        <f t="shared" si="28"/>
        <v>4.9956128024811308E-2</v>
      </c>
      <c r="I35" s="15">
        <f t="shared" si="28"/>
        <v>5.0418931317737892E-2</v>
      </c>
      <c r="J35" s="15">
        <f t="shared" si="28"/>
        <v>4.8946668822229089E-2</v>
      </c>
      <c r="K35" s="15">
        <f t="shared" si="28"/>
        <v>4.8669008272036685E-2</v>
      </c>
      <c r="L35" s="15">
        <f t="shared" si="28"/>
        <v>4.7615564135102151E-2</v>
      </c>
      <c r="M35" s="15">
        <f t="shared" si="28"/>
        <v>4.6080059778692783E-2</v>
      </c>
      <c r="N35" s="15">
        <f t="shared" si="28"/>
        <v>4.5261088756685997E-2</v>
      </c>
      <c r="O35" s="15">
        <f t="shared" si="28"/>
        <v>4.5203429836942144E-2</v>
      </c>
      <c r="P35" s="15">
        <f t="shared" si="28"/>
        <v>4.4578375011728344E-2</v>
      </c>
      <c r="Q35" s="15">
        <f t="shared" si="28"/>
        <v>4.7643386080064909E-2</v>
      </c>
      <c r="R35" s="15">
        <f t="shared" si="28"/>
        <v>4.392723470760429E-2</v>
      </c>
      <c r="S35" s="15">
        <f t="shared" si="28"/>
        <v>4.1873598862323114E-2</v>
      </c>
      <c r="T35" s="15">
        <f t="shared" si="28"/>
        <v>4.485088620908928E-2</v>
      </c>
      <c r="U35" s="15">
        <f t="shared" si="28"/>
        <v>4.5707068332154543E-2</v>
      </c>
      <c r="V35" s="15">
        <f t="shared" si="28"/>
        <v>4.6559250328606749E-2</v>
      </c>
      <c r="W35" s="15">
        <f t="shared" si="28"/>
        <v>4.6937395649388591E-2</v>
      </c>
      <c r="X35" s="15">
        <f t="shared" si="28"/>
        <v>4.7885622412535023E-2</v>
      </c>
      <c r="Y35" s="15">
        <f t="shared" si="28"/>
        <v>5.1632260952358067E-2</v>
      </c>
      <c r="Z35" s="15">
        <f t="shared" si="28"/>
        <v>4.8554024886063862E-2</v>
      </c>
      <c r="AA35" s="15">
        <f t="shared" si="28"/>
        <v>4.7771545008287619E-2</v>
      </c>
      <c r="AB35" s="15">
        <f t="shared" si="28"/>
        <v>4.8305648225413611E-2</v>
      </c>
      <c r="AC35" s="15">
        <f t="shared" si="28"/>
        <v>4.8367632311694386E-2</v>
      </c>
      <c r="AD35" s="15">
        <f t="shared" si="28"/>
        <v>5.0093814964907057E-2</v>
      </c>
      <c r="AE35" s="15">
        <f t="shared" si="28"/>
        <v>5.0147441710689744E-2</v>
      </c>
      <c r="AF35" s="15">
        <f t="shared" si="28"/>
        <v>5.2051924797637872E-2</v>
      </c>
      <c r="AG35" s="15">
        <f t="shared" si="28"/>
        <v>5.1243072390395827E-2</v>
      </c>
      <c r="AH35" s="15">
        <f t="shared" si="28"/>
        <v>5.1888263101625531E-2</v>
      </c>
      <c r="AI35" s="15">
        <f t="shared" si="28"/>
        <v>5.1375539551085092E-2</v>
      </c>
      <c r="AJ35" s="15">
        <f t="shared" si="28"/>
        <v>5.2891665470628624E-2</v>
      </c>
      <c r="AK35" s="15">
        <f t="shared" si="28"/>
        <v>5.4031513034072498E-2</v>
      </c>
      <c r="AL35" s="15">
        <f t="shared" si="28"/>
        <v>5.3395185538143153E-2</v>
      </c>
      <c r="AM35" s="15">
        <f t="shared" si="28"/>
        <v>5.3850469422225489E-2</v>
      </c>
      <c r="AN35" s="15">
        <f t="shared" si="28"/>
        <v>5.3307397833129766E-2</v>
      </c>
      <c r="AO35" s="15">
        <f t="shared" si="28"/>
        <v>5.28568619737384E-2</v>
      </c>
      <c r="AP35" s="15">
        <f t="shared" si="28"/>
        <v>5.410971156863198E-2</v>
      </c>
      <c r="AQ35" s="15">
        <f t="shared" si="28"/>
        <v>5.3881348225146786E-2</v>
      </c>
      <c r="AR35" s="15">
        <f t="shared" si="28"/>
        <v>5.4029065360502004E-2</v>
      </c>
      <c r="AS35" s="15">
        <f t="shared" si="28"/>
        <v>5.3411809905878238E-2</v>
      </c>
      <c r="AT35" s="15">
        <f t="shared" si="28"/>
        <v>0</v>
      </c>
      <c r="AU35" s="15">
        <f t="shared" si="28"/>
        <v>0</v>
      </c>
      <c r="AV35" s="15">
        <f t="shared" si="28"/>
        <v>0</v>
      </c>
      <c r="AW35" s="15">
        <f t="shared" si="28"/>
        <v>0</v>
      </c>
      <c r="AX35" s="15">
        <f t="shared" si="28"/>
        <v>0</v>
      </c>
      <c r="AY35" s="15">
        <f t="shared" si="28"/>
        <v>0</v>
      </c>
      <c r="AZ35" s="15">
        <f t="shared" si="26"/>
        <v>5.3858069682657383E-2</v>
      </c>
      <c r="BA35" s="15">
        <f t="shared" si="26"/>
        <v>5.5085751411279915E-2</v>
      </c>
      <c r="BB35" s="15">
        <f t="shared" si="26"/>
        <v>5.4046719541538391E-2</v>
      </c>
      <c r="BC35" s="15">
        <f t="shared" si="26"/>
        <v>5.4990940404377353E-2</v>
      </c>
      <c r="BD35" s="15">
        <f t="shared" si="26"/>
        <v>5.4931117423076659E-2</v>
      </c>
      <c r="BE35" s="15">
        <f t="shared" si="26"/>
        <v>5.5360123748903645E-2</v>
      </c>
      <c r="BF35" s="15">
        <f t="shared" si="26"/>
        <v>5.6051529443765791E-2</v>
      </c>
      <c r="BG35" s="15">
        <f t="shared" si="26"/>
        <v>5.6391837524121469E-2</v>
      </c>
      <c r="BH35" s="15">
        <f t="shared" si="26"/>
        <v>5.652006917662078E-2</v>
      </c>
      <c r="BI35" s="15">
        <f t="shared" si="26"/>
        <v>5.7468345650537156E-2</v>
      </c>
      <c r="BJ35" s="15">
        <f t="shared" si="26"/>
        <v>5.6953853820600031E-2</v>
      </c>
      <c r="BK35" s="15">
        <f t="shared" si="26"/>
        <v>5.7822312145087817E-2</v>
      </c>
      <c r="BO35" s="29">
        <f t="shared" si="29"/>
        <v>5.3640000657222853E-2</v>
      </c>
      <c r="BP35" s="29">
        <f t="shared" si="29"/>
        <v>5.458682539223858E-2</v>
      </c>
      <c r="BQ35" s="29">
        <f t="shared" si="29"/>
        <v>5.353578462486408E-2</v>
      </c>
      <c r="BR35" s="29">
        <f t="shared" si="29"/>
        <v>4.98016198735034E-2</v>
      </c>
      <c r="BS35" s="29">
        <f t="shared" si="29"/>
        <v>4.4552239898157708E-2</v>
      </c>
      <c r="BT35" s="29">
        <f t="shared" si="29"/>
        <v>5.3896474937937144E-2</v>
      </c>
    </row>
    <row r="38" spans="1:72" outlineLevel="1" x14ac:dyDescent="0.25">
      <c r="A38" s="11" t="s">
        <v>55</v>
      </c>
      <c r="C38" s="2" t="s">
        <v>0</v>
      </c>
      <c r="D38" s="8">
        <f>IFERROR(
GETPIVOTDATA(
"[Base].[Importe]",
TDinamica_R!$A$5,
"[Calendario].[AñoMes]",
"[Calendario].[AñoMes].&amp;[" &amp; TEXT(D$6,"yyyymm") &amp; "]",
"[Base].[Metrica]",
"[Base].[Metrica].&amp;[" &amp; $A38 &amp; "]",
"[Base].[SEGMENTO_DESCRIP]",
"[Base].[SEGMENTO_DESCRIP].&amp;[" &amp; $C$6 &amp; "]",
"[Base].[SITUACION]",
"[Base].[SITUACION].&amp;[" &amp; $C38 &amp; "]"
),0)/1000</f>
        <v>42679.740686420002</v>
      </c>
      <c r="E38" s="8">
        <f>IFERROR(
GETPIVOTDATA(
"[Base].[Importe]",
TDinamica_R!$A$5,
"[Calendario].[AñoMes]",
"[Calendario].[AñoMes].&amp;[" &amp; TEXT(E$6,"yyyymm") &amp; "]",
"[Base].[Metrica]",
"[Base].[Metrica].&amp;[" &amp; $A38 &amp; "]",
"[Base].[SEGMENTO_DESCRIP]",
"[Base].[SEGMENTO_DESCRIP].&amp;[" &amp; $C$6 &amp; "]",
"[Base].[SITUACION]",
"[Base].[SITUACION].&amp;[" &amp; $C38 &amp; "]"
),0)/1000</f>
        <v>42483.378450579999</v>
      </c>
      <c r="F38" s="8">
        <f>IFERROR(
GETPIVOTDATA(
"[Base].[Importe]",
TDinamica_R!$A$5,
"[Calendario].[AñoMes]",
"[Calendario].[AñoMes].&amp;[" &amp; TEXT(F$6,"yyyymm") &amp; "]",
"[Base].[Metrica]",
"[Base].[Metrica].&amp;[" &amp; $A38 &amp; "]",
"[Base].[SEGMENTO_DESCRIP]",
"[Base].[SEGMENTO_DESCRIP].&amp;[" &amp; $C$6 &amp; "]",
"[Base].[SITUACION]",
"[Base].[SITUACION].&amp;[" &amp; $C38 &amp; "]"
),0)/1000</f>
        <v>43032.82403345999</v>
      </c>
      <c r="G38" s="8">
        <f>IFERROR(
GETPIVOTDATA(
"[Base].[Importe]",
TDinamica_R!$A$5,
"[Calendario].[AñoMes]",
"[Calendario].[AñoMes].&amp;[" &amp; TEXT(G$6,"yyyymm") &amp; "]",
"[Base].[Metrica]",
"[Base].[Metrica].&amp;[" &amp; $A38 &amp; "]",
"[Base].[SEGMENTO_DESCRIP]",
"[Base].[SEGMENTO_DESCRIP].&amp;[" &amp; $C$6 &amp; "]",
"[Base].[SITUACION]",
"[Base].[SITUACION].&amp;[" &amp; $C38 &amp; "]"
),0)/1000</f>
        <v>43310.123688479995</v>
      </c>
      <c r="H38" s="8">
        <f>IFERROR(
GETPIVOTDATA(
"[Base].[Importe]",
TDinamica_R!$A$5,
"[Calendario].[AñoMes]",
"[Calendario].[AñoMes].&amp;[" &amp; TEXT(H$6,"yyyymm") &amp; "]",
"[Base].[Metrica]",
"[Base].[Metrica].&amp;[" &amp; $A38 &amp; "]",
"[Base].[SEGMENTO_DESCRIP]",
"[Base].[SEGMENTO_DESCRIP].&amp;[" &amp; $C$6 &amp; "]",
"[Base].[SITUACION]",
"[Base].[SITUACION].&amp;[" &amp; $C38 &amp; "]"
),0)/1000</f>
        <v>44007.107481080013</v>
      </c>
      <c r="I38" s="8">
        <f>IFERROR(
GETPIVOTDATA(
"[Base].[Importe]",
TDinamica_R!$A$5,
"[Calendario].[AñoMes]",
"[Calendario].[AñoMes].&amp;[" &amp; TEXT(I$6,"yyyymm") &amp; "]",
"[Base].[Metrica]",
"[Base].[Metrica].&amp;[" &amp; $A38 &amp; "]",
"[Base].[SEGMENTO_DESCRIP]",
"[Base].[SEGMENTO_DESCRIP].&amp;[" &amp; $C$6 &amp; "]",
"[Base].[SITUACION]",
"[Base].[SITUACION].&amp;[" &amp; $C38 &amp; "]"
),0)/1000</f>
        <v>45151.834044129995</v>
      </c>
      <c r="J38" s="8">
        <f>IFERROR(
GETPIVOTDATA(
"[Base].[Importe]",
TDinamica_R!$A$5,
"[Calendario].[AñoMes]",
"[Calendario].[AñoMes].&amp;[" &amp; TEXT(J$6,"yyyymm") &amp; "]",
"[Base].[Metrica]",
"[Base].[Metrica].&amp;[" &amp; $A38 &amp; "]",
"[Base].[SEGMENTO_DESCRIP]",
"[Base].[SEGMENTO_DESCRIP].&amp;[" &amp; $C$6 &amp; "]",
"[Base].[SITUACION]",
"[Base].[SITUACION].&amp;[" &amp; $C38 &amp; "]"
),0)/1000</f>
        <v>45403.715706750008</v>
      </c>
      <c r="K38" s="8">
        <f>IFERROR(
GETPIVOTDATA(
"[Base].[Importe]",
TDinamica_R!$A$5,
"[Calendario].[AñoMes]",
"[Calendario].[AñoMes].&amp;[" &amp; TEXT(K$6,"yyyymm") &amp; "]",
"[Base].[Metrica]",
"[Base].[Metrica].&amp;[" &amp; $A38 &amp; "]",
"[Base].[SEGMENTO_DESCRIP]",
"[Base].[SEGMENTO_DESCRIP].&amp;[" &amp; $C$6 &amp; "]",
"[Base].[SITUACION]",
"[Base].[SITUACION].&amp;[" &amp; $C38 &amp; "]"
),0)/1000</f>
        <v>46266.175387930001</v>
      </c>
      <c r="L38" s="8">
        <f>IFERROR(
GETPIVOTDATA(
"[Base].[Importe]",
TDinamica_R!$A$5,
"[Calendario].[AñoMes]",
"[Calendario].[AñoMes].&amp;[" &amp; TEXT(L$6,"yyyymm") &amp; "]",
"[Base].[Metrica]",
"[Base].[Metrica].&amp;[" &amp; $A38 &amp; "]",
"[Base].[SEGMENTO_DESCRIP]",
"[Base].[SEGMENTO_DESCRIP].&amp;[" &amp; $C$6 &amp; "]",
"[Base].[SITUACION]",
"[Base].[SITUACION].&amp;[" &amp; $C38 &amp; "]"
),0)/1000</f>
        <v>46679.848789620002</v>
      </c>
      <c r="M38" s="8">
        <f>IFERROR(
GETPIVOTDATA(
"[Base].[Importe]",
TDinamica_R!$A$5,
"[Calendario].[AñoMes]",
"[Calendario].[AñoMes].&amp;[" &amp; TEXT(M$6,"yyyymm") &amp; "]",
"[Base].[Metrica]",
"[Base].[Metrica].&amp;[" &amp; $A38 &amp; "]",
"[Base].[SEGMENTO_DESCRIP]",
"[Base].[SEGMENTO_DESCRIP].&amp;[" &amp; $C$6 &amp; "]",
"[Base].[SITUACION]",
"[Base].[SITUACION].&amp;[" &amp; $C38 &amp; "]"
),0)/1000</f>
        <v>46922.051839220003</v>
      </c>
      <c r="N38" s="8">
        <f>IFERROR(
GETPIVOTDATA(
"[Base].[Importe]",
TDinamica_R!$A$5,
"[Calendario].[AñoMes]",
"[Calendario].[AñoMes].&amp;[" &amp; TEXT(N$6,"yyyymm") &amp; "]",
"[Base].[Metrica]",
"[Base].[Metrica].&amp;[" &amp; $A38 &amp; "]",
"[Base].[SEGMENTO_DESCRIP]",
"[Base].[SEGMENTO_DESCRIP].&amp;[" &amp; $C$6 &amp; "]",
"[Base].[SITUACION]",
"[Base].[SITUACION].&amp;[" &amp; $C38 &amp; "]"
),0)/1000</f>
        <v>47484.450437430001</v>
      </c>
      <c r="O38" s="8">
        <f>IFERROR(
GETPIVOTDATA(
"[Base].[Importe]",
TDinamica_R!$A$5,
"[Calendario].[AñoMes]",
"[Calendario].[AñoMes].&amp;[" &amp; TEXT(O$6,"yyyymm") &amp; "]",
"[Base].[Metrica]",
"[Base].[Metrica].&amp;[" &amp; $A38 &amp; "]",
"[Base].[SEGMENTO_DESCRIP]",
"[Base].[SEGMENTO_DESCRIP].&amp;[" &amp; $C$6 &amp; "]",
"[Base].[SITUACION]",
"[Base].[SITUACION].&amp;[" &amp; $C38 &amp; "]"
),0)/1000</f>
        <v>47949.814915359995</v>
      </c>
      <c r="P38" s="8">
        <f>IFERROR(
GETPIVOTDATA(
"[Base].[Importe]",
TDinamica_R!$A$5,
"[Calendario].[AñoMes]",
"[Calendario].[AñoMes].&amp;[" &amp; TEXT(P$6,"yyyymm") &amp; "]",
"[Base].[Metrica]",
"[Base].[Metrica].&amp;[" &amp; $A38 &amp; "]",
"[Base].[SEGMENTO_DESCRIP]",
"[Base].[SEGMENTO_DESCRIP].&amp;[" &amp; $C$6 &amp; "]",
"[Base].[SITUACION]",
"[Base].[SITUACION].&amp;[" &amp; $C38 &amp; "]"
),0)/1000</f>
        <v>48035.699521480019</v>
      </c>
      <c r="Q38" s="8">
        <f>IFERROR(
GETPIVOTDATA(
"[Base].[Importe]",
TDinamica_R!$A$5,
"[Calendario].[AñoMes]",
"[Calendario].[AñoMes].&amp;[" &amp; TEXT(Q$6,"yyyymm") &amp; "]",
"[Base].[Metrica]",
"[Base].[Metrica].&amp;[" &amp; $A38 &amp; "]",
"[Base].[SEGMENTO_DESCRIP]",
"[Base].[SEGMENTO_DESCRIP].&amp;[" &amp; $C$6 &amp; "]",
"[Base].[SITUACION]",
"[Base].[SITUACION].&amp;[" &amp; $C38 &amp; "]"
),0)/1000</f>
        <v>49709.845805150006</v>
      </c>
      <c r="R38" s="8">
        <f>IFERROR(
GETPIVOTDATA(
"[Base].[Importe]",
TDinamica_R!$A$5,
"[Calendario].[AñoMes]",
"[Calendario].[AñoMes].&amp;[" &amp; TEXT(R$6,"yyyymm") &amp; "]",
"[Base].[Metrica]",
"[Base].[Metrica].&amp;[" &amp; $A38 &amp; "]",
"[Base].[SEGMENTO_DESCRIP]",
"[Base].[SEGMENTO_DESCRIP].&amp;[" &amp; $C$6 &amp; "]",
"[Base].[SITUACION]",
"[Base].[SITUACION].&amp;[" &amp; $C38 &amp; "]"
),0)/1000</f>
        <v>48799.927318880007</v>
      </c>
      <c r="S38" s="8">
        <f>IFERROR(
GETPIVOTDATA(
"[Base].[Importe]",
TDinamica_R!$A$5,
"[Calendario].[AñoMes]",
"[Calendario].[AñoMes].&amp;[" &amp; TEXT(S$6,"yyyymm") &amp; "]",
"[Base].[Metrica]",
"[Base].[Metrica].&amp;[" &amp; $A38 &amp; "]",
"[Base].[SEGMENTO_DESCRIP]",
"[Base].[SEGMENTO_DESCRIP].&amp;[" &amp; $C$6 &amp; "]",
"[Base].[SITUACION]",
"[Base].[SITUACION].&amp;[" &amp; $C38 &amp; "]"
),0)/1000</f>
        <v>48653.520234529991</v>
      </c>
      <c r="T38" s="8">
        <f>IFERROR(
GETPIVOTDATA(
"[Base].[Importe]",
TDinamica_R!$A$5,
"[Calendario].[AñoMes]",
"[Calendario].[AñoMes].&amp;[" &amp; TEXT(T$6,"yyyymm") &amp; "]",
"[Base].[Metrica]",
"[Base].[Metrica].&amp;[" &amp; $A38 &amp; "]",
"[Base].[SEGMENTO_DESCRIP]",
"[Base].[SEGMENTO_DESCRIP].&amp;[" &amp; $C$6 &amp; "]",
"[Base].[SITUACION]",
"[Base].[SITUACION].&amp;[" &amp; $C38 &amp; "]"
),0)/1000</f>
        <v>50399.896732940011</v>
      </c>
      <c r="U38" s="8">
        <f>IFERROR(
GETPIVOTDATA(
"[Base].[Importe]",
TDinamica_R!$A$5,
"[Calendario].[AñoMes]",
"[Calendario].[AñoMes].&amp;[" &amp; TEXT(U$6,"yyyymm") &amp; "]",
"[Base].[Metrica]",
"[Base].[Metrica].&amp;[" &amp; $A38 &amp; "]",
"[Base].[SEGMENTO_DESCRIP]",
"[Base].[SEGMENTO_DESCRIP].&amp;[" &amp; $C$6 &amp; "]",
"[Base].[SITUACION]",
"[Base].[SITUACION].&amp;[" &amp; $C38 &amp; "]"
),0)/1000</f>
        <v>51298.282448810001</v>
      </c>
      <c r="V38" s="8">
        <f>IFERROR(
GETPIVOTDATA(
"[Base].[Importe]",
TDinamica_R!$A$5,
"[Calendario].[AñoMes]",
"[Calendario].[AñoMes].&amp;[" &amp; TEXT(V$6,"yyyymm") &amp; "]",
"[Base].[Metrica]",
"[Base].[Metrica].&amp;[" &amp; $A38 &amp; "]",
"[Base].[SEGMENTO_DESCRIP]",
"[Base].[SEGMENTO_DESCRIP].&amp;[" &amp; $C$6 &amp; "]",
"[Base].[SITUACION]",
"[Base].[SITUACION].&amp;[" &amp; $C38 &amp; "]"
),0)/1000</f>
        <v>52237.26821355999</v>
      </c>
      <c r="W38" s="8">
        <f>IFERROR(
GETPIVOTDATA(
"[Base].[Importe]",
TDinamica_R!$A$5,
"[Calendario].[AñoMes]",
"[Calendario].[AñoMes].&amp;[" &amp; TEXT(W$6,"yyyymm") &amp; "]",
"[Base].[Metrica]",
"[Base].[Metrica].&amp;[" &amp; $A38 &amp; "]",
"[Base].[SEGMENTO_DESCRIP]",
"[Base].[SEGMENTO_DESCRIP].&amp;[" &amp; $C$6 &amp; "]",
"[Base].[SITUACION]",
"[Base].[SITUACION].&amp;[" &amp; $C38 &amp; "]"
),0)/1000</f>
        <v>52686.394652089999</v>
      </c>
      <c r="X38" s="8">
        <f>IFERROR(
GETPIVOTDATA(
"[Base].[Importe]",
TDinamica_R!$A$5,
"[Calendario].[AñoMes]",
"[Calendario].[AñoMes].&amp;[" &amp; TEXT(X$6,"yyyymm") &amp; "]",
"[Base].[Metrica]",
"[Base].[Metrica].&amp;[" &amp; $A38 &amp; "]",
"[Base].[SEGMENTO_DESCRIP]",
"[Base].[SEGMENTO_DESCRIP].&amp;[" &amp; $C$6 &amp; "]",
"[Base].[SITUACION]",
"[Base].[SITUACION].&amp;[" &amp; $C38 &amp; "]"
),0)/1000</f>
        <v>53030.360989690009</v>
      </c>
      <c r="Y38" s="8">
        <f>IFERROR(
GETPIVOTDATA(
"[Base].[Importe]",
TDinamica_R!$A$5,
"[Calendario].[AñoMes]",
"[Calendario].[AñoMes].&amp;[" &amp; TEXT(Y$6,"yyyymm") &amp; "]",
"[Base].[Metrica]",
"[Base].[Metrica].&amp;[" &amp; $A38 &amp; "]",
"[Base].[SEGMENTO_DESCRIP]",
"[Base].[SEGMENTO_DESCRIP].&amp;[" &amp; $C$6 &amp; "]",
"[Base].[SITUACION]",
"[Base].[SITUACION].&amp;[" &amp; $C38 &amp; "]"
),0)/1000</f>
        <v>52518.059753449998</v>
      </c>
      <c r="Z38" s="8">
        <f>IFERROR(
GETPIVOTDATA(
"[Base].[Importe]",
TDinamica_R!$A$5,
"[Calendario].[AñoMes]",
"[Calendario].[AñoMes].&amp;[" &amp; TEXT(Z$6,"yyyymm") &amp; "]",
"[Base].[Metrica]",
"[Base].[Metrica].&amp;[" &amp; $A38 &amp; "]",
"[Base].[SEGMENTO_DESCRIP]",
"[Base].[SEGMENTO_DESCRIP].&amp;[" &amp; $C$6 &amp; "]",
"[Base].[SITUACION]",
"[Base].[SITUACION].&amp;[" &amp; $C38 &amp; "]"
),0)/1000</f>
        <v>52363.869722930009</v>
      </c>
      <c r="AA38" s="8">
        <f>IFERROR(
GETPIVOTDATA(
"[Base].[Importe]",
TDinamica_R!$A$5,
"[Calendario].[AñoMes]",
"[Calendario].[AñoMes].&amp;[" &amp; TEXT(AA$6,"yyyymm") &amp; "]",
"[Base].[Metrica]",
"[Base].[Metrica].&amp;[" &amp; $A38 &amp; "]",
"[Base].[SEGMENTO_DESCRIP]",
"[Base].[SEGMENTO_DESCRIP].&amp;[" &amp; $C$6 &amp; "]",
"[Base].[SITUACION]",
"[Base].[SITUACION].&amp;[" &amp; $C38 &amp; "]"
),0)/1000</f>
        <v>51318.769690140012</v>
      </c>
      <c r="AB38" s="8">
        <f>IFERROR(
GETPIVOTDATA(
"[Base].[Importe]",
TDinamica_R!$A$5,
"[Calendario].[AñoMes]",
"[Calendario].[AñoMes].&amp;[" &amp; TEXT(AB$6,"yyyymm") &amp; "]",
"[Base].[Metrica]",
"[Base].[Metrica].&amp;[" &amp; $A38 &amp; "]",
"[Base].[SEGMENTO_DESCRIP]",
"[Base].[SEGMENTO_DESCRIP].&amp;[" &amp; $C$6 &amp; "]",
"[Base].[SITUACION]",
"[Base].[SITUACION].&amp;[" &amp; $C38 &amp; "]"
),0)/1000</f>
        <v>50921.008439790006</v>
      </c>
      <c r="AC38" s="8">
        <f>IFERROR(
GETPIVOTDATA(
"[Base].[Importe]",
TDinamica_R!$A$5,
"[Calendario].[AñoMes]",
"[Calendario].[AñoMes].&amp;[" &amp; TEXT(AC$6,"yyyymm") &amp; "]",
"[Base].[Metrica]",
"[Base].[Metrica].&amp;[" &amp; $A38 &amp; "]",
"[Base].[SEGMENTO_DESCRIP]",
"[Base].[SEGMENTO_DESCRIP].&amp;[" &amp; $C$6 &amp; "]",
"[Base].[SITUACION]",
"[Base].[SITUACION].&amp;[" &amp; $C38 &amp; "]"
),0)/1000</f>
        <v>50400.126251560003</v>
      </c>
      <c r="AD38" s="8">
        <f>IFERROR(
GETPIVOTDATA(
"[Base].[Importe]",
TDinamica_R!$A$5,
"[Calendario].[AñoMes]",
"[Calendario].[AñoMes].&amp;[" &amp; TEXT(AD$6,"yyyymm") &amp; "]",
"[Base].[Metrica]",
"[Base].[Metrica].&amp;[" &amp; $A38 &amp; "]",
"[Base].[SEGMENTO_DESCRIP]",
"[Base].[SEGMENTO_DESCRIP].&amp;[" &amp; $C$6 &amp; "]",
"[Base].[SITUACION]",
"[Base].[SITUACION].&amp;[" &amp; $C38 &amp; "]"
),0)/1000</f>
        <v>50694.295675379995</v>
      </c>
      <c r="AE38" s="8">
        <f>IFERROR(
GETPIVOTDATA(
"[Base].[Importe]",
TDinamica_R!$A$5,
"[Calendario].[AñoMes]",
"[Calendario].[AñoMes].&amp;[" &amp; TEXT(AE$6,"yyyymm") &amp; "]",
"[Base].[Metrica]",
"[Base].[Metrica].&amp;[" &amp; $A38 &amp; "]",
"[Base].[SEGMENTO_DESCRIP]",
"[Base].[SEGMENTO_DESCRIP].&amp;[" &amp; $C$6 &amp; "]",
"[Base].[SITUACION]",
"[Base].[SITUACION].&amp;[" &amp; $C38 &amp; "]"
),0)/1000</f>
        <v>50243.034488350007</v>
      </c>
      <c r="AF38" s="8">
        <f>IFERROR(
GETPIVOTDATA(
"[Base].[Importe]",
TDinamica_R!$A$5,
"[Calendario].[AñoMes]",
"[Calendario].[AñoMes].&amp;[" &amp; TEXT(AF$6,"yyyymm") &amp; "]",
"[Base].[Metrica]",
"[Base].[Metrica].&amp;[" &amp; $A38 &amp; "]",
"[Base].[SEGMENTO_DESCRIP]",
"[Base].[SEGMENTO_DESCRIP].&amp;[" &amp; $C$6 &amp; "]",
"[Base].[SITUACION]",
"[Base].[SITUACION].&amp;[" &amp; $C38 &amp; "]"
),0)/1000</f>
        <v>50880.800597709997</v>
      </c>
      <c r="AG38" s="8">
        <f>IFERROR(
GETPIVOTDATA(
"[Base].[Importe]",
TDinamica_R!$A$5,
"[Calendario].[AñoMes]",
"[Calendario].[AñoMes].&amp;[" &amp; TEXT(AG$6,"yyyymm") &amp; "]",
"[Base].[Metrica]",
"[Base].[Metrica].&amp;[" &amp; $A38 &amp; "]",
"[Base].[SEGMENTO_DESCRIP]",
"[Base].[SEGMENTO_DESCRIP].&amp;[" &amp; $C$6 &amp; "]",
"[Base].[SITUACION]",
"[Base].[SITUACION].&amp;[" &amp; $C38 &amp; "]"
),0)/1000</f>
        <v>50349.023338699997</v>
      </c>
      <c r="AH38" s="8">
        <f>IFERROR(
GETPIVOTDATA(
"[Base].[Importe]",
TDinamica_R!$A$5,
"[Calendario].[AñoMes]",
"[Calendario].[AñoMes].&amp;[" &amp; TEXT(AH$6,"yyyymm") &amp; "]",
"[Base].[Metrica]",
"[Base].[Metrica].&amp;[" &amp; $A38 &amp; "]",
"[Base].[SEGMENTO_DESCRIP]",
"[Base].[SEGMENTO_DESCRIP].&amp;[" &amp; $C$6 &amp; "]",
"[Base].[SITUACION]",
"[Base].[SITUACION].&amp;[" &amp; $C38 &amp; "]"
),0)/1000</f>
        <v>50393.528809509997</v>
      </c>
      <c r="AI38" s="8">
        <f>IFERROR(
GETPIVOTDATA(
"[Base].[Importe]",
TDinamica_R!$A$5,
"[Calendario].[AñoMes]",
"[Calendario].[AñoMes].&amp;[" &amp; TEXT(AI$6,"yyyymm") &amp; "]",
"[Base].[Metrica]",
"[Base].[Metrica].&amp;[" &amp; $A38 &amp; "]",
"[Base].[SEGMENTO_DESCRIP]",
"[Base].[SEGMENTO_DESCRIP].&amp;[" &amp; $C$6 &amp; "]",
"[Base].[SITUACION]",
"[Base].[SITUACION].&amp;[" &amp; $C38 &amp; "]"
),0)/1000</f>
        <v>49946.696546039995</v>
      </c>
      <c r="AJ38" s="8">
        <f>IFERROR(
GETPIVOTDATA(
"[Base].[Importe]",
TDinamica_R!$A$5,
"[Calendario].[AñoMes]",
"[Calendario].[AñoMes].&amp;[" &amp; TEXT(AJ$6,"yyyymm") &amp; "]",
"[Base].[Metrica]",
"[Base].[Metrica].&amp;[" &amp; $A38 &amp; "]",
"[Base].[SEGMENTO_DESCRIP]",
"[Base].[SEGMENTO_DESCRIP].&amp;[" &amp; $C$6 &amp; "]",
"[Base].[SITUACION]",
"[Base].[SITUACION].&amp;[" &amp; $C38 &amp; "]"
),0)/1000</f>
        <v>50345.810972109997</v>
      </c>
      <c r="AK38" s="8">
        <f>IFERROR(
GETPIVOTDATA(
"[Base].[Importe]",
TDinamica_R!$A$5,
"[Calendario].[AñoMes]",
"[Calendario].[AñoMes].&amp;[" &amp; TEXT(AK$6,"yyyymm") &amp; "]",
"[Base].[Metrica]",
"[Base].[Metrica].&amp;[" &amp; $A38 &amp; "]",
"[Base].[SEGMENTO_DESCRIP]",
"[Base].[SEGMENTO_DESCRIP].&amp;[" &amp; $C$6 &amp; "]",
"[Base].[SITUACION]",
"[Base].[SITUACION].&amp;[" &amp; $C38 &amp; "]"
),0)/1000</f>
        <v>50655.706687050006</v>
      </c>
      <c r="AL38" s="8">
        <f>IFERROR(
GETPIVOTDATA(
"[Base].[Importe]",
TDinamica_R!$A$5,
"[Calendario].[AñoMes]",
"[Calendario].[AñoMes].&amp;[" &amp; TEXT(AL$6,"yyyymm") &amp; "]",
"[Base].[Metrica]",
"[Base].[Metrica].&amp;[" &amp; $A38 &amp; "]",
"[Base].[SEGMENTO_DESCRIP]",
"[Base].[SEGMENTO_DESCRIP].&amp;[" &amp; $C$6 &amp; "]",
"[Base].[SITUACION]",
"[Base].[SITUACION].&amp;[" &amp; $C38 &amp; "]"
),0)/1000</f>
        <v>49757.315446550005</v>
      </c>
      <c r="AM38" s="8">
        <f>IFERROR(
GETPIVOTDATA(
"[Base].[Importe]",
TDinamica_R!$A$5,
"[Calendario].[AñoMes]",
"[Calendario].[AñoMes].&amp;[" &amp; TEXT(AM$6,"yyyymm") &amp; "]",
"[Base].[Metrica]",
"[Base].[Metrica].&amp;[" &amp; $A38 &amp; "]",
"[Base].[SEGMENTO_DESCRIP]",
"[Base].[SEGMENTO_DESCRIP].&amp;[" &amp; $C$6 &amp; "]",
"[Base].[SITUACION]",
"[Base].[SITUACION].&amp;[" &amp; $C38 &amp; "]"
),0)/1000</f>
        <v>49191.833498860004</v>
      </c>
      <c r="AN38" s="8">
        <f>IFERROR(
GETPIVOTDATA(
"[Base].[Importe]",
TDinamica_R!$A$5,
"[Calendario].[AñoMes]",
"[Calendario].[AñoMes].&amp;[" &amp; TEXT(AN$6,"yyyymm") &amp; "]",
"[Base].[Metrica]",
"[Base].[Metrica].&amp;[" &amp; $A38 &amp; "]",
"[Base].[SEGMENTO_DESCRIP]",
"[Base].[SEGMENTO_DESCRIP].&amp;[" &amp; $C$6 &amp; "]",
"[Base].[SITUACION]",
"[Base].[SITUACION].&amp;[" &amp; $C38 &amp; "]"
),0)/1000</f>
        <v>48326.220995240001</v>
      </c>
      <c r="AO38" s="8">
        <f>IFERROR(
GETPIVOTDATA(
"[Base].[Importe]",
TDinamica_R!$A$5,
"[Calendario].[AñoMes]",
"[Calendario].[AñoMes].&amp;[" &amp; TEXT(AO$6,"yyyymm") &amp; "]",
"[Base].[Metrica]",
"[Base].[Metrica].&amp;[" &amp; $A38 &amp; "]",
"[Base].[SEGMENTO_DESCRIP]",
"[Base].[SEGMENTO_DESCRIP].&amp;[" &amp; $C$6 &amp; "]",
"[Base].[SITUACION]",
"[Base].[SITUACION].&amp;[" &amp; $C38 &amp; "]"
),0)/1000</f>
        <v>47582.558883619997</v>
      </c>
      <c r="AP38" s="8">
        <f>IFERROR(
GETPIVOTDATA(
"[Base].[Importe]",
TDinamica_R!$A$5,
"[Calendario].[AñoMes]",
"[Calendario].[AñoMes].&amp;[" &amp; TEXT(AP$6,"yyyymm") &amp; "]",
"[Base].[Metrica]",
"[Base].[Metrica].&amp;[" &amp; $A38 &amp; "]",
"[Base].[SEGMENTO_DESCRIP]",
"[Base].[SEGMENTO_DESCRIP].&amp;[" &amp; $C$6 &amp; "]",
"[Base].[SITUACION]",
"[Base].[SITUACION].&amp;[" &amp; $C38 &amp; "]"
),0)/1000</f>
        <v>47673.019043990003</v>
      </c>
      <c r="AQ38" s="8">
        <f>IFERROR(
GETPIVOTDATA(
"[Base].[Importe]",
TDinamica_R!$A$5,
"[Calendario].[AñoMes]",
"[Calendario].[AñoMes].&amp;[" &amp; TEXT(AQ$6,"yyyymm") &amp; "]",
"[Base].[Metrica]",
"[Base].[Metrica].&amp;[" &amp; $A38 &amp; "]",
"[Base].[SEGMENTO_DESCRIP]",
"[Base].[SEGMENTO_DESCRIP].&amp;[" &amp; $C$6 &amp; "]",
"[Base].[SITUACION]",
"[Base].[SITUACION].&amp;[" &amp; $C38 &amp; "]"
),0)/1000</f>
        <v>47581.42033881</v>
      </c>
      <c r="AR38" s="8">
        <f>IFERROR(
GETPIVOTDATA(
"[Base].[Importe]",
TDinamica_R!$A$5,
"[Calendario].[AñoMes]",
"[Calendario].[AñoMes].&amp;[" &amp; TEXT(AR$6,"yyyymm") &amp; "]",
"[Base].[Metrica]",
"[Base].[Metrica].&amp;[" &amp; $A38 &amp; "]",
"[Base].[SEGMENTO_DESCRIP]",
"[Base].[SEGMENTO_DESCRIP].&amp;[" &amp; $C$6 &amp; "]",
"[Base].[SITUACION]",
"[Base].[SITUACION].&amp;[" &amp; $C38 &amp; "]"
),0)/1000</f>
        <v>47677.618570220002</v>
      </c>
      <c r="AS38" s="8">
        <f>IFERROR(
GETPIVOTDATA(
"[Base].[Importe]",
TDinamica_R!$A$5,
"[Calendario].[AñoMes]",
"[Calendario].[AñoMes].&amp;[" &amp; TEXT(AS$6,"yyyymm") &amp; "]",
"[Base].[Metrica]",
"[Base].[Metrica].&amp;[" &amp; $A38 &amp; "]",
"[Base].[SEGMENTO_DESCRIP]",
"[Base].[SEGMENTO_DESCRIP].&amp;[" &amp; $C$6 &amp; "]",
"[Base].[SITUACION]",
"[Base].[SITUACION].&amp;[" &amp; $C38 &amp; "]"
),0)/1000</f>
        <v>47330.399988420002</v>
      </c>
      <c r="AT38" s="8">
        <f>IFERROR(
GETPIVOTDATA(
"[Base].[Importe]",
TDinamica_R!$A$5,
"[Calendario].[AñoMes]",
"[Calendario].[AñoMes].&amp;[" &amp; TEXT(AT$6,"yyyymm")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U38" s="8">
        <f>IFERROR(
GETPIVOTDATA(
"[Base].[Importe]",
TDinamica_R!$A$5,
"[Calendario].[AñoMes]",
"[Calendario].[AñoMes].&amp;[" &amp; TEXT(AU$6,"yyyymm")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V38" s="8">
        <f>IFERROR(
GETPIVOTDATA(
"[Base].[Importe]",
TDinamica_R!$A$5,
"[Calendario].[AñoMes]",
"[Calendario].[AñoMes].&amp;[" &amp; TEXT(AV$6,"yyyymm")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W38" s="8">
        <f>IFERROR(
GETPIVOTDATA(
"[Base].[Importe]",
TDinamica_R!$A$5,
"[Calendario].[AñoMes]",
"[Calendario].[AñoMes].&amp;[" &amp; TEXT(AW$6,"yyyymm")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X38" s="8">
        <f>IFERROR(
GETPIVOTDATA(
"[Base].[Importe]",
TDinamica_R!$A$5,
"[Calendario].[AñoMes]",
"[Calendario].[AñoMes].&amp;[" &amp; TEXT(AX$6,"yyyymm")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Y38" s="8">
        <f>IFERROR(
GETPIVOTDATA(
"[Base].[Importe]",
TDinamica_R!$A$5,
"[Calendario].[AñoMes]",
"[Calendario].[AñoMes].&amp;[" &amp; TEXT(AY$6,"yyyymm")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Z38" s="8">
        <f>IFERROR(
GETPIVOTDATA(
"[BASE_CONVE_PPTO].[Importe]",
TDinamica_P!$A$5,
"[BASE_CONVE_PPTO].[Periodo]",
"[BASE_CONVE_PPTO].[Periodo].&amp;[" &amp; TEXT(AZ$6,"yyyymm")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50330.806177334496</v>
      </c>
      <c r="BA38" s="8">
        <f>IFERROR(
GETPIVOTDATA(
"[BASE_CONVE_PPTO].[Importe]",
TDinamica_P!$A$5,
"[BASE_CONVE_PPTO].[Periodo]",
"[BASE_CONVE_PPTO].[Periodo].&amp;[" &amp; TEXT(BA$6,"yyyymm")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50766.51100537648</v>
      </c>
      <c r="BB38" s="8">
        <f>IFERROR(
GETPIVOTDATA(
"[BASE_CONVE_PPTO].[Importe]",
TDinamica_P!$A$5,
"[BASE_CONVE_PPTO].[Periodo]",
"[BASE_CONVE_PPTO].[Periodo].&amp;[" &amp; TEXT(BB$6,"yyyymm")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50356.145660675043</v>
      </c>
      <c r="BC38" s="8">
        <f>IFERROR(
GETPIVOTDATA(
"[BASE_CONVE_PPTO].[Importe]",
TDinamica_P!$A$5,
"[BASE_CONVE_PPTO].[Periodo]",
"[BASE_CONVE_PPTO].[Periodo].&amp;[" &amp; TEXT(BC$6,"yyyymm")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50735.779686706737</v>
      </c>
      <c r="BD38" s="8">
        <f>IFERROR(
GETPIVOTDATA(
"[BASE_CONVE_PPTO].[Importe]",
TDinamica_P!$A$5,
"[BASE_CONVE_PPTO].[Periodo]",
"[BASE_CONVE_PPTO].[Periodo].&amp;[" &amp; TEXT(BD$6,"yyyymm")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50691.431723714675</v>
      </c>
      <c r="BE38" s="8">
        <f>IFERROR(
GETPIVOTDATA(
"[BASE_CONVE_PPTO].[Importe]",
TDinamica_P!$A$5,
"[BASE_CONVE_PPTO].[Periodo]",
"[BASE_CONVE_PPTO].[Periodo].&amp;[" &amp; TEXT(BE$6,"yyyymm")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50910.003978629305</v>
      </c>
      <c r="BF38" s="8">
        <f>IFERROR(
GETPIVOTDATA(
"[BASE_CONVE_PPTO].[Importe]",
TDinamica_P!$A$5,
"[BASE_CONVE_PPTO].[Periodo]",
"[BASE_CONVE_PPTO].[Periodo].&amp;[" &amp; TEXT(BF$6,"yyyymm")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51267.460456428824</v>
      </c>
      <c r="BG38" s="8">
        <f>IFERROR(
GETPIVOTDATA(
"[BASE_CONVE_PPTO].[Importe]",
TDinamica_P!$A$5,
"[BASE_CONVE_PPTO].[Periodo]",
"[BASE_CONVE_PPTO].[Periodo].&amp;[" &amp; TEXT(BG$6,"yyyymm")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51489.954860410056</v>
      </c>
      <c r="BH38" s="8">
        <f>IFERROR(
GETPIVOTDATA(
"[BASE_CONVE_PPTO].[Importe]",
TDinamica_P!$A$5,
"[BASE_CONVE_PPTO].[Periodo]",
"[BASE_CONVE_PPTO].[Periodo].&amp;[" &amp; TEXT(BH$6,"yyyymm")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51689.402705274348</v>
      </c>
      <c r="BI38" s="8">
        <f>IFERROR(
GETPIVOTDATA(
"[BASE_CONVE_PPTO].[Importe]",
TDinamica_P!$A$5,
"[BASE_CONVE_PPTO].[Periodo]",
"[BASE_CONVE_PPTO].[Periodo].&amp;[" &amp; TEXT(BI$6,"yyyymm")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52202.102783960567</v>
      </c>
      <c r="BJ38" s="8">
        <f>IFERROR(
GETPIVOTDATA(
"[BASE_CONVE_PPTO].[Importe]",
TDinamica_P!$A$5,
"[BASE_CONVE_PPTO].[Periodo]",
"[BASE_CONVE_PPTO].[Periodo].&amp;[" &amp; TEXT(BJ$6,"yyyymm")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52064.671224602476</v>
      </c>
      <c r="BK38" s="8">
        <f>IFERROR(
GETPIVOTDATA(
"[BASE_CONVE_PPTO].[Importe]",
TDinamica_P!$A$5,
"[BASE_CONVE_PPTO].[Periodo]",
"[BASE_CONVE_PPTO].[Periodo].&amp;[" &amp; TEXT(BK$6,"yyyymm")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52500.858162737983</v>
      </c>
      <c r="BO38" s="24">
        <f t="shared" ref="BO38:BT40" si="30">SUMIFS($D38:$BM38,$D$6:$BM$6,"&gt;="&amp;BO$2,$D$6:$BM$6,"&lt;="&amp;BO$6,$D$5:$BM$5,BO$5)</f>
        <v>238840.83783188002</v>
      </c>
      <c r="BP38" s="24">
        <f t="shared" si="30"/>
        <v>252880.67425380746</v>
      </c>
      <c r="BQ38" s="24">
        <f t="shared" si="30"/>
        <v>191163.21926166001</v>
      </c>
      <c r="BR38" s="24">
        <f t="shared" si="30"/>
        <v>253139.26545279002</v>
      </c>
      <c r="BS38" s="24">
        <f t="shared" si="30"/>
        <v>245598.88961298004</v>
      </c>
      <c r="BT38" s="24">
        <f t="shared" si="30"/>
        <v>215513.17434002002</v>
      </c>
    </row>
    <row r="39" spans="1:72" outlineLevel="1" x14ac:dyDescent="0.25">
      <c r="A39" s="11" t="s">
        <v>55</v>
      </c>
      <c r="C39" s="2" t="s">
        <v>1</v>
      </c>
      <c r="D39" s="8">
        <f>IFERROR(
GETPIVOTDATA(
"[Base].[Importe]",
TDinamica_R!$A$5,
"[Calendario].[AñoMes]",
"[Calendario].[AñoMes].&amp;[" &amp; TEXT(D$6,"yyyymm") &amp; "]",
"[Base].[Metrica]",
"[Base].[Metrica].&amp;[" &amp; $A39 &amp; "]",
"[Base].[SEGMENTO_DESCRIP]",
"[Base].[SEGMENTO_DESCRIP].&amp;[" &amp; $C$6 &amp; "]",
"[Base].[SITUACION]",
"[Base].[SITUACION].&amp;[" &amp; $C39 &amp; "]"
),0)/1000</f>
        <v>250.74481499999999</v>
      </c>
      <c r="E39" s="8">
        <f>IFERROR(
GETPIVOTDATA(
"[Base].[Importe]",
TDinamica_R!$A$5,
"[Calendario].[AñoMes]",
"[Calendario].[AñoMes].&amp;[" &amp; TEXT(E$6,"yyyymm") &amp; "]",
"[Base].[Metrica]",
"[Base].[Metrica].&amp;[" &amp; $A39 &amp; "]",
"[Base].[SEGMENTO_DESCRIP]",
"[Base].[SEGMENTO_DESCRIP].&amp;[" &amp; $C$6 &amp; "]",
"[Base].[SITUACION]",
"[Base].[SITUACION].&amp;[" &amp; $C39 &amp; "]"
),0)/1000</f>
        <v>243.244439</v>
      </c>
      <c r="F39" s="8">
        <f>IFERROR(
GETPIVOTDATA(
"[Base].[Importe]",
TDinamica_R!$A$5,
"[Calendario].[AñoMes]",
"[Calendario].[AñoMes].&amp;[" &amp; TEXT(F$6,"yyyymm") &amp; "]",
"[Base].[Metrica]",
"[Base].[Metrica].&amp;[" &amp; $A39 &amp; "]",
"[Base].[SEGMENTO_DESCRIP]",
"[Base].[SEGMENTO_DESCRIP].&amp;[" &amp; $C$6 &amp; "]",
"[Base].[SITUACION]",
"[Base].[SITUACION].&amp;[" &amp; $C39 &amp; "]"
),0)/1000</f>
        <v>237.3646909</v>
      </c>
      <c r="G39" s="8">
        <f>IFERROR(
GETPIVOTDATA(
"[Base].[Importe]",
TDinamica_R!$A$5,
"[Calendario].[AñoMes]",
"[Calendario].[AñoMes].&amp;[" &amp; TEXT(G$6,"yyyymm") &amp; "]",
"[Base].[Metrica]",
"[Base].[Metrica].&amp;[" &amp; $A39 &amp; "]",
"[Base].[SEGMENTO_DESCRIP]",
"[Base].[SEGMENTO_DESCRIP].&amp;[" &amp; $C$6 &amp; "]",
"[Base].[SITUACION]",
"[Base].[SITUACION].&amp;[" &amp; $C39 &amp; "]"
),0)/1000</f>
        <v>243.82192499999999</v>
      </c>
      <c r="H39" s="8">
        <f>IFERROR(
GETPIVOTDATA(
"[Base].[Importe]",
TDinamica_R!$A$5,
"[Calendario].[AñoMes]",
"[Calendario].[AñoMes].&amp;[" &amp; TEXT(H$6,"yyyymm") &amp; "]",
"[Base].[Metrica]",
"[Base].[Metrica].&amp;[" &amp; $A39 &amp; "]",
"[Base].[SEGMENTO_DESCRIP]",
"[Base].[SEGMENTO_DESCRIP].&amp;[" &amp; $C$6 &amp; "]",
"[Base].[SITUACION]",
"[Base].[SITUACION].&amp;[" &amp; $C39 &amp; "]"
),0)/1000</f>
        <v>222.26591329999999</v>
      </c>
      <c r="I39" s="8">
        <f>IFERROR(
GETPIVOTDATA(
"[Base].[Importe]",
TDinamica_R!$A$5,
"[Calendario].[AñoMes]",
"[Calendario].[AñoMes].&amp;[" &amp; TEXT(I$6,"yyyymm") &amp; "]",
"[Base].[Metrica]",
"[Base].[Metrica].&amp;[" &amp; $A39 &amp; "]",
"[Base].[SEGMENTO_DESCRIP]",
"[Base].[SEGMENTO_DESCRIP].&amp;[" &amp; $C$6 &amp; "]",
"[Base].[SITUACION]",
"[Base].[SITUACION].&amp;[" &amp; $C39 &amp; "]"
),0)/1000</f>
        <v>232.8068447</v>
      </c>
      <c r="J39" s="8">
        <f>IFERROR(
GETPIVOTDATA(
"[Base].[Importe]",
TDinamica_R!$A$5,
"[Calendario].[AñoMes]",
"[Calendario].[AñoMes].&amp;[" &amp; TEXT(J$6,"yyyymm") &amp; "]",
"[Base].[Metrica]",
"[Base].[Metrica].&amp;[" &amp; $A39 &amp; "]",
"[Base].[SEGMENTO_DESCRIP]",
"[Base].[SEGMENTO_DESCRIP].&amp;[" &amp; $C$6 &amp; "]",
"[Base].[SITUACION]",
"[Base].[SITUACION].&amp;[" &amp; $C39 &amp; "]"
),0)/1000</f>
        <v>272.5200395</v>
      </c>
      <c r="K39" s="8">
        <f>IFERROR(
GETPIVOTDATA(
"[Base].[Importe]",
TDinamica_R!$A$5,
"[Calendario].[AñoMes]",
"[Calendario].[AñoMes].&amp;[" &amp; TEXT(K$6,"yyyymm") &amp; "]",
"[Base].[Metrica]",
"[Base].[Metrica].&amp;[" &amp; $A39 &amp; "]",
"[Base].[SEGMENTO_DESCRIP]",
"[Base].[SEGMENTO_DESCRIP].&amp;[" &amp; $C$6 &amp; "]",
"[Base].[SITUACION]",
"[Base].[SITUACION].&amp;[" &amp; $C39 &amp; "]"
),0)/1000</f>
        <v>254.2363234</v>
      </c>
      <c r="L39" s="8">
        <f>IFERROR(
GETPIVOTDATA(
"[Base].[Importe]",
TDinamica_R!$A$5,
"[Calendario].[AñoMes]",
"[Calendario].[AñoMes].&amp;[" &amp; TEXT(L$6,"yyyymm") &amp; "]",
"[Base].[Metrica]",
"[Base].[Metrica].&amp;[" &amp; $A39 &amp; "]",
"[Base].[SEGMENTO_DESCRIP]",
"[Base].[SEGMENTO_DESCRIP].&amp;[" &amp; $C$6 &amp; "]",
"[Base].[SITUACION]",
"[Base].[SITUACION].&amp;[" &amp; $C39 &amp; "]"
),0)/1000</f>
        <v>245.86867280000001</v>
      </c>
      <c r="M39" s="8">
        <f>IFERROR(
GETPIVOTDATA(
"[Base].[Importe]",
TDinamica_R!$A$5,
"[Calendario].[AñoMes]",
"[Calendario].[AñoMes].&amp;[" &amp; TEXT(M$6,"yyyymm") &amp; "]",
"[Base].[Metrica]",
"[Base].[Metrica].&amp;[" &amp; $A39 &amp; "]",
"[Base].[SEGMENTO_DESCRIP]",
"[Base].[SEGMENTO_DESCRIP].&amp;[" &amp; $C$6 &amp; "]",
"[Base].[SITUACION]",
"[Base].[SITUACION].&amp;[" &amp; $C39 &amp; "]"
),0)/1000</f>
        <v>238.78557889999999</v>
      </c>
      <c r="N39" s="8">
        <f>IFERROR(
GETPIVOTDATA(
"[Base].[Importe]",
TDinamica_R!$A$5,
"[Calendario].[AñoMes]",
"[Calendario].[AñoMes].&amp;[" &amp; TEXT(N$6,"yyyymm") &amp; "]",
"[Base].[Metrica]",
"[Base].[Metrica].&amp;[" &amp; $A39 &amp; "]",
"[Base].[SEGMENTO_DESCRIP]",
"[Base].[SEGMENTO_DESCRIP].&amp;[" &amp; $C$6 &amp; "]",
"[Base].[SITUACION]",
"[Base].[SITUACION].&amp;[" &amp; $C39 &amp; "]"
),0)/1000</f>
        <v>233.164491</v>
      </c>
      <c r="O39" s="8">
        <f>IFERROR(
GETPIVOTDATA(
"[Base].[Importe]",
TDinamica_R!$A$5,
"[Calendario].[AñoMes]",
"[Calendario].[AñoMes].&amp;[" &amp; TEXT(O$6,"yyyymm") &amp; "]",
"[Base].[Metrica]",
"[Base].[Metrica].&amp;[" &amp; $A39 &amp; "]",
"[Base].[SEGMENTO_DESCRIP]",
"[Base].[SEGMENTO_DESCRIP].&amp;[" &amp; $C$6 &amp; "]",
"[Base].[SITUACION]",
"[Base].[SITUACION].&amp;[" &amp; $C39 &amp; "]"
),0)/1000</f>
        <v>235.9856293</v>
      </c>
      <c r="P39" s="8">
        <f>IFERROR(
GETPIVOTDATA(
"[Base].[Importe]",
TDinamica_R!$A$5,
"[Calendario].[AñoMes]",
"[Calendario].[AñoMes].&amp;[" &amp; TEXT(P$6,"yyyymm") &amp; "]",
"[Base].[Metrica]",
"[Base].[Metrica].&amp;[" &amp; $A39 &amp; "]",
"[Base].[SEGMENTO_DESCRIP]",
"[Base].[SEGMENTO_DESCRIP].&amp;[" &amp; $C$6 &amp; "]",
"[Base].[SITUACION]",
"[Base].[SITUACION].&amp;[" &amp; $C39 &amp; "]"
),0)/1000</f>
        <v>228.11560370000001</v>
      </c>
      <c r="Q39" s="8">
        <f>IFERROR(
GETPIVOTDATA(
"[Base].[Importe]",
TDinamica_R!$A$5,
"[Calendario].[AñoMes]",
"[Calendario].[AñoMes].&amp;[" &amp; TEXT(Q$6,"yyyymm") &amp; "]",
"[Base].[Metrica]",
"[Base].[Metrica].&amp;[" &amp; $A39 &amp; "]",
"[Base].[SEGMENTO_DESCRIP]",
"[Base].[SEGMENTO_DESCRIP].&amp;[" &amp; $C$6 &amp; "]",
"[Base].[SITUACION]",
"[Base].[SITUACION].&amp;[" &amp; $C39 &amp; "]"
),0)/1000</f>
        <v>212.9136872</v>
      </c>
      <c r="R39" s="8">
        <f>IFERROR(
GETPIVOTDATA(
"[Base].[Importe]",
TDinamica_R!$A$5,
"[Calendario].[AñoMes]",
"[Calendario].[AñoMes].&amp;[" &amp; TEXT(R$6,"yyyymm") &amp; "]",
"[Base].[Metrica]",
"[Base].[Metrica].&amp;[" &amp; $A39 &amp; "]",
"[Base].[SEGMENTO_DESCRIP]",
"[Base].[SEGMENTO_DESCRIP].&amp;[" &amp; $C$6 &amp; "]",
"[Base].[SITUACION]",
"[Base].[SITUACION].&amp;[" &amp; $C39 &amp; "]"
),0)/1000</f>
        <v>210.94301709999999</v>
      </c>
      <c r="S39" s="8">
        <f>IFERROR(
GETPIVOTDATA(
"[Base].[Importe]",
TDinamica_R!$A$5,
"[Calendario].[AñoMes]",
"[Calendario].[AñoMes].&amp;[" &amp; TEXT(S$6,"yyyymm") &amp; "]",
"[Base].[Metrica]",
"[Base].[Metrica].&amp;[" &amp; $A39 &amp; "]",
"[Base].[SEGMENTO_DESCRIP]",
"[Base].[SEGMENTO_DESCRIP].&amp;[" &amp; $C$6 &amp; "]",
"[Base].[SITUACION]",
"[Base].[SITUACION].&amp;[" &amp; $C39 &amp; "]"
),0)/1000</f>
        <v>195.37762849999999</v>
      </c>
      <c r="T39" s="8">
        <f>IFERROR(
GETPIVOTDATA(
"[Base].[Importe]",
TDinamica_R!$A$5,
"[Calendario].[AñoMes]",
"[Calendario].[AñoMes].&amp;[" &amp; TEXT(T$6,"yyyymm") &amp; "]",
"[Base].[Metrica]",
"[Base].[Metrica].&amp;[" &amp; $A39 &amp; "]",
"[Base].[SEGMENTO_DESCRIP]",
"[Base].[SEGMENTO_DESCRIP].&amp;[" &amp; $C$6 &amp; "]",
"[Base].[SITUACION]",
"[Base].[SITUACION].&amp;[" &amp; $C39 &amp; "]"
),0)/1000</f>
        <v>201.98747320000001</v>
      </c>
      <c r="U39" s="8">
        <f>IFERROR(
GETPIVOTDATA(
"[Base].[Importe]",
TDinamica_R!$A$5,
"[Calendario].[AñoMes]",
"[Calendario].[AñoMes].&amp;[" &amp; TEXT(U$6,"yyyymm") &amp; "]",
"[Base].[Metrica]",
"[Base].[Metrica].&amp;[" &amp; $A39 &amp; "]",
"[Base].[SEGMENTO_DESCRIP]",
"[Base].[SEGMENTO_DESCRIP].&amp;[" &amp; $C$6 &amp; "]",
"[Base].[SITUACION]",
"[Base].[SITUACION].&amp;[" &amp; $C39 &amp; "]"
),0)/1000</f>
        <v>176.05966140000001</v>
      </c>
      <c r="V39" s="8">
        <f>IFERROR(
GETPIVOTDATA(
"[Base].[Importe]",
TDinamica_R!$A$5,
"[Calendario].[AñoMes]",
"[Calendario].[AñoMes].&amp;[" &amp; TEXT(V$6,"yyyymm") &amp; "]",
"[Base].[Metrica]",
"[Base].[Metrica].&amp;[" &amp; $A39 &amp; "]",
"[Base].[SEGMENTO_DESCRIP]",
"[Base].[SEGMENTO_DESCRIP].&amp;[" &amp; $C$6 &amp; "]",
"[Base].[SITUACION]",
"[Base].[SITUACION].&amp;[" &amp; $C39 &amp; "]"
),0)/1000</f>
        <v>188.58246549999998</v>
      </c>
      <c r="W39" s="8">
        <f>IFERROR(
GETPIVOTDATA(
"[Base].[Importe]",
TDinamica_R!$A$5,
"[Calendario].[AñoMes]",
"[Calendario].[AñoMes].&amp;[" &amp; TEXT(W$6,"yyyymm") &amp; "]",
"[Base].[Metrica]",
"[Base].[Metrica].&amp;[" &amp; $A39 &amp; "]",
"[Base].[SEGMENTO_DESCRIP]",
"[Base].[SEGMENTO_DESCRIP].&amp;[" &amp; $C$6 &amp; "]",
"[Base].[SITUACION]",
"[Base].[SITUACION].&amp;[" &amp; $C39 &amp; "]"
),0)/1000</f>
        <v>181.51997399999999</v>
      </c>
      <c r="X39" s="8">
        <f>IFERROR(
GETPIVOTDATA(
"[Base].[Importe]",
TDinamica_R!$A$5,
"[Calendario].[AñoMes]",
"[Calendario].[AñoMes].&amp;[" &amp; TEXT(X$6,"yyyymm") &amp; "]",
"[Base].[Metrica]",
"[Base].[Metrica].&amp;[" &amp; $A39 &amp; "]",
"[Base].[SEGMENTO_DESCRIP]",
"[Base].[SEGMENTO_DESCRIP].&amp;[" &amp; $C$6 &amp; "]",
"[Base].[SITUACION]",
"[Base].[SITUACION].&amp;[" &amp; $C39 &amp; "]"
),0)/1000</f>
        <v>180.61443267999999</v>
      </c>
      <c r="Y39" s="8">
        <f>IFERROR(
GETPIVOTDATA(
"[Base].[Importe]",
TDinamica_R!$A$5,
"[Calendario].[AñoMes]",
"[Calendario].[AñoMes].&amp;[" &amp; TEXT(Y$6,"yyyymm") &amp; "]",
"[Base].[Metrica]",
"[Base].[Metrica].&amp;[" &amp; $A39 &amp; "]",
"[Base].[SEGMENTO_DESCRIP]",
"[Base].[SEGMENTO_DESCRIP].&amp;[" &amp; $C$6 &amp; "]",
"[Base].[SITUACION]",
"[Base].[SITUACION].&amp;[" &amp; $C39 &amp; "]"
),0)/1000</f>
        <v>176.32974722</v>
      </c>
      <c r="Z39" s="8">
        <f>IFERROR(
GETPIVOTDATA(
"[Base].[Importe]",
TDinamica_R!$A$5,
"[Calendario].[AñoMes]",
"[Calendario].[AñoMes].&amp;[" &amp; TEXT(Z$6,"yyyymm") &amp; "]",
"[Base].[Metrica]",
"[Base].[Metrica].&amp;[" &amp; $A39 &amp; "]",
"[Base].[SEGMENTO_DESCRIP]",
"[Base].[SEGMENTO_DESCRIP].&amp;[" &amp; $C$6 &amp; "]",
"[Base].[SITUACION]",
"[Base].[SITUACION].&amp;[" &amp; $C39 &amp; "]"
),0)/1000</f>
        <v>174.77979523999997</v>
      </c>
      <c r="AA39" s="8">
        <f>IFERROR(
GETPIVOTDATA(
"[Base].[Importe]",
TDinamica_R!$A$5,
"[Calendario].[AñoMes]",
"[Calendario].[AñoMes].&amp;[" &amp; TEXT(AA$6,"yyyymm") &amp; "]",
"[Base].[Metrica]",
"[Base].[Metrica].&amp;[" &amp; $A39 &amp; "]",
"[Base].[SEGMENTO_DESCRIP]",
"[Base].[SEGMENTO_DESCRIP].&amp;[" &amp; $C$6 &amp; "]",
"[Base].[SITUACION]",
"[Base].[SITUACION].&amp;[" &amp; $C39 &amp; "]"
),0)/1000</f>
        <v>193.61586444</v>
      </c>
      <c r="AB39" s="8">
        <f>IFERROR(
GETPIVOTDATA(
"[Base].[Importe]",
TDinamica_R!$A$5,
"[Calendario].[AñoMes]",
"[Calendario].[AñoMes].&amp;[" &amp; TEXT(AB$6,"yyyymm") &amp; "]",
"[Base].[Metrica]",
"[Base].[Metrica].&amp;[" &amp; $A39 &amp; "]",
"[Base].[SEGMENTO_DESCRIP]",
"[Base].[SEGMENTO_DESCRIP].&amp;[" &amp; $C$6 &amp; "]",
"[Base].[SITUACION]",
"[Base].[SITUACION].&amp;[" &amp; $C39 &amp; "]"
),0)/1000</f>
        <v>195.13778075000002</v>
      </c>
      <c r="AC39" s="8">
        <f>IFERROR(
GETPIVOTDATA(
"[Base].[Importe]",
TDinamica_R!$A$5,
"[Calendario].[AñoMes]",
"[Calendario].[AñoMes].&amp;[" &amp; TEXT(AC$6,"yyyymm") &amp; "]",
"[Base].[Metrica]",
"[Base].[Metrica].&amp;[" &amp; $A39 &amp; "]",
"[Base].[SEGMENTO_DESCRIP]",
"[Base].[SEGMENTO_DESCRIP].&amp;[" &amp; $C$6 &amp; "]",
"[Base].[SITUACION]",
"[Base].[SITUACION].&amp;[" &amp; $C39 &amp; "]"
),0)/1000</f>
        <v>188.85560053</v>
      </c>
      <c r="AD39" s="8">
        <f>IFERROR(
GETPIVOTDATA(
"[Base].[Importe]",
TDinamica_R!$A$5,
"[Calendario].[AñoMes]",
"[Calendario].[AñoMes].&amp;[" &amp; TEXT(AD$6,"yyyymm") &amp; "]",
"[Base].[Metrica]",
"[Base].[Metrica].&amp;[" &amp; $A39 &amp; "]",
"[Base].[SEGMENTO_DESCRIP]",
"[Base].[SEGMENTO_DESCRIP].&amp;[" &amp; $C$6 &amp; "]",
"[Base].[SITUACION]",
"[Base].[SITUACION].&amp;[" &amp; $C39 &amp; "]"
),0)/1000</f>
        <v>202.17874485999999</v>
      </c>
      <c r="AE39" s="8">
        <f>IFERROR(
GETPIVOTDATA(
"[Base].[Importe]",
TDinamica_R!$A$5,
"[Calendario].[AñoMes]",
"[Calendario].[AñoMes].&amp;[" &amp; TEXT(AE$6,"yyyymm") &amp; "]",
"[Base].[Metrica]",
"[Base].[Metrica].&amp;[" &amp; $A39 &amp; "]",
"[Base].[SEGMENTO_DESCRIP]",
"[Base].[SEGMENTO_DESCRIP].&amp;[" &amp; $C$6 &amp; "]",
"[Base].[SITUACION]",
"[Base].[SITUACION].&amp;[" &amp; $C39 &amp; "]"
),0)/1000</f>
        <v>218.80739607000001</v>
      </c>
      <c r="AF39" s="8">
        <f>IFERROR(
GETPIVOTDATA(
"[Base].[Importe]",
TDinamica_R!$A$5,
"[Calendario].[AñoMes]",
"[Calendario].[AñoMes].&amp;[" &amp; TEXT(AF$6,"yyyymm") &amp; "]",
"[Base].[Metrica]",
"[Base].[Metrica].&amp;[" &amp; $A39 &amp; "]",
"[Base].[SEGMENTO_DESCRIP]",
"[Base].[SEGMENTO_DESCRIP].&amp;[" &amp; $C$6 &amp; "]",
"[Base].[SITUACION]",
"[Base].[SITUACION].&amp;[" &amp; $C39 &amp; "]"
),0)/1000</f>
        <v>233.99865471999999</v>
      </c>
      <c r="AG39" s="8">
        <f>IFERROR(
GETPIVOTDATA(
"[Base].[Importe]",
TDinamica_R!$A$5,
"[Calendario].[AñoMes]",
"[Calendario].[AñoMes].&amp;[" &amp; TEXT(AG$6,"yyyymm") &amp; "]",
"[Base].[Metrica]",
"[Base].[Metrica].&amp;[" &amp; $A39 &amp; "]",
"[Base].[SEGMENTO_DESCRIP]",
"[Base].[SEGMENTO_DESCRIP].&amp;[" &amp; $C$6 &amp; "]",
"[Base].[SITUACION]",
"[Base].[SITUACION].&amp;[" &amp; $C39 &amp; "]"
),0)/1000</f>
        <v>234.25182982000001</v>
      </c>
      <c r="AH39" s="8">
        <f>IFERROR(
GETPIVOTDATA(
"[Base].[Importe]",
TDinamica_R!$A$5,
"[Calendario].[AñoMes]",
"[Calendario].[AñoMes].&amp;[" &amp; TEXT(AH$6,"yyyymm") &amp; "]",
"[Base].[Metrica]",
"[Base].[Metrica].&amp;[" &amp; $A39 &amp; "]",
"[Base].[SEGMENTO_DESCRIP]",
"[Base].[SEGMENTO_DESCRIP].&amp;[" &amp; $C$6 &amp; "]",
"[Base].[SITUACION]",
"[Base].[SITUACION].&amp;[" &amp; $C39 &amp; "]"
),0)/1000</f>
        <v>251.00836403000002</v>
      </c>
      <c r="AI39" s="8">
        <f>IFERROR(
GETPIVOTDATA(
"[Base].[Importe]",
TDinamica_R!$A$5,
"[Calendario].[AñoMes]",
"[Calendario].[AñoMes].&amp;[" &amp; TEXT(AI$6,"yyyymm") &amp; "]",
"[Base].[Metrica]",
"[Base].[Metrica].&amp;[" &amp; $A39 &amp; "]",
"[Base].[SEGMENTO_DESCRIP]",
"[Base].[SEGMENTO_DESCRIP].&amp;[" &amp; $C$6 &amp; "]",
"[Base].[SITUACION]",
"[Base].[SITUACION].&amp;[" &amp; $C39 &amp; "]"
),0)/1000</f>
        <v>263.05029833999998</v>
      </c>
      <c r="AJ39" s="8">
        <f>IFERROR(
GETPIVOTDATA(
"[Base].[Importe]",
TDinamica_R!$A$5,
"[Calendario].[AñoMes]",
"[Calendario].[AñoMes].&amp;[" &amp; TEXT(AJ$6,"yyyymm") &amp; "]",
"[Base].[Metrica]",
"[Base].[Metrica].&amp;[" &amp; $A39 &amp; "]",
"[Base].[SEGMENTO_DESCRIP]",
"[Base].[SEGMENTO_DESCRIP].&amp;[" &amp; $C$6 &amp; "]",
"[Base].[SITUACION]",
"[Base].[SITUACION].&amp;[" &amp; $C39 &amp; "]"
),0)/1000</f>
        <v>258.05564544999999</v>
      </c>
      <c r="AK39" s="8">
        <f>IFERROR(
GETPIVOTDATA(
"[Base].[Importe]",
TDinamica_R!$A$5,
"[Calendario].[AñoMes]",
"[Calendario].[AñoMes].&amp;[" &amp; TEXT(AK$6,"yyyymm") &amp; "]",
"[Base].[Metrica]",
"[Base].[Metrica].&amp;[" &amp; $A39 &amp; "]",
"[Base].[SEGMENTO_DESCRIP]",
"[Base].[SEGMENTO_DESCRIP].&amp;[" &amp; $C$6 &amp; "]",
"[Base].[SITUACION]",
"[Base].[SITUACION].&amp;[" &amp; $C39 &amp; "]"
),0)/1000</f>
        <v>255.77886384999999</v>
      </c>
      <c r="AL39" s="8">
        <f>IFERROR(
GETPIVOTDATA(
"[Base].[Importe]",
TDinamica_R!$A$5,
"[Calendario].[AñoMes]",
"[Calendario].[AñoMes].&amp;[" &amp; TEXT(AL$6,"yyyymm") &amp; "]",
"[Base].[Metrica]",
"[Base].[Metrica].&amp;[" &amp; $A39 &amp; "]",
"[Base].[SEGMENTO_DESCRIP]",
"[Base].[SEGMENTO_DESCRIP].&amp;[" &amp; $C$6 &amp; "]",
"[Base].[SITUACION]",
"[Base].[SITUACION].&amp;[" &amp; $C39 &amp; "]"
),0)/1000</f>
        <v>250.34182315999999</v>
      </c>
      <c r="AM39" s="8">
        <f>IFERROR(
GETPIVOTDATA(
"[Base].[Importe]",
TDinamica_R!$A$5,
"[Calendario].[AñoMes]",
"[Calendario].[AñoMes].&amp;[" &amp; TEXT(AM$6,"yyyymm") &amp; "]",
"[Base].[Metrica]",
"[Base].[Metrica].&amp;[" &amp; $A39 &amp; "]",
"[Base].[SEGMENTO_DESCRIP]",
"[Base].[SEGMENTO_DESCRIP].&amp;[" &amp; $C$6 &amp; "]",
"[Base].[SITUACION]",
"[Base].[SITUACION].&amp;[" &amp; $C39 &amp; "]"
),0)/1000</f>
        <v>249.63332302999999</v>
      </c>
      <c r="AN39" s="8">
        <f>IFERROR(
GETPIVOTDATA(
"[Base].[Importe]",
TDinamica_R!$A$5,
"[Calendario].[AñoMes]",
"[Calendario].[AñoMes].&amp;[" &amp; TEXT(AN$6,"yyyymm") &amp; "]",
"[Base].[Metrica]",
"[Base].[Metrica].&amp;[" &amp; $A39 &amp; "]",
"[Base].[SEGMENTO_DESCRIP]",
"[Base].[SEGMENTO_DESCRIP].&amp;[" &amp; $C$6 &amp; "]",
"[Base].[SITUACION]",
"[Base].[SITUACION].&amp;[" &amp; $C39 &amp; "]"
),0)/1000</f>
        <v>259.53380981999999</v>
      </c>
      <c r="AO39" s="8">
        <f>IFERROR(
GETPIVOTDATA(
"[Base].[Importe]",
TDinamica_R!$A$5,
"[Calendario].[AñoMes]",
"[Calendario].[AñoMes].&amp;[" &amp; TEXT(AO$6,"yyyymm") &amp; "]",
"[Base].[Metrica]",
"[Base].[Metrica].&amp;[" &amp; $A39 &amp; "]",
"[Base].[SEGMENTO_DESCRIP]",
"[Base].[SEGMENTO_DESCRIP].&amp;[" &amp; $C$6 &amp; "]",
"[Base].[SITUACION]",
"[Base].[SITUACION].&amp;[" &amp; $C39 &amp; "]"
),0)/1000</f>
        <v>251.67383399000002</v>
      </c>
      <c r="AP39" s="8">
        <f>IFERROR(
GETPIVOTDATA(
"[Base].[Importe]",
TDinamica_R!$A$5,
"[Calendario].[AñoMes]",
"[Calendario].[AñoMes].&amp;[" &amp; TEXT(AP$6,"yyyymm") &amp; "]",
"[Base].[Metrica]",
"[Base].[Metrica].&amp;[" &amp; $A39 &amp; "]",
"[Base].[SEGMENTO_DESCRIP]",
"[Base].[SEGMENTO_DESCRIP].&amp;[" &amp; $C$6 &amp; "]",
"[Base].[SITUACION]",
"[Base].[SITUACION].&amp;[" &amp; $C39 &amp; "]"
),0)/1000</f>
        <v>233.16691939</v>
      </c>
      <c r="AQ39" s="8">
        <f>IFERROR(
GETPIVOTDATA(
"[Base].[Importe]",
TDinamica_R!$A$5,
"[Calendario].[AñoMes]",
"[Calendario].[AñoMes].&amp;[" &amp; TEXT(AQ$6,"yyyymm") &amp; "]",
"[Base].[Metrica]",
"[Base].[Metrica].&amp;[" &amp; $A39 &amp; "]",
"[Base].[SEGMENTO_DESCRIP]",
"[Base].[SEGMENTO_DESCRIP].&amp;[" &amp; $C$6 &amp; "]",
"[Base].[SITUACION]",
"[Base].[SITUACION].&amp;[" &amp; $C39 &amp; "]"
),0)/1000</f>
        <v>240.56281505999999</v>
      </c>
      <c r="AR39" s="8">
        <f>IFERROR(
GETPIVOTDATA(
"[Base].[Importe]",
TDinamica_R!$A$5,
"[Calendario].[AñoMes]",
"[Calendario].[AñoMes].&amp;[" &amp; TEXT(AR$6,"yyyymm") &amp; "]",
"[Base].[Metrica]",
"[Base].[Metrica].&amp;[" &amp; $A39 &amp; "]",
"[Base].[SEGMENTO_DESCRIP]",
"[Base].[SEGMENTO_DESCRIP].&amp;[" &amp; $C$6 &amp; "]",
"[Base].[SITUACION]",
"[Base].[SITUACION].&amp;[" &amp; $C39 &amp; "]"
),0)/1000</f>
        <v>225.71607649000001</v>
      </c>
      <c r="AS39" s="8">
        <f>IFERROR(
GETPIVOTDATA(
"[Base].[Importe]",
TDinamica_R!$A$5,
"[Calendario].[AñoMes]",
"[Calendario].[AñoMes].&amp;[" &amp; TEXT(AS$6,"yyyymm") &amp; "]",
"[Base].[Metrica]",
"[Base].[Metrica].&amp;[" &amp; $A39 &amp; "]",
"[Base].[SEGMENTO_DESCRIP]",
"[Base].[SEGMENTO_DESCRIP].&amp;[" &amp; $C$6 &amp; "]",
"[Base].[SITUACION]",
"[Base].[SITUACION].&amp;[" &amp; $C39 &amp; "]"
),0)/1000</f>
        <v>226.80824011999999</v>
      </c>
      <c r="AT39" s="8">
        <f>IFERROR(
GETPIVOTDATA(
"[Base].[Importe]",
TDinamica_R!$A$5,
"[Calendario].[AñoMes]",
"[Calendario].[AñoMes].&amp;[" &amp; TEXT(AT$6,"yyyymm")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U39" s="8">
        <f>IFERROR(
GETPIVOTDATA(
"[Base].[Importe]",
TDinamica_R!$A$5,
"[Calendario].[AñoMes]",
"[Calendario].[AñoMes].&amp;[" &amp; TEXT(AU$6,"yyyymm")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V39" s="8">
        <f>IFERROR(
GETPIVOTDATA(
"[Base].[Importe]",
TDinamica_R!$A$5,
"[Calendario].[AñoMes]",
"[Calendario].[AñoMes].&amp;[" &amp; TEXT(AV$6,"yyyymm")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W39" s="8">
        <f>IFERROR(
GETPIVOTDATA(
"[Base].[Importe]",
TDinamica_R!$A$5,
"[Calendario].[AñoMes]",
"[Calendario].[AñoMes].&amp;[" &amp; TEXT(AW$6,"yyyymm")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X39" s="8">
        <f>IFERROR(
GETPIVOTDATA(
"[Base].[Importe]",
TDinamica_R!$A$5,
"[Calendario].[AñoMes]",
"[Calendario].[AñoMes].&amp;[" &amp; TEXT(AX$6,"yyyymm")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Y39" s="8">
        <f>IFERROR(
GETPIVOTDATA(
"[Base].[Importe]",
TDinamica_R!$A$5,
"[Calendario].[AñoMes]",
"[Calendario].[AñoMes].&amp;[" &amp; TEXT(AY$6,"yyyymm")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Z39" s="8">
        <f>IFERROR(
GETPIVOTDATA(
"[BASE_CONVE_PPTO].[Importe]",
TDinamica_P!$A$5,
"[BASE_CONVE_PPTO].[Periodo]",
"[BASE_CONVE_PPTO].[Periodo].&amp;[" &amp; TEXT(AZ$6,"yyyymm")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257.97873594462749</v>
      </c>
      <c r="BA39" s="8">
        <f>IFERROR(
GETPIVOTDATA(
"[BASE_CONVE_PPTO].[Importe]",
TDinamica_P!$A$5,
"[BASE_CONVE_PPTO].[Periodo]",
"[BASE_CONVE_PPTO].[Periodo].&amp;[" &amp; TEXT(BA$6,"yyyymm")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260.21201193045624</v>
      </c>
      <c r="BB39" s="8">
        <f>IFERROR(
GETPIVOTDATA(
"[BASE_CONVE_PPTO].[Importe]",
TDinamica_P!$A$5,
"[BASE_CONVE_PPTO].[Periodo]",
"[BASE_CONVE_PPTO].[Periodo].&amp;[" &amp; TEXT(BB$6,"yyyymm")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258.10861758925387</v>
      </c>
      <c r="BC39" s="8">
        <f>IFERROR(
GETPIVOTDATA(
"[BASE_CONVE_PPTO].[Importe]",
TDinamica_P!$A$5,
"[BASE_CONVE_PPTO].[Periodo]",
"[BASE_CONVE_PPTO].[Periodo].&amp;[" &amp; TEXT(BC$6,"yyyymm")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260.05449355659192</v>
      </c>
      <c r="BD39" s="8">
        <f>IFERROR(
GETPIVOTDATA(
"[BASE_CONVE_PPTO].[Importe]",
TDinamica_P!$A$5,
"[BASE_CONVE_PPTO].[Periodo]",
"[BASE_CONVE_PPTO].[Periodo].&amp;[" &amp; TEXT(BD$6,"yyyymm")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259.82718085680915</v>
      </c>
      <c r="BE39" s="8">
        <f>IFERROR(
GETPIVOTDATA(
"[BASE_CONVE_PPTO].[Importe]",
TDinamica_P!$A$5,
"[BASE_CONVE_PPTO].[Periodo]",
"[BASE_CONVE_PPTO].[Periodo].&amp;[" &amp; TEXT(BE$6,"yyyymm")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260.94750851134285</v>
      </c>
      <c r="BF39" s="8">
        <f>IFERROR(
GETPIVOTDATA(
"[BASE_CONVE_PPTO].[Importe]",
TDinamica_P!$A$5,
"[BASE_CONVE_PPTO].[Periodo]",
"[BASE_CONVE_PPTO].[Periodo].&amp;[" &amp; TEXT(BF$6,"yyyymm")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262.77970984690313</v>
      </c>
      <c r="BG39" s="8">
        <f>IFERROR(
GETPIVOTDATA(
"[BASE_CONVE_PPTO].[Importe]",
TDinamica_P!$A$5,
"[BASE_CONVE_PPTO].[Periodo]",
"[BASE_CONVE_PPTO].[Periodo].&amp;[" &amp; TEXT(BG$6,"yyyymm")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263.92014111461611</v>
      </c>
      <c r="BH39" s="8">
        <f>IFERROR(
GETPIVOTDATA(
"[BASE_CONVE_PPTO].[Importe]",
TDinamica_P!$A$5,
"[BASE_CONVE_PPTO].[Periodo]",
"[BASE_CONVE_PPTO].[Periodo].&amp;[" &amp; TEXT(BH$6,"yyyymm")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264.9424434938723</v>
      </c>
      <c r="BI39" s="8">
        <f>IFERROR(
GETPIVOTDATA(
"[BASE_CONVE_PPTO].[Importe]",
TDinamica_P!$A$5,
"[BASE_CONVE_PPTO].[Periodo]",
"[BASE_CONVE_PPTO].[Periodo].&amp;[" &amp; TEXT(BI$6,"yyyymm")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267.57037116409793</v>
      </c>
      <c r="BJ39" s="8">
        <f>IFERROR(
GETPIVOTDATA(
"[BASE_CONVE_PPTO].[Importe]",
TDinamica_P!$A$5,
"[BASE_CONVE_PPTO].[Periodo]",
"[BASE_CONVE_PPTO].[Periodo].&amp;[" &amp; TEXT(BJ$6,"yyyymm")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266.86594334632804</v>
      </c>
      <c r="BK39" s="8">
        <f>IFERROR(
GETPIVOTDATA(
"[BASE_CONVE_PPTO].[Importe]",
TDinamica_P!$A$5,
"[BASE_CONVE_PPTO].[Periodo]",
"[BASE_CONVE_PPTO].[Periodo].&amp;[" &amp; TEXT(BK$6,"yyyymm")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269.10169046588106</v>
      </c>
      <c r="BO39" s="24">
        <f t="shared" si="30"/>
        <v>1210.65345475</v>
      </c>
      <c r="BP39" s="24">
        <f t="shared" si="30"/>
        <v>1296.1810398777388</v>
      </c>
      <c r="BQ39" s="24">
        <f t="shared" si="30"/>
        <v>984.93737826000006</v>
      </c>
      <c r="BR39" s="24">
        <f t="shared" si="30"/>
        <v>1038.97817693</v>
      </c>
      <c r="BS39" s="24">
        <f t="shared" si="30"/>
        <v>1049.3374097000001</v>
      </c>
      <c r="BT39" s="24">
        <f t="shared" si="30"/>
        <v>1197.4417831999999</v>
      </c>
    </row>
    <row r="40" spans="1:72" outlineLevel="1" x14ac:dyDescent="0.25">
      <c r="A40" s="11" t="s">
        <v>55</v>
      </c>
      <c r="C40" s="2" t="s">
        <v>45</v>
      </c>
      <c r="D40" s="8">
        <f>IFERROR(
GETPIVOTDATA(
"[Base].[Importe]",
TDinamica_R!$A$5,
"[Calendario].[AñoMes]",
"[Calendario].[AñoMes].&amp;[" &amp; TEXT(D$6,"yyyymm") &amp; "]",
"[Base].[Metrica]",
"[Base].[Metrica].&amp;[" &amp; $A40 &amp; "]",
"[Base].[SEGMENTO_DESCRIP]",
"[Base].[SEGMENTO_DESCRIP].&amp;[" &amp; $C$6 &amp; "]",
"[Base].[SITUACION]",
"[Base].[SITUACION].&amp;[" &amp; $C40 &amp; "]"
),0)/1000</f>
        <v>275.09963723999999</v>
      </c>
      <c r="E40" s="8">
        <f>IFERROR(
GETPIVOTDATA(
"[Base].[Importe]",
TDinamica_R!$A$5,
"[Calendario].[AñoMes]",
"[Calendario].[AñoMes].&amp;[" &amp; TEXT(E$6,"yyyymm") &amp; "]",
"[Base].[Metrica]",
"[Base].[Metrica].&amp;[" &amp; $A40 &amp; "]",
"[Base].[SEGMENTO_DESCRIP]",
"[Base].[SEGMENTO_DESCRIP].&amp;[" &amp; $C$6 &amp; "]",
"[Base].[SITUACION]",
"[Base].[SITUACION].&amp;[" &amp; $C40 &amp; "]"
),0)/1000</f>
        <v>329.44208109999994</v>
      </c>
      <c r="F40" s="8">
        <f>IFERROR(
GETPIVOTDATA(
"[Base].[Importe]",
TDinamica_R!$A$5,
"[Calendario].[AñoMes]",
"[Calendario].[AñoMes].&amp;[" &amp; TEXT(F$6,"yyyymm") &amp; "]",
"[Base].[Metrica]",
"[Base].[Metrica].&amp;[" &amp; $A40 &amp; "]",
"[Base].[SEGMENTO_DESCRIP]",
"[Base].[SEGMENTO_DESCRIP].&amp;[" &amp; $C$6 &amp; "]",
"[Base].[SITUACION]",
"[Base].[SITUACION].&amp;[" &amp; $C40 &amp; "]"
),0)/1000</f>
        <v>241.02019169999994</v>
      </c>
      <c r="G40" s="8">
        <f>IFERROR(
GETPIVOTDATA(
"[Base].[Importe]",
TDinamica_R!$A$5,
"[Calendario].[AñoMes]",
"[Calendario].[AñoMes].&amp;[" &amp; TEXT(G$6,"yyyymm") &amp; "]",
"[Base].[Metrica]",
"[Base].[Metrica].&amp;[" &amp; $A40 &amp; "]",
"[Base].[SEGMENTO_DESCRIP]",
"[Base].[SEGMENTO_DESCRIP].&amp;[" &amp; $C$6 &amp; "]",
"[Base].[SITUACION]",
"[Base].[SITUACION].&amp;[" &amp; $C40 &amp; "]"
),0)/1000</f>
        <v>279.98878798000004</v>
      </c>
      <c r="H40" s="8">
        <f>IFERROR(
GETPIVOTDATA(
"[Base].[Importe]",
TDinamica_R!$A$5,
"[Calendario].[AñoMes]",
"[Calendario].[AñoMes].&amp;[" &amp; TEXT(H$6,"yyyymm") &amp; "]",
"[Base].[Metrica]",
"[Base].[Metrica].&amp;[" &amp; $A40 &amp; "]",
"[Base].[SEGMENTO_DESCRIP]",
"[Base].[SEGMENTO_DESCRIP].&amp;[" &amp; $C$6 &amp; "]",
"[Base].[SITUACION]",
"[Base].[SITUACION].&amp;[" &amp; $C40 &amp; "]"
),0)/1000</f>
        <v>266.08626660999994</v>
      </c>
      <c r="I40" s="8">
        <f>IFERROR(
GETPIVOTDATA(
"[Base].[Importe]",
TDinamica_R!$A$5,
"[Calendario].[AñoMes]",
"[Calendario].[AñoMes].&amp;[" &amp; TEXT(I$6,"yyyymm") &amp; "]",
"[Base].[Metrica]",
"[Base].[Metrica].&amp;[" &amp; $A40 &amp; "]",
"[Base].[SEGMENTO_DESCRIP]",
"[Base].[SEGMENTO_DESCRIP].&amp;[" &amp; $C$6 &amp; "]",
"[Base].[SITUACION]",
"[Base].[SITUACION].&amp;[" &amp; $C40 &amp; "]"
),0)/1000</f>
        <v>269.29922119000003</v>
      </c>
      <c r="J40" s="8">
        <f>IFERROR(
GETPIVOTDATA(
"[Base].[Importe]",
TDinamica_R!$A$5,
"[Calendario].[AñoMes]",
"[Calendario].[AñoMes].&amp;[" &amp; TEXT(J$6,"yyyymm") &amp; "]",
"[Base].[Metrica]",
"[Base].[Metrica].&amp;[" &amp; $A40 &amp; "]",
"[Base].[SEGMENTO_DESCRIP]",
"[Base].[SEGMENTO_DESCRIP].&amp;[" &amp; $C$6 &amp; "]",
"[Base].[SITUACION]",
"[Base].[SITUACION].&amp;[" &amp; $C40 &amp; "]"
),0)/1000</f>
        <v>187.56589320000003</v>
      </c>
      <c r="K40" s="8">
        <f>IFERROR(
GETPIVOTDATA(
"[Base].[Importe]",
TDinamica_R!$A$5,
"[Calendario].[AñoMes]",
"[Calendario].[AñoMes].&amp;[" &amp; TEXT(K$6,"yyyymm") &amp; "]",
"[Base].[Metrica]",
"[Base].[Metrica].&amp;[" &amp; $A40 &amp; "]",
"[Base].[SEGMENTO_DESCRIP]",
"[Base].[SEGMENTO_DESCRIP].&amp;[" &amp; $C$6 &amp; "]",
"[Base].[SITUACION]",
"[Base].[SITUACION].&amp;[" &amp; $C40 &amp; "]"
),0)/1000</f>
        <v>156.06093382</v>
      </c>
      <c r="L40" s="8">
        <f>IFERROR(
GETPIVOTDATA(
"[Base].[Importe]",
TDinamica_R!$A$5,
"[Calendario].[AñoMes]",
"[Calendario].[AñoMes].&amp;[" &amp; TEXT(L$6,"yyyymm") &amp; "]",
"[Base].[Metrica]",
"[Base].[Metrica].&amp;[" &amp; $A40 &amp; "]",
"[Base].[SEGMENTO_DESCRIP]",
"[Base].[SEGMENTO_DESCRIP].&amp;[" &amp; $C$6 &amp; "]",
"[Base].[SITUACION]",
"[Base].[SITUACION].&amp;[" &amp; $C40 &amp; "]"
),0)/1000</f>
        <v>158.64929449999997</v>
      </c>
      <c r="M40" s="8">
        <f>IFERROR(
GETPIVOTDATA(
"[Base].[Importe]",
TDinamica_R!$A$5,
"[Calendario].[AñoMes]",
"[Calendario].[AñoMes].&amp;[" &amp; TEXT(M$6,"yyyymm") &amp; "]",
"[Base].[Metrica]",
"[Base].[Metrica].&amp;[" &amp; $A40 &amp; "]",
"[Base].[SEGMENTO_DESCRIP]",
"[Base].[SEGMENTO_DESCRIP].&amp;[" &amp; $C$6 &amp; "]",
"[Base].[SITUACION]",
"[Base].[SITUACION].&amp;[" &amp; $C40 &amp; "]"
),0)/1000</f>
        <v>211.94386360999997</v>
      </c>
      <c r="N40" s="8">
        <f>IFERROR(
GETPIVOTDATA(
"[Base].[Importe]",
TDinamica_R!$A$5,
"[Calendario].[AñoMes]",
"[Calendario].[AñoMes].&amp;[" &amp; TEXT(N$6,"yyyymm") &amp; "]",
"[Base].[Metrica]",
"[Base].[Metrica].&amp;[" &amp; $A40 &amp; "]",
"[Base].[SEGMENTO_DESCRIP]",
"[Base].[SEGMENTO_DESCRIP].&amp;[" &amp; $C$6 &amp; "]",
"[Base].[SITUACION]",
"[Base].[SITUACION].&amp;[" &amp; $C40 &amp; "]"
),0)/1000</f>
        <v>160.63761997</v>
      </c>
      <c r="O40" s="8">
        <f>IFERROR(
GETPIVOTDATA(
"[Base].[Importe]",
TDinamica_R!$A$5,
"[Calendario].[AñoMes]",
"[Calendario].[AñoMes].&amp;[" &amp; TEXT(O$6,"yyyymm") &amp; "]",
"[Base].[Metrica]",
"[Base].[Metrica].&amp;[" &amp; $A40 &amp; "]",
"[Base].[SEGMENTO_DESCRIP]",
"[Base].[SEGMENTO_DESCRIP].&amp;[" &amp; $C$6 &amp; "]",
"[Base].[SITUACION]",
"[Base].[SITUACION].&amp;[" &amp; $C40 &amp; "]"
),0)/1000</f>
        <v>171.80302816</v>
      </c>
      <c r="P40" s="8">
        <f>IFERROR(
GETPIVOTDATA(
"[Base].[Importe]",
TDinamica_R!$A$5,
"[Calendario].[AñoMes]",
"[Calendario].[AñoMes].&amp;[" &amp; TEXT(P$6,"yyyymm") &amp; "]",
"[Base].[Metrica]",
"[Base].[Metrica].&amp;[" &amp; $A40 &amp; "]",
"[Base].[SEGMENTO_DESCRIP]",
"[Base].[SEGMENTO_DESCRIP].&amp;[" &amp; $C$6 &amp; "]",
"[Base].[SITUACION]",
"[Base].[SITUACION].&amp;[" &amp; $C40 &amp; "]"
),0)/1000</f>
        <v>214.89328483000003</v>
      </c>
      <c r="Q40" s="8">
        <f>IFERROR(
GETPIVOTDATA(
"[Base].[Importe]",
TDinamica_R!$A$5,
"[Calendario].[AñoMes]",
"[Calendario].[AñoMes].&amp;[" &amp; TEXT(Q$6,"yyyymm") &amp; "]",
"[Base].[Metrica]",
"[Base].[Metrica].&amp;[" &amp; $A40 &amp; "]",
"[Base].[SEGMENTO_DESCRIP]",
"[Base].[SEGMENTO_DESCRIP].&amp;[" &amp; $C$6 &amp; "]",
"[Base].[SITUACION]",
"[Base].[SITUACION].&amp;[" &amp; $C40 &amp; "]"
),0)/1000</f>
        <v>235.26060831999999</v>
      </c>
      <c r="R40" s="8">
        <f>IFERROR(
GETPIVOTDATA(
"[Base].[Importe]",
TDinamica_R!$A$5,
"[Calendario].[AñoMes]",
"[Calendario].[AñoMes].&amp;[" &amp; TEXT(R$6,"yyyymm") &amp; "]",
"[Base].[Metrica]",
"[Base].[Metrica].&amp;[" &amp; $A40 &amp; "]",
"[Base].[SEGMENTO_DESCRIP]",
"[Base].[SEGMENTO_DESCRIP].&amp;[" &amp; $C$6 &amp; "]",
"[Base].[SITUACION]",
"[Base].[SITUACION].&amp;[" &amp; $C40 &amp; "]"
),0)/1000</f>
        <v>177.05773028999999</v>
      </c>
      <c r="S40" s="8">
        <f>IFERROR(
GETPIVOTDATA(
"[Base].[Importe]",
TDinamica_R!$A$5,
"[Calendario].[AñoMes]",
"[Calendario].[AñoMes].&amp;[" &amp; TEXT(S$6,"yyyymm") &amp; "]",
"[Base].[Metrica]",
"[Base].[Metrica].&amp;[" &amp; $A40 &amp; "]",
"[Base].[SEGMENTO_DESCRIP]",
"[Base].[SEGMENTO_DESCRIP].&amp;[" &amp; $C$6 &amp; "]",
"[Base].[SITUACION]",
"[Base].[SITUACION].&amp;[" &amp; $C40 &amp; "]"
),0)/1000</f>
        <v>182.17596254000003</v>
      </c>
      <c r="T40" s="8">
        <f>IFERROR(
GETPIVOTDATA(
"[Base].[Importe]",
TDinamica_R!$A$5,
"[Calendario].[AñoMes]",
"[Calendario].[AñoMes].&amp;[" &amp; TEXT(T$6,"yyyymm") &amp; "]",
"[Base].[Metrica]",
"[Base].[Metrica].&amp;[" &amp; $A40 &amp; "]",
"[Base].[SEGMENTO_DESCRIP]",
"[Base].[SEGMENTO_DESCRIP].&amp;[" &amp; $C$6 &amp; "]",
"[Base].[SITUACION]",
"[Base].[SITUACION].&amp;[" &amp; $C40 &amp; "]"
),0)/1000</f>
        <v>228.43790313</v>
      </c>
      <c r="U40" s="8">
        <f>IFERROR(
GETPIVOTDATA(
"[Base].[Importe]",
TDinamica_R!$A$5,
"[Calendario].[AñoMes]",
"[Calendario].[AñoMes].&amp;[" &amp; TEXT(U$6,"yyyymm") &amp; "]",
"[Base].[Metrica]",
"[Base].[Metrica].&amp;[" &amp; $A40 &amp; "]",
"[Base].[SEGMENTO_DESCRIP]",
"[Base].[SEGMENTO_DESCRIP].&amp;[" &amp; $C$6 &amp; "]",
"[Base].[SITUACION]",
"[Base].[SITUACION].&amp;[" &amp; $C40 &amp; "]"
),0)/1000</f>
        <v>273.47866226000002</v>
      </c>
      <c r="V40" s="8">
        <f>IFERROR(
GETPIVOTDATA(
"[Base].[Importe]",
TDinamica_R!$A$5,
"[Calendario].[AñoMes]",
"[Calendario].[AñoMes].&amp;[" &amp; TEXT(V$6,"yyyymm") &amp; "]",
"[Base].[Metrica]",
"[Base].[Metrica].&amp;[" &amp; $A40 &amp; "]",
"[Base].[SEGMENTO_DESCRIP]",
"[Base].[SEGMENTO_DESCRIP].&amp;[" &amp; $C$6 &amp; "]",
"[Base].[SITUACION]",
"[Base].[SITUACION].&amp;[" &amp; $C40 &amp; "]"
),0)/1000</f>
        <v>209.94119006000003</v>
      </c>
      <c r="W40" s="8">
        <f>IFERROR(
GETPIVOTDATA(
"[Base].[Importe]",
TDinamica_R!$A$5,
"[Calendario].[AñoMes]",
"[Calendario].[AñoMes].&amp;[" &amp; TEXT(W$6,"yyyymm") &amp; "]",
"[Base].[Metrica]",
"[Base].[Metrica].&amp;[" &amp; $A40 &amp; "]",
"[Base].[SEGMENTO_DESCRIP]",
"[Base].[SEGMENTO_DESCRIP].&amp;[" &amp; $C$6 &amp; "]",
"[Base].[SITUACION]",
"[Base].[SITUACION].&amp;[" &amp; $C40 &amp; "]"
),0)/1000</f>
        <v>168.02208042000001</v>
      </c>
      <c r="X40" s="8">
        <f>IFERROR(
GETPIVOTDATA(
"[Base].[Importe]",
TDinamica_R!$A$5,
"[Calendario].[AñoMes]",
"[Calendario].[AñoMes].&amp;[" &amp; TEXT(X$6,"yyyymm") &amp; "]",
"[Base].[Metrica]",
"[Base].[Metrica].&amp;[" &amp; $A40 &amp; "]",
"[Base].[SEGMENTO_DESCRIP]",
"[Base].[SEGMENTO_DESCRIP].&amp;[" &amp; $C$6 &amp; "]",
"[Base].[SITUACION]",
"[Base].[SITUACION].&amp;[" &amp; $C40 &amp; "]"
),0)/1000</f>
        <v>147.00521371000002</v>
      </c>
      <c r="Y40" s="8">
        <f>IFERROR(
GETPIVOTDATA(
"[Base].[Importe]",
TDinamica_R!$A$5,
"[Calendario].[AñoMes]",
"[Calendario].[AñoMes].&amp;[" &amp; TEXT(Y$6,"yyyymm") &amp; "]",
"[Base].[Metrica]",
"[Base].[Metrica].&amp;[" &amp; $A40 &amp; "]",
"[Base].[SEGMENTO_DESCRIP]",
"[Base].[SEGMENTO_DESCRIP].&amp;[" &amp; $C$6 &amp; "]",
"[Base].[SITUACION]",
"[Base].[SITUACION].&amp;[" &amp; $C40 &amp; "]"
),0)/1000</f>
        <v>127.71378366</v>
      </c>
      <c r="Z40" s="8">
        <f>IFERROR(
GETPIVOTDATA(
"[Base].[Importe]",
TDinamica_R!$A$5,
"[Calendario].[AñoMes]",
"[Calendario].[AñoMes].&amp;[" &amp; TEXT(Z$6,"yyyymm") &amp; "]",
"[Base].[Metrica]",
"[Base].[Metrica].&amp;[" &amp; $A40 &amp; "]",
"[Base].[SEGMENTO_DESCRIP]",
"[Base].[SEGMENTO_DESCRIP].&amp;[" &amp; $C$6 &amp; "]",
"[Base].[SITUACION]",
"[Base].[SITUACION].&amp;[" &amp; $C40 &amp; "]"
),0)/1000</f>
        <v>142.83243150999999</v>
      </c>
      <c r="AA40" s="8">
        <f>IFERROR(
GETPIVOTDATA(
"[Base].[Importe]",
TDinamica_R!$A$5,
"[Calendario].[AñoMes]",
"[Calendario].[AñoMes].&amp;[" &amp; TEXT(AA$6,"yyyymm") &amp; "]",
"[Base].[Metrica]",
"[Base].[Metrica].&amp;[" &amp; $A40 &amp; "]",
"[Base].[SEGMENTO_DESCRIP]",
"[Base].[SEGMENTO_DESCRIP].&amp;[" &amp; $C$6 &amp; "]",
"[Base].[SITUACION]",
"[Base].[SITUACION].&amp;[" &amp; $C40 &amp; "]"
),0)/1000</f>
        <v>168.13807599999998</v>
      </c>
      <c r="AB40" s="8">
        <f>IFERROR(
GETPIVOTDATA(
"[Base].[Importe]",
TDinamica_R!$A$5,
"[Calendario].[AñoMes]",
"[Calendario].[AñoMes].&amp;[" &amp; TEXT(AB$6,"yyyymm") &amp; "]",
"[Base].[Metrica]",
"[Base].[Metrica].&amp;[" &amp; $A40 &amp; "]",
"[Base].[SEGMENTO_DESCRIP]",
"[Base].[SEGMENTO_DESCRIP].&amp;[" &amp; $C$6 &amp; "]",
"[Base].[SITUACION]",
"[Base].[SITUACION].&amp;[" &amp; $C40 &amp; "]"
),0)/1000</f>
        <v>185.80474028</v>
      </c>
      <c r="AC40" s="8">
        <f>IFERROR(
GETPIVOTDATA(
"[Base].[Importe]",
TDinamica_R!$A$5,
"[Calendario].[AñoMes]",
"[Calendario].[AñoMes].&amp;[" &amp; TEXT(AC$6,"yyyymm") &amp; "]",
"[Base].[Metrica]",
"[Base].[Metrica].&amp;[" &amp; $A40 &amp; "]",
"[Base].[SEGMENTO_DESCRIP]",
"[Base].[SEGMENTO_DESCRIP].&amp;[" &amp; $C$6 &amp; "]",
"[Base].[SITUACION]",
"[Base].[SITUACION].&amp;[" &amp; $C40 &amp; "]"
),0)/1000</f>
        <v>211.12698180999999</v>
      </c>
      <c r="AD40" s="8">
        <f>IFERROR(
GETPIVOTDATA(
"[Base].[Importe]",
TDinamica_R!$A$5,
"[Calendario].[AñoMes]",
"[Calendario].[AñoMes].&amp;[" &amp; TEXT(AD$6,"yyyymm") &amp; "]",
"[Base].[Metrica]",
"[Base].[Metrica].&amp;[" &amp; $A40 &amp; "]",
"[Base].[SEGMENTO_DESCRIP]",
"[Base].[SEGMENTO_DESCRIP].&amp;[" &amp; $C$6 &amp; "]",
"[Base].[SITUACION]",
"[Base].[SITUACION].&amp;[" &amp; $C40 &amp; "]"
),0)/1000</f>
        <v>218.70886206</v>
      </c>
      <c r="AE40" s="8">
        <f>IFERROR(
GETPIVOTDATA(
"[Base].[Importe]",
TDinamica_R!$A$5,
"[Calendario].[AñoMes]",
"[Calendario].[AñoMes].&amp;[" &amp; TEXT(AE$6,"yyyymm") &amp; "]",
"[Base].[Metrica]",
"[Base].[Metrica].&amp;[" &amp; $A40 &amp; "]",
"[Base].[SEGMENTO_DESCRIP]",
"[Base].[SEGMENTO_DESCRIP].&amp;[" &amp; $C$6 &amp; "]",
"[Base].[SITUACION]",
"[Base].[SITUACION].&amp;[" &amp; $C40 &amp; "]"
),0)/1000</f>
        <v>169.28696557000004</v>
      </c>
      <c r="AF40" s="8">
        <f>IFERROR(
GETPIVOTDATA(
"[Base].[Importe]",
TDinamica_R!$A$5,
"[Calendario].[AñoMes]",
"[Calendario].[AñoMes].&amp;[" &amp; TEXT(AF$6,"yyyymm") &amp; "]",
"[Base].[Metrica]",
"[Base].[Metrica].&amp;[" &amp; $A40 &amp; "]",
"[Base].[SEGMENTO_DESCRIP]",
"[Base].[SEGMENTO_DESCRIP].&amp;[" &amp; $C$6 &amp; "]",
"[Base].[SITUACION]",
"[Base].[SITUACION].&amp;[" &amp; $C40 &amp; "]"
),0)/1000</f>
        <v>217.62234832999999</v>
      </c>
      <c r="AG40" s="8">
        <f>IFERROR(
GETPIVOTDATA(
"[Base].[Importe]",
TDinamica_R!$A$5,
"[Calendario].[AñoMes]",
"[Calendario].[AñoMes].&amp;[" &amp; TEXT(AG$6,"yyyymm") &amp; "]",
"[Base].[Metrica]",
"[Base].[Metrica].&amp;[" &amp; $A40 &amp; "]",
"[Base].[SEGMENTO_DESCRIP]",
"[Base].[SEGMENTO_DESCRIP].&amp;[" &amp; $C$6 &amp; "]",
"[Base].[SITUACION]",
"[Base].[SITUACION].&amp;[" &amp; $C40 &amp; "]"
),0)/1000</f>
        <v>212.47920902999999</v>
      </c>
      <c r="AH40" s="8">
        <f>IFERROR(
GETPIVOTDATA(
"[Base].[Importe]",
TDinamica_R!$A$5,
"[Calendario].[AñoMes]",
"[Calendario].[AñoMes].&amp;[" &amp; TEXT(AH$6,"yyyymm") &amp; "]",
"[Base].[Metrica]",
"[Base].[Metrica].&amp;[" &amp; $A40 &amp; "]",
"[Base].[SEGMENTO_DESCRIP]",
"[Base].[SEGMENTO_DESCRIP].&amp;[" &amp; $C$6 &amp; "]",
"[Base].[SITUACION]",
"[Base].[SITUACION].&amp;[" &amp; $C40 &amp; "]"
),0)/1000</f>
        <v>180.20616185999998</v>
      </c>
      <c r="AI40" s="8">
        <f>IFERROR(
GETPIVOTDATA(
"[Base].[Importe]",
TDinamica_R!$A$5,
"[Calendario].[AñoMes]",
"[Calendario].[AñoMes].&amp;[" &amp; TEXT(AI$6,"yyyymm") &amp; "]",
"[Base].[Metrica]",
"[Base].[Metrica].&amp;[" &amp; $A40 &amp; "]",
"[Base].[SEGMENTO_DESCRIP]",
"[Base].[SEGMENTO_DESCRIP].&amp;[" &amp; $C$6 &amp; "]",
"[Base].[SITUACION]",
"[Base].[SITUACION].&amp;[" &amp; $C40 &amp; "]"
),0)/1000</f>
        <v>217.53684188</v>
      </c>
      <c r="AJ40" s="8">
        <f>IFERROR(
GETPIVOTDATA(
"[Base].[Importe]",
TDinamica_R!$A$5,
"[Calendario].[AñoMes]",
"[Calendario].[AñoMes].&amp;[" &amp; TEXT(AJ$6,"yyyymm") &amp; "]",
"[Base].[Metrica]",
"[Base].[Metrica].&amp;[" &amp; $A40 &amp; "]",
"[Base].[SEGMENTO_DESCRIP]",
"[Base].[SEGMENTO_DESCRIP].&amp;[" &amp; $C$6 &amp; "]",
"[Base].[SITUACION]",
"[Base].[SITUACION].&amp;[" &amp; $C40 &amp; "]"
),0)/1000</f>
        <v>286.19773722999997</v>
      </c>
      <c r="AK40" s="8">
        <f>IFERROR(
GETPIVOTDATA(
"[Base].[Importe]",
TDinamica_R!$A$5,
"[Calendario].[AñoMes]",
"[Calendario].[AñoMes].&amp;[" &amp; TEXT(AK$6,"yyyymm") &amp; "]",
"[Base].[Metrica]",
"[Base].[Metrica].&amp;[" &amp; $A40 &amp; "]",
"[Base].[SEGMENTO_DESCRIP]",
"[Base].[SEGMENTO_DESCRIP].&amp;[" &amp; $C$6 &amp; "]",
"[Base].[SITUACION]",
"[Base].[SITUACION].&amp;[" &amp; $C40 &amp; "]"
),0)/1000</f>
        <v>203.26978663999998</v>
      </c>
      <c r="AL40" s="8">
        <f>IFERROR(
GETPIVOTDATA(
"[Base].[Importe]",
TDinamica_R!$A$5,
"[Calendario].[AñoMes]",
"[Calendario].[AñoMes].&amp;[" &amp; TEXT(AL$6,"yyyymm") &amp; "]",
"[Base].[Metrica]",
"[Base].[Metrica].&amp;[" &amp; $A40 &amp; "]",
"[Base].[SEGMENTO_DESCRIP]",
"[Base].[SEGMENTO_DESCRIP].&amp;[" &amp; $C$6 &amp; "]",
"[Base].[SITUACION]",
"[Base].[SITUACION].&amp;[" &amp; $C40 &amp; "]"
),0)/1000</f>
        <v>189.20689769000003</v>
      </c>
      <c r="AM40" s="8">
        <f>IFERROR(
GETPIVOTDATA(
"[Base].[Importe]",
TDinamica_R!$A$5,
"[Calendario].[AñoMes]",
"[Calendario].[AñoMes].&amp;[" &amp; TEXT(AM$6,"yyyymm") &amp; "]",
"[Base].[Metrica]",
"[Base].[Metrica].&amp;[" &amp; $A40 &amp; "]",
"[Base].[SEGMENTO_DESCRIP]",
"[Base].[SEGMENTO_DESCRIP].&amp;[" &amp; $C$6 &amp; "]",
"[Base].[SITUACION]",
"[Base].[SITUACION].&amp;[" &amp; $C40 &amp; "]"
),0)/1000</f>
        <v>195.58676108000003</v>
      </c>
      <c r="AN40" s="8">
        <f>IFERROR(
GETPIVOTDATA(
"[Base].[Importe]",
TDinamica_R!$A$5,
"[Calendario].[AñoMes]",
"[Calendario].[AñoMes].&amp;[" &amp; TEXT(AN$6,"yyyymm") &amp; "]",
"[Base].[Metrica]",
"[Base].[Metrica].&amp;[" &amp; $A40 &amp; "]",
"[Base].[SEGMENTO_DESCRIP]",
"[Base].[SEGMENTO_DESCRIP].&amp;[" &amp; $C$6 &amp; "]",
"[Base].[SITUACION]",
"[Base].[SITUACION].&amp;[" &amp; $C40 &amp; "]"
),0)/1000</f>
        <v>249.54022822000002</v>
      </c>
      <c r="AO40" s="8">
        <f>IFERROR(
GETPIVOTDATA(
"[Base].[Importe]",
TDinamica_R!$A$5,
"[Calendario].[AñoMes]",
"[Calendario].[AñoMes].&amp;[" &amp; TEXT(AO$6,"yyyymm") &amp; "]",
"[Base].[Metrica]",
"[Base].[Metrica].&amp;[" &amp; $A40 &amp; "]",
"[Base].[SEGMENTO_DESCRIP]",
"[Base].[SEGMENTO_DESCRIP].&amp;[" &amp; $C$6 &amp; "]",
"[Base].[SITUACION]",
"[Base].[SITUACION].&amp;[" &amp; $C40 &amp; "]"
),0)/1000</f>
        <v>258.75377242999997</v>
      </c>
      <c r="AP40" s="8">
        <f>IFERROR(
GETPIVOTDATA(
"[Base].[Importe]",
TDinamica_R!$A$5,
"[Calendario].[AñoMes]",
"[Calendario].[AñoMes].&amp;[" &amp; TEXT(AP$6,"yyyymm") &amp; "]",
"[Base].[Metrica]",
"[Base].[Metrica].&amp;[" &amp; $A40 &amp; "]",
"[Base].[SEGMENTO_DESCRIP]",
"[Base].[SEGMENTO_DESCRIP].&amp;[" &amp; $C$6 &amp; "]",
"[Base].[SITUACION]",
"[Base].[SITUACION].&amp;[" &amp; $C40 &amp; "]"
),0)/1000</f>
        <v>317.60790517999999</v>
      </c>
      <c r="AQ40" s="8">
        <f>IFERROR(
GETPIVOTDATA(
"[Base].[Importe]",
TDinamica_R!$A$5,
"[Calendario].[AñoMes]",
"[Calendario].[AñoMes].&amp;[" &amp; TEXT(AQ$6,"yyyymm") &amp; "]",
"[Base].[Metrica]",
"[Base].[Metrica].&amp;[" &amp; $A40 &amp; "]",
"[Base].[SEGMENTO_DESCRIP]",
"[Base].[SEGMENTO_DESCRIP].&amp;[" &amp; $C$6 &amp; "]",
"[Base].[SITUACION]",
"[Base].[SITUACION].&amp;[" &amp; $C40 &amp; "]"
),0)/1000</f>
        <v>220.80046234</v>
      </c>
      <c r="AR40" s="8">
        <f>IFERROR(
GETPIVOTDATA(
"[Base].[Importe]",
TDinamica_R!$A$5,
"[Calendario].[AñoMes]",
"[Calendario].[AñoMes].&amp;[" &amp; TEXT(AR$6,"yyyymm") &amp; "]",
"[Base].[Metrica]",
"[Base].[Metrica].&amp;[" &amp; $A40 &amp; "]",
"[Base].[SEGMENTO_DESCRIP]",
"[Base].[SEGMENTO_DESCRIP].&amp;[" &amp; $C$6 &amp; "]",
"[Base].[SITUACION]",
"[Base].[SITUACION].&amp;[" &amp; $C40 &amp; "]"
),0)/1000</f>
        <v>242.55882904999996</v>
      </c>
      <c r="AS40" s="8">
        <f>IFERROR(
GETPIVOTDATA(
"[Base].[Importe]",
TDinamica_R!$A$5,
"[Calendario].[AñoMes]",
"[Calendario].[AñoMes].&amp;[" &amp; TEXT(AS$6,"yyyymm") &amp; "]",
"[Base].[Metrica]",
"[Base].[Metrica].&amp;[" &amp; $A40 &amp; "]",
"[Base].[SEGMENTO_DESCRIP]",
"[Base].[SEGMENTO_DESCRIP].&amp;[" &amp; $C$6 &amp; "]",
"[Base].[SITUACION]",
"[Base].[SITUACION].&amp;[" &amp; $C40 &amp; "]"
),0)/1000</f>
        <v>327.36348647</v>
      </c>
      <c r="AT40" s="8">
        <f>IFERROR(
GETPIVOTDATA(
"[Base].[Importe]",
TDinamica_R!$A$5,
"[Calendario].[AñoMes]",
"[Calendario].[AñoMes].&amp;[" &amp; TEXT(AT$6,"yyyymm")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U40" s="8">
        <f>IFERROR(
GETPIVOTDATA(
"[Base].[Importe]",
TDinamica_R!$A$5,
"[Calendario].[AñoMes]",
"[Calendario].[AñoMes].&amp;[" &amp; TEXT(AU$6,"yyyymm")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V40" s="8">
        <f>IFERROR(
GETPIVOTDATA(
"[Base].[Importe]",
TDinamica_R!$A$5,
"[Calendario].[AñoMes]",
"[Calendario].[AñoMes].&amp;[" &amp; TEXT(AV$6,"yyyymm")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W40" s="8">
        <f>IFERROR(
GETPIVOTDATA(
"[Base].[Importe]",
TDinamica_R!$A$5,
"[Calendario].[AñoMes]",
"[Calendario].[AñoMes].&amp;[" &amp; TEXT(AW$6,"yyyymm")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X40" s="8">
        <f>IFERROR(
GETPIVOTDATA(
"[Base].[Importe]",
TDinamica_R!$A$5,
"[Calendario].[AñoMes]",
"[Calendario].[AñoMes].&amp;[" &amp; TEXT(AX$6,"yyyymm")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Y40" s="8">
        <f>IFERROR(
GETPIVOTDATA(
"[Base].[Importe]",
TDinamica_R!$A$5,
"[Calendario].[AñoMes]",
"[Calendario].[AñoMes].&amp;[" &amp; TEXT(AY$6,"yyyymm")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Z40" s="8">
        <f>IFERROR(
GETPIVOTDATA(
"[BASE_CONVE_PPTO].[Importe]",
TDinamica_P!$A$5,
"[BASE_CONVE_PPTO].[Periodo]",
"[BASE_CONVE_PPTO].[Periodo].&amp;[" &amp; TEXT(AZ$6,"yyyymm")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286.11244038491736</v>
      </c>
      <c r="BA40" s="8">
        <f>IFERROR(
GETPIVOTDATA(
"[BASE_CONVE_PPTO].[Importe]",
TDinamica_P!$A$5,
"[BASE_CONVE_PPTO].[Periodo]",
"[BASE_CONVE_PPTO].[Periodo].&amp;[" &amp; TEXT(BA$6,"yyyymm")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288.58926484108355</v>
      </c>
      <c r="BB40" s="8">
        <f>IFERROR(
GETPIVOTDATA(
"[BASE_CONVE_PPTO].[Importe]",
TDinamica_P!$A$5,
"[BASE_CONVE_PPTO].[Periodo]",
"[BASE_CONVE_PPTO].[Periodo].&amp;[" &amp; TEXT(BB$6,"yyyymm")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286.25648618841814</v>
      </c>
      <c r="BC40" s="8">
        <f>IFERROR(
GETPIVOTDATA(
"[BASE_CONVE_PPTO].[Importe]",
TDinamica_P!$A$5,
"[BASE_CONVE_PPTO].[Periodo]",
"[BASE_CONVE_PPTO].[Periodo].&amp;[" &amp; TEXT(BC$6,"yyyymm")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288.41456840268614</v>
      </c>
      <c r="BD40" s="8">
        <f>IFERROR(
GETPIVOTDATA(
"[BASE_CONVE_PPTO].[Importe]",
TDinamica_P!$A$5,
"[BASE_CONVE_PPTO].[Periodo]",
"[BASE_CONVE_PPTO].[Periodo].&amp;[" &amp; TEXT(BD$6,"yyyymm")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288.16246626323198</v>
      </c>
      <c r="BE40" s="8">
        <f>IFERROR(
GETPIVOTDATA(
"[BASE_CONVE_PPTO].[Importe]",
TDinamica_P!$A$5,
"[BASE_CONVE_PPTO].[Periodo]",
"[BASE_CONVE_PPTO].[Periodo].&amp;[" &amp; TEXT(BE$6,"yyyymm")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289.40497052659947</v>
      </c>
      <c r="BF40" s="8">
        <f>IFERROR(
GETPIVOTDATA(
"[BASE_CONVE_PPTO].[Importe]",
TDinamica_P!$A$5,
"[BASE_CONVE_PPTO].[Periodo]",
"[BASE_CONVE_PPTO].[Periodo].&amp;[" &amp; TEXT(BF$6,"yyyymm")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291.4369813955347</v>
      </c>
      <c r="BG40" s="8">
        <f>IFERROR(
GETPIVOTDATA(
"[BASE_CONVE_PPTO].[Importe]",
TDinamica_P!$A$5,
"[BASE_CONVE_PPTO].[Periodo]",
"[BASE_CONVE_PPTO].[Periodo].&amp;[" &amp; TEXT(BG$6,"yyyymm")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292.70178165863331</v>
      </c>
      <c r="BH40" s="8">
        <f>IFERROR(
GETPIVOTDATA(
"[BASE_CONVE_PPTO].[Importe]",
TDinamica_P!$A$5,
"[BASE_CONVE_PPTO].[Periodo]",
"[BASE_CONVE_PPTO].[Periodo].&amp;[" &amp; TEXT(BH$6,"yyyymm")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293.83557056363469</v>
      </c>
      <c r="BI40" s="8">
        <f>IFERROR(
GETPIVOTDATA(
"[BASE_CONVE_PPTO].[Importe]",
TDinamica_P!$A$5,
"[BASE_CONVE_PPTO].[Periodo]",
"[BASE_CONVE_PPTO].[Periodo].&amp;[" &amp; TEXT(BI$6,"yyyymm")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296.7500851887653</v>
      </c>
      <c r="BJ40" s="8">
        <f>IFERROR(
GETPIVOTDATA(
"[BASE_CONVE_PPTO].[Importe]",
TDinamica_P!$A$5,
"[BASE_CONVE_PPTO].[Periodo]",
"[BASE_CONVE_PPTO].[Periodo].&amp;[" &amp; TEXT(BJ$6,"yyyymm")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295.96883645026298</v>
      </c>
      <c r="BK40" s="8">
        <f>IFERROR(
GETPIVOTDATA(
"[BASE_CONVE_PPTO].[Importe]",
TDinamica_P!$A$5,
"[BASE_CONVE_PPTO].[Periodo]",
"[BASE_CONVE_PPTO].[Periodo].&amp;[" &amp; TEXT(BK$6,"yyyymm")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298.44840152804579</v>
      </c>
      <c r="BO40" s="24">
        <f t="shared" si="30"/>
        <v>1289.26119722</v>
      </c>
      <c r="BP40" s="24">
        <f t="shared" si="30"/>
        <v>1437.5352260803375</v>
      </c>
      <c r="BQ40" s="24">
        <f t="shared" si="30"/>
        <v>1046.70236817</v>
      </c>
      <c r="BR40" s="24">
        <f t="shared" si="30"/>
        <v>1002.54989805</v>
      </c>
      <c r="BS40" s="24">
        <f t="shared" si="30"/>
        <v>1037.82548911</v>
      </c>
      <c r="BT40" s="24">
        <f t="shared" si="30"/>
        <v>1391.63696463</v>
      </c>
    </row>
    <row r="41" spans="1:72" x14ac:dyDescent="0.25">
      <c r="C41" s="3" t="s">
        <v>57</v>
      </c>
      <c r="D41" s="10">
        <f>SUM(D38:D40)</f>
        <v>43205.585138659997</v>
      </c>
      <c r="E41" s="10">
        <f t="shared" ref="E41:AY41" si="31">SUM(E38:E40)</f>
        <v>43056.064970680003</v>
      </c>
      <c r="F41" s="10">
        <f t="shared" si="31"/>
        <v>43511.208916059993</v>
      </c>
      <c r="G41" s="10">
        <f t="shared" si="31"/>
        <v>43833.934401459992</v>
      </c>
      <c r="H41" s="10">
        <f t="shared" si="31"/>
        <v>44495.459660990011</v>
      </c>
      <c r="I41" s="10">
        <f t="shared" si="31"/>
        <v>45653.94011001999</v>
      </c>
      <c r="J41" s="10">
        <f t="shared" si="31"/>
        <v>45863.801639450008</v>
      </c>
      <c r="K41" s="10">
        <f t="shared" si="31"/>
        <v>46676.472645150003</v>
      </c>
      <c r="L41" s="10">
        <f t="shared" si="31"/>
        <v>47084.366756920004</v>
      </c>
      <c r="M41" s="10">
        <f t="shared" si="31"/>
        <v>47372.781281730007</v>
      </c>
      <c r="N41" s="10">
        <f t="shared" si="31"/>
        <v>47878.252548400007</v>
      </c>
      <c r="O41" s="10">
        <f t="shared" si="31"/>
        <v>48357.603572819993</v>
      </c>
      <c r="P41" s="10">
        <f t="shared" si="31"/>
        <v>48478.708410010018</v>
      </c>
      <c r="Q41" s="10">
        <f t="shared" si="31"/>
        <v>50158.020100670008</v>
      </c>
      <c r="R41" s="10">
        <f t="shared" si="31"/>
        <v>49187.928066270004</v>
      </c>
      <c r="S41" s="10">
        <f t="shared" si="31"/>
        <v>49031.073825569991</v>
      </c>
      <c r="T41" s="10">
        <f t="shared" si="31"/>
        <v>50830.322109270011</v>
      </c>
      <c r="U41" s="10">
        <f t="shared" si="31"/>
        <v>51747.820772470004</v>
      </c>
      <c r="V41" s="10">
        <f t="shared" si="31"/>
        <v>52635.791869119996</v>
      </c>
      <c r="W41" s="10">
        <f t="shared" si="31"/>
        <v>53035.936706510001</v>
      </c>
      <c r="X41" s="10">
        <f t="shared" si="31"/>
        <v>53357.980636080007</v>
      </c>
      <c r="Y41" s="10">
        <f t="shared" si="31"/>
        <v>52822.103284329998</v>
      </c>
      <c r="Z41" s="10">
        <f t="shared" si="31"/>
        <v>52681.481949680012</v>
      </c>
      <c r="AA41" s="10">
        <f t="shared" si="31"/>
        <v>51680.523630580014</v>
      </c>
      <c r="AB41" s="10">
        <f t="shared" si="31"/>
        <v>51301.95096082001</v>
      </c>
      <c r="AC41" s="10">
        <f t="shared" si="31"/>
        <v>50800.108833899998</v>
      </c>
      <c r="AD41" s="10">
        <f t="shared" si="31"/>
        <v>51115.183282299993</v>
      </c>
      <c r="AE41" s="10">
        <f t="shared" si="31"/>
        <v>50631.128849990004</v>
      </c>
      <c r="AF41" s="10">
        <f t="shared" si="31"/>
        <v>51332.421600759997</v>
      </c>
      <c r="AG41" s="10">
        <f t="shared" si="31"/>
        <v>50795.754377550002</v>
      </c>
      <c r="AH41" s="10">
        <f t="shared" si="31"/>
        <v>50824.743335399995</v>
      </c>
      <c r="AI41" s="10">
        <f t="shared" si="31"/>
        <v>50427.283686259994</v>
      </c>
      <c r="AJ41" s="10">
        <f t="shared" si="31"/>
        <v>50890.064354789996</v>
      </c>
      <c r="AK41" s="10">
        <f t="shared" si="31"/>
        <v>51114.755337540002</v>
      </c>
      <c r="AL41" s="10">
        <f t="shared" si="31"/>
        <v>50196.864167400003</v>
      </c>
      <c r="AM41" s="10">
        <f t="shared" si="31"/>
        <v>49637.053582970002</v>
      </c>
      <c r="AN41" s="10">
        <f t="shared" si="31"/>
        <v>48835.295033280003</v>
      </c>
      <c r="AO41" s="10">
        <f t="shared" si="31"/>
        <v>48092.986490039992</v>
      </c>
      <c r="AP41" s="10">
        <f t="shared" si="31"/>
        <v>48223.793868560002</v>
      </c>
      <c r="AQ41" s="10">
        <f t="shared" si="31"/>
        <v>48042.783616209999</v>
      </c>
      <c r="AR41" s="10">
        <f t="shared" si="31"/>
        <v>48145.893475760007</v>
      </c>
      <c r="AS41" s="10">
        <f t="shared" si="31"/>
        <v>47884.571715010003</v>
      </c>
      <c r="AT41" s="10">
        <f t="shared" si="31"/>
        <v>0</v>
      </c>
      <c r="AU41" s="10">
        <f t="shared" si="31"/>
        <v>0</v>
      </c>
      <c r="AV41" s="10">
        <f t="shared" si="31"/>
        <v>0</v>
      </c>
      <c r="AW41" s="10">
        <f t="shared" si="31"/>
        <v>0</v>
      </c>
      <c r="AX41" s="10">
        <f t="shared" si="31"/>
        <v>0</v>
      </c>
      <c r="AY41" s="10">
        <f t="shared" si="31"/>
        <v>0</v>
      </c>
      <c r="AZ41" s="10">
        <f>SUM(AZ38:AZ40)</f>
        <v>50874.897353664041</v>
      </c>
      <c r="BA41" s="10">
        <f t="shared" ref="BA41:BK41" si="32">SUM(BA38:BA40)</f>
        <v>51315.312282148014</v>
      </c>
      <c r="BB41" s="10">
        <f t="shared" si="32"/>
        <v>50900.510764452716</v>
      </c>
      <c r="BC41" s="10">
        <f t="shared" si="32"/>
        <v>51284.248748666017</v>
      </c>
      <c r="BD41" s="10">
        <f t="shared" si="32"/>
        <v>51239.421370834716</v>
      </c>
      <c r="BE41" s="10">
        <f t="shared" si="32"/>
        <v>51460.356457667251</v>
      </c>
      <c r="BF41" s="10">
        <f t="shared" si="32"/>
        <v>51821.67714767126</v>
      </c>
      <c r="BG41" s="10">
        <f t="shared" si="32"/>
        <v>52046.5767831833</v>
      </c>
      <c r="BH41" s="10">
        <f t="shared" si="32"/>
        <v>52248.180719331853</v>
      </c>
      <c r="BI41" s="10">
        <f t="shared" si="32"/>
        <v>52766.42324031343</v>
      </c>
      <c r="BJ41" s="10">
        <f t="shared" si="32"/>
        <v>52627.506004399067</v>
      </c>
      <c r="BK41" s="10">
        <f t="shared" si="32"/>
        <v>53068.408254731912</v>
      </c>
      <c r="BO41" s="23">
        <f>SUM(BO38:BO40)</f>
        <v>241340.75248385002</v>
      </c>
      <c r="BP41" s="23">
        <f t="shared" ref="BP41:BT41" si="33">SUM(BP38:BP40)</f>
        <v>255614.39051976553</v>
      </c>
      <c r="BQ41" s="23">
        <f t="shared" si="33"/>
        <v>193194.85900808999</v>
      </c>
      <c r="BR41" s="23">
        <f t="shared" si="33"/>
        <v>255180.79352777</v>
      </c>
      <c r="BS41" s="23">
        <f t="shared" si="33"/>
        <v>247686.05251179004</v>
      </c>
      <c r="BT41" s="23">
        <f t="shared" si="33"/>
        <v>218102.25308785</v>
      </c>
    </row>
    <row r="44" spans="1:72" outlineLevel="1" x14ac:dyDescent="0.25">
      <c r="A44" s="11" t="s">
        <v>50</v>
      </c>
      <c r="C44" s="2" t="s">
        <v>0</v>
      </c>
      <c r="D44" s="8">
        <f>-IFERROR(
GETPIVOTDATA(
"[Base].[Importe]",
TDinamica_R!$A$5,
"[Calendario].[AñoMes]",
"[Calendario].[AñoMes].&amp;[" &amp; TEXT(D$6,"yyyymm") &amp; "]",
"[Base].[Metrica]",
"[Base].[Metrica].&amp;[" &amp; $A44 &amp; "]",
"[Base].[SEGMENTO_DESCRIP]",
"[Base].[SEGMENTO_DESCRIP].&amp;[" &amp; $C$6 &amp; "]",
"[Base].[SITUACION]",
"[Base].[SITUACION].&amp;[" &amp; $C44 &amp; "]"
),0)/1000</f>
        <v>-22549.641046370001</v>
      </c>
      <c r="E44" s="8">
        <f>-IFERROR(
GETPIVOTDATA(
"[Base].[Importe]",
TDinamica_R!$A$5,
"[Calendario].[AñoMes]",
"[Calendario].[AñoMes].&amp;[" &amp; TEXT(E$6,"yyyymm") &amp; "]",
"[Base].[Metrica]",
"[Base].[Metrica].&amp;[" &amp; $A44 &amp; "]",
"[Base].[SEGMENTO_DESCRIP]",
"[Base].[SEGMENTO_DESCRIP].&amp;[" &amp; $C$6 &amp; "]",
"[Base].[SITUACION]",
"[Base].[SITUACION].&amp;[" &amp; $C44 &amp; "]"
),0)/1000</f>
        <v>-21372.845619989999</v>
      </c>
      <c r="F44" s="8">
        <f>-IFERROR(
GETPIVOTDATA(
"[Base].[Importe]",
TDinamica_R!$A$5,
"[Calendario].[AñoMes]",
"[Calendario].[AñoMes].&amp;[" &amp; TEXT(F$6,"yyyymm") &amp; "]",
"[Base].[Metrica]",
"[Base].[Metrica].&amp;[" &amp; $A44 &amp; "]",
"[Base].[SEGMENTO_DESCRIP]",
"[Base].[SEGMENTO_DESCRIP].&amp;[" &amp; $C$6 &amp; "]",
"[Base].[SITUACION]",
"[Base].[SITUACION].&amp;[" &amp; $C44 &amp; "]"
),0)/1000</f>
        <v>-24816.477080600001</v>
      </c>
      <c r="G44" s="8">
        <f>-IFERROR(
GETPIVOTDATA(
"[Base].[Importe]",
TDinamica_R!$A$5,
"[Calendario].[AñoMes]",
"[Calendario].[AñoMes].&amp;[" &amp; TEXT(G$6,"yyyymm") &amp; "]",
"[Base].[Metrica]",
"[Base].[Metrica].&amp;[" &amp; $A44 &amp; "]",
"[Base].[SEGMENTO_DESCRIP]",
"[Base].[SEGMENTO_DESCRIP].&amp;[" &amp; $C$6 &amp; "]",
"[Base].[SITUACION]",
"[Base].[SITUACION].&amp;[" &amp; $C44 &amp; "]"
),0)/1000</f>
        <v>-25123.00184592</v>
      </c>
      <c r="H44" s="8">
        <f>-IFERROR(
GETPIVOTDATA(
"[Base].[Importe]",
TDinamica_R!$A$5,
"[Calendario].[AñoMes]",
"[Calendario].[AñoMes].&amp;[" &amp; TEXT(H$6,"yyyymm") &amp; "]",
"[Base].[Metrica]",
"[Base].[Metrica].&amp;[" &amp; $A44 &amp; "]",
"[Base].[SEGMENTO_DESCRIP]",
"[Base].[SEGMENTO_DESCRIP].&amp;[" &amp; $C$6 &amp; "]",
"[Base].[SITUACION]",
"[Base].[SITUACION].&amp;[" &amp; $C44 &amp; "]"
),0)/1000</f>
        <v>-26709.623124720001</v>
      </c>
      <c r="I44" s="8">
        <f>-IFERROR(
GETPIVOTDATA(
"[Base].[Importe]",
TDinamica_R!$A$5,
"[Calendario].[AñoMes]",
"[Calendario].[AñoMes].&amp;[" &amp; TEXT(I$6,"yyyymm") &amp; "]",
"[Base].[Metrica]",
"[Base].[Metrica].&amp;[" &amp; $A44 &amp; "]",
"[Base].[SEGMENTO_DESCRIP]",
"[Base].[SEGMENTO_DESCRIP].&amp;[" &amp; $C$6 &amp; "]",
"[Base].[SITUACION]",
"[Base].[SITUACION].&amp;[" &amp; $C44 &amp; "]"
),0)/1000</f>
        <v>-26627.138494500003</v>
      </c>
      <c r="J44" s="8">
        <f>-IFERROR(
GETPIVOTDATA(
"[Base].[Importe]",
TDinamica_R!$A$5,
"[Calendario].[AñoMes]",
"[Calendario].[AñoMes].&amp;[" &amp; TEXT(J$6,"yyyymm") &amp; "]",
"[Base].[Metrica]",
"[Base].[Metrica].&amp;[" &amp; $A44 &amp; "]",
"[Base].[SEGMENTO_DESCRIP]",
"[Base].[SEGMENTO_DESCRIP].&amp;[" &amp; $C$6 &amp; "]",
"[Base].[SITUACION]",
"[Base].[SITUACION].&amp;[" &amp; $C44 &amp; "]"
),0)/1000</f>
        <v>-28109.375272949997</v>
      </c>
      <c r="K44" s="8">
        <f>-IFERROR(
GETPIVOTDATA(
"[Base].[Importe]",
TDinamica_R!$A$5,
"[Calendario].[AñoMes]",
"[Calendario].[AñoMes].&amp;[" &amp; TEXT(K$6,"yyyymm") &amp; "]",
"[Base].[Metrica]",
"[Base].[Metrica].&amp;[" &amp; $A44 &amp; "]",
"[Base].[SEGMENTO_DESCRIP]",
"[Base].[SEGMENTO_DESCRIP].&amp;[" &amp; $C$6 &amp; "]",
"[Base].[SITUACION]",
"[Base].[SITUACION].&amp;[" &amp; $C44 &amp; "]"
),0)/1000</f>
        <v>-28790.14507088</v>
      </c>
      <c r="L44" s="8">
        <f>-IFERROR(
GETPIVOTDATA(
"[Base].[Importe]",
TDinamica_R!$A$5,
"[Calendario].[AñoMes]",
"[Calendario].[AñoMes].&amp;[" &amp; TEXT(L$6,"yyyymm") &amp; "]",
"[Base].[Metrica]",
"[Base].[Metrica].&amp;[" &amp; $A44 &amp; "]",
"[Base].[SEGMENTO_DESCRIP]",
"[Base].[SEGMENTO_DESCRIP].&amp;[" &amp; $C$6 &amp; "]",
"[Base].[SITUACION]",
"[Base].[SITUACION].&amp;[" &amp; $C44 &amp; "]"
),0)/1000</f>
        <v>-28459.087519539997</v>
      </c>
      <c r="M44" s="8">
        <f>-IFERROR(
GETPIVOTDATA(
"[Base].[Importe]",
TDinamica_R!$A$5,
"[Calendario].[AñoMes]",
"[Calendario].[AñoMes].&amp;[" &amp; TEXT(M$6,"yyyymm") &amp; "]",
"[Base].[Metrica]",
"[Base].[Metrica].&amp;[" &amp; $A44 &amp; "]",
"[Base].[SEGMENTO_DESCRIP]",
"[Base].[SEGMENTO_DESCRIP].&amp;[" &amp; $C$6 &amp; "]",
"[Base].[SITUACION]",
"[Base].[SITUACION].&amp;[" &amp; $C44 &amp; "]"
),0)/1000</f>
        <v>-30069.824233949999</v>
      </c>
      <c r="N44" s="8">
        <f>-IFERROR(
GETPIVOTDATA(
"[Base].[Importe]",
TDinamica_R!$A$5,
"[Calendario].[AñoMes]",
"[Calendario].[AñoMes].&amp;[" &amp; TEXT(N$6,"yyyymm") &amp; "]",
"[Base].[Metrica]",
"[Base].[Metrica].&amp;[" &amp; $A44 &amp; "]",
"[Base].[SEGMENTO_DESCRIP]",
"[Base].[SEGMENTO_DESCRIP].&amp;[" &amp; $C$6 &amp; "]",
"[Base].[SITUACION]",
"[Base].[SITUACION].&amp;[" &amp; $C44 &amp; "]"
),0)/1000</f>
        <v>-29693.230562739998</v>
      </c>
      <c r="O44" s="8">
        <f>-IFERROR(
GETPIVOTDATA(
"[Base].[Importe]",
TDinamica_R!$A$5,
"[Calendario].[AñoMes]",
"[Calendario].[AñoMes].&amp;[" &amp; TEXT(O$6,"yyyymm") &amp; "]",
"[Base].[Metrica]",
"[Base].[Metrica].&amp;[" &amp; $A44 &amp; "]",
"[Base].[SEGMENTO_DESCRIP]",
"[Base].[SEGMENTO_DESCRIP].&amp;[" &amp; $C$6 &amp; "]",
"[Base].[SITUACION]",
"[Base].[SITUACION].&amp;[" &amp; $C44 &amp; "]"
),0)/1000</f>
        <v>-31045.902527460003</v>
      </c>
      <c r="P44" s="8">
        <f>-IFERROR(
GETPIVOTDATA(
"[Base].[Importe]",
TDinamica_R!$A$5,
"[Calendario].[AñoMes]",
"[Calendario].[AñoMes].&amp;[" &amp; TEXT(P$6,"yyyymm") &amp; "]",
"[Base].[Metrica]",
"[Base].[Metrica].&amp;[" &amp; $A44 &amp; "]",
"[Base].[SEGMENTO_DESCRIP]",
"[Base].[SEGMENTO_DESCRIP].&amp;[" &amp; $C$6 &amp; "]",
"[Base].[SITUACION]",
"[Base].[SITUACION].&amp;[" &amp; $C44 &amp; "]"
),0)/1000</f>
        <v>-31247.4401488</v>
      </c>
      <c r="Q44" s="8">
        <f>-IFERROR(
GETPIVOTDATA(
"[Base].[Importe]",
TDinamica_R!$A$5,
"[Calendario].[AñoMes]",
"[Calendario].[AñoMes].&amp;[" &amp; TEXT(Q$6,"yyyymm") &amp; "]",
"[Base].[Metrica]",
"[Base].[Metrica].&amp;[" &amp; $A44 &amp; "]",
"[Base].[SEGMENTO_DESCRIP]",
"[Base].[SEGMENTO_DESCRIP].&amp;[" &amp; $C$6 &amp; "]",
"[Base].[SITUACION]",
"[Base].[SITUACION].&amp;[" &amp; $C44 &amp; "]"
),0)/1000</f>
        <v>-29469.524395479999</v>
      </c>
      <c r="R44" s="8">
        <f>-IFERROR(
GETPIVOTDATA(
"[Base].[Importe]",
TDinamica_R!$A$5,
"[Calendario].[AñoMes]",
"[Calendario].[AñoMes].&amp;[" &amp; TEXT(R$6,"yyyymm") &amp; "]",
"[Base].[Metrica]",
"[Base].[Metrica].&amp;[" &amp; $A44 &amp; "]",
"[Base].[SEGMENTO_DESCRIP]",
"[Base].[SEGMENTO_DESCRIP].&amp;[" &amp; $C$6 &amp; "]",
"[Base].[SITUACION]",
"[Base].[SITUACION].&amp;[" &amp; $C44 &amp; "]"
),0)/1000</f>
        <v>-31782.168119279995</v>
      </c>
      <c r="S44" s="8">
        <f>-IFERROR(
GETPIVOTDATA(
"[Base].[Importe]",
TDinamica_R!$A$5,
"[Calendario].[AñoMes]",
"[Calendario].[AñoMes].&amp;[" &amp; TEXT(S$6,"yyyymm") &amp; "]",
"[Base].[Metrica]",
"[Base].[Metrica].&amp;[" &amp; $A44 &amp; "]",
"[Base].[SEGMENTO_DESCRIP]",
"[Base].[SEGMENTO_DESCRIP].&amp;[" &amp; $C$6 &amp; "]",
"[Base].[SITUACION]",
"[Base].[SITUACION].&amp;[" &amp; $C44 &amp; "]"
),0)/1000</f>
        <v>-31112.553730720003</v>
      </c>
      <c r="T44" s="8">
        <f>-IFERROR(
GETPIVOTDATA(
"[Base].[Importe]",
TDinamica_R!$A$5,
"[Calendario].[AñoMes]",
"[Calendario].[AñoMes].&amp;[" &amp; TEXT(T$6,"yyyymm") &amp; "]",
"[Base].[Metrica]",
"[Base].[Metrica].&amp;[" &amp; $A44 &amp; "]",
"[Base].[SEGMENTO_DESCRIP]",
"[Base].[SEGMENTO_DESCRIP].&amp;[" &amp; $C$6 &amp; "]",
"[Base].[SITUACION]",
"[Base].[SITUACION].&amp;[" &amp; $C44 &amp; "]"
),0)/1000</f>
        <v>-32502.248709899999</v>
      </c>
      <c r="U44" s="8">
        <f>-IFERROR(
GETPIVOTDATA(
"[Base].[Importe]",
TDinamica_R!$A$5,
"[Calendario].[AñoMes]",
"[Calendario].[AñoMes].&amp;[" &amp; TEXT(U$6,"yyyymm") &amp; "]",
"[Base].[Metrica]",
"[Base].[Metrica].&amp;[" &amp; $A44 &amp; "]",
"[Base].[SEGMENTO_DESCRIP]",
"[Base].[SEGMENTO_DESCRIP].&amp;[" &amp; $C$6 &amp; "]",
"[Base].[SITUACION]",
"[Base].[SITUACION].&amp;[" &amp; $C44 &amp; "]"
),0)/1000</f>
        <v>-31733.010980220002</v>
      </c>
      <c r="V44" s="8">
        <f>-IFERROR(
GETPIVOTDATA(
"[Base].[Importe]",
TDinamica_R!$A$5,
"[Calendario].[AñoMes]",
"[Calendario].[AñoMes].&amp;[" &amp; TEXT(V$6,"yyyymm") &amp; "]",
"[Base].[Metrica]",
"[Base].[Metrica].&amp;[" &amp; $A44 &amp; "]",
"[Base].[SEGMENTO_DESCRIP]",
"[Base].[SEGMENTO_DESCRIP].&amp;[" &amp; $C$6 &amp; "]",
"[Base].[SITUACION]",
"[Base].[SITUACION].&amp;[" &amp; $C44 &amp; "]"
),0)/1000</f>
        <v>-33046.192763520005</v>
      </c>
      <c r="W44" s="8">
        <f>-IFERROR(
GETPIVOTDATA(
"[Base].[Importe]",
TDinamica_R!$A$5,
"[Calendario].[AñoMes]",
"[Calendario].[AñoMes].&amp;[" &amp; TEXT(W$6,"yyyymm") &amp; "]",
"[Base].[Metrica]",
"[Base].[Metrica].&amp;[" &amp; $A44 &amp; "]",
"[Base].[SEGMENTO_DESCRIP]",
"[Base].[SEGMENTO_DESCRIP].&amp;[" &amp; $C$6 &amp; "]",
"[Base].[SITUACION]",
"[Base].[SITUACION].&amp;[" &amp; $C44 &amp; "]"
),0)/1000</f>
        <v>-33062.808966650002</v>
      </c>
      <c r="X44" s="8">
        <f>-IFERROR(
GETPIVOTDATA(
"[Base].[Importe]",
TDinamica_R!$A$5,
"[Calendario].[AñoMes]",
"[Calendario].[AñoMes].&amp;[" &amp; TEXT(X$6,"yyyymm") &amp; "]",
"[Base].[Metrica]",
"[Base].[Metrica].&amp;[" &amp; $A44 &amp; "]",
"[Base].[SEGMENTO_DESCRIP]",
"[Base].[SEGMENTO_DESCRIP].&amp;[" &amp; $C$6 &amp; "]",
"[Base].[SITUACION]",
"[Base].[SITUACION].&amp;[" &amp; $C44 &amp; "]"
),0)/1000</f>
        <v>-31783.657366440002</v>
      </c>
      <c r="Y44" s="8">
        <f>-IFERROR(
GETPIVOTDATA(
"[Base].[Importe]",
TDinamica_R!$A$5,
"[Calendario].[AñoMes]",
"[Calendario].[AñoMes].&amp;[" &amp; TEXT(Y$6,"yyyymm") &amp; "]",
"[Base].[Metrica]",
"[Base].[Metrica].&amp;[" &amp; $A44 &amp; "]",
"[Base].[SEGMENTO_DESCRIP]",
"[Base].[SEGMENTO_DESCRIP].&amp;[" &amp; $C$6 &amp; "]",
"[Base].[SITUACION]",
"[Base].[SITUACION].&amp;[" &amp; $C44 &amp; "]"
),0)/1000</f>
        <v>-31425.188602000002</v>
      </c>
      <c r="Z44" s="8">
        <f>-IFERROR(
GETPIVOTDATA(
"[Base].[Importe]",
TDinamica_R!$A$5,
"[Calendario].[AñoMes]",
"[Calendario].[AñoMes].&amp;[" &amp; TEXT(Z$6,"yyyymm") &amp; "]",
"[Base].[Metrica]",
"[Base].[Metrica].&amp;[" &amp; $A44 &amp; "]",
"[Base].[SEGMENTO_DESCRIP]",
"[Base].[SEGMENTO_DESCRIP].&amp;[" &amp; $C$6 &amp; "]",
"[Base].[SITUACION]",
"[Base].[SITUACION].&amp;[" &amp; $C44 &amp; "]"
),0)/1000</f>
        <v>-31009.317918099994</v>
      </c>
      <c r="AA44" s="8">
        <f>-IFERROR(
GETPIVOTDATA(
"[Base].[Importe]",
TDinamica_R!$A$5,
"[Calendario].[AñoMes]",
"[Calendario].[AñoMes].&amp;[" &amp; TEXT(AA$6,"yyyymm") &amp; "]",
"[Base].[Metrica]",
"[Base].[Metrica].&amp;[" &amp; $A44 &amp; "]",
"[Base].[SEGMENTO_DESCRIP]",
"[Base].[SEGMENTO_DESCRIP].&amp;[" &amp; $C$6 &amp; "]",
"[Base].[SITUACION]",
"[Base].[SITUACION].&amp;[" &amp; $C44 &amp; "]"
),0)/1000</f>
        <v>-31519.7735292</v>
      </c>
      <c r="AB44" s="8">
        <f>-IFERROR(
GETPIVOTDATA(
"[Base].[Importe]",
TDinamica_R!$A$5,
"[Calendario].[AñoMes]",
"[Calendario].[AñoMes].&amp;[" &amp; TEXT(AB$6,"yyyymm") &amp; "]",
"[Base].[Metrica]",
"[Base].[Metrica].&amp;[" &amp; $A44 &amp; "]",
"[Base].[SEGMENTO_DESCRIP]",
"[Base].[SEGMENTO_DESCRIP].&amp;[" &amp; $C$6 &amp; "]",
"[Base].[SITUACION]",
"[Base].[SITUACION].&amp;[" &amp; $C44 &amp; "]"
),0)/1000</f>
        <v>-31020.999580660002</v>
      </c>
      <c r="AC44" s="8">
        <f>-IFERROR(
GETPIVOTDATA(
"[Base].[Importe]",
TDinamica_R!$A$5,
"[Calendario].[AñoMes]",
"[Calendario].[AñoMes].&amp;[" &amp; TEXT(AC$6,"yyyymm") &amp; "]",
"[Base].[Metrica]",
"[Base].[Metrica].&amp;[" &amp; $A44 &amp; "]",
"[Base].[SEGMENTO_DESCRIP]",
"[Base].[SEGMENTO_DESCRIP].&amp;[" &amp; $C$6 &amp; "]",
"[Base].[SITUACION]",
"[Base].[SITUACION].&amp;[" &amp; $C44 &amp; "]"
),0)/1000</f>
        <v>-27651.326548000005</v>
      </c>
      <c r="AD44" s="8">
        <f>-IFERROR(
GETPIVOTDATA(
"[Base].[Importe]",
TDinamica_R!$A$5,
"[Calendario].[AñoMes]",
"[Calendario].[AñoMes].&amp;[" &amp; TEXT(AD$6,"yyyymm") &amp; "]",
"[Base].[Metrica]",
"[Base].[Metrica].&amp;[" &amp; $A44 &amp; "]",
"[Base].[SEGMENTO_DESCRIP]",
"[Base].[SEGMENTO_DESCRIP].&amp;[" &amp; $C$6 &amp; "]",
"[Base].[SITUACION]",
"[Base].[SITUACION].&amp;[" &amp; $C44 &amp; "]"
),0)/1000</f>
        <v>-30183.276489739997</v>
      </c>
      <c r="AE44" s="8">
        <f>-IFERROR(
GETPIVOTDATA(
"[Base].[Importe]",
TDinamica_R!$A$5,
"[Calendario].[AñoMes]",
"[Calendario].[AñoMes].&amp;[" &amp; TEXT(AE$6,"yyyymm") &amp; "]",
"[Base].[Metrica]",
"[Base].[Metrica].&amp;[" &amp; $A44 &amp; "]",
"[Base].[SEGMENTO_DESCRIP]",
"[Base].[SEGMENTO_DESCRIP].&amp;[" &amp; $C$6 &amp; "]",
"[Base].[SITUACION]",
"[Base].[SITUACION].&amp;[" &amp; $C44 &amp; "]"
),0)/1000</f>
        <v>-28733.506578060005</v>
      </c>
      <c r="AF44" s="8">
        <f>-IFERROR(
GETPIVOTDATA(
"[Base].[Importe]",
TDinamica_R!$A$5,
"[Calendario].[AñoMes]",
"[Calendario].[AñoMes].&amp;[" &amp; TEXT(AF$6,"yyyymm") &amp; "]",
"[Base].[Metrica]",
"[Base].[Metrica].&amp;[" &amp; $A44 &amp; "]",
"[Base].[SEGMENTO_DESCRIP]",
"[Base].[SEGMENTO_DESCRIP].&amp;[" &amp; $C$6 &amp; "]",
"[Base].[SITUACION]",
"[Base].[SITUACION].&amp;[" &amp; $C44 &amp; "]"
),0)/1000</f>
        <v>-29516.641124200003</v>
      </c>
      <c r="AG44" s="8">
        <f>-IFERROR(
GETPIVOTDATA(
"[Base].[Importe]",
TDinamica_R!$A$5,
"[Calendario].[AñoMes]",
"[Calendario].[AñoMes].&amp;[" &amp; TEXT(AG$6,"yyyymm") &amp; "]",
"[Base].[Metrica]",
"[Base].[Metrica].&amp;[" &amp; $A44 &amp; "]",
"[Base].[SEGMENTO_DESCRIP]",
"[Base].[SEGMENTO_DESCRIP].&amp;[" &amp; $C$6 &amp; "]",
"[Base].[SITUACION]",
"[Base].[SITUACION].&amp;[" &amp; $C44 &amp; "]"
),0)/1000</f>
        <v>-28280.952966839999</v>
      </c>
      <c r="AH44" s="8">
        <f>-IFERROR(
GETPIVOTDATA(
"[Base].[Importe]",
TDinamica_R!$A$5,
"[Calendario].[AñoMes]",
"[Calendario].[AñoMes].&amp;[" &amp; TEXT(AH$6,"yyyymm") &amp; "]",
"[Base].[Metrica]",
"[Base].[Metrica].&amp;[" &amp; $A44 &amp; "]",
"[Base].[SEGMENTO_DESCRIP]",
"[Base].[SEGMENTO_DESCRIP].&amp;[" &amp; $C$6 &amp; "]",
"[Base].[SITUACION]",
"[Base].[SITUACION].&amp;[" &amp; $C44 &amp; "]"
),0)/1000</f>
        <v>-28870.702113899999</v>
      </c>
      <c r="AI44" s="8">
        <f>-IFERROR(
GETPIVOTDATA(
"[Base].[Importe]",
TDinamica_R!$A$5,
"[Calendario].[AñoMes]",
"[Calendario].[AñoMes].&amp;[" &amp; TEXT(AI$6,"yyyymm") &amp; "]",
"[Base].[Metrica]",
"[Base].[Metrica].&amp;[" &amp; $A44 &amp; "]",
"[Base].[SEGMENTO_DESCRIP]",
"[Base].[SEGMENTO_DESCRIP].&amp;[" &amp; $C$6 &amp; "]",
"[Base].[SITUACION]",
"[Base].[SITUACION].&amp;[" &amp; $C44 &amp; "]"
),0)/1000</f>
        <v>-28542.315554550001</v>
      </c>
      <c r="AJ44" s="8">
        <f>-IFERROR(
GETPIVOTDATA(
"[Base].[Importe]",
TDinamica_R!$A$5,
"[Calendario].[AñoMes]",
"[Calendario].[AñoMes].&amp;[" &amp; TEXT(AJ$6,"yyyymm") &amp; "]",
"[Base].[Metrica]",
"[Base].[Metrica].&amp;[" &amp; $A44 &amp; "]",
"[Base].[SEGMENTO_DESCRIP]",
"[Base].[SEGMENTO_DESCRIP].&amp;[" &amp; $C$6 &amp; "]",
"[Base].[SITUACION]",
"[Base].[SITUACION].&amp;[" &amp; $C44 &amp; "]"
),0)/1000</f>
        <v>-27329.955537850001</v>
      </c>
      <c r="AK44" s="8">
        <f>-IFERROR(
GETPIVOTDATA(
"[Base].[Importe]",
TDinamica_R!$A$5,
"[Calendario].[AñoMes]",
"[Calendario].[AñoMes].&amp;[" &amp; TEXT(AK$6,"yyyymm") &amp; "]",
"[Base].[Metrica]",
"[Base].[Metrica].&amp;[" &amp; $A44 &amp; "]",
"[Base].[SEGMENTO_DESCRIP]",
"[Base].[SEGMENTO_DESCRIP].&amp;[" &amp; $C$6 &amp; "]",
"[Base].[SITUACION]",
"[Base].[SITUACION].&amp;[" &amp; $C44 &amp; "]"
),0)/1000</f>
        <v>-27585.290614720001</v>
      </c>
      <c r="AL44" s="8">
        <f>-IFERROR(
GETPIVOTDATA(
"[Base].[Importe]",
TDinamica_R!$A$5,
"[Calendario].[AñoMes]",
"[Calendario].[AñoMes].&amp;[" &amp; TEXT(AL$6,"yyyymm") &amp; "]",
"[Base].[Metrica]",
"[Base].[Metrica].&amp;[" &amp; $A44 &amp; "]",
"[Base].[SEGMENTO_DESCRIP]",
"[Base].[SEGMENTO_DESCRIP].&amp;[" &amp; $C$6 &amp; "]",
"[Base].[SITUACION]",
"[Base].[SITUACION].&amp;[" &amp; $C44 &amp; "]"
),0)/1000</f>
        <v>-26597.606705089998</v>
      </c>
      <c r="AM44" s="8">
        <f>-IFERROR(
GETPIVOTDATA(
"[Base].[Importe]",
TDinamica_R!$A$5,
"[Calendario].[AñoMes]",
"[Calendario].[AñoMes].&amp;[" &amp; TEXT(AM$6,"yyyymm") &amp; "]",
"[Base].[Metrica]",
"[Base].[Metrica].&amp;[" &amp; $A44 &amp; "]",
"[Base].[SEGMENTO_DESCRIP]",
"[Base].[SEGMENTO_DESCRIP].&amp;[" &amp; $C$6 &amp; "]",
"[Base].[SITUACION]",
"[Base].[SITUACION].&amp;[" &amp; $C44 &amp; "]"
),0)/1000</f>
        <v>-26926.929607979997</v>
      </c>
      <c r="AN44" s="8">
        <f>-IFERROR(
GETPIVOTDATA(
"[Base].[Importe]",
TDinamica_R!$A$5,
"[Calendario].[AñoMes]",
"[Calendario].[AñoMes].&amp;[" &amp; TEXT(AN$6,"yyyymm") &amp; "]",
"[Base].[Metrica]",
"[Base].[Metrica].&amp;[" &amp; $A44 &amp; "]",
"[Base].[SEGMENTO_DESCRIP]",
"[Base].[SEGMENTO_DESCRIP].&amp;[" &amp; $C$6 &amp; "]",
"[Base].[SITUACION]",
"[Base].[SITUACION].&amp;[" &amp; $C44 &amp; "]"
),0)/1000</f>
        <v>-26474.865807539998</v>
      </c>
      <c r="AO44" s="8">
        <f>-IFERROR(
GETPIVOTDATA(
"[Base].[Importe]",
TDinamica_R!$A$5,
"[Calendario].[AñoMes]",
"[Calendario].[AñoMes].&amp;[" &amp; TEXT(AO$6,"yyyymm") &amp; "]",
"[Base].[Metrica]",
"[Base].[Metrica].&amp;[" &amp; $A44 &amp; "]",
"[Base].[SEGMENTO_DESCRIP]",
"[Base].[SEGMENTO_DESCRIP].&amp;[" &amp; $C$6 &amp; "]",
"[Base].[SITUACION]",
"[Base].[SITUACION].&amp;[" &amp; $C44 &amp; "]"
),0)/1000</f>
        <v>-23504.680413599999</v>
      </c>
      <c r="AP44" s="8">
        <f>-IFERROR(
GETPIVOTDATA(
"[Base].[Importe]",
TDinamica_R!$A$5,
"[Calendario].[AñoMes]",
"[Calendario].[AñoMes].&amp;[" &amp; TEXT(AP$6,"yyyymm") &amp; "]",
"[Base].[Metrica]",
"[Base].[Metrica].&amp;[" &amp; $A44 &amp; "]",
"[Base].[SEGMENTO_DESCRIP]",
"[Base].[SEGMENTO_DESCRIP].&amp;[" &amp; $C$6 &amp; "]",
"[Base].[SITUACION]",
"[Base].[SITUACION].&amp;[" &amp; $C44 &amp; "]"
),0)/1000</f>
        <v>-25703.514357</v>
      </c>
      <c r="AQ44" s="8">
        <f>-IFERROR(
GETPIVOTDATA(
"[Base].[Importe]",
TDinamica_R!$A$5,
"[Calendario].[AñoMes]",
"[Calendario].[AñoMes].&amp;[" &amp; TEXT(AQ$6,"yyyymm") &amp; "]",
"[Base].[Metrica]",
"[Base].[Metrica].&amp;[" &amp; $A44 &amp; "]",
"[Base].[SEGMENTO_DESCRIP]",
"[Base].[SEGMENTO_DESCRIP].&amp;[" &amp; $C$6 &amp; "]",
"[Base].[SITUACION]",
"[Base].[SITUACION].&amp;[" &amp; $C44 &amp; "]"
),0)/1000</f>
        <v>-24750.697194209999</v>
      </c>
      <c r="AR44" s="8">
        <f>-IFERROR(
GETPIVOTDATA(
"[Base].[Importe]",
TDinamica_R!$A$5,
"[Calendario].[AñoMes]",
"[Calendario].[AñoMes].&amp;[" &amp; TEXT(AR$6,"yyyymm") &amp; "]",
"[Base].[Metrica]",
"[Base].[Metrica].&amp;[" &amp; $A44 &amp; "]",
"[Base].[SEGMENTO_DESCRIP]",
"[Base].[SEGMENTO_DESCRIP].&amp;[" &amp; $C$6 &amp; "]",
"[Base].[SITUACION]",
"[Base].[SITUACION].&amp;[" &amp; $C44 &amp; "]"
),0)/1000</f>
        <v>-25528.577257064331</v>
      </c>
      <c r="AS44" s="8">
        <f>-IFERROR(
GETPIVOTDATA(
"[Base].[Importe]",
TDinamica_R!$A$5,
"[Calendario].[AñoMes]",
"[Calendario].[AñoMes].&amp;[" &amp; TEXT(AS$6,"yyyymm") &amp; "]",
"[Base].[Metrica]",
"[Base].[Metrica].&amp;[" &amp; $A44 &amp; "]",
"[Base].[SEGMENTO_DESCRIP]",
"[Base].[SEGMENTO_DESCRIP].&amp;[" &amp; $C$6 &amp; "]",
"[Base].[SITUACION]",
"[Base].[SITUACION].&amp;[" &amp; $C44 &amp; "]"
),0)/1000</f>
        <v>-24603.103410700001</v>
      </c>
      <c r="AT44" s="8">
        <f>-IFERROR(
GETPIVOTDATA(
"[Base].[Importe]",
TDinamica_R!$A$5,
"[Calendario].[AñoMes]",
"[Calendario].[AñoMes].&amp;[" &amp; TEXT(AT$6,"yyyymm")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U44" s="8">
        <f>-IFERROR(
GETPIVOTDATA(
"[Base].[Importe]",
TDinamica_R!$A$5,
"[Calendario].[AñoMes]",
"[Calendario].[AñoMes].&amp;[" &amp; TEXT(AU$6,"yyyymm")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V44" s="8">
        <f>-IFERROR(
GETPIVOTDATA(
"[Base].[Importe]",
TDinamica_R!$A$5,
"[Calendario].[AñoMes]",
"[Calendario].[AñoMes].&amp;[" &amp; TEXT(AV$6,"yyyymm")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W44" s="8">
        <f>-IFERROR(
GETPIVOTDATA(
"[Base].[Importe]",
TDinamica_R!$A$5,
"[Calendario].[AñoMes]",
"[Calendario].[AñoMes].&amp;[" &amp; TEXT(AW$6,"yyyymm")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X44" s="8">
        <f>-IFERROR(
GETPIVOTDATA(
"[Base].[Importe]",
TDinamica_R!$A$5,
"[Calendario].[AñoMes]",
"[Calendario].[AñoMes].&amp;[" &amp; TEXT(AX$6,"yyyymm")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Y44" s="8">
        <f>-IFERROR(
GETPIVOTDATA(
"[Base].[Importe]",
TDinamica_R!$A$5,
"[Calendario].[AñoMes]",
"[Calendario].[AñoMes].&amp;[" &amp; TEXT(AY$6,"yyyymm")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Z44" s="8">
        <f>IFERROR(
GETPIVOTDATA(
"[BASE_CONVE_PPTO].[Importe]",
TDinamica_P!$A$5,
"[BASE_CONVE_PPTO].[Periodo]",
"[BASE_CONVE_PPTO].[Periodo].&amp;[" &amp; TEXT(AZ$6,"yyyymm")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-27434.797886946697</v>
      </c>
      <c r="BA44" s="8">
        <f>IFERROR(
GETPIVOTDATA(
"[BASE_CONVE_PPTO].[Importe]",
TDinamica_P!$A$5,
"[BASE_CONVE_PPTO].[Periodo]",
"[BASE_CONVE_PPTO].[Periodo].&amp;[" &amp; TEXT(BA$6,"yyyymm")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-24618.139659471486</v>
      </c>
      <c r="BB44" s="8">
        <f>IFERROR(
GETPIVOTDATA(
"[BASE_CONVE_PPTO].[Importe]",
TDinamica_P!$A$5,
"[BASE_CONVE_PPTO].[Periodo]",
"[BASE_CONVE_PPTO].[Periodo].&amp;[" &amp; TEXT(BB$6,"yyyymm")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-27146.043308761658</v>
      </c>
      <c r="BC44" s="8">
        <f>IFERROR(
GETPIVOTDATA(
"[BASE_CONVE_PPTO].[Importe]",
TDinamica_P!$A$5,
"[BASE_CONVE_PPTO].[Periodo]",
"[BASE_CONVE_PPTO].[Periodo].&amp;[" &amp; TEXT(BC$6,"yyyymm")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-26141.722698841822</v>
      </c>
      <c r="BD44" s="8">
        <f>IFERROR(
GETPIVOTDATA(
"[BASE_CONVE_PPTO].[Importe]",
TDinamica_P!$A$5,
"[BASE_CONVE_PPTO].[Periodo]",
"[BASE_CONVE_PPTO].[Periodo].&amp;[" &amp; TEXT(BD$6,"yyyymm")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-26895.284469808303</v>
      </c>
      <c r="BE44" s="8">
        <f>IFERROR(
GETPIVOTDATA(
"[BASE_CONVE_PPTO].[Importe]",
TDinamica_P!$A$5,
"[BASE_CONVE_PPTO].[Periodo]",
"[BASE_CONVE_PPTO].[Periodo].&amp;[" &amp; TEXT(BE$6,"yyyymm")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-25934.932062679862</v>
      </c>
      <c r="BF44" s="8">
        <f>IFERROR(
GETPIVOTDATA(
"[BASE_CONVE_PPTO].[Importe]",
TDinamica_P!$A$5,
"[BASE_CONVE_PPTO].[Periodo]",
"[BASE_CONVE_PPTO].[Periodo].&amp;[" &amp; TEXT(BF$6,"yyyymm")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-26725.960751926374</v>
      </c>
      <c r="BG44" s="8">
        <f>IFERROR(
GETPIVOTDATA(
"[BASE_CONVE_PPTO].[Importe]",
TDinamica_P!$A$5,
"[BASE_CONVE_PPTO].[Periodo]",
"[BASE_CONVE_PPTO].[Periodo].&amp;[" &amp; TEXT(BG$6,"yyyymm")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-26664.879406922952</v>
      </c>
      <c r="BH44" s="8">
        <f>IFERROR(
GETPIVOTDATA(
"[BASE_CONVE_PPTO].[Importe]",
TDinamica_P!$A$5,
"[BASE_CONVE_PPTO].[Periodo]",
"[BASE_CONVE_PPTO].[Periodo].&amp;[" &amp; TEXT(BH$6,"yyyymm")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-25779.181681523383</v>
      </c>
      <c r="BI44" s="8">
        <f>IFERROR(
GETPIVOTDATA(
"[BASE_CONVE_PPTO].[Importe]",
TDinamica_P!$A$5,
"[BASE_CONVE_PPTO].[Periodo]",
"[BASE_CONVE_PPTO].[Periodo].&amp;[" &amp; TEXT(BI$6,"yyyymm")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-26599.476963930385</v>
      </c>
      <c r="BJ44" s="8">
        <f>IFERROR(
GETPIVOTDATA(
"[BASE_CONVE_PPTO].[Importe]",
TDinamica_P!$A$5,
"[BASE_CONVE_PPTO].[Periodo]",
"[BASE_CONVE_PPTO].[Periodo].&amp;[" &amp; TEXT(BJ$6,"yyyymm")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-25704.622995706461</v>
      </c>
      <c r="BK44" s="8">
        <f>IFERROR(
GETPIVOTDATA(
"[BASE_CONVE_PPTO].[Importe]",
TDinamica_P!$A$5,
"[BASE_CONVE_PPTO].[Periodo]",
"[BASE_CONVE_PPTO].[Periodo].&amp;[" &amp; TEXT(BK$6,"yyyymm")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-26513.914251356851</v>
      </c>
      <c r="BO44" s="24">
        <f t="shared" ref="BO44:BT46" si="34">SUMIFS($D44:$BM44,$D$6:$BM$6,"&gt;="&amp;BO$2,$D$6:$BM$6,"&lt;="&amp;BO$6,$D$5:$BM$5,BO$5)</f>
        <v>-125962.33502941432</v>
      </c>
      <c r="BP44" s="24">
        <f t="shared" si="34"/>
        <v>-132235.98802382997</v>
      </c>
      <c r="BQ44" s="24">
        <f t="shared" si="34"/>
        <v>-100433.75777234999</v>
      </c>
      <c r="BR44" s="24">
        <f t="shared" si="34"/>
        <v>-147105.75032066001</v>
      </c>
      <c r="BS44" s="24">
        <f t="shared" si="34"/>
        <v>-156113.93510417998</v>
      </c>
      <c r="BT44" s="24">
        <f t="shared" si="34"/>
        <v>-120571.58871760001</v>
      </c>
    </row>
    <row r="45" spans="1:72" outlineLevel="1" x14ac:dyDescent="0.25">
      <c r="A45" s="11" t="s">
        <v>50</v>
      </c>
      <c r="C45" s="2" t="s">
        <v>1</v>
      </c>
      <c r="D45" s="8">
        <f>-IFERROR(
GETPIVOTDATA(
"[Base].[Importe]",
TDinamica_R!$A$5,
"[Calendario].[AñoMes]",
"[Calendario].[AñoMes].&amp;[" &amp; TEXT(D$6,"yyyymm") &amp; "]",
"[Base].[Metrica]",
"[Base].[Metrica].&amp;[" &amp; $A45 &amp; "]",
"[Base].[SEGMENTO_DESCRIP]",
"[Base].[SEGMENTO_DESCRIP].&amp;[" &amp; $C$6 &amp; "]",
"[Base].[SITUACION]",
"[Base].[SITUACION].&amp;[" &amp; $C45 &amp; "]"
),0)/1000</f>
        <v>-123.14461</v>
      </c>
      <c r="E45" s="8">
        <f>-IFERROR(
GETPIVOTDATA(
"[Base].[Importe]",
TDinamica_R!$A$5,
"[Calendario].[AñoMes]",
"[Calendario].[AñoMes].&amp;[" &amp; TEXT(E$6,"yyyymm") &amp; "]",
"[Base].[Metrica]",
"[Base].[Metrica].&amp;[" &amp; $A45 &amp; "]",
"[Base].[SEGMENTO_DESCRIP]",
"[Base].[SEGMENTO_DESCRIP].&amp;[" &amp; $C$6 &amp; "]",
"[Base].[SITUACION]",
"[Base].[SITUACION].&amp;[" &amp; $C45 &amp; "]"
),0)/1000</f>
        <v>-114.13199</v>
      </c>
      <c r="F45" s="8">
        <f>-IFERROR(
GETPIVOTDATA(
"[Base].[Importe]",
TDinamica_R!$A$5,
"[Calendario].[AñoMes]",
"[Calendario].[AñoMes].&amp;[" &amp; TEXT(F$6,"yyyymm") &amp; "]",
"[Base].[Metrica]",
"[Base].[Metrica].&amp;[" &amp; $A45 &amp; "]",
"[Base].[SEGMENTO_DESCRIP]",
"[Base].[SEGMENTO_DESCRIP].&amp;[" &amp; $C$6 &amp; "]",
"[Base].[SITUACION]",
"[Base].[SITUACION].&amp;[" &amp; $C45 &amp; "]"
),0)/1000</f>
        <v>-131.59404999999998</v>
      </c>
      <c r="G45" s="8">
        <f>-IFERROR(
GETPIVOTDATA(
"[Base].[Importe]",
TDinamica_R!$A$5,
"[Calendario].[AñoMes]",
"[Calendario].[AñoMes].&amp;[" &amp; TEXT(G$6,"yyyymm") &amp; "]",
"[Base].[Metrica]",
"[Base].[Metrica].&amp;[" &amp; $A45 &amp; "]",
"[Base].[SEGMENTO_DESCRIP]",
"[Base].[SEGMENTO_DESCRIP].&amp;[" &amp; $C$6 &amp; "]",
"[Base].[SITUACION]",
"[Base].[SITUACION].&amp;[" &amp; $C45 &amp; "]"
),0)/1000</f>
        <v>-131.37626999999998</v>
      </c>
      <c r="H45" s="8">
        <f>-IFERROR(
GETPIVOTDATA(
"[Base].[Importe]",
TDinamica_R!$A$5,
"[Calendario].[AñoMes]",
"[Calendario].[AñoMes].&amp;[" &amp; TEXT(H$6,"yyyymm") &amp; "]",
"[Base].[Metrica]",
"[Base].[Metrica].&amp;[" &amp; $A45 &amp; "]",
"[Base].[SEGMENTO_DESCRIP]",
"[Base].[SEGMENTO_DESCRIP].&amp;[" &amp; $C$6 &amp; "]",
"[Base].[SITUACION]",
"[Base].[SITUACION].&amp;[" &amp; $C45 &amp; "]"
),0)/1000</f>
        <v>-135.77754999999999</v>
      </c>
      <c r="I45" s="8">
        <f>-IFERROR(
GETPIVOTDATA(
"[Base].[Importe]",
TDinamica_R!$A$5,
"[Calendario].[AñoMes]",
"[Calendario].[AñoMes].&amp;[" &amp; TEXT(I$6,"yyyymm") &amp; "]",
"[Base].[Metrica]",
"[Base].[Metrica].&amp;[" &amp; $A45 &amp; "]",
"[Base].[SEGMENTO_DESCRIP]",
"[Base].[SEGMENTO_DESCRIP].&amp;[" &amp; $C$6 &amp; "]",
"[Base].[SITUACION]",
"[Base].[SITUACION].&amp;[" &amp; $C45 &amp; "]"
),0)/1000</f>
        <v>-138.53382000000002</v>
      </c>
      <c r="J45" s="8">
        <f>-IFERROR(
GETPIVOTDATA(
"[Base].[Importe]",
TDinamica_R!$A$5,
"[Calendario].[AñoMes]",
"[Calendario].[AñoMes].&amp;[" &amp; TEXT(J$6,"yyyymm") &amp; "]",
"[Base].[Metrica]",
"[Base].[Metrica].&amp;[" &amp; $A45 &amp; "]",
"[Base].[SEGMENTO_DESCRIP]",
"[Base].[SEGMENTO_DESCRIP].&amp;[" &amp; $C$6 &amp; "]",
"[Base].[SITUACION]",
"[Base].[SITUACION].&amp;[" &amp; $C45 &amp; "]"
),0)/1000</f>
        <v>-143.33354</v>
      </c>
      <c r="K45" s="8">
        <f>-IFERROR(
GETPIVOTDATA(
"[Base].[Importe]",
TDinamica_R!$A$5,
"[Calendario].[AñoMes]",
"[Calendario].[AñoMes].&amp;[" &amp; TEXT(K$6,"yyyymm") &amp; "]",
"[Base].[Metrica]",
"[Base].[Metrica].&amp;[" &amp; $A45 &amp; "]",
"[Base].[SEGMENTO_DESCRIP]",
"[Base].[SEGMENTO_DESCRIP].&amp;[" &amp; $C$6 &amp; "]",
"[Base].[SITUACION]",
"[Base].[SITUACION].&amp;[" &amp; $C45 &amp; "]"
),0)/1000</f>
        <v>-145.92562000000001</v>
      </c>
      <c r="L45" s="8">
        <f>-IFERROR(
GETPIVOTDATA(
"[Base].[Importe]",
TDinamica_R!$A$5,
"[Calendario].[AñoMes]",
"[Calendario].[AñoMes].&amp;[" &amp; TEXT(L$6,"yyyymm") &amp; "]",
"[Base].[Metrica]",
"[Base].[Metrica].&amp;[" &amp; $A45 &amp; "]",
"[Base].[SEGMENTO_DESCRIP]",
"[Base].[SEGMENTO_DESCRIP].&amp;[" &amp; $C$6 &amp; "]",
"[Base].[SITUACION]",
"[Base].[SITUACION].&amp;[" &amp; $C45 &amp; "]"
),0)/1000</f>
        <v>-137.96125000000001</v>
      </c>
      <c r="M45" s="8">
        <f>-IFERROR(
GETPIVOTDATA(
"[Base].[Importe]",
TDinamica_R!$A$5,
"[Calendario].[AñoMes]",
"[Calendario].[AñoMes].&amp;[" &amp; TEXT(M$6,"yyyymm") &amp; "]",
"[Base].[Metrica]",
"[Base].[Metrica].&amp;[" &amp; $A45 &amp; "]",
"[Base].[SEGMENTO_DESCRIP]",
"[Base].[SEGMENTO_DESCRIP].&amp;[" &amp; $C$6 &amp; "]",
"[Base].[SITUACION]",
"[Base].[SITUACION].&amp;[" &amp; $C45 &amp; "]"
),0)/1000</f>
        <v>-140.44853000000001</v>
      </c>
      <c r="N45" s="8">
        <f>-IFERROR(
GETPIVOTDATA(
"[Base].[Importe]",
TDinamica_R!$A$5,
"[Calendario].[AñoMes]",
"[Calendario].[AñoMes].&amp;[" &amp; TEXT(N$6,"yyyymm") &amp; "]",
"[Base].[Metrica]",
"[Base].[Metrica].&amp;[" &amp; $A45 &amp; "]",
"[Base].[SEGMENTO_DESCRIP]",
"[Base].[SEGMENTO_DESCRIP].&amp;[" &amp; $C$6 &amp; "]",
"[Base].[SITUACION]",
"[Base].[SITUACION].&amp;[" &amp; $C45 &amp; "]"
),0)/1000</f>
        <v>-134.79822000000001</v>
      </c>
      <c r="O45" s="8">
        <f>-IFERROR(
GETPIVOTDATA(
"[Base].[Importe]",
TDinamica_R!$A$5,
"[Calendario].[AñoMes]",
"[Calendario].[AñoMes].&amp;[" &amp; TEXT(O$6,"yyyymm") &amp; "]",
"[Base].[Metrica]",
"[Base].[Metrica].&amp;[" &amp; $A45 &amp; "]",
"[Base].[SEGMENTO_DESCRIP]",
"[Base].[SEGMENTO_DESCRIP].&amp;[" &amp; $C$6 &amp; "]",
"[Base].[SITUACION]",
"[Base].[SITUACION].&amp;[" &amp; $C45 &amp; "]"
),0)/1000</f>
        <v>-143.12120999999999</v>
      </c>
      <c r="P45" s="8">
        <f>-IFERROR(
GETPIVOTDATA(
"[Base].[Importe]",
TDinamica_R!$A$5,
"[Calendario].[AñoMes]",
"[Calendario].[AñoMes].&amp;[" &amp; TEXT(P$6,"yyyymm") &amp; "]",
"[Base].[Metrica]",
"[Base].[Metrica].&amp;[" &amp; $A45 &amp; "]",
"[Base].[SEGMENTO_DESCRIP]",
"[Base].[SEGMENTO_DESCRIP].&amp;[" &amp; $C$6 &amp; "]",
"[Base].[SITUACION]",
"[Base].[SITUACION].&amp;[" &amp; $C45 &amp; "]"
),0)/1000</f>
        <v>-141.92239000000001</v>
      </c>
      <c r="Q45" s="8">
        <f>-IFERROR(
GETPIVOTDATA(
"[Base].[Importe]",
TDinamica_R!$A$5,
"[Calendario].[AñoMes]",
"[Calendario].[AñoMes].&amp;[" &amp; TEXT(Q$6,"yyyymm") &amp; "]",
"[Base].[Metrica]",
"[Base].[Metrica].&amp;[" &amp; $A45 &amp; "]",
"[Base].[SEGMENTO_DESCRIP]",
"[Base].[SEGMENTO_DESCRIP].&amp;[" &amp; $C$6 &amp; "]",
"[Base].[SITUACION]",
"[Base].[SITUACION].&amp;[" &amp; $C45 &amp; "]"
),0)/1000</f>
        <v>-129.40916999999999</v>
      </c>
      <c r="R45" s="8">
        <f>-IFERROR(
GETPIVOTDATA(
"[Base].[Importe]",
TDinamica_R!$A$5,
"[Calendario].[AñoMes]",
"[Calendario].[AñoMes].&amp;[" &amp; TEXT(R$6,"yyyymm") &amp; "]",
"[Base].[Metrica]",
"[Base].[Metrica].&amp;[" &amp; $A45 &amp; "]",
"[Base].[SEGMENTO_DESCRIP]",
"[Base].[SEGMENTO_DESCRIP].&amp;[" &amp; $C$6 &amp; "]",
"[Base].[SITUACION]",
"[Base].[SITUACION].&amp;[" &amp; $C45 &amp; "]"
),0)/1000</f>
        <v>-134.00838000000002</v>
      </c>
      <c r="S45" s="8">
        <f>-IFERROR(
GETPIVOTDATA(
"[Base].[Importe]",
TDinamica_R!$A$5,
"[Calendario].[AñoMes]",
"[Calendario].[AñoMes].&amp;[" &amp; TEXT(S$6,"yyyymm") &amp; "]",
"[Base].[Metrica]",
"[Base].[Metrica].&amp;[" &amp; $A45 &amp; "]",
"[Base].[SEGMENTO_DESCRIP]",
"[Base].[SEGMENTO_DESCRIP].&amp;[" &amp; $C$6 &amp; "]",
"[Base].[SITUACION]",
"[Base].[SITUACION].&amp;[" &amp; $C45 &amp; "]"
),0)/1000</f>
        <v>-126.37657</v>
      </c>
      <c r="T45" s="8">
        <f>-IFERROR(
GETPIVOTDATA(
"[Base].[Importe]",
TDinamica_R!$A$5,
"[Calendario].[AñoMes]",
"[Calendario].[AñoMes].&amp;[" &amp; TEXT(T$6,"yyyymm") &amp; "]",
"[Base].[Metrica]",
"[Base].[Metrica].&amp;[" &amp; $A45 &amp; "]",
"[Base].[SEGMENTO_DESCRIP]",
"[Base].[SEGMENTO_DESCRIP].&amp;[" &amp; $C$6 &amp; "]",
"[Base].[SITUACION]",
"[Base].[SITUACION].&amp;[" &amp; $C45 &amp; "]"
),0)/1000</f>
        <v>-126.33342999999999</v>
      </c>
      <c r="U45" s="8">
        <f>-IFERROR(
GETPIVOTDATA(
"[Base].[Importe]",
TDinamica_R!$A$5,
"[Calendario].[AñoMes]",
"[Calendario].[AñoMes].&amp;[" &amp; TEXT(U$6,"yyyymm") &amp; "]",
"[Base].[Metrica]",
"[Base].[Metrica].&amp;[" &amp; $A45 &amp; "]",
"[Base].[SEGMENTO_DESCRIP]",
"[Base].[SEGMENTO_DESCRIP].&amp;[" &amp; $C$6 &amp; "]",
"[Base].[SITUACION]",
"[Base].[SITUACION].&amp;[" &amp; $C45 &amp; "]"
),0)/1000</f>
        <v>-118.34656</v>
      </c>
      <c r="V45" s="8">
        <f>-IFERROR(
GETPIVOTDATA(
"[Base].[Importe]",
TDinamica_R!$A$5,
"[Calendario].[AñoMes]",
"[Calendario].[AñoMes].&amp;[" &amp; TEXT(V$6,"yyyymm") &amp; "]",
"[Base].[Metrica]",
"[Base].[Metrica].&amp;[" &amp; $A45 &amp; "]",
"[Base].[SEGMENTO_DESCRIP]",
"[Base].[SEGMENTO_DESCRIP].&amp;[" &amp; $C$6 &amp; "]",
"[Base].[SITUACION]",
"[Base].[SITUACION].&amp;[" &amp; $C45 &amp; "]"
),0)/1000</f>
        <v>-115.46313000000001</v>
      </c>
      <c r="W45" s="8">
        <f>-IFERROR(
GETPIVOTDATA(
"[Base].[Importe]",
TDinamica_R!$A$5,
"[Calendario].[AñoMes]",
"[Calendario].[AñoMes].&amp;[" &amp; TEXT(W$6,"yyyymm") &amp; "]",
"[Base].[Metrica]",
"[Base].[Metrica].&amp;[" &amp; $A45 &amp; "]",
"[Base].[SEGMENTO_DESCRIP]",
"[Base].[SEGMENTO_DESCRIP].&amp;[" &amp; $C$6 &amp; "]",
"[Base].[SITUACION]",
"[Base].[SITUACION].&amp;[" &amp; $C45 &amp; "]"
),0)/1000</f>
        <v>-111.95639999999999</v>
      </c>
      <c r="X45" s="8">
        <f>-IFERROR(
GETPIVOTDATA(
"[Base].[Importe]",
TDinamica_R!$A$5,
"[Calendario].[AñoMes]",
"[Calendario].[AñoMes].&amp;[" &amp; TEXT(X$6,"yyyymm") &amp; "]",
"[Base].[Metrica]",
"[Base].[Metrica].&amp;[" &amp; $A45 &amp; "]",
"[Base].[SEGMENTO_DESCRIP]",
"[Base].[SEGMENTO_DESCRIP].&amp;[" &amp; $C$6 &amp; "]",
"[Base].[SITUACION]",
"[Base].[SITUACION].&amp;[" &amp; $C45 &amp; "]"
),0)/1000</f>
        <v>-105.10448</v>
      </c>
      <c r="Y45" s="8">
        <f>-IFERROR(
GETPIVOTDATA(
"[Base].[Importe]",
TDinamica_R!$A$5,
"[Calendario].[AñoMes]",
"[Calendario].[AñoMes].&amp;[" &amp; TEXT(Y$6,"yyyymm") &amp; "]",
"[Base].[Metrica]",
"[Base].[Metrica].&amp;[" &amp; $A45 &amp; "]",
"[Base].[SEGMENTO_DESCRIP]",
"[Base].[SEGMENTO_DESCRIP].&amp;[" &amp; $C$6 &amp; "]",
"[Base].[SITUACION]",
"[Base].[SITUACION].&amp;[" &amp; $C45 &amp; "]"
),0)/1000</f>
        <v>-105.74006</v>
      </c>
      <c r="Z45" s="8">
        <f>-IFERROR(
GETPIVOTDATA(
"[Base].[Importe]",
TDinamica_R!$A$5,
"[Calendario].[AñoMes]",
"[Calendario].[AñoMes].&amp;[" &amp; TEXT(Z$6,"yyyymm") &amp; "]",
"[Base].[Metrica]",
"[Base].[Metrica].&amp;[" &amp; $A45 &amp; "]",
"[Base].[SEGMENTO_DESCRIP]",
"[Base].[SEGMENTO_DESCRIP].&amp;[" &amp; $C$6 &amp; "]",
"[Base].[SITUACION]",
"[Base].[SITUACION].&amp;[" &amp; $C45 &amp; "]"
),0)/1000</f>
        <v>-106.61976999999999</v>
      </c>
      <c r="AA45" s="8">
        <f>-IFERROR(
GETPIVOTDATA(
"[Base].[Importe]",
TDinamica_R!$A$5,
"[Calendario].[AñoMes]",
"[Calendario].[AñoMes].&amp;[" &amp; TEXT(AA$6,"yyyymm") &amp; "]",
"[Base].[Metrica]",
"[Base].[Metrica].&amp;[" &amp; $A45 &amp; "]",
"[Base].[SEGMENTO_DESCRIP]",
"[Base].[SEGMENTO_DESCRIP].&amp;[" &amp; $C$6 &amp; "]",
"[Base].[SITUACION]",
"[Base].[SITUACION].&amp;[" &amp; $C45 &amp; "]"
),0)/1000</f>
        <v>-112.99066000000001</v>
      </c>
      <c r="AB45" s="8">
        <f>-IFERROR(
GETPIVOTDATA(
"[Base].[Importe]",
TDinamica_R!$A$5,
"[Calendario].[AñoMes]",
"[Calendario].[AñoMes].&amp;[" &amp; TEXT(AB$6,"yyyymm") &amp; "]",
"[Base].[Metrica]",
"[Base].[Metrica].&amp;[" &amp; $A45 &amp; "]",
"[Base].[SEGMENTO_DESCRIP]",
"[Base].[SEGMENTO_DESCRIP].&amp;[" &amp; $C$6 &amp; "]",
"[Base].[SITUACION]",
"[Base].[SITUACION].&amp;[" &amp; $C45 &amp; "]"
),0)/1000</f>
        <v>-115.01908</v>
      </c>
      <c r="AC45" s="8">
        <f>-IFERROR(
GETPIVOTDATA(
"[Base].[Importe]",
TDinamica_R!$A$5,
"[Calendario].[AñoMes]",
"[Calendario].[AñoMes].&amp;[" &amp; TEXT(AC$6,"yyyymm") &amp; "]",
"[Base].[Metrica]",
"[Base].[Metrica].&amp;[" &amp; $A45 &amp; "]",
"[Base].[SEGMENTO_DESCRIP]",
"[Base].[SEGMENTO_DESCRIP].&amp;[" &amp; $C$6 &amp; "]",
"[Base].[SITUACION]",
"[Base].[SITUACION].&amp;[" &amp; $C45 &amp; "]"
),0)/1000</f>
        <v>-108.17903000000001</v>
      </c>
      <c r="AD45" s="8">
        <f>-IFERROR(
GETPIVOTDATA(
"[Base].[Importe]",
TDinamica_R!$A$5,
"[Calendario].[AñoMes]",
"[Calendario].[AñoMes].&amp;[" &amp; TEXT(AD$6,"yyyymm") &amp; "]",
"[Base].[Metrica]",
"[Base].[Metrica].&amp;[" &amp; $A45 &amp; "]",
"[Base].[SEGMENTO_DESCRIP]",
"[Base].[SEGMENTO_DESCRIP].&amp;[" &amp; $C$6 &amp; "]",
"[Base].[SITUACION]",
"[Base].[SITUACION].&amp;[" &amp; $C45 &amp; "]"
),0)/1000</f>
        <v>-124.67908</v>
      </c>
      <c r="AE45" s="8">
        <f>-IFERROR(
GETPIVOTDATA(
"[Base].[Importe]",
TDinamica_R!$A$5,
"[Calendario].[AñoMes]",
"[Calendario].[AñoMes].&amp;[" &amp; TEXT(AE$6,"yyyymm") &amp; "]",
"[Base].[Metrica]",
"[Base].[Metrica].&amp;[" &amp; $A45 &amp; "]",
"[Base].[SEGMENTO_DESCRIP]",
"[Base].[SEGMENTO_DESCRIP].&amp;[" &amp; $C$6 &amp; "]",
"[Base].[SITUACION]",
"[Base].[SITUACION].&amp;[" &amp; $C45 &amp; "]"
),0)/1000</f>
        <v>-125.94829000000001</v>
      </c>
      <c r="AF45" s="8">
        <f>-IFERROR(
GETPIVOTDATA(
"[Base].[Importe]",
TDinamica_R!$A$5,
"[Calendario].[AñoMes]",
"[Calendario].[AñoMes].&amp;[" &amp; TEXT(AF$6,"yyyymm") &amp; "]",
"[Base].[Metrica]",
"[Base].[Metrica].&amp;[" &amp; $A45 &amp; "]",
"[Base].[SEGMENTO_DESCRIP]",
"[Base].[SEGMENTO_DESCRIP].&amp;[" &amp; $C$6 &amp; "]",
"[Base].[SITUACION]",
"[Base].[SITUACION].&amp;[" &amp; $C45 &amp; "]"
),0)/1000</f>
        <v>-139.34233</v>
      </c>
      <c r="AG45" s="8">
        <f>-IFERROR(
GETPIVOTDATA(
"[Base].[Importe]",
TDinamica_R!$A$5,
"[Calendario].[AñoMes]",
"[Calendario].[AñoMes].&amp;[" &amp; TEXT(AG$6,"yyyymm") &amp; "]",
"[Base].[Metrica]",
"[Base].[Metrica].&amp;[" &amp; $A45 &amp; "]",
"[Base].[SEGMENTO_DESCRIP]",
"[Base].[SEGMENTO_DESCRIP].&amp;[" &amp; $C$6 &amp; "]",
"[Base].[SITUACION]",
"[Base].[SITUACION].&amp;[" &amp; $C45 &amp; "]"
),0)/1000</f>
        <v>-138.60436999999999</v>
      </c>
      <c r="AH45" s="8">
        <f>-IFERROR(
GETPIVOTDATA(
"[Base].[Importe]",
TDinamica_R!$A$5,
"[Calendario].[AñoMes]",
"[Calendario].[AñoMes].&amp;[" &amp; TEXT(AH$6,"yyyymm") &amp; "]",
"[Base].[Metrica]",
"[Base].[Metrica].&amp;[" &amp; $A45 &amp; "]",
"[Base].[SEGMENTO_DESCRIP]",
"[Base].[SEGMENTO_DESCRIP].&amp;[" &amp; $C$6 &amp; "]",
"[Base].[SITUACION]",
"[Base].[SITUACION].&amp;[" &amp; $C45 &amp; "]"
),0)/1000</f>
        <v>-149.01543000000001</v>
      </c>
      <c r="AI45" s="8">
        <f>-IFERROR(
GETPIVOTDATA(
"[Base].[Importe]",
TDinamica_R!$A$5,
"[Calendario].[AñoMes]",
"[Calendario].[AñoMes].&amp;[" &amp; TEXT(AI$6,"yyyymm") &amp; "]",
"[Base].[Metrica]",
"[Base].[Metrica].&amp;[" &amp; $A45 &amp; "]",
"[Base].[SEGMENTO_DESCRIP]",
"[Base].[SEGMENTO_DESCRIP].&amp;[" &amp; $C$6 &amp; "]",
"[Base].[SITUACION]",
"[Base].[SITUACION].&amp;[" &amp; $C45 &amp; "]"
),0)/1000</f>
        <v>-147.62671</v>
      </c>
      <c r="AJ45" s="8">
        <f>-IFERROR(
GETPIVOTDATA(
"[Base].[Importe]",
TDinamica_R!$A$5,
"[Calendario].[AñoMes]",
"[Calendario].[AñoMes].&amp;[" &amp; TEXT(AJ$6,"yyyymm") &amp; "]",
"[Base].[Metrica]",
"[Base].[Metrica].&amp;[" &amp; $A45 &amp; "]",
"[Base].[SEGMENTO_DESCRIP]",
"[Base].[SEGMENTO_DESCRIP].&amp;[" &amp; $C$6 &amp; "]",
"[Base].[SITUACION]",
"[Base].[SITUACION].&amp;[" &amp; $C45 &amp; "]"
),0)/1000</f>
        <v>-140.42515</v>
      </c>
      <c r="AK45" s="8">
        <f>-IFERROR(
GETPIVOTDATA(
"[Base].[Importe]",
TDinamica_R!$A$5,
"[Calendario].[AñoMes]",
"[Calendario].[AñoMes].&amp;[" &amp; TEXT(AK$6,"yyyymm") &amp; "]",
"[Base].[Metrica]",
"[Base].[Metrica].&amp;[" &amp; $A45 &amp; "]",
"[Base].[SEGMENTO_DESCRIP]",
"[Base].[SEGMENTO_DESCRIP].&amp;[" &amp; $C$6 &amp; "]",
"[Base].[SITUACION]",
"[Base].[SITUACION].&amp;[" &amp; $C45 &amp; "]"
),0)/1000</f>
        <v>-145.77776999999998</v>
      </c>
      <c r="AL45" s="8">
        <f>-IFERROR(
GETPIVOTDATA(
"[Base].[Importe]",
TDinamica_R!$A$5,
"[Calendario].[AñoMes]",
"[Calendario].[AñoMes].&amp;[" &amp; TEXT(AL$6,"yyyymm") &amp; "]",
"[Base].[Metrica]",
"[Base].[Metrica].&amp;[" &amp; $A45 &amp; "]",
"[Base].[SEGMENTO_DESCRIP]",
"[Base].[SEGMENTO_DESCRIP].&amp;[" &amp; $C$6 &amp; "]",
"[Base].[SITUACION]",
"[Base].[SITUACION].&amp;[" &amp; $C45 &amp; "]"
),0)/1000</f>
        <v>-141.18371999999999</v>
      </c>
      <c r="AM45" s="8">
        <f>-IFERROR(
GETPIVOTDATA(
"[Base].[Importe]",
TDinamica_R!$A$5,
"[Calendario].[AñoMes]",
"[Calendario].[AñoMes].&amp;[" &amp; TEXT(AM$6,"yyyymm") &amp; "]",
"[Base].[Metrica]",
"[Base].[Metrica].&amp;[" &amp; $A45 &amp; "]",
"[Base].[SEGMENTO_DESCRIP]",
"[Base].[SEGMENTO_DESCRIP].&amp;[" &amp; $C$6 &amp; "]",
"[Base].[SITUACION]",
"[Base].[SITUACION].&amp;[" &amp; $C45 &amp; "]"
),0)/1000</f>
        <v>-147.29595999999998</v>
      </c>
      <c r="AN45" s="8">
        <f>-IFERROR(
GETPIVOTDATA(
"[Base].[Importe]",
TDinamica_R!$A$5,
"[Calendario].[AñoMes]",
"[Calendario].[AñoMes].&amp;[" &amp; TEXT(AN$6,"yyyymm") &amp; "]",
"[Base].[Metrica]",
"[Base].[Metrica].&amp;[" &amp; $A45 &amp; "]",
"[Base].[SEGMENTO_DESCRIP]",
"[Base].[SEGMENTO_DESCRIP].&amp;[" &amp; $C$6 &amp; "]",
"[Base].[SITUACION]",
"[Base].[SITUACION].&amp;[" &amp; $C45 &amp; "]"
),0)/1000</f>
        <v>-147.48586</v>
      </c>
      <c r="AO45" s="8">
        <f>-IFERROR(
GETPIVOTDATA(
"[Base].[Importe]",
TDinamica_R!$A$5,
"[Calendario].[AñoMes]",
"[Calendario].[AñoMes].&amp;[" &amp; TEXT(AO$6,"yyyymm") &amp; "]",
"[Base].[Metrica]",
"[Base].[Metrica].&amp;[" &amp; $A45 &amp; "]",
"[Base].[SEGMENTO_DESCRIP]",
"[Base].[SEGMENTO_DESCRIP].&amp;[" &amp; $C$6 &amp; "]",
"[Base].[SITUACION]",
"[Base].[SITUACION].&amp;[" &amp; $C45 &amp; "]"
),0)/1000</f>
        <v>-131.00924000000001</v>
      </c>
      <c r="AP45" s="8">
        <f>-IFERROR(
GETPIVOTDATA(
"[Base].[Importe]",
TDinamica_R!$A$5,
"[Calendario].[AñoMes]",
"[Calendario].[AñoMes].&amp;[" &amp; TEXT(AP$6,"yyyymm") &amp; "]",
"[Base].[Metrica]",
"[Base].[Metrica].&amp;[" &amp; $A45 &amp; "]",
"[Base].[SEGMENTO_DESCRIP]",
"[Base].[SEGMENTO_DESCRIP].&amp;[" &amp; $C$6 &amp; "]",
"[Base].[SITUACION]",
"[Base].[SITUACION].&amp;[" &amp; $C45 &amp; "]"
),0)/1000</f>
        <v>-142.44050999999999</v>
      </c>
      <c r="AQ45" s="8">
        <f>-IFERROR(
GETPIVOTDATA(
"[Base].[Importe]",
TDinamica_R!$A$5,
"[Calendario].[AñoMes]",
"[Calendario].[AñoMes].&amp;[" &amp; TEXT(AQ$6,"yyyymm") &amp; "]",
"[Base].[Metrica]",
"[Base].[Metrica].&amp;[" &amp; $A45 &amp; "]",
"[Base].[SEGMENTO_DESCRIP]",
"[Base].[SEGMENTO_DESCRIP].&amp;[" &amp; $C$6 &amp; "]",
"[Base].[SITUACION]",
"[Base].[SITUACION].&amp;[" &amp; $C45 &amp; "]"
),0)/1000</f>
        <v>-136.46767000000003</v>
      </c>
      <c r="AR45" s="8">
        <f>-IFERROR(
GETPIVOTDATA(
"[Base].[Importe]",
TDinamica_R!$A$5,
"[Calendario].[AñoMes]",
"[Calendario].[AñoMes].&amp;[" &amp; TEXT(AR$6,"yyyymm") &amp; "]",
"[Base].[Metrica]",
"[Base].[Metrica].&amp;[" &amp; $A45 &amp; "]",
"[Base].[SEGMENTO_DESCRIP]",
"[Base].[SEGMENTO_DESCRIP].&amp;[" &amp; $C$6 &amp; "]",
"[Base].[SITUACION]",
"[Base].[SITUACION].&amp;[" &amp; $C45 &amp; "]"
),0)/1000</f>
        <v>-136.95719</v>
      </c>
      <c r="AS45" s="8">
        <f>-IFERROR(
GETPIVOTDATA(
"[Base].[Importe]",
TDinamica_R!$A$5,
"[Calendario].[AñoMes]",
"[Calendario].[AñoMes].&amp;[" &amp; TEXT(AS$6,"yyyymm") &amp; "]",
"[Base].[Metrica]",
"[Base].[Metrica].&amp;[" &amp; $A45 &amp; "]",
"[Base].[SEGMENTO_DESCRIP]",
"[Base].[SEGMENTO_DESCRIP].&amp;[" &amp; $C$6 &amp; "]",
"[Base].[SITUACION]",
"[Base].[SITUACION].&amp;[" &amp; $C45 &amp; "]"
),0)/1000</f>
        <v>-129.15791999999999</v>
      </c>
      <c r="AT45" s="8">
        <f>-IFERROR(
GETPIVOTDATA(
"[Base].[Importe]",
TDinamica_R!$A$5,
"[Calendario].[AñoMes]",
"[Calendario].[AñoMes].&amp;[" &amp; TEXT(AT$6,"yyyymm")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U45" s="8">
        <f>-IFERROR(
GETPIVOTDATA(
"[Base].[Importe]",
TDinamica_R!$A$5,
"[Calendario].[AñoMes]",
"[Calendario].[AñoMes].&amp;[" &amp; TEXT(AU$6,"yyyymm")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V45" s="8">
        <f>-IFERROR(
GETPIVOTDATA(
"[Base].[Importe]",
TDinamica_R!$A$5,
"[Calendario].[AñoMes]",
"[Calendario].[AñoMes].&amp;[" &amp; TEXT(AV$6,"yyyymm")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W45" s="8">
        <f>-IFERROR(
GETPIVOTDATA(
"[Base].[Importe]",
TDinamica_R!$A$5,
"[Calendario].[AñoMes]",
"[Calendario].[AñoMes].&amp;[" &amp; TEXT(AW$6,"yyyymm")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X45" s="8">
        <f>-IFERROR(
GETPIVOTDATA(
"[Base].[Importe]",
TDinamica_R!$A$5,
"[Calendario].[AñoMes]",
"[Calendario].[AñoMes].&amp;[" &amp; TEXT(AX$6,"yyyymm")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Y45" s="8">
        <f>-IFERROR(
GETPIVOTDATA(
"[Base].[Importe]",
TDinamica_R!$A$5,
"[Calendario].[AñoMes]",
"[Calendario].[AñoMes].&amp;[" &amp; TEXT(AY$6,"yyyymm")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Z45" s="8">
        <f>IFERROR(
GETPIVOTDATA(
"[BASE_CONVE_PPTO].[Importe]",
TDinamica_P!$A$5,
"[BASE_CONVE_PPTO].[Periodo]",
"[BASE_CONVE_PPTO].[Periodo].&amp;[" &amp; TEXT(AZ$6,"yyyymm")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-140.96384471459135</v>
      </c>
      <c r="BA45" s="8">
        <f>IFERROR(
GETPIVOTDATA(
"[BASE_CONVE_PPTO].[Importe]",
TDinamica_P!$A$5,
"[BASE_CONVE_PPTO].[Periodo]",
"[BASE_CONVE_PPTO].[Periodo].&amp;[" &amp; TEXT(BA$6,"yyyymm")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-126.4914591468885</v>
      </c>
      <c r="BB45" s="8">
        <f>IFERROR(
GETPIVOTDATA(
"[BASE_CONVE_PPTO].[Importe]",
TDinamica_P!$A$5,
"[BASE_CONVE_PPTO].[Periodo]",
"[BASE_CONVE_PPTO].[Periodo].&amp;[" &amp; TEXT(BB$6,"yyyymm")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-139.48018313677926</v>
      </c>
      <c r="BC45" s="8">
        <f>IFERROR(
GETPIVOTDATA(
"[BASE_CONVE_PPTO].[Importe]",
TDinamica_P!$A$5,
"[BASE_CONVE_PPTO].[Periodo]",
"[BASE_CONVE_PPTO].[Periodo].&amp;[" &amp; TEXT(BC$6,"yyyymm")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-134.31984278786192</v>
      </c>
      <c r="BD45" s="8">
        <f>IFERROR(
GETPIVOTDATA(
"[BASE_CONVE_PPTO].[Importe]",
TDinamica_P!$A$5,
"[BASE_CONVE_PPTO].[Periodo]",
"[BASE_CONVE_PPTO].[Periodo].&amp;[" &amp; TEXT(BD$6,"yyyymm")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-138.19174900357754</v>
      </c>
      <c r="BE45" s="8">
        <f>IFERROR(
GETPIVOTDATA(
"[BASE_CONVE_PPTO].[Importe]",
TDinamica_P!$A$5,
"[BASE_CONVE_PPTO].[Periodo]",
"[BASE_CONVE_PPTO].[Periodo].&amp;[" &amp; TEXT(BE$6,"yyyymm")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-133.25732345586289</v>
      </c>
      <c r="BF45" s="8">
        <f>IFERROR(
GETPIVOTDATA(
"[BASE_CONVE_PPTO].[Importe]",
TDinamica_P!$A$5,
"[BASE_CONVE_PPTO].[Periodo]",
"[BASE_CONVE_PPTO].[Periodo].&amp;[" &amp; TEXT(BF$6,"yyyymm")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-137.32173995986733</v>
      </c>
      <c r="BG45" s="8">
        <f>IFERROR(
GETPIVOTDATA(
"[BASE_CONVE_PPTO].[Importe]",
TDinamica_P!$A$5,
"[BASE_CONVE_PPTO].[Periodo]",
"[BASE_CONVE_PPTO].[Periodo].&amp;[" &amp; TEXT(BG$6,"yyyymm")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-137.00789543046704</v>
      </c>
      <c r="BH45" s="8">
        <f>IFERROR(
GETPIVOTDATA(
"[BASE_CONVE_PPTO].[Importe]",
TDinamica_P!$A$5,
"[BASE_CONVE_PPTO].[Periodo]",
"[BASE_CONVE_PPTO].[Periodo].&amp;[" &amp; TEXT(BH$6,"yyyymm")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-132.45705612260048</v>
      </c>
      <c r="BI45" s="8">
        <f>IFERROR(
GETPIVOTDATA(
"[BASE_CONVE_PPTO].[Importe]",
TDinamica_P!$A$5,
"[BASE_CONVE_PPTO].[Periodo]",
"[BASE_CONVE_PPTO].[Periodo].&amp;[" &amp; TEXT(BI$6,"yyyymm")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-136.67184849270751</v>
      </c>
      <c r="BJ45" s="8">
        <f>IFERROR(
GETPIVOTDATA(
"[BASE_CONVE_PPTO].[Importe]",
TDinamica_P!$A$5,
"[BASE_CONVE_PPTO].[Periodo]",
"[BASE_CONVE_PPTO].[Periodo].&amp;[" &amp; TEXT(BJ$6,"yyyymm")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-132.07396312323044</v>
      </c>
      <c r="BK45" s="8">
        <f>IFERROR(
GETPIVOTDATA(
"[BASE_CONVE_PPTO].[Importe]",
TDinamica_P!$A$5,
"[BASE_CONVE_PPTO].[Periodo]",
"[BASE_CONVE_PPTO].[Periodo].&amp;[" &amp; TEXT(BK$6,"yyyymm")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-136.23221525836487</v>
      </c>
      <c r="BO45" s="24">
        <f t="shared" si="34"/>
        <v>-694.36046999999996</v>
      </c>
      <c r="BP45" s="24">
        <f t="shared" si="34"/>
        <v>-679.44707878969859</v>
      </c>
      <c r="BQ45" s="24">
        <f t="shared" si="34"/>
        <v>-557.40328</v>
      </c>
      <c r="BR45" s="24">
        <f t="shared" si="34"/>
        <v>-613.16781000000015</v>
      </c>
      <c r="BS45" s="24">
        <f t="shared" si="34"/>
        <v>-658.04993999999999</v>
      </c>
      <c r="BT45" s="24">
        <f t="shared" si="34"/>
        <v>-636.02446999999995</v>
      </c>
    </row>
    <row r="46" spans="1:72" outlineLevel="1" x14ac:dyDescent="0.25">
      <c r="A46" s="11" t="s">
        <v>50</v>
      </c>
      <c r="C46" s="2" t="s">
        <v>45</v>
      </c>
      <c r="D46" s="8">
        <f>-IFERROR(
GETPIVOTDATA(
"[Base].[Importe]",
TDinamica_R!$A$5,
"[Calendario].[AñoMes]",
"[Calendario].[AñoMes].&amp;[" &amp; TEXT(D$6,"yyyymm") &amp; "]",
"[Base].[Metrica]",
"[Base].[Metrica].&amp;[" &amp; $A46 &amp; "]",
"[Base].[SEGMENTO_DESCRIP]",
"[Base].[SEGMENTO_DESCRIP].&amp;[" &amp; $C$6 &amp; "]",
"[Base].[SITUACION]",
"[Base].[SITUACION].&amp;[" &amp; $C46 &amp; "]"
),0)/1000</f>
        <v>-228.02278999999999</v>
      </c>
      <c r="E46" s="8">
        <f>-IFERROR(
GETPIVOTDATA(
"[Base].[Importe]",
TDinamica_R!$A$5,
"[Calendario].[AñoMes]",
"[Calendario].[AñoMes].&amp;[" &amp; TEXT(E$6,"yyyymm") &amp; "]",
"[Base].[Metrica]",
"[Base].[Metrica].&amp;[" &amp; $A46 &amp; "]",
"[Base].[SEGMENTO_DESCRIP]",
"[Base].[SEGMENTO_DESCRIP].&amp;[" &amp; $C$6 &amp; "]",
"[Base].[SITUACION]",
"[Base].[SITUACION].&amp;[" &amp; $C46 &amp; "]"
),0)/1000</f>
        <v>-210.03538</v>
      </c>
      <c r="F46" s="8">
        <f>-IFERROR(
GETPIVOTDATA(
"[Base].[Importe]",
TDinamica_R!$A$5,
"[Calendario].[AñoMes]",
"[Calendario].[AñoMes].&amp;[" &amp; TEXT(F$6,"yyyymm") &amp; "]",
"[Base].[Metrica]",
"[Base].[Metrica].&amp;[" &amp; $A46 &amp; "]",
"[Base].[SEGMENTO_DESCRIP]",
"[Base].[SEGMENTO_DESCRIP].&amp;[" &amp; $C$6 &amp; "]",
"[Base].[SITUACION]",
"[Base].[SITUACION].&amp;[" &amp; $C46 &amp; "]"
),0)/1000</f>
        <v>-250.49519999999998</v>
      </c>
      <c r="G46" s="8">
        <f>-IFERROR(
GETPIVOTDATA(
"[Base].[Importe]",
TDinamica_R!$A$5,
"[Calendario].[AñoMes]",
"[Calendario].[AñoMes].&amp;[" &amp; TEXT(G$6,"yyyymm") &amp; "]",
"[Base].[Metrica]",
"[Base].[Metrica].&amp;[" &amp; $A46 &amp; "]",
"[Base].[SEGMENTO_DESCRIP]",
"[Base].[SEGMENTO_DESCRIP].&amp;[" &amp; $C$6 &amp; "]",
"[Base].[SITUACION]",
"[Base].[SITUACION].&amp;[" &amp; $C46 &amp; "]"
),0)/1000</f>
        <v>-242.41389999999996</v>
      </c>
      <c r="H46" s="8">
        <f>-IFERROR(
GETPIVOTDATA(
"[Base].[Importe]",
TDinamica_R!$A$5,
"[Calendario].[AñoMes]",
"[Calendario].[AñoMes].&amp;[" &amp; TEXT(H$6,"yyyymm") &amp; "]",
"[Base].[Metrica]",
"[Base].[Metrica].&amp;[" &amp; $A46 &amp; "]",
"[Base].[SEGMENTO_DESCRIP]",
"[Base].[SEGMENTO_DESCRIP].&amp;[" &amp; $C$6 &amp; "]",
"[Base].[SITUACION]",
"[Base].[SITUACION].&amp;[" &amp; $C46 &amp; "]"
),0)/1000</f>
        <v>-233.06049999999999</v>
      </c>
      <c r="I46" s="8">
        <f>-IFERROR(
GETPIVOTDATA(
"[Base].[Importe]",
TDinamica_R!$A$5,
"[Calendario].[AñoMes]",
"[Calendario].[AñoMes].&amp;[" &amp; TEXT(I$6,"yyyymm") &amp; "]",
"[Base].[Metrica]",
"[Base].[Metrica].&amp;[" &amp; $A46 &amp; "]",
"[Base].[SEGMENTO_DESCRIP]",
"[Base].[SEGMENTO_DESCRIP].&amp;[" &amp; $C$6 &amp; "]",
"[Base].[SITUACION]",
"[Base].[SITUACION].&amp;[" &amp; $C46 &amp; "]"
),0)/1000</f>
        <v>-223.46893</v>
      </c>
      <c r="J46" s="8">
        <f>-IFERROR(
GETPIVOTDATA(
"[Base].[Importe]",
TDinamica_R!$A$5,
"[Calendario].[AñoMes]",
"[Calendario].[AñoMes].&amp;[" &amp; TEXT(J$6,"yyyymm") &amp; "]",
"[Base].[Metrica]",
"[Base].[Metrica].&amp;[" &amp; $A46 &amp; "]",
"[Base].[SEGMENTO_DESCRIP]",
"[Base].[SEGMENTO_DESCRIP].&amp;[" &amp; $C$6 &amp; "]",
"[Base].[SITUACION]",
"[Base].[SITUACION].&amp;[" &amp; $C46 &amp; "]"
),0)/1000</f>
        <v>-236.03510999999997</v>
      </c>
      <c r="K46" s="8">
        <f>-IFERROR(
GETPIVOTDATA(
"[Base].[Importe]",
TDinamica_R!$A$5,
"[Calendario].[AñoMes]",
"[Calendario].[AñoMes].&amp;[" &amp; TEXT(K$6,"yyyymm") &amp; "]",
"[Base].[Metrica]",
"[Base].[Metrica].&amp;[" &amp; $A46 &amp; "]",
"[Base].[SEGMENTO_DESCRIP]",
"[Base].[SEGMENTO_DESCRIP].&amp;[" &amp; $C$6 &amp; "]",
"[Base].[SITUACION]",
"[Base].[SITUACION].&amp;[" &amp; $C46 &amp; "]"
),0)/1000</f>
        <v>-298.73500999999999</v>
      </c>
      <c r="L46" s="8">
        <f>-IFERROR(
GETPIVOTDATA(
"[Base].[Importe]",
TDinamica_R!$A$5,
"[Calendario].[AñoMes]",
"[Calendario].[AñoMes].&amp;[" &amp; TEXT(L$6,"yyyymm") &amp; "]",
"[Base].[Metrica]",
"[Base].[Metrica].&amp;[" &amp; $A46 &amp; "]",
"[Base].[SEGMENTO_DESCRIP]",
"[Base].[SEGMENTO_DESCRIP].&amp;[" &amp; $C$6 &amp; "]",
"[Base].[SITUACION]",
"[Base].[SITUACION].&amp;[" &amp; $C46 &amp; "]"
),0)/1000</f>
        <v>-281.87430999999992</v>
      </c>
      <c r="M46" s="8">
        <f>-IFERROR(
GETPIVOTDATA(
"[Base].[Importe]",
TDinamica_R!$A$5,
"[Calendario].[AñoMes]",
"[Calendario].[AñoMes].&amp;[" &amp; TEXT(M$6,"yyyymm") &amp; "]",
"[Base].[Metrica]",
"[Base].[Metrica].&amp;[" &amp; $A46 &amp; "]",
"[Base].[SEGMENTO_DESCRIP]",
"[Base].[SEGMENTO_DESCRIP].&amp;[" &amp; $C$6 &amp; "]",
"[Base].[SITUACION]",
"[Base].[SITUACION].&amp;[" &amp; $C46 &amp; "]"
),0)/1000</f>
        <v>-334.01592999999997</v>
      </c>
      <c r="N46" s="8">
        <f>-IFERROR(
GETPIVOTDATA(
"[Base].[Importe]",
TDinamica_R!$A$5,
"[Calendario].[AñoMes]",
"[Calendario].[AñoMes].&amp;[" &amp; TEXT(N$6,"yyyymm") &amp; "]",
"[Base].[Metrica]",
"[Base].[Metrica].&amp;[" &amp; $A46 &amp; "]",
"[Base].[SEGMENTO_DESCRIP]",
"[Base].[SEGMENTO_DESCRIP].&amp;[" &amp; $C$6 &amp; "]",
"[Base].[SITUACION]",
"[Base].[SITUACION].&amp;[" &amp; $C46 &amp; "]"
),0)/1000</f>
        <v>-348.56184999999999</v>
      </c>
      <c r="O46" s="8">
        <f>-IFERROR(
GETPIVOTDATA(
"[Base].[Importe]",
TDinamica_R!$A$5,
"[Calendario].[AñoMes]",
"[Calendario].[AñoMes].&amp;[" &amp; TEXT(O$6,"yyyymm") &amp; "]",
"[Base].[Metrica]",
"[Base].[Metrica].&amp;[" &amp; $A46 &amp; "]",
"[Base].[SEGMENTO_DESCRIP]",
"[Base].[SEGMENTO_DESCRIP].&amp;[" &amp; $C$6 &amp; "]",
"[Base].[SITUACION]",
"[Base].[SITUACION].&amp;[" &amp; $C46 &amp; "]"
),0)/1000</f>
        <v>-368.12892999999997</v>
      </c>
      <c r="P46" s="8">
        <f>-IFERROR(
GETPIVOTDATA(
"[Base].[Importe]",
TDinamica_R!$A$5,
"[Calendario].[AñoMes]",
"[Calendario].[AñoMes].&amp;[" &amp; TEXT(P$6,"yyyymm") &amp; "]",
"[Base].[Metrica]",
"[Base].[Metrica].&amp;[" &amp; $A46 &amp; "]",
"[Base].[SEGMENTO_DESCRIP]",
"[Base].[SEGMENTO_DESCRIP].&amp;[" &amp; $C$6 &amp; "]",
"[Base].[SITUACION]",
"[Base].[SITUACION].&amp;[" &amp; $C46 &amp; "]"
),0)/1000</f>
        <v>-404.21749000000005</v>
      </c>
      <c r="Q46" s="8">
        <f>-IFERROR(
GETPIVOTDATA(
"[Base].[Importe]",
TDinamica_R!$A$5,
"[Calendario].[AñoMes]",
"[Calendario].[AñoMes].&amp;[" &amp; TEXT(Q$6,"yyyymm") &amp; "]",
"[Base].[Metrica]",
"[Base].[Metrica].&amp;[" &amp; $A46 &amp; "]",
"[Base].[SEGMENTO_DESCRIP]",
"[Base].[SEGMENTO_DESCRIP].&amp;[" &amp; $C$6 &amp; "]",
"[Base].[SITUACION]",
"[Base].[SITUACION].&amp;[" &amp; $C46 &amp; "]"
),0)/1000</f>
        <v>-380.77533</v>
      </c>
      <c r="R46" s="8">
        <f>-IFERROR(
GETPIVOTDATA(
"[Base].[Importe]",
TDinamica_R!$A$5,
"[Calendario].[AñoMes]",
"[Calendario].[AñoMes].&amp;[" &amp; TEXT(R$6,"yyyymm") &amp; "]",
"[Base].[Metrica]",
"[Base].[Metrica].&amp;[" &amp; $A46 &amp; "]",
"[Base].[SEGMENTO_DESCRIP]",
"[Base].[SEGMENTO_DESCRIP].&amp;[" &amp; $C$6 &amp; "]",
"[Base].[SITUACION]",
"[Base].[SITUACION].&amp;[" &amp; $C46 &amp; "]"
),0)/1000</f>
        <v>-395.33152999999999</v>
      </c>
      <c r="S46" s="8">
        <f>-IFERROR(
GETPIVOTDATA(
"[Base].[Importe]",
TDinamica_R!$A$5,
"[Calendario].[AñoMes]",
"[Calendario].[AñoMes].&amp;[" &amp; TEXT(S$6,"yyyymm") &amp; "]",
"[Base].[Metrica]",
"[Base].[Metrica].&amp;[" &amp; $A46 &amp; "]",
"[Base].[SEGMENTO_DESCRIP]",
"[Base].[SEGMENTO_DESCRIP].&amp;[" &amp; $C$6 &amp; "]",
"[Base].[SITUACION]",
"[Base].[SITUACION].&amp;[" &amp; $C46 &amp; "]"
),0)/1000</f>
        <v>-405.74092999999999</v>
      </c>
      <c r="T46" s="8">
        <f>-IFERROR(
GETPIVOTDATA(
"[Base].[Importe]",
TDinamica_R!$A$5,
"[Calendario].[AñoMes]",
"[Calendario].[AñoMes].&amp;[" &amp; TEXT(T$6,"yyyymm") &amp; "]",
"[Base].[Metrica]",
"[Base].[Metrica].&amp;[" &amp; $A46 &amp; "]",
"[Base].[SEGMENTO_DESCRIP]",
"[Base].[SEGMENTO_DESCRIP].&amp;[" &amp; $C$6 &amp; "]",
"[Base].[SITUACION]",
"[Base].[SITUACION].&amp;[" &amp; $C46 &amp; "]"
),0)/1000</f>
        <v>-413.46672999999998</v>
      </c>
      <c r="U46" s="8">
        <f>-IFERROR(
GETPIVOTDATA(
"[Base].[Importe]",
TDinamica_R!$A$5,
"[Calendario].[AñoMes]",
"[Calendario].[AñoMes].&amp;[" &amp; TEXT(U$6,"yyyymm") &amp; "]",
"[Base].[Metrica]",
"[Base].[Metrica].&amp;[" &amp; $A46 &amp; "]",
"[Base].[SEGMENTO_DESCRIP]",
"[Base].[SEGMENTO_DESCRIP].&amp;[" &amp; $C$6 &amp; "]",
"[Base].[SITUACION]",
"[Base].[SITUACION].&amp;[" &amp; $C46 &amp; "]"
),0)/1000</f>
        <v>-382.95702</v>
      </c>
      <c r="V46" s="8">
        <f>-IFERROR(
GETPIVOTDATA(
"[Base].[Importe]",
TDinamica_R!$A$5,
"[Calendario].[AñoMes]",
"[Calendario].[AñoMes].&amp;[" &amp; TEXT(V$6,"yyyymm") &amp; "]",
"[Base].[Metrica]",
"[Base].[Metrica].&amp;[" &amp; $A46 &amp; "]",
"[Base].[SEGMENTO_DESCRIP]",
"[Base].[SEGMENTO_DESCRIP].&amp;[" &amp; $C$6 &amp; "]",
"[Base].[SITUACION]",
"[Base].[SITUACION].&amp;[" &amp; $C46 &amp; "]"
),0)/1000</f>
        <v>-405.83942000000002</v>
      </c>
      <c r="W46" s="8">
        <f>-IFERROR(
GETPIVOTDATA(
"[Base].[Importe]",
TDinamica_R!$A$5,
"[Calendario].[AñoMes]",
"[Calendario].[AñoMes].&amp;[" &amp; TEXT(W$6,"yyyymm") &amp; "]",
"[Base].[Metrica]",
"[Base].[Metrica].&amp;[" &amp; $A46 &amp; "]",
"[Base].[SEGMENTO_DESCRIP]",
"[Base].[SEGMENTO_DESCRIP].&amp;[" &amp; $C$6 &amp; "]",
"[Base].[SITUACION]",
"[Base].[SITUACION].&amp;[" &amp; $C46 &amp; "]"
),0)/1000</f>
        <v>-444.3294600000001</v>
      </c>
      <c r="X46" s="8">
        <f>-IFERROR(
GETPIVOTDATA(
"[Base].[Importe]",
TDinamica_R!$A$5,
"[Calendario].[AñoMes]",
"[Calendario].[AñoMes].&amp;[" &amp; TEXT(X$6,"yyyymm") &amp; "]",
"[Base].[Metrica]",
"[Base].[Metrica].&amp;[" &amp; $A46 &amp; "]",
"[Base].[SEGMENTO_DESCRIP]",
"[Base].[SEGMENTO_DESCRIP].&amp;[" &amp; $C$6 &amp; "]",
"[Base].[SITUACION]",
"[Base].[SITUACION].&amp;[" &amp; $C46 &amp; "]"
),0)/1000</f>
        <v>-471.58864</v>
      </c>
      <c r="Y46" s="8">
        <f>-IFERROR(
GETPIVOTDATA(
"[Base].[Importe]",
TDinamica_R!$A$5,
"[Calendario].[AñoMes]",
"[Calendario].[AñoMes].&amp;[" &amp; TEXT(Y$6,"yyyymm") &amp; "]",
"[Base].[Metrica]",
"[Base].[Metrica].&amp;[" &amp; $A46 &amp; "]",
"[Base].[SEGMENTO_DESCRIP]",
"[Base].[SEGMENTO_DESCRIP].&amp;[" &amp; $C$6 &amp; "]",
"[Base].[SITUACION]",
"[Base].[SITUACION].&amp;[" &amp; $C46 &amp; "]"
),0)/1000</f>
        <v>-483.21704999999997</v>
      </c>
      <c r="Z46" s="8">
        <f>-IFERROR(
GETPIVOTDATA(
"[Base].[Importe]",
TDinamica_R!$A$5,
"[Calendario].[AñoMes]",
"[Calendario].[AñoMes].&amp;[" &amp; TEXT(Z$6,"yyyymm") &amp; "]",
"[Base].[Metrica]",
"[Base].[Metrica].&amp;[" &amp; $A46 &amp; "]",
"[Base].[SEGMENTO_DESCRIP]",
"[Base].[SEGMENTO_DESCRIP].&amp;[" &amp; $C$6 &amp; "]",
"[Base].[SITUACION]",
"[Base].[SITUACION].&amp;[" &amp; $C46 &amp; "]"
),0)/1000</f>
        <v>-453.51438999999999</v>
      </c>
      <c r="AA46" s="8">
        <f>-IFERROR(
GETPIVOTDATA(
"[Base].[Importe]",
TDinamica_R!$A$5,
"[Calendario].[AñoMes]",
"[Calendario].[AñoMes].&amp;[" &amp; TEXT(AA$6,"yyyymm") &amp; "]",
"[Base].[Metrica]",
"[Base].[Metrica].&amp;[" &amp; $A46 &amp; "]",
"[Base].[SEGMENTO_DESCRIP]",
"[Base].[SEGMENTO_DESCRIP].&amp;[" &amp; $C$6 &amp; "]",
"[Base].[SITUACION]",
"[Base].[SITUACION].&amp;[" &amp; $C46 &amp; "]"
),0)/1000</f>
        <v>-497.32504</v>
      </c>
      <c r="AB46" s="8">
        <f>-IFERROR(
GETPIVOTDATA(
"[Base].[Importe]",
TDinamica_R!$A$5,
"[Calendario].[AñoMes]",
"[Calendario].[AñoMes].&amp;[" &amp; TEXT(AB$6,"yyyymm") &amp; "]",
"[Base].[Metrica]",
"[Base].[Metrica].&amp;[" &amp; $A46 &amp; "]",
"[Base].[SEGMENTO_DESCRIP]",
"[Base].[SEGMENTO_DESCRIP].&amp;[" &amp; $C$6 &amp; "]",
"[Base].[SITUACION]",
"[Base].[SITUACION].&amp;[" &amp; $C46 &amp; "]"
),0)/1000</f>
        <v>-558.61095999999998</v>
      </c>
      <c r="AC46" s="8">
        <f>-IFERROR(
GETPIVOTDATA(
"[Base].[Importe]",
TDinamica_R!$A$5,
"[Calendario].[AñoMes]",
"[Calendario].[AñoMes].&amp;[" &amp; TEXT(AC$6,"yyyymm") &amp; "]",
"[Base].[Metrica]",
"[Base].[Metrica].&amp;[" &amp; $A46 &amp; "]",
"[Base].[SEGMENTO_DESCRIP]",
"[Base].[SEGMENTO_DESCRIP].&amp;[" &amp; $C$6 &amp; "]",
"[Base].[SITUACION]",
"[Base].[SITUACION].&amp;[" &amp; $C46 &amp; "]"
),0)/1000</f>
        <v>-465.16453999999999</v>
      </c>
      <c r="AD46" s="8">
        <f>-IFERROR(
GETPIVOTDATA(
"[Base].[Importe]",
TDinamica_R!$A$5,
"[Calendario].[AñoMes]",
"[Calendario].[AñoMes].&amp;[" &amp; TEXT(AD$6,"yyyymm") &amp; "]",
"[Base].[Metrica]",
"[Base].[Metrica].&amp;[" &amp; $A46 &amp; "]",
"[Base].[SEGMENTO_DESCRIP]",
"[Base].[SEGMENTO_DESCRIP].&amp;[" &amp; $C$6 &amp; "]",
"[Base].[SITUACION]",
"[Base].[SITUACION].&amp;[" &amp; $C46 &amp; "]"
),0)/1000</f>
        <v>-532.31184999999994</v>
      </c>
      <c r="AE46" s="8">
        <f>-IFERROR(
GETPIVOTDATA(
"[Base].[Importe]",
TDinamica_R!$A$5,
"[Calendario].[AñoMes]",
"[Calendario].[AñoMes].&amp;[" &amp; TEXT(AE$6,"yyyymm") &amp; "]",
"[Base].[Metrica]",
"[Base].[Metrica].&amp;[" &amp; $A46 &amp; "]",
"[Base].[SEGMENTO_DESCRIP]",
"[Base].[SEGMENTO_DESCRIP].&amp;[" &amp; $C$6 &amp; "]",
"[Base].[SITUACION]",
"[Base].[SITUACION].&amp;[" &amp; $C46 &amp; "]"
),0)/1000</f>
        <v>-517.23484000000008</v>
      </c>
      <c r="AF46" s="8">
        <f>-IFERROR(
GETPIVOTDATA(
"[Base].[Importe]",
TDinamica_R!$A$5,
"[Calendario].[AñoMes]",
"[Calendario].[AñoMes].&amp;[" &amp; TEXT(AF$6,"yyyymm") &amp; "]",
"[Base].[Metrica]",
"[Base].[Metrica].&amp;[" &amp; $A46 &amp; "]",
"[Base].[SEGMENTO_DESCRIP]",
"[Base].[SEGMENTO_DESCRIP].&amp;[" &amp; $C$6 &amp; "]",
"[Base].[SITUACION]",
"[Base].[SITUACION].&amp;[" &amp; $C46 &amp; "]"
),0)/1000</f>
        <v>-514.85302999999999</v>
      </c>
      <c r="AG46" s="8">
        <f>-IFERROR(
GETPIVOTDATA(
"[Base].[Importe]",
TDinamica_R!$A$5,
"[Calendario].[AñoMes]",
"[Calendario].[AñoMes].&amp;[" &amp; TEXT(AG$6,"yyyymm") &amp; "]",
"[Base].[Metrica]",
"[Base].[Metrica].&amp;[" &amp; $A46 &amp; "]",
"[Base].[SEGMENTO_DESCRIP]",
"[Base].[SEGMENTO_DESCRIP].&amp;[" &amp; $C$6 &amp; "]",
"[Base].[SITUACION]",
"[Base].[SITUACION].&amp;[" &amp; $C46 &amp; "]"
),0)/1000</f>
        <v>-513.98809000000006</v>
      </c>
      <c r="AH46" s="8">
        <f>-IFERROR(
GETPIVOTDATA(
"[Base].[Importe]",
TDinamica_R!$A$5,
"[Calendario].[AñoMes]",
"[Calendario].[AñoMes].&amp;[" &amp; TEXT(AH$6,"yyyymm") &amp; "]",
"[Base].[Metrica]",
"[Base].[Metrica].&amp;[" &amp; $A46 &amp; "]",
"[Base].[SEGMENTO_DESCRIP]",
"[Base].[SEGMENTO_DESCRIP].&amp;[" &amp; $C$6 &amp; "]",
"[Base].[SITUACION]",
"[Base].[SITUACION].&amp;[" &amp; $C46 &amp; "]"
),0)/1000</f>
        <v>-528.93107999999995</v>
      </c>
      <c r="AI46" s="8">
        <f>-IFERROR(
GETPIVOTDATA(
"[Base].[Importe]",
TDinamica_R!$A$5,
"[Calendario].[AñoMes]",
"[Calendario].[AñoMes].&amp;[" &amp; TEXT(AI$6,"yyyymm") &amp; "]",
"[Base].[Metrica]",
"[Base].[Metrica].&amp;[" &amp; $A46 &amp; "]",
"[Base].[SEGMENTO_DESCRIP]",
"[Base].[SEGMENTO_DESCRIP].&amp;[" &amp; $C$6 &amp; "]",
"[Base].[SITUACION]",
"[Base].[SITUACION].&amp;[" &amp; $C46 &amp; "]"
),0)/1000</f>
        <v>-548.23837000000003</v>
      </c>
      <c r="AJ46" s="8">
        <f>-IFERROR(
GETPIVOTDATA(
"[Base].[Importe]",
TDinamica_R!$A$5,
"[Calendario].[AñoMes]",
"[Calendario].[AñoMes].&amp;[" &amp; TEXT(AJ$6,"yyyymm") &amp; "]",
"[Base].[Metrica]",
"[Base].[Metrica].&amp;[" &amp; $A46 &amp; "]",
"[Base].[SEGMENTO_DESCRIP]",
"[Base].[SEGMENTO_DESCRIP].&amp;[" &amp; $C$6 &amp; "]",
"[Base].[SITUACION]",
"[Base].[SITUACION].&amp;[" &amp; $C46 &amp; "]"
),0)/1000</f>
        <v>-553.40665999999999</v>
      </c>
      <c r="AK46" s="8">
        <f>-IFERROR(
GETPIVOTDATA(
"[Base].[Importe]",
TDinamica_R!$A$5,
"[Calendario].[AñoMes]",
"[Calendario].[AñoMes].&amp;[" &amp; TEXT(AK$6,"yyyymm") &amp; "]",
"[Base].[Metrica]",
"[Base].[Metrica].&amp;[" &amp; $A46 &amp; "]",
"[Base].[SEGMENTO_DESCRIP]",
"[Base].[SEGMENTO_DESCRIP].&amp;[" &amp; $C$6 &amp; "]",
"[Base].[SITUACION]",
"[Base].[SITUACION].&amp;[" &amp; $C46 &amp; "]"
),0)/1000</f>
        <v>-1004.05776</v>
      </c>
      <c r="AL46" s="8">
        <f>-IFERROR(
GETPIVOTDATA(
"[Base].[Importe]",
TDinamica_R!$A$5,
"[Calendario].[AñoMes]",
"[Calendario].[AñoMes].&amp;[" &amp; TEXT(AL$6,"yyyymm") &amp; "]",
"[Base].[Metrica]",
"[Base].[Metrica].&amp;[" &amp; $A46 &amp; "]",
"[Base].[SEGMENTO_DESCRIP]",
"[Base].[SEGMENTO_DESCRIP].&amp;[" &amp; $C$6 &amp; "]",
"[Base].[SITUACION]",
"[Base].[SITUACION].&amp;[" &amp; $C46 &amp; "]"
),0)/1000</f>
        <v>-590.20600999999988</v>
      </c>
      <c r="AM46" s="8">
        <f>-IFERROR(
GETPIVOTDATA(
"[Base].[Importe]",
TDinamica_R!$A$5,
"[Calendario].[AñoMes]",
"[Calendario].[AñoMes].&amp;[" &amp; TEXT(AM$6,"yyyymm") &amp; "]",
"[Base].[Metrica]",
"[Base].[Metrica].&amp;[" &amp; $A46 &amp; "]",
"[Base].[SEGMENTO_DESCRIP]",
"[Base].[SEGMENTO_DESCRIP].&amp;[" &amp; $C$6 &amp; "]",
"[Base].[SITUACION]",
"[Base].[SITUACION].&amp;[" &amp; $C46 &amp; "]"
),0)/1000</f>
        <v>-595.18891000000008</v>
      </c>
      <c r="AN46" s="8">
        <f>-IFERROR(
GETPIVOTDATA(
"[Base].[Importe]",
TDinamica_R!$A$5,
"[Calendario].[AñoMes]",
"[Calendario].[AñoMes].&amp;[" &amp; TEXT(AN$6,"yyyymm") &amp; "]",
"[Base].[Metrica]",
"[Base].[Metrica].&amp;[" &amp; $A46 &amp; "]",
"[Base].[SEGMENTO_DESCRIP]",
"[Base].[SEGMENTO_DESCRIP].&amp;[" &amp; $C$6 &amp; "]",
"[Base].[SITUACION]",
"[Base].[SITUACION].&amp;[" &amp; $C46 &amp; "]"
),0)/1000</f>
        <v>-612.13387</v>
      </c>
      <c r="AO46" s="8">
        <f>-IFERROR(
GETPIVOTDATA(
"[Base].[Importe]",
TDinamica_R!$A$5,
"[Calendario].[AñoMes]",
"[Calendario].[AñoMes].&amp;[" &amp; TEXT(AO$6,"yyyymm") &amp; "]",
"[Base].[Metrica]",
"[Base].[Metrica].&amp;[" &amp; $A46 &amp; "]",
"[Base].[SEGMENTO_DESCRIP]",
"[Base].[SEGMENTO_DESCRIP].&amp;[" &amp; $C$6 &amp; "]",
"[Base].[SITUACION]",
"[Base].[SITUACION].&amp;[" &amp; $C46 &amp; "]"
),0)/1000</f>
        <v>-532.15480000000002</v>
      </c>
      <c r="AP46" s="8">
        <f>-IFERROR(
GETPIVOTDATA(
"[Base].[Importe]",
TDinamica_R!$A$5,
"[Calendario].[AñoMes]",
"[Calendario].[AñoMes].&amp;[" &amp; TEXT(AP$6,"yyyymm") &amp; "]",
"[Base].[Metrica]",
"[Base].[Metrica].&amp;[" &amp; $A46 &amp; "]",
"[Base].[SEGMENTO_DESCRIP]",
"[Base].[SEGMENTO_DESCRIP].&amp;[" &amp; $C$6 &amp; "]",
"[Base].[SITUACION]",
"[Base].[SITUACION].&amp;[" &amp; $C46 &amp; "]"
),0)/1000</f>
        <v>-564.95359999999994</v>
      </c>
      <c r="AQ46" s="8">
        <f>-IFERROR(
GETPIVOTDATA(
"[Base].[Importe]",
TDinamica_R!$A$5,
"[Calendario].[AñoMes]",
"[Calendario].[AñoMes].&amp;[" &amp; TEXT(AQ$6,"yyyymm") &amp; "]",
"[Base].[Metrica]",
"[Base].[Metrica].&amp;[" &amp; $A46 &amp; "]",
"[Base].[SEGMENTO_DESCRIP]",
"[Base].[SEGMENTO_DESCRIP].&amp;[" &amp; $C$6 &amp; "]",
"[Base].[SITUACION]",
"[Base].[SITUACION].&amp;[" &amp; $C46 &amp; "]"
),0)/1000</f>
        <v>-529.81213000000002</v>
      </c>
      <c r="AR46" s="8">
        <f>-IFERROR(
GETPIVOTDATA(
"[Base].[Importe]",
TDinamica_R!$A$5,
"[Calendario].[AñoMes]",
"[Calendario].[AñoMes].&amp;[" &amp; TEXT(AR$6,"yyyymm") &amp; "]",
"[Base].[Metrica]",
"[Base].[Metrica].&amp;[" &amp; $A46 &amp; "]",
"[Base].[SEGMENTO_DESCRIP]",
"[Base].[SEGMENTO_DESCRIP].&amp;[" &amp; $C$6 &amp; "]",
"[Base].[SITUACION]",
"[Base].[SITUACION].&amp;[" &amp; $C46 &amp; "]"
),0)/1000</f>
        <v>-559.02076000000011</v>
      </c>
      <c r="AS46" s="8">
        <f>-IFERROR(
GETPIVOTDATA(
"[Base].[Importe]",
TDinamica_R!$A$5,
"[Calendario].[AñoMes]",
"[Calendario].[AñoMes].&amp;[" &amp; TEXT(AS$6,"yyyymm") &amp; "]",
"[Base].[Metrica]",
"[Base].[Metrica].&amp;[" &amp; $A46 &amp; "]",
"[Base].[SEGMENTO_DESCRIP]",
"[Base].[SEGMENTO_DESCRIP].&amp;[" &amp; $C$6 &amp; "]",
"[Base].[SITUACION]",
"[Base].[SITUACION].&amp;[" &amp; $C46 &amp; "]"
),0)/1000</f>
        <v>-549.16237000000001</v>
      </c>
      <c r="AT46" s="8">
        <f>-IFERROR(
GETPIVOTDATA(
"[Base].[Importe]",
TDinamica_R!$A$5,
"[Calendario].[AñoMes]",
"[Calendario].[AñoMes].&amp;[" &amp; TEXT(AT$6,"yyyymm")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U46" s="8">
        <f>-IFERROR(
GETPIVOTDATA(
"[Base].[Importe]",
TDinamica_R!$A$5,
"[Calendario].[AñoMes]",
"[Calendario].[AñoMes].&amp;[" &amp; TEXT(AU$6,"yyyymm")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V46" s="8">
        <f>-IFERROR(
GETPIVOTDATA(
"[Base].[Importe]",
TDinamica_R!$A$5,
"[Calendario].[AñoMes]",
"[Calendario].[AñoMes].&amp;[" &amp; TEXT(AV$6,"yyyymm")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W46" s="8">
        <f>-IFERROR(
GETPIVOTDATA(
"[Base].[Importe]",
TDinamica_R!$A$5,
"[Calendario].[AñoMes]",
"[Calendario].[AñoMes].&amp;[" &amp; TEXT(AW$6,"yyyymm")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X46" s="8">
        <f>-IFERROR(
GETPIVOTDATA(
"[Base].[Importe]",
TDinamica_R!$A$5,
"[Calendario].[AñoMes]",
"[Calendario].[AñoMes].&amp;[" &amp; TEXT(AX$6,"yyyymm")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Y46" s="8">
        <f>-IFERROR(
GETPIVOTDATA(
"[Base].[Importe]",
TDinamica_R!$A$5,
"[Calendario].[AñoMes]",
"[Calendario].[AñoMes].&amp;[" &amp; TEXT(AY$6,"yyyymm")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Z46" s="8">
        <f>IFERROR(
GETPIVOTDATA(
"[BASE_CONVE_PPTO].[Importe]",
TDinamica_P!$A$5,
"[BASE_CONVE_PPTO].[Periodo]",
"[BASE_CONVE_PPTO].[Periodo].&amp;[" &amp; TEXT(AZ$6,"yyyymm")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-555.52962189650975</v>
      </c>
      <c r="BA46" s="8">
        <f>IFERROR(
GETPIVOTDATA(
"[BASE_CONVE_PPTO].[Importe]",
TDinamica_P!$A$5,
"[BASE_CONVE_PPTO].[Periodo]",
"[BASE_CONVE_PPTO].[Periodo].&amp;[" &amp; TEXT(BA$6,"yyyymm")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-498.49486309970843</v>
      </c>
      <c r="BB46" s="8">
        <f>IFERROR(
GETPIVOTDATA(
"[BASE_CONVE_PPTO].[Importe]",
TDinamica_P!$A$5,
"[BASE_CONVE_PPTO].[Periodo]",
"[BASE_CONVE_PPTO].[Periodo].&amp;[" &amp; TEXT(BB$6,"yyyymm")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-549.68260518798331</v>
      </c>
      <c r="BC46" s="8">
        <f>IFERROR(
GETPIVOTDATA(
"[BASE_CONVE_PPTO].[Importe]",
TDinamica_P!$A$5,
"[BASE_CONVE_PPTO].[Periodo]",
"[BASE_CONVE_PPTO].[Periodo].&amp;[" &amp; TEXT(BC$6,"yyyymm")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-529.34602931850702</v>
      </c>
      <c r="BD46" s="8">
        <f>IFERROR(
GETPIVOTDATA(
"[BASE_CONVE_PPTO].[Importe]",
TDinamica_P!$A$5,
"[BASE_CONVE_PPTO].[Periodo]",
"[BASE_CONVE_PPTO].[Periodo].&amp;[" &amp; TEXT(BD$6,"yyyymm")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-544.60496752631684</v>
      </c>
      <c r="BE46" s="8">
        <f>IFERROR(
GETPIVOTDATA(
"[BASE_CONVE_PPTO].[Importe]",
TDinamica_P!$A$5,
"[BASE_CONVE_PPTO].[Periodo]",
"[BASE_CONVE_PPTO].[Periodo].&amp;[" &amp; TEXT(BE$6,"yyyymm")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-525.15870764068075</v>
      </c>
      <c r="BF46" s="8">
        <f>IFERROR(
GETPIVOTDATA(
"[BASE_CONVE_PPTO].[Importe]",
TDinamica_P!$A$5,
"[BASE_CONVE_PPTO].[Periodo]",
"[BASE_CONVE_PPTO].[Periodo].&amp;[" &amp; TEXT(BF$6,"yyyymm")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-541.1763167536493</v>
      </c>
      <c r="BG46" s="8">
        <f>IFERROR(
GETPIVOTDATA(
"[BASE_CONVE_PPTO].[Importe]",
TDinamica_P!$A$5,
"[BASE_CONVE_PPTO].[Periodo]",
"[BASE_CONVE_PPTO].[Periodo].&amp;[" &amp; TEXT(BG$6,"yyyymm")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-539.93947525641977</v>
      </c>
      <c r="BH46" s="8">
        <f>IFERROR(
GETPIVOTDATA(
"[BASE_CONVE_PPTO].[Importe]",
TDinamica_P!$A$5,
"[BASE_CONVE_PPTO].[Periodo]",
"[BASE_CONVE_PPTO].[Periodo].&amp;[" &amp; TEXT(BH$6,"yyyymm")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-522.00490455050885</v>
      </c>
      <c r="BI46" s="8">
        <f>IFERROR(
GETPIVOTDATA(
"[BASE_CONVE_PPTO].[Importe]",
TDinamica_P!$A$5,
"[BASE_CONVE_PPTO].[Periodo]",
"[BASE_CONVE_PPTO].[Periodo].&amp;[" &amp; TEXT(BI$6,"yyyymm")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-538.61513546807896</v>
      </c>
      <c r="BJ46" s="8">
        <f>IFERROR(
GETPIVOTDATA(
"[BASE_CONVE_PPTO].[Importe]",
TDinamica_P!$A$5,
"[BASE_CONVE_PPTO].[Periodo]",
"[BASE_CONVE_PPTO].[Periodo].&amp;[" &amp; TEXT(BJ$6,"yyyymm")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-520.49515920040062</v>
      </c>
      <c r="BK46" s="8">
        <f>IFERROR(
GETPIVOTDATA(
"[BASE_CONVE_PPTO].[Importe]",
TDinamica_P!$A$5,
"[BASE_CONVE_PPTO].[Periodo]",
"[BASE_CONVE_PPTO].[Periodo].&amp;[" &amp; TEXT(BK$6,"yyyymm")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-536.88256861774937</v>
      </c>
      <c r="BO46" s="24">
        <f t="shared" si="34"/>
        <v>-2798.0751600000003</v>
      </c>
      <c r="BP46" s="24">
        <f t="shared" si="34"/>
        <v>-2677.6580870290254</v>
      </c>
      <c r="BQ46" s="24">
        <f t="shared" si="34"/>
        <v>-2239.0544</v>
      </c>
      <c r="BR46" s="24">
        <f t="shared" si="34"/>
        <v>-2588.1752200000001</v>
      </c>
      <c r="BS46" s="24">
        <f t="shared" si="34"/>
        <v>-1999.5320099999999</v>
      </c>
      <c r="BT46" s="24">
        <f t="shared" si="34"/>
        <v>-1164.0277699999999</v>
      </c>
    </row>
    <row r="47" spans="1:72" x14ac:dyDescent="0.25">
      <c r="C47" s="3" t="s">
        <v>58</v>
      </c>
      <c r="D47" s="10">
        <f>SUM(D44:D46)</f>
        <v>-22900.80844637</v>
      </c>
      <c r="E47" s="10">
        <f t="shared" ref="E47:AY47" si="35">SUM(E44:E46)</f>
        <v>-21697.012989990002</v>
      </c>
      <c r="F47" s="10">
        <f t="shared" si="35"/>
        <v>-25198.566330600002</v>
      </c>
      <c r="G47" s="10">
        <f t="shared" si="35"/>
        <v>-25496.79201592</v>
      </c>
      <c r="H47" s="10">
        <f t="shared" si="35"/>
        <v>-27078.46117472</v>
      </c>
      <c r="I47" s="10">
        <f t="shared" si="35"/>
        <v>-26989.141244500002</v>
      </c>
      <c r="J47" s="10">
        <f t="shared" si="35"/>
        <v>-28488.743922949998</v>
      </c>
      <c r="K47" s="10">
        <f t="shared" si="35"/>
        <v>-29234.805700880002</v>
      </c>
      <c r="L47" s="10">
        <f t="shared" si="35"/>
        <v>-28878.923079539996</v>
      </c>
      <c r="M47" s="10">
        <f t="shared" si="35"/>
        <v>-30544.288693950002</v>
      </c>
      <c r="N47" s="10">
        <f t="shared" si="35"/>
        <v>-30176.590632739997</v>
      </c>
      <c r="O47" s="10">
        <f t="shared" si="35"/>
        <v>-31557.152667460003</v>
      </c>
      <c r="P47" s="10">
        <f t="shared" si="35"/>
        <v>-31793.580028799999</v>
      </c>
      <c r="Q47" s="10">
        <f t="shared" si="35"/>
        <v>-29979.708895479998</v>
      </c>
      <c r="R47" s="10">
        <f t="shared" si="35"/>
        <v>-32311.508029279994</v>
      </c>
      <c r="S47" s="10">
        <f t="shared" si="35"/>
        <v>-31644.671230720003</v>
      </c>
      <c r="T47" s="10">
        <f t="shared" si="35"/>
        <v>-33042.048869899998</v>
      </c>
      <c r="U47" s="10">
        <f t="shared" si="35"/>
        <v>-32234.314560220006</v>
      </c>
      <c r="V47" s="10">
        <f t="shared" si="35"/>
        <v>-33567.495313519998</v>
      </c>
      <c r="W47" s="10">
        <f t="shared" si="35"/>
        <v>-33619.094826650005</v>
      </c>
      <c r="X47" s="10">
        <f t="shared" si="35"/>
        <v>-32360.350486440006</v>
      </c>
      <c r="Y47" s="10">
        <f t="shared" si="35"/>
        <v>-32014.145712000001</v>
      </c>
      <c r="Z47" s="10">
        <f t="shared" si="35"/>
        <v>-31569.452078099996</v>
      </c>
      <c r="AA47" s="10">
        <f t="shared" si="35"/>
        <v>-32130.089229199999</v>
      </c>
      <c r="AB47" s="10">
        <f t="shared" si="35"/>
        <v>-31694.629620660002</v>
      </c>
      <c r="AC47" s="10">
        <f t="shared" si="35"/>
        <v>-28224.670118000005</v>
      </c>
      <c r="AD47" s="10">
        <f t="shared" si="35"/>
        <v>-30840.267419739997</v>
      </c>
      <c r="AE47" s="10">
        <f t="shared" si="35"/>
        <v>-29376.689708060007</v>
      </c>
      <c r="AF47" s="10">
        <f t="shared" si="35"/>
        <v>-30170.836484200001</v>
      </c>
      <c r="AG47" s="10">
        <f t="shared" si="35"/>
        <v>-28933.545426839999</v>
      </c>
      <c r="AH47" s="10">
        <f t="shared" si="35"/>
        <v>-29548.648623899997</v>
      </c>
      <c r="AI47" s="10">
        <f t="shared" si="35"/>
        <v>-29238.180634550001</v>
      </c>
      <c r="AJ47" s="10">
        <f t="shared" si="35"/>
        <v>-28023.787347850001</v>
      </c>
      <c r="AK47" s="10">
        <f t="shared" si="35"/>
        <v>-28735.126144720001</v>
      </c>
      <c r="AL47" s="10">
        <f t="shared" si="35"/>
        <v>-27328.996435089997</v>
      </c>
      <c r="AM47" s="10">
        <f t="shared" si="35"/>
        <v>-27669.414477979997</v>
      </c>
      <c r="AN47" s="10">
        <f t="shared" si="35"/>
        <v>-27234.48553754</v>
      </c>
      <c r="AO47" s="10">
        <f t="shared" si="35"/>
        <v>-24167.844453599999</v>
      </c>
      <c r="AP47" s="10">
        <f t="shared" si="35"/>
        <v>-26410.908467000001</v>
      </c>
      <c r="AQ47" s="10">
        <f t="shared" si="35"/>
        <v>-25416.976994209999</v>
      </c>
      <c r="AR47" s="10">
        <f t="shared" si="35"/>
        <v>-26224.555207064332</v>
      </c>
      <c r="AS47" s="10">
        <f t="shared" si="35"/>
        <v>-25281.423700700005</v>
      </c>
      <c r="AT47" s="10">
        <f t="shared" si="35"/>
        <v>0</v>
      </c>
      <c r="AU47" s="10">
        <f t="shared" si="35"/>
        <v>0</v>
      </c>
      <c r="AV47" s="10">
        <f t="shared" si="35"/>
        <v>0</v>
      </c>
      <c r="AW47" s="10">
        <f t="shared" si="35"/>
        <v>0</v>
      </c>
      <c r="AX47" s="10">
        <f t="shared" si="35"/>
        <v>0</v>
      </c>
      <c r="AY47" s="10">
        <f t="shared" si="35"/>
        <v>0</v>
      </c>
      <c r="AZ47" s="10">
        <f>SUM(AZ44:AZ46)</f>
        <v>-28131.291353557797</v>
      </c>
      <c r="BA47" s="10">
        <f t="shared" ref="BA47:BK47" si="36">SUM(BA44:BA46)</f>
        <v>-25243.125981718083</v>
      </c>
      <c r="BB47" s="10">
        <f t="shared" si="36"/>
        <v>-27835.206097086422</v>
      </c>
      <c r="BC47" s="10">
        <f t="shared" si="36"/>
        <v>-26805.388570948191</v>
      </c>
      <c r="BD47" s="10">
        <f t="shared" si="36"/>
        <v>-27578.081186338197</v>
      </c>
      <c r="BE47" s="10">
        <f t="shared" si="36"/>
        <v>-26593.348093776403</v>
      </c>
      <c r="BF47" s="10">
        <f t="shared" si="36"/>
        <v>-27404.458808639891</v>
      </c>
      <c r="BG47" s="10">
        <f t="shared" si="36"/>
        <v>-27341.826777609836</v>
      </c>
      <c r="BH47" s="10">
        <f t="shared" si="36"/>
        <v>-26433.64364219649</v>
      </c>
      <c r="BI47" s="10">
        <f t="shared" si="36"/>
        <v>-27274.763947891173</v>
      </c>
      <c r="BJ47" s="10">
        <f t="shared" si="36"/>
        <v>-26357.192118030092</v>
      </c>
      <c r="BK47" s="10">
        <f t="shared" si="36"/>
        <v>-27187.029035232965</v>
      </c>
      <c r="BO47" s="23">
        <f>SUM(BO44:BO46)</f>
        <v>-129454.77065941432</v>
      </c>
      <c r="BP47" s="23">
        <f t="shared" ref="BP47:BT47" si="37">SUM(BP44:BP46)</f>
        <v>-135593.0931896487</v>
      </c>
      <c r="BQ47" s="23">
        <f t="shared" si="37"/>
        <v>-103230.21545234998</v>
      </c>
      <c r="BR47" s="23">
        <f t="shared" si="37"/>
        <v>-150307.09335066003</v>
      </c>
      <c r="BS47" s="23">
        <f t="shared" si="37"/>
        <v>-158771.51705417997</v>
      </c>
      <c r="BT47" s="23">
        <f t="shared" si="37"/>
        <v>-122371.64095760002</v>
      </c>
    </row>
    <row r="50" spans="1:72" outlineLevel="1" x14ac:dyDescent="0.25">
      <c r="A50" s="11"/>
      <c r="C50" s="2" t="s">
        <v>0</v>
      </c>
      <c r="D50" s="8">
        <f>D38+D44</f>
        <v>20130.099640050001</v>
      </c>
      <c r="E50" s="8">
        <f t="shared" ref="E50:BK53" si="38">E38+E44</f>
        <v>21110.53283059</v>
      </c>
      <c r="F50" s="8">
        <f t="shared" si="38"/>
        <v>18216.346952859989</v>
      </c>
      <c r="G50" s="8">
        <f t="shared" si="38"/>
        <v>18187.121842559995</v>
      </c>
      <c r="H50" s="8">
        <f t="shared" si="38"/>
        <v>17297.484356360012</v>
      </c>
      <c r="I50" s="8">
        <f t="shared" si="38"/>
        <v>18524.695549629992</v>
      </c>
      <c r="J50" s="8">
        <f t="shared" si="38"/>
        <v>17294.340433800011</v>
      </c>
      <c r="K50" s="8">
        <f t="shared" si="38"/>
        <v>17476.030317050001</v>
      </c>
      <c r="L50" s="8">
        <f t="shared" si="38"/>
        <v>18220.761270080005</v>
      </c>
      <c r="M50" s="8">
        <f t="shared" si="38"/>
        <v>16852.227605270004</v>
      </c>
      <c r="N50" s="8">
        <f t="shared" si="38"/>
        <v>17791.219874690003</v>
      </c>
      <c r="O50" s="8">
        <f t="shared" si="38"/>
        <v>16903.912387899993</v>
      </c>
      <c r="P50" s="8">
        <f t="shared" si="38"/>
        <v>16788.259372680019</v>
      </c>
      <c r="Q50" s="8">
        <f t="shared" si="38"/>
        <v>20240.321409670007</v>
      </c>
      <c r="R50" s="8">
        <f t="shared" si="38"/>
        <v>17017.759199600012</v>
      </c>
      <c r="S50" s="8">
        <f t="shared" si="38"/>
        <v>17540.966503809988</v>
      </c>
      <c r="T50" s="8">
        <f t="shared" si="38"/>
        <v>17897.648023040012</v>
      </c>
      <c r="U50" s="8">
        <f t="shared" si="38"/>
        <v>19565.271468589999</v>
      </c>
      <c r="V50" s="8">
        <f t="shared" si="38"/>
        <v>19191.075450039985</v>
      </c>
      <c r="W50" s="8">
        <f t="shared" si="38"/>
        <v>19623.585685439997</v>
      </c>
      <c r="X50" s="8">
        <f t="shared" si="38"/>
        <v>21246.703623250007</v>
      </c>
      <c r="Y50" s="8">
        <f t="shared" si="38"/>
        <v>21092.871151449996</v>
      </c>
      <c r="Z50" s="8">
        <f t="shared" si="38"/>
        <v>21354.551804830015</v>
      </c>
      <c r="AA50" s="8">
        <f t="shared" si="38"/>
        <v>19798.996160940012</v>
      </c>
      <c r="AB50" s="8">
        <f t="shared" si="38"/>
        <v>19900.008859130005</v>
      </c>
      <c r="AC50" s="8">
        <f t="shared" si="38"/>
        <v>22748.799703559998</v>
      </c>
      <c r="AD50" s="8">
        <f t="shared" si="38"/>
        <v>20511.019185639998</v>
      </c>
      <c r="AE50" s="8">
        <f t="shared" si="38"/>
        <v>21509.527910290002</v>
      </c>
      <c r="AF50" s="8">
        <f t="shared" si="38"/>
        <v>21364.159473509993</v>
      </c>
      <c r="AG50" s="8">
        <f t="shared" si="38"/>
        <v>22068.070371859998</v>
      </c>
      <c r="AH50" s="8">
        <f t="shared" si="38"/>
        <v>21522.826695609998</v>
      </c>
      <c r="AI50" s="8">
        <f t="shared" si="38"/>
        <v>21404.380991489994</v>
      </c>
      <c r="AJ50" s="8">
        <f t="shared" si="38"/>
        <v>23015.855434259996</v>
      </c>
      <c r="AK50" s="8">
        <f t="shared" si="38"/>
        <v>23070.416072330005</v>
      </c>
      <c r="AL50" s="8">
        <f t="shared" si="38"/>
        <v>23159.708741460006</v>
      </c>
      <c r="AM50" s="8">
        <f t="shared" si="38"/>
        <v>22264.903890880007</v>
      </c>
      <c r="AN50" s="8">
        <f t="shared" si="38"/>
        <v>21851.355187700003</v>
      </c>
      <c r="AO50" s="8">
        <f t="shared" si="38"/>
        <v>24077.878470019998</v>
      </c>
      <c r="AP50" s="8">
        <f t="shared" si="38"/>
        <v>21969.504686990003</v>
      </c>
      <c r="AQ50" s="8">
        <f t="shared" si="38"/>
        <v>22830.723144600001</v>
      </c>
      <c r="AR50" s="8">
        <f t="shared" si="38"/>
        <v>22149.041313155671</v>
      </c>
      <c r="AS50" s="8">
        <f t="shared" si="38"/>
        <v>22727.296577720001</v>
      </c>
      <c r="AT50" s="8">
        <f t="shared" si="38"/>
        <v>0</v>
      </c>
      <c r="AU50" s="8">
        <f t="shared" si="38"/>
        <v>0</v>
      </c>
      <c r="AV50" s="8">
        <f t="shared" si="38"/>
        <v>0</v>
      </c>
      <c r="AW50" s="8">
        <f t="shared" si="38"/>
        <v>0</v>
      </c>
      <c r="AX50" s="8">
        <f t="shared" si="38"/>
        <v>0</v>
      </c>
      <c r="AY50" s="8">
        <f t="shared" si="38"/>
        <v>0</v>
      </c>
      <c r="AZ50" s="8">
        <f t="shared" si="38"/>
        <v>22896.008290387799</v>
      </c>
      <c r="BA50" s="8">
        <f t="shared" si="38"/>
        <v>26148.371345904994</v>
      </c>
      <c r="BB50" s="8">
        <f t="shared" si="38"/>
        <v>23210.102351913385</v>
      </c>
      <c r="BC50" s="8">
        <f t="shared" si="38"/>
        <v>24594.056987864915</v>
      </c>
      <c r="BD50" s="8">
        <f t="shared" si="38"/>
        <v>23796.147253906372</v>
      </c>
      <c r="BE50" s="8">
        <f t="shared" si="38"/>
        <v>24975.071915949444</v>
      </c>
      <c r="BF50" s="8">
        <f t="shared" si="38"/>
        <v>24541.49970450245</v>
      </c>
      <c r="BG50" s="8">
        <f t="shared" si="38"/>
        <v>24825.075453487105</v>
      </c>
      <c r="BH50" s="8">
        <f t="shared" si="38"/>
        <v>25910.221023750964</v>
      </c>
      <c r="BI50" s="8">
        <f t="shared" si="38"/>
        <v>25602.625820030182</v>
      </c>
      <c r="BJ50" s="8">
        <f t="shared" si="38"/>
        <v>26360.048228896016</v>
      </c>
      <c r="BK50" s="8">
        <f t="shared" si="38"/>
        <v>25986.943911381131</v>
      </c>
      <c r="BO50" s="24">
        <f>BO38+BO44</f>
        <v>112878.50280246571</v>
      </c>
      <c r="BP50" s="24">
        <f t="shared" ref="BP50:BT50" si="39">BP38+BP44</f>
        <v>120644.68622997749</v>
      </c>
      <c r="BQ50" s="24">
        <f t="shared" si="39"/>
        <v>90729.461489310022</v>
      </c>
      <c r="BR50" s="24">
        <f t="shared" si="39"/>
        <v>106033.51513213001</v>
      </c>
      <c r="BS50" s="24">
        <f t="shared" si="39"/>
        <v>89484.95450880006</v>
      </c>
      <c r="BT50" s="24">
        <f t="shared" si="39"/>
        <v>94941.585622420011</v>
      </c>
    </row>
    <row r="51" spans="1:72" outlineLevel="1" x14ac:dyDescent="0.25">
      <c r="A51" s="11"/>
      <c r="C51" s="2" t="s">
        <v>1</v>
      </c>
      <c r="D51" s="8">
        <f t="shared" ref="D51:AY53" si="40">D39+D45</f>
        <v>127.60020499999999</v>
      </c>
      <c r="E51" s="8">
        <f t="shared" si="40"/>
        <v>129.112449</v>
      </c>
      <c r="F51" s="8">
        <f t="shared" si="40"/>
        <v>105.77064090000002</v>
      </c>
      <c r="G51" s="8">
        <f t="shared" si="40"/>
        <v>112.44565500000002</v>
      </c>
      <c r="H51" s="8">
        <f t="shared" si="40"/>
        <v>86.488363300000003</v>
      </c>
      <c r="I51" s="8">
        <f t="shared" si="40"/>
        <v>94.273024699999979</v>
      </c>
      <c r="J51" s="8">
        <f t="shared" si="40"/>
        <v>129.1864995</v>
      </c>
      <c r="K51" s="8">
        <f t="shared" si="40"/>
        <v>108.31070339999999</v>
      </c>
      <c r="L51" s="8">
        <f t="shared" si="40"/>
        <v>107.90742280000001</v>
      </c>
      <c r="M51" s="8">
        <f t="shared" si="40"/>
        <v>98.337048899999985</v>
      </c>
      <c r="N51" s="8">
        <f t="shared" si="40"/>
        <v>98.366270999999983</v>
      </c>
      <c r="O51" s="8">
        <f t="shared" si="40"/>
        <v>92.864419300000009</v>
      </c>
      <c r="P51" s="8">
        <f t="shared" si="40"/>
        <v>86.193213700000001</v>
      </c>
      <c r="Q51" s="8">
        <f t="shared" si="40"/>
        <v>83.504517200000009</v>
      </c>
      <c r="R51" s="8">
        <f t="shared" si="40"/>
        <v>76.934637099999975</v>
      </c>
      <c r="S51" s="8">
        <f t="shared" si="40"/>
        <v>69.001058499999985</v>
      </c>
      <c r="T51" s="8">
        <f t="shared" si="40"/>
        <v>75.654043200000018</v>
      </c>
      <c r="U51" s="8">
        <f t="shared" si="40"/>
        <v>57.713101400000014</v>
      </c>
      <c r="V51" s="8">
        <f t="shared" si="40"/>
        <v>73.119335499999977</v>
      </c>
      <c r="W51" s="8">
        <f t="shared" si="40"/>
        <v>69.563574000000003</v>
      </c>
      <c r="X51" s="8">
        <f t="shared" si="40"/>
        <v>75.509952679999998</v>
      </c>
      <c r="Y51" s="8">
        <f t="shared" si="40"/>
        <v>70.589687220000002</v>
      </c>
      <c r="Z51" s="8">
        <f t="shared" si="40"/>
        <v>68.160025239999982</v>
      </c>
      <c r="AA51" s="8">
        <f t="shared" si="40"/>
        <v>80.62520443999999</v>
      </c>
      <c r="AB51" s="8">
        <f t="shared" si="40"/>
        <v>80.118700750000016</v>
      </c>
      <c r="AC51" s="8">
        <f t="shared" si="40"/>
        <v>80.676570529999992</v>
      </c>
      <c r="AD51" s="8">
        <f t="shared" si="40"/>
        <v>77.499664859999996</v>
      </c>
      <c r="AE51" s="8">
        <f t="shared" si="40"/>
        <v>92.859106069999996</v>
      </c>
      <c r="AF51" s="8">
        <f t="shared" si="40"/>
        <v>94.656324719999986</v>
      </c>
      <c r="AG51" s="8">
        <f t="shared" si="40"/>
        <v>95.647459820000023</v>
      </c>
      <c r="AH51" s="8">
        <f t="shared" si="40"/>
        <v>101.99293403000001</v>
      </c>
      <c r="AI51" s="8">
        <f t="shared" si="40"/>
        <v>115.42358833999998</v>
      </c>
      <c r="AJ51" s="8">
        <f t="shared" si="40"/>
        <v>117.63049544999998</v>
      </c>
      <c r="AK51" s="8">
        <f t="shared" si="40"/>
        <v>110.00109385000002</v>
      </c>
      <c r="AL51" s="8">
        <f t="shared" si="40"/>
        <v>109.15810316</v>
      </c>
      <c r="AM51" s="8">
        <f t="shared" si="40"/>
        <v>102.33736303000001</v>
      </c>
      <c r="AN51" s="8">
        <f t="shared" si="40"/>
        <v>112.04794981999999</v>
      </c>
      <c r="AO51" s="8">
        <f t="shared" si="40"/>
        <v>120.66459399000001</v>
      </c>
      <c r="AP51" s="8">
        <f t="shared" si="40"/>
        <v>90.726409390000015</v>
      </c>
      <c r="AQ51" s="8">
        <f t="shared" si="40"/>
        <v>104.09514505999996</v>
      </c>
      <c r="AR51" s="8">
        <f t="shared" si="40"/>
        <v>88.758886490000009</v>
      </c>
      <c r="AS51" s="8">
        <f t="shared" si="40"/>
        <v>97.650320120000003</v>
      </c>
      <c r="AT51" s="8">
        <f t="shared" si="40"/>
        <v>0</v>
      </c>
      <c r="AU51" s="8">
        <f t="shared" si="40"/>
        <v>0</v>
      </c>
      <c r="AV51" s="8">
        <f t="shared" si="40"/>
        <v>0</v>
      </c>
      <c r="AW51" s="8">
        <f t="shared" si="40"/>
        <v>0</v>
      </c>
      <c r="AX51" s="8">
        <f t="shared" si="40"/>
        <v>0</v>
      </c>
      <c r="AY51" s="8">
        <f t="shared" si="40"/>
        <v>0</v>
      </c>
      <c r="AZ51" s="8">
        <f t="shared" si="38"/>
        <v>117.01489123003614</v>
      </c>
      <c r="BA51" s="8">
        <f t="shared" si="38"/>
        <v>133.72055278356774</v>
      </c>
      <c r="BB51" s="8">
        <f t="shared" si="38"/>
        <v>118.62843445247461</v>
      </c>
      <c r="BC51" s="8">
        <f t="shared" si="38"/>
        <v>125.73465076873001</v>
      </c>
      <c r="BD51" s="8">
        <f t="shared" si="38"/>
        <v>121.63543185323161</v>
      </c>
      <c r="BE51" s="8">
        <f t="shared" si="38"/>
        <v>127.69018505547996</v>
      </c>
      <c r="BF51" s="8">
        <f t="shared" si="38"/>
        <v>125.4579698870358</v>
      </c>
      <c r="BG51" s="8">
        <f t="shared" si="38"/>
        <v>126.91224568414907</v>
      </c>
      <c r="BH51" s="8">
        <f t="shared" si="38"/>
        <v>132.48538737127183</v>
      </c>
      <c r="BI51" s="8">
        <f t="shared" si="38"/>
        <v>130.89852267139042</v>
      </c>
      <c r="BJ51" s="8">
        <f t="shared" si="38"/>
        <v>134.7919802230976</v>
      </c>
      <c r="BK51" s="8">
        <f t="shared" si="38"/>
        <v>132.86947520751619</v>
      </c>
      <c r="BO51" s="24">
        <f t="shared" ref="BO51:BT52" si="41">BO39+BO45</f>
        <v>516.29298475000007</v>
      </c>
      <c r="BP51" s="24">
        <f t="shared" si="41"/>
        <v>616.73396108804025</v>
      </c>
      <c r="BQ51" s="24">
        <f t="shared" si="41"/>
        <v>427.53409826000006</v>
      </c>
      <c r="BR51" s="24">
        <f t="shared" si="41"/>
        <v>425.81036692999987</v>
      </c>
      <c r="BS51" s="24">
        <f t="shared" si="41"/>
        <v>391.28746970000009</v>
      </c>
      <c r="BT51" s="24">
        <f t="shared" si="41"/>
        <v>561.41731319999997</v>
      </c>
    </row>
    <row r="52" spans="1:72" outlineLevel="1" x14ac:dyDescent="0.25">
      <c r="A52" s="11"/>
      <c r="C52" s="2" t="s">
        <v>45</v>
      </c>
      <c r="D52" s="8">
        <f t="shared" si="40"/>
        <v>47.076847240000006</v>
      </c>
      <c r="E52" s="8">
        <f t="shared" si="40"/>
        <v>119.40670109999994</v>
      </c>
      <c r="F52" s="8">
        <f t="shared" si="40"/>
        <v>-9.4750083000000416</v>
      </c>
      <c r="G52" s="8">
        <f t="shared" si="40"/>
        <v>37.574887980000085</v>
      </c>
      <c r="H52" s="8">
        <f t="shared" si="40"/>
        <v>33.025766609999948</v>
      </c>
      <c r="I52" s="8">
        <f t="shared" si="40"/>
        <v>45.830291190000025</v>
      </c>
      <c r="J52" s="8">
        <f t="shared" si="40"/>
        <v>-48.469216799999941</v>
      </c>
      <c r="K52" s="8">
        <f t="shared" si="40"/>
        <v>-142.67407617999999</v>
      </c>
      <c r="L52" s="8">
        <f t="shared" si="40"/>
        <v>-123.22501549999996</v>
      </c>
      <c r="M52" s="8">
        <f t="shared" si="40"/>
        <v>-122.07206639</v>
      </c>
      <c r="N52" s="8">
        <f t="shared" si="40"/>
        <v>-187.92423002999999</v>
      </c>
      <c r="O52" s="8">
        <f t="shared" si="40"/>
        <v>-196.32590183999997</v>
      </c>
      <c r="P52" s="8">
        <f t="shared" si="40"/>
        <v>-189.32420517000003</v>
      </c>
      <c r="Q52" s="8">
        <f t="shared" si="40"/>
        <v>-145.51472168000001</v>
      </c>
      <c r="R52" s="8">
        <f t="shared" si="40"/>
        <v>-218.27379970999999</v>
      </c>
      <c r="S52" s="8">
        <f t="shared" si="40"/>
        <v>-223.56496745999996</v>
      </c>
      <c r="T52" s="8">
        <f t="shared" si="40"/>
        <v>-185.02882686999999</v>
      </c>
      <c r="U52" s="8">
        <f t="shared" si="40"/>
        <v>-109.47835773999998</v>
      </c>
      <c r="V52" s="8">
        <f t="shared" si="40"/>
        <v>-195.89822993999999</v>
      </c>
      <c r="W52" s="8">
        <f t="shared" si="40"/>
        <v>-276.30737958000009</v>
      </c>
      <c r="X52" s="8">
        <f t="shared" si="40"/>
        <v>-324.58342628999998</v>
      </c>
      <c r="Y52" s="8">
        <f t="shared" si="40"/>
        <v>-355.50326633999998</v>
      </c>
      <c r="Z52" s="8">
        <f t="shared" si="40"/>
        <v>-310.68195849</v>
      </c>
      <c r="AA52" s="8">
        <f t="shared" si="40"/>
        <v>-329.18696399999999</v>
      </c>
      <c r="AB52" s="8">
        <f t="shared" si="40"/>
        <v>-372.80621971999994</v>
      </c>
      <c r="AC52" s="8">
        <f t="shared" si="40"/>
        <v>-254.03755819</v>
      </c>
      <c r="AD52" s="8">
        <f t="shared" si="40"/>
        <v>-313.60298793999993</v>
      </c>
      <c r="AE52" s="8">
        <f t="shared" si="40"/>
        <v>-347.94787443000007</v>
      </c>
      <c r="AF52" s="8">
        <f t="shared" si="40"/>
        <v>-297.23068166999997</v>
      </c>
      <c r="AG52" s="8">
        <f t="shared" si="40"/>
        <v>-301.50888097000006</v>
      </c>
      <c r="AH52" s="8">
        <f t="shared" si="40"/>
        <v>-348.72491814</v>
      </c>
      <c r="AI52" s="8">
        <f t="shared" si="40"/>
        <v>-330.70152812000003</v>
      </c>
      <c r="AJ52" s="8">
        <f t="shared" si="40"/>
        <v>-267.20892277000002</v>
      </c>
      <c r="AK52" s="8">
        <f t="shared" si="40"/>
        <v>-800.78797336000002</v>
      </c>
      <c r="AL52" s="8">
        <f t="shared" si="40"/>
        <v>-400.99911230999987</v>
      </c>
      <c r="AM52" s="8">
        <f t="shared" si="40"/>
        <v>-399.60214892000005</v>
      </c>
      <c r="AN52" s="8">
        <f t="shared" si="40"/>
        <v>-362.59364177999998</v>
      </c>
      <c r="AO52" s="8">
        <f t="shared" si="40"/>
        <v>-273.40102757000005</v>
      </c>
      <c r="AP52" s="8">
        <f t="shared" si="40"/>
        <v>-247.34569481999995</v>
      </c>
      <c r="AQ52" s="8">
        <f t="shared" si="40"/>
        <v>-309.01166766000006</v>
      </c>
      <c r="AR52" s="8">
        <f t="shared" si="40"/>
        <v>-316.46193095000012</v>
      </c>
      <c r="AS52" s="8">
        <f t="shared" si="40"/>
        <v>-221.79888353000001</v>
      </c>
      <c r="AT52" s="8">
        <f t="shared" si="40"/>
        <v>0</v>
      </c>
      <c r="AU52" s="8">
        <f t="shared" si="40"/>
        <v>0</v>
      </c>
      <c r="AV52" s="8">
        <f t="shared" si="40"/>
        <v>0</v>
      </c>
      <c r="AW52" s="8">
        <f t="shared" si="40"/>
        <v>0</v>
      </c>
      <c r="AX52" s="8">
        <f t="shared" si="40"/>
        <v>0</v>
      </c>
      <c r="AY52" s="8">
        <f t="shared" si="40"/>
        <v>0</v>
      </c>
      <c r="AZ52" s="8">
        <f t="shared" si="38"/>
        <v>-269.41718151159239</v>
      </c>
      <c r="BA52" s="8">
        <f t="shared" si="38"/>
        <v>-209.90559825862488</v>
      </c>
      <c r="BB52" s="8">
        <f t="shared" si="38"/>
        <v>-263.42611899956518</v>
      </c>
      <c r="BC52" s="8">
        <f t="shared" si="38"/>
        <v>-240.93146091582088</v>
      </c>
      <c r="BD52" s="8">
        <f t="shared" si="38"/>
        <v>-256.44250126308486</v>
      </c>
      <c r="BE52" s="8">
        <f t="shared" si="38"/>
        <v>-235.75373711408128</v>
      </c>
      <c r="BF52" s="8">
        <f t="shared" si="38"/>
        <v>-249.7393353581146</v>
      </c>
      <c r="BG52" s="8">
        <f t="shared" si="38"/>
        <v>-247.23769359778646</v>
      </c>
      <c r="BH52" s="8">
        <f t="shared" si="38"/>
        <v>-228.16933398687416</v>
      </c>
      <c r="BI52" s="8">
        <f t="shared" si="38"/>
        <v>-241.86505027931366</v>
      </c>
      <c r="BJ52" s="8">
        <f t="shared" si="38"/>
        <v>-224.52632275013764</v>
      </c>
      <c r="BK52" s="8">
        <f t="shared" si="38"/>
        <v>-238.43416708970358</v>
      </c>
      <c r="BO52" s="24">
        <f t="shared" si="41"/>
        <v>-1508.8139627800003</v>
      </c>
      <c r="BP52" s="24">
        <f t="shared" si="41"/>
        <v>-1240.122860948688</v>
      </c>
      <c r="BQ52" s="24">
        <f t="shared" si="41"/>
        <v>-1192.35203183</v>
      </c>
      <c r="BR52" s="24">
        <f t="shared" si="41"/>
        <v>-1585.6253219499999</v>
      </c>
      <c r="BS52" s="24">
        <f t="shared" si="41"/>
        <v>-961.70652088999987</v>
      </c>
      <c r="BT52" s="24">
        <f t="shared" si="41"/>
        <v>227.60919463000005</v>
      </c>
    </row>
    <row r="53" spans="1:72" x14ac:dyDescent="0.25">
      <c r="C53" s="3" t="s">
        <v>66</v>
      </c>
      <c r="D53" s="10">
        <f t="shared" si="40"/>
        <v>20304.776692289997</v>
      </c>
      <c r="E53" s="10">
        <f t="shared" si="40"/>
        <v>21359.051980690001</v>
      </c>
      <c r="F53" s="10">
        <f t="shared" si="40"/>
        <v>18312.642585459991</v>
      </c>
      <c r="G53" s="10">
        <f t="shared" si="40"/>
        <v>18337.142385539992</v>
      </c>
      <c r="H53" s="10">
        <f t="shared" si="40"/>
        <v>17416.998486270011</v>
      </c>
      <c r="I53" s="10">
        <f t="shared" si="40"/>
        <v>18664.798865519988</v>
      </c>
      <c r="J53" s="10">
        <f t="shared" si="40"/>
        <v>17375.05771650001</v>
      </c>
      <c r="K53" s="10">
        <f t="shared" si="40"/>
        <v>17441.66694427</v>
      </c>
      <c r="L53" s="10">
        <f t="shared" si="40"/>
        <v>18205.443677380008</v>
      </c>
      <c r="M53" s="10">
        <f t="shared" si="40"/>
        <v>16828.492587780005</v>
      </c>
      <c r="N53" s="10">
        <f t="shared" si="40"/>
        <v>17701.66191566001</v>
      </c>
      <c r="O53" s="10">
        <f t="shared" si="40"/>
        <v>16800.45090535999</v>
      </c>
      <c r="P53" s="10">
        <f t="shared" si="40"/>
        <v>16685.128381210019</v>
      </c>
      <c r="Q53" s="10">
        <f t="shared" si="40"/>
        <v>20178.31120519001</v>
      </c>
      <c r="R53" s="10">
        <f t="shared" si="40"/>
        <v>16876.42003699001</v>
      </c>
      <c r="S53" s="10">
        <f t="shared" si="40"/>
        <v>17386.402594849988</v>
      </c>
      <c r="T53" s="10">
        <f t="shared" si="40"/>
        <v>17788.273239370013</v>
      </c>
      <c r="U53" s="10">
        <f t="shared" si="40"/>
        <v>19513.506212249998</v>
      </c>
      <c r="V53" s="10">
        <f t="shared" si="40"/>
        <v>19068.296555599998</v>
      </c>
      <c r="W53" s="10">
        <f t="shared" si="40"/>
        <v>19416.841879859996</v>
      </c>
      <c r="X53" s="10">
        <f t="shared" si="40"/>
        <v>20997.630149640001</v>
      </c>
      <c r="Y53" s="10">
        <f t="shared" si="40"/>
        <v>20807.957572329997</v>
      </c>
      <c r="Z53" s="10">
        <f t="shared" si="40"/>
        <v>21112.029871580016</v>
      </c>
      <c r="AA53" s="10">
        <f t="shared" si="40"/>
        <v>19550.434401380015</v>
      </c>
      <c r="AB53" s="10">
        <f t="shared" si="40"/>
        <v>19607.321340160008</v>
      </c>
      <c r="AC53" s="10">
        <f t="shared" si="40"/>
        <v>22575.438715899993</v>
      </c>
      <c r="AD53" s="10">
        <f t="shared" si="40"/>
        <v>20274.915862559996</v>
      </c>
      <c r="AE53" s="10">
        <f t="shared" si="40"/>
        <v>21254.439141929997</v>
      </c>
      <c r="AF53" s="10">
        <f t="shared" si="40"/>
        <v>21161.585116559996</v>
      </c>
      <c r="AG53" s="10">
        <f t="shared" si="40"/>
        <v>21862.208950710003</v>
      </c>
      <c r="AH53" s="10">
        <f t="shared" si="40"/>
        <v>21276.094711499998</v>
      </c>
      <c r="AI53" s="10">
        <f t="shared" si="40"/>
        <v>21189.103051709993</v>
      </c>
      <c r="AJ53" s="10">
        <f t="shared" si="40"/>
        <v>22866.277006939996</v>
      </c>
      <c r="AK53" s="10">
        <f t="shared" si="40"/>
        <v>22379.629192820001</v>
      </c>
      <c r="AL53" s="10">
        <f t="shared" si="40"/>
        <v>22867.867732310006</v>
      </c>
      <c r="AM53" s="10">
        <f t="shared" si="40"/>
        <v>21967.639104990005</v>
      </c>
      <c r="AN53" s="10">
        <f t="shared" si="40"/>
        <v>21600.809495740003</v>
      </c>
      <c r="AO53" s="10">
        <f t="shared" si="40"/>
        <v>23925.142036439993</v>
      </c>
      <c r="AP53" s="10">
        <f t="shared" si="40"/>
        <v>21812.885401560001</v>
      </c>
      <c r="AQ53" s="10">
        <f t="shared" si="40"/>
        <v>22625.806622</v>
      </c>
      <c r="AR53" s="10">
        <f t="shared" si="40"/>
        <v>21921.338268695676</v>
      </c>
      <c r="AS53" s="10">
        <f t="shared" si="40"/>
        <v>22603.148014309998</v>
      </c>
      <c r="AT53" s="10">
        <f t="shared" si="40"/>
        <v>0</v>
      </c>
      <c r="AU53" s="10">
        <f t="shared" si="40"/>
        <v>0</v>
      </c>
      <c r="AV53" s="10">
        <f t="shared" si="40"/>
        <v>0</v>
      </c>
      <c r="AW53" s="10">
        <f t="shared" si="40"/>
        <v>0</v>
      </c>
      <c r="AX53" s="10">
        <f t="shared" si="40"/>
        <v>0</v>
      </c>
      <c r="AY53" s="10">
        <f t="shared" si="40"/>
        <v>0</v>
      </c>
      <c r="AZ53" s="10">
        <f t="shared" si="38"/>
        <v>22743.606000106243</v>
      </c>
      <c r="BA53" s="10">
        <f t="shared" si="38"/>
        <v>26072.18630042993</v>
      </c>
      <c r="BB53" s="10">
        <f t="shared" si="38"/>
        <v>23065.304667366294</v>
      </c>
      <c r="BC53" s="10">
        <f t="shared" si="38"/>
        <v>24478.860177717826</v>
      </c>
      <c r="BD53" s="10">
        <f t="shared" si="38"/>
        <v>23661.340184496519</v>
      </c>
      <c r="BE53" s="10">
        <f t="shared" si="38"/>
        <v>24867.008363890847</v>
      </c>
      <c r="BF53" s="10">
        <f t="shared" si="38"/>
        <v>24417.218339031369</v>
      </c>
      <c r="BG53" s="10">
        <f t="shared" si="38"/>
        <v>24704.750005573464</v>
      </c>
      <c r="BH53" s="10">
        <f t="shared" si="38"/>
        <v>25814.537077135363</v>
      </c>
      <c r="BI53" s="10">
        <f t="shared" si="38"/>
        <v>25491.659292422257</v>
      </c>
      <c r="BJ53" s="10">
        <f t="shared" si="38"/>
        <v>26270.313886368975</v>
      </c>
      <c r="BK53" s="10">
        <f t="shared" si="38"/>
        <v>25881.379219498947</v>
      </c>
      <c r="BO53" s="23">
        <f t="shared" ref="BO53:BT53" si="42">SUM(BO50:BO52)</f>
        <v>111885.98182443572</v>
      </c>
      <c r="BP53" s="23">
        <f t="shared" si="42"/>
        <v>120021.29733011685</v>
      </c>
      <c r="BQ53" s="23">
        <f t="shared" si="42"/>
        <v>89964.643555740025</v>
      </c>
      <c r="BR53" s="23">
        <f t="shared" si="42"/>
        <v>104873.70017711</v>
      </c>
      <c r="BS53" s="23">
        <f t="shared" si="42"/>
        <v>88914.535457610051</v>
      </c>
      <c r="BT53" s="23">
        <f t="shared" si="42"/>
        <v>95730.612130250011</v>
      </c>
    </row>
    <row r="54" spans="1:72" x14ac:dyDescent="0.25"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O54" s="18"/>
      <c r="BP54" s="18"/>
      <c r="BQ54" s="18"/>
      <c r="BR54" s="18"/>
      <c r="BS54" s="18"/>
      <c r="BT54" s="18"/>
    </row>
    <row r="55" spans="1:72" x14ac:dyDescent="0.25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O55" s="18"/>
      <c r="BP55" s="18"/>
      <c r="BQ55" s="18"/>
      <c r="BR55" s="18"/>
      <c r="BS55" s="18"/>
      <c r="BT55" s="18"/>
    </row>
    <row r="56" spans="1:72" outlineLevel="1" x14ac:dyDescent="0.25">
      <c r="A56" s="11" t="s">
        <v>64</v>
      </c>
      <c r="C56" s="2" t="s">
        <v>67</v>
      </c>
      <c r="D56" s="8">
        <f>IFERROR(
GETPIVOTDATA(
"[Base].[Importe]",
TDinamica_R!$A$5,
"[Calendario].[AñoMes]",
"[Calendario].[AñoMes].&amp;[" &amp; TEXT(D$6,"yyyymm") &amp; "]",
"[Base].[Metrica]",
"[Base].[Metrica].&amp;[" &amp; $A56 &amp; "]",
"[Base].[SEGMENTO_DESCRIP]",
"[Base].[SEGMENTO_DESCRIP].&amp;[" &amp; $C$6 &amp; "]",
"[Base].[SITUACION]",
"[Base].[SITUACION].&amp;[" &amp; $C56 &amp; "]"
),0)/1000</f>
        <v>-10263.071839499271</v>
      </c>
      <c r="E56" s="8">
        <f>IFERROR(
GETPIVOTDATA(
"[Base].[Importe]",
TDinamica_R!$A$5,
"[Calendario].[AñoMes]",
"[Calendario].[AñoMes].&amp;[" &amp; TEXT(E$6,"yyyymm") &amp; "]",
"[Base].[Metrica]",
"[Base].[Metrica].&amp;[" &amp; $A56 &amp; "]",
"[Base].[SEGMENTO_DESCRIP]",
"[Base].[SEGMENTO_DESCRIP].&amp;[" &amp; $C$6 &amp; "]",
"[Base].[SITUACION]",
"[Base].[SITUACION].&amp;[" &amp; $C56 &amp; "]"
),0)/1000</f>
        <v>-3080.4895409042065</v>
      </c>
      <c r="F56" s="8">
        <f>IFERROR(
GETPIVOTDATA(
"[Base].[Importe]",
TDinamica_R!$A$5,
"[Calendario].[AñoMes]",
"[Calendario].[AñoMes].&amp;[" &amp; TEXT(F$6,"yyyymm") &amp; "]",
"[Base].[Metrica]",
"[Base].[Metrica].&amp;[" &amp; $A56 &amp; "]",
"[Base].[SEGMENTO_DESCRIP]",
"[Base].[SEGMENTO_DESCRIP].&amp;[" &amp; $C$6 &amp; "]",
"[Base].[SITUACION]",
"[Base].[SITUACION].&amp;[" &amp; $C56 &amp; "]"
),0)/1000</f>
        <v>-7371.8877359009375</v>
      </c>
      <c r="G56" s="8">
        <f>IFERROR(
GETPIVOTDATA(
"[Base].[Importe]",
TDinamica_R!$A$5,
"[Calendario].[AñoMes]",
"[Calendario].[AñoMes].&amp;[" &amp; TEXT(G$6,"yyyymm") &amp; "]",
"[Base].[Metrica]",
"[Base].[Metrica].&amp;[" &amp; $A56 &amp; "]",
"[Base].[SEGMENTO_DESCRIP]",
"[Base].[SEGMENTO_DESCRIP].&amp;[" &amp; $C$6 &amp; "]",
"[Base].[SITUACION]",
"[Base].[SITUACION].&amp;[" &amp; $C56 &amp; "]"
),0)/1000</f>
        <v>-6831.9582455177288</v>
      </c>
      <c r="H56" s="8">
        <f>IFERROR(
GETPIVOTDATA(
"[Base].[Importe]",
TDinamica_R!$A$5,
"[Calendario].[AñoMes]",
"[Calendario].[AñoMes].&amp;[" &amp; TEXT(H$6,"yyyymm") &amp; "]",
"[Base].[Metrica]",
"[Base].[Metrica].&amp;[" &amp; $A56 &amp; "]",
"[Base].[SEGMENTO_DESCRIP]",
"[Base].[SEGMENTO_DESCRIP].&amp;[" &amp; $C$6 &amp; "]",
"[Base].[SITUACION]",
"[Base].[SITUACION].&amp;[" &amp; $C56 &amp; "]"
),0)/1000</f>
        <v>-7878.3707809969037</v>
      </c>
      <c r="I56" s="8">
        <f>IFERROR(
GETPIVOTDATA(
"[Base].[Importe]",
TDinamica_R!$A$5,
"[Calendario].[AñoMes]",
"[Calendario].[AñoMes].&amp;[" &amp; TEXT(I$6,"yyyymm") &amp; "]",
"[Base].[Metrica]",
"[Base].[Metrica].&amp;[" &amp; $A56 &amp; "]",
"[Base].[SEGMENTO_DESCRIP]",
"[Base].[SEGMENTO_DESCRIP].&amp;[" &amp; $C$6 &amp; "]",
"[Base].[SITUACION]",
"[Base].[SITUACION].&amp;[" &amp; $C56 &amp; "]"
),0)/1000</f>
        <v>-7356.9075948989866</v>
      </c>
      <c r="J56" s="8">
        <f>IFERROR(
GETPIVOTDATA(
"[Base].[Importe]",
TDinamica_R!$A$5,
"[Calendario].[AñoMes]",
"[Calendario].[AñoMes].&amp;[" &amp; TEXT(J$6,"yyyymm") &amp; "]",
"[Base].[Metrica]",
"[Base].[Metrica].&amp;[" &amp; $A56 &amp; "]",
"[Base].[SEGMENTO_DESCRIP]",
"[Base].[SEGMENTO_DESCRIP].&amp;[" &amp; $C$6 &amp; "]",
"[Base].[SITUACION]",
"[Base].[SITUACION].&amp;[" &amp; $C56 &amp; "]"
),0)/1000</f>
        <v>-7349.1619168237776</v>
      </c>
      <c r="K56" s="8">
        <f>IFERROR(
GETPIVOTDATA(
"[Base].[Importe]",
TDinamica_R!$A$5,
"[Calendario].[AñoMes]",
"[Calendario].[AñoMes].&amp;[" &amp; TEXT(K$6,"yyyymm") &amp; "]",
"[Base].[Metrica]",
"[Base].[Metrica].&amp;[" &amp; $A56 &amp; "]",
"[Base].[SEGMENTO_DESCRIP]",
"[Base].[SEGMENTO_DESCRIP].&amp;[" &amp; $C$6 &amp; "]",
"[Base].[SITUACION]",
"[Base].[SITUACION].&amp;[" &amp; $C56 &amp; "]"
),0)/1000</f>
        <v>-11343.63934445493</v>
      </c>
      <c r="L56" s="8">
        <f>IFERROR(
GETPIVOTDATA(
"[Base].[Importe]",
TDinamica_R!$A$5,
"[Calendario].[AñoMes]",
"[Calendario].[AñoMes].&amp;[" &amp; TEXT(L$6,"yyyymm") &amp; "]",
"[Base].[Metrica]",
"[Base].[Metrica].&amp;[" &amp; $A56 &amp; "]",
"[Base].[SEGMENTO_DESCRIP]",
"[Base].[SEGMENTO_DESCRIP].&amp;[" &amp; $C$6 &amp; "]",
"[Base].[SITUACION]",
"[Base].[SITUACION].&amp;[" &amp; $C56 &amp; "]"
),0)/1000</f>
        <v>-7169.4481459736062</v>
      </c>
      <c r="M56" s="8">
        <f>IFERROR(
GETPIVOTDATA(
"[Base].[Importe]",
TDinamica_R!$A$5,
"[Calendario].[AñoMes]",
"[Calendario].[AñoMes].&amp;[" &amp; TEXT(M$6,"yyyymm") &amp; "]",
"[Base].[Metrica]",
"[Base].[Metrica].&amp;[" &amp; $A56 &amp; "]",
"[Base].[SEGMENTO_DESCRIP]",
"[Base].[SEGMENTO_DESCRIP].&amp;[" &amp; $C$6 &amp; "]",
"[Base].[SITUACION]",
"[Base].[SITUACION].&amp;[" &amp; $C56 &amp; "]"
),0)/1000</f>
        <v>-14317.996476142102</v>
      </c>
      <c r="N56" s="8">
        <f>IFERROR(
GETPIVOTDATA(
"[Base].[Importe]",
TDinamica_R!$A$5,
"[Calendario].[AñoMes]",
"[Calendario].[AñoMes].&amp;[" &amp; TEXT(N$6,"yyyymm") &amp; "]",
"[Base].[Metrica]",
"[Base].[Metrica].&amp;[" &amp; $A56 &amp; "]",
"[Base].[SEGMENTO_DESCRIP]",
"[Base].[SEGMENTO_DESCRIP].&amp;[" &amp; $C$6 &amp; "]",
"[Base].[SITUACION]",
"[Base].[SITUACION].&amp;[" &amp; $C56 &amp; "]"
),0)/1000</f>
        <v>-9197.2796670532152</v>
      </c>
      <c r="O56" s="8">
        <f>IFERROR(
GETPIVOTDATA(
"[Base].[Importe]",
TDinamica_R!$A$5,
"[Calendario].[AñoMes]",
"[Calendario].[AñoMes].&amp;[" &amp; TEXT(O$6,"yyyymm") &amp; "]",
"[Base].[Metrica]",
"[Base].[Metrica].&amp;[" &amp; $A56 &amp; "]",
"[Base].[SEGMENTO_DESCRIP]",
"[Base].[SEGMENTO_DESCRIP].&amp;[" &amp; $C$6 &amp; "]",
"[Base].[SITUACION]",
"[Base].[SITUACION].&amp;[" &amp; $C56 &amp; "]"
),0)/1000</f>
        <v>-9119.776143885083</v>
      </c>
      <c r="P56" s="8">
        <f>IFERROR(
GETPIVOTDATA(
"[Base].[Importe]",
TDinamica_R!$A$5,
"[Calendario].[AñoMes]",
"[Calendario].[AñoMes].&amp;[" &amp; TEXT(P$6,"yyyymm") &amp; "]",
"[Base].[Metrica]",
"[Base].[Metrica].&amp;[" &amp; $A56 &amp; "]",
"[Base].[SEGMENTO_DESCRIP]",
"[Base].[SEGMENTO_DESCRIP].&amp;[" &amp; $C$6 &amp; "]",
"[Base].[SITUACION]",
"[Base].[SITUACION].&amp;[" &amp; $C56 &amp; "]"
),0)/1000</f>
        <v>-13821.889193881096</v>
      </c>
      <c r="Q56" s="8">
        <f>IFERROR(
GETPIVOTDATA(
"[Base].[Importe]",
TDinamica_R!$A$5,
"[Calendario].[AñoMes]",
"[Calendario].[AñoMes].&amp;[" &amp; TEXT(Q$6,"yyyymm") &amp; "]",
"[Base].[Metrica]",
"[Base].[Metrica].&amp;[" &amp; $A56 &amp; "]",
"[Base].[SEGMENTO_DESCRIP]",
"[Base].[SEGMENTO_DESCRIP].&amp;[" &amp; $C$6 &amp; "]",
"[Base].[SITUACION]",
"[Base].[SITUACION].&amp;[" &amp; $C56 &amp; "]"
),0)/1000</f>
        <v>-8880.7230624708827</v>
      </c>
      <c r="R56" s="8">
        <f>IFERROR(
GETPIVOTDATA(
"[Base].[Importe]",
TDinamica_R!$A$5,
"[Calendario].[AñoMes]",
"[Calendario].[AñoMes].&amp;[" &amp; TEXT(R$6,"yyyymm") &amp; "]",
"[Base].[Metrica]",
"[Base].[Metrica].&amp;[" &amp; $A56 &amp; "]",
"[Base].[SEGMENTO_DESCRIP]",
"[Base].[SEGMENTO_DESCRIP].&amp;[" &amp; $C$6 &amp; "]",
"[Base].[SITUACION]",
"[Base].[SITUACION].&amp;[" &amp; $C56 &amp; "]"
),0)/1000</f>
        <v>-10291.00617257398</v>
      </c>
      <c r="S56" s="8">
        <f>IFERROR(
GETPIVOTDATA(
"[Base].[Importe]",
TDinamica_R!$A$5,
"[Calendario].[AñoMes]",
"[Calendario].[AñoMes].&amp;[" &amp; TEXT(S$6,"yyyymm") &amp; "]",
"[Base].[Metrica]",
"[Base].[Metrica].&amp;[" &amp; $A56 &amp; "]",
"[Base].[SEGMENTO_DESCRIP]",
"[Base].[SEGMENTO_DESCRIP].&amp;[" &amp; $C$6 &amp; "]",
"[Base].[SITUACION]",
"[Base].[SITUACION].&amp;[" &amp; $C56 &amp; "]"
),0)/1000</f>
        <v>-11733.345551382952</v>
      </c>
      <c r="T56" s="8">
        <f>IFERROR(
GETPIVOTDATA(
"[Base].[Importe]",
TDinamica_R!$A$5,
"[Calendario].[AñoMes]",
"[Calendario].[AñoMes].&amp;[" &amp; TEXT(T$6,"yyyymm") &amp; "]",
"[Base].[Metrica]",
"[Base].[Metrica].&amp;[" &amp; $A56 &amp; "]",
"[Base].[SEGMENTO_DESCRIP]",
"[Base].[SEGMENTO_DESCRIP].&amp;[" &amp; $C$6 &amp; "]",
"[Base].[SITUACION]",
"[Base].[SITUACION].&amp;[" &amp; $C56 &amp; "]"
),0)/1000</f>
        <v>-9471.1152296150285</v>
      </c>
      <c r="U56" s="8">
        <f>IFERROR(
GETPIVOTDATA(
"[Base].[Importe]",
TDinamica_R!$A$5,
"[Calendario].[AñoMes]",
"[Calendario].[AñoMes].&amp;[" &amp; TEXT(U$6,"yyyymm") &amp; "]",
"[Base].[Metrica]",
"[Base].[Metrica].&amp;[" &amp; $A56 &amp; "]",
"[Base].[SEGMENTO_DESCRIP]",
"[Base].[SEGMENTO_DESCRIP].&amp;[" &amp; $C$6 &amp; "]",
"[Base].[SITUACION]",
"[Base].[SITUACION].&amp;[" &amp; $C56 &amp; "]"
),0)/1000</f>
        <v>-10721.456696347237</v>
      </c>
      <c r="V56" s="8">
        <f>IFERROR(
GETPIVOTDATA(
"[Base].[Importe]",
TDinamica_R!$A$5,
"[Calendario].[AñoMes]",
"[Calendario].[AñoMes].&amp;[" &amp; TEXT(V$6,"yyyymm") &amp; "]",
"[Base].[Metrica]",
"[Base].[Metrica].&amp;[" &amp; $A56 &amp; "]",
"[Base].[SEGMENTO_DESCRIP]",
"[Base].[SEGMENTO_DESCRIP].&amp;[" &amp; $C$6 &amp; "]",
"[Base].[SITUACION]",
"[Base].[SITUACION].&amp;[" &amp; $C56 &amp; "]"
),0)/1000</f>
        <v>-11356.283606225932</v>
      </c>
      <c r="W56" s="8">
        <f>IFERROR(
GETPIVOTDATA(
"[Base].[Importe]",
TDinamica_R!$A$5,
"[Calendario].[AñoMes]",
"[Calendario].[AñoMes].&amp;[" &amp; TEXT(W$6,"yyyymm") &amp; "]",
"[Base].[Metrica]",
"[Base].[Metrica].&amp;[" &amp; $A56 &amp; "]",
"[Base].[SEGMENTO_DESCRIP]",
"[Base].[SEGMENTO_DESCRIP].&amp;[" &amp; $C$6 &amp; "]",
"[Base].[SITUACION]",
"[Base].[SITUACION].&amp;[" &amp; $C56 &amp; "]"
),0)/1000</f>
        <v>-11107.975989137271</v>
      </c>
      <c r="X56" s="8">
        <f>IFERROR(
GETPIVOTDATA(
"[Base].[Importe]",
TDinamica_R!$A$5,
"[Calendario].[AñoMes]",
"[Calendario].[AñoMes].&amp;[" &amp; TEXT(X$6,"yyyymm") &amp; "]",
"[Base].[Metrica]",
"[Base].[Metrica].&amp;[" &amp; $A56 &amp; "]",
"[Base].[SEGMENTO_DESCRIP]",
"[Base].[SEGMENTO_DESCRIP].&amp;[" &amp; $C$6 &amp; "]",
"[Base].[SITUACION]",
"[Base].[SITUACION].&amp;[" &amp; $C56 &amp; "]"
),0)/1000</f>
        <v>-10449.941829221007</v>
      </c>
      <c r="Y56" s="8">
        <f>IFERROR(
GETPIVOTDATA(
"[Base].[Importe]",
TDinamica_R!$A$5,
"[Calendario].[AñoMes]",
"[Calendario].[AñoMes].&amp;[" &amp; TEXT(Y$6,"yyyymm") &amp; "]",
"[Base].[Metrica]",
"[Base].[Metrica].&amp;[" &amp; $A56 &amp; "]",
"[Base].[SEGMENTO_DESCRIP]",
"[Base].[SEGMENTO_DESCRIP].&amp;[" &amp; $C$6 &amp; "]",
"[Base].[SITUACION]",
"[Base].[SITUACION].&amp;[" &amp; $C56 &amp; "]"
),0)/1000</f>
        <v>-14335.522023562264</v>
      </c>
      <c r="Z56" s="8">
        <f>IFERROR(
GETPIVOTDATA(
"[Base].[Importe]",
TDinamica_R!$A$5,
"[Calendario].[AñoMes]",
"[Calendario].[AñoMes].&amp;[" &amp; TEXT(Z$6,"yyyymm") &amp; "]",
"[Base].[Metrica]",
"[Base].[Metrica].&amp;[" &amp; $A56 &amp; "]",
"[Base].[SEGMENTO_DESCRIP]",
"[Base].[SEGMENTO_DESCRIP].&amp;[" &amp; $C$6 &amp; "]",
"[Base].[SITUACION]",
"[Base].[SITUACION].&amp;[" &amp; $C56 &amp; "]"
),0)/1000</f>
        <v>-9489.5764465804514</v>
      </c>
      <c r="AA56" s="8">
        <f>IFERROR(
GETPIVOTDATA(
"[Base].[Importe]",
TDinamica_R!$A$5,
"[Calendario].[AñoMes]",
"[Calendario].[AñoMes].&amp;[" &amp; TEXT(AA$6,"yyyymm") &amp; "]",
"[Base].[Metrica]",
"[Base].[Metrica].&amp;[" &amp; $A56 &amp; "]",
"[Base].[SEGMENTO_DESCRIP]",
"[Base].[SEGMENTO_DESCRIP].&amp;[" &amp; $C$6 &amp; "]",
"[Base].[SITUACION]",
"[Base].[SITUACION].&amp;[" &amp; $C56 &amp; "]"
),0)/1000</f>
        <v>-9332.0802262107536</v>
      </c>
      <c r="AB56" s="8">
        <f>IFERROR(
GETPIVOTDATA(
"[Base].[Importe]",
TDinamica_R!$A$5,
"[Calendario].[AñoMes]",
"[Calendario].[AñoMes].&amp;[" &amp; TEXT(AB$6,"yyyymm") &amp; "]",
"[Base].[Metrica]",
"[Base].[Metrica].&amp;[" &amp; $A56 &amp; "]",
"[Base].[SEGMENTO_DESCRIP]",
"[Base].[SEGMENTO_DESCRIP].&amp;[" &amp; $C$6 &amp; "]",
"[Base].[SITUACION]",
"[Base].[SITUACION].&amp;[" &amp; $C56 &amp; "]"
),0)/1000</f>
        <v>-13977.501546567624</v>
      </c>
      <c r="AC56" s="8">
        <f>IFERROR(
GETPIVOTDATA(
"[Base].[Importe]",
TDinamica_R!$A$5,
"[Calendario].[AñoMes]",
"[Calendario].[AñoMes].&amp;[" &amp; TEXT(AC$6,"yyyymm") &amp; "]",
"[Base].[Metrica]",
"[Base].[Metrica].&amp;[" &amp; $A56 &amp; "]",
"[Base].[SEGMENTO_DESCRIP]",
"[Base].[SEGMENTO_DESCRIP].&amp;[" &amp; $C$6 &amp; "]",
"[Base].[SITUACION]",
"[Base].[SITUACION].&amp;[" &amp; $C56 &amp; "]"
),0)/1000</f>
        <v>-7724.4937158090079</v>
      </c>
      <c r="AD56" s="8">
        <f>IFERROR(
GETPIVOTDATA(
"[Base].[Importe]",
TDinamica_R!$A$5,
"[Calendario].[AñoMes]",
"[Calendario].[AñoMes].&amp;[" &amp; TEXT(AD$6,"yyyymm") &amp; "]",
"[Base].[Metrica]",
"[Base].[Metrica].&amp;[" &amp; $A56 &amp; "]",
"[Base].[SEGMENTO_DESCRIP]",
"[Base].[SEGMENTO_DESCRIP].&amp;[" &amp; $C$6 &amp; "]",
"[Base].[SITUACION]",
"[Base].[SITUACION].&amp;[" &amp; $C56 &amp; "]"
),0)/1000</f>
        <v>-9145.4351205671283</v>
      </c>
      <c r="AE56" s="8">
        <f>IFERROR(
GETPIVOTDATA(
"[Base].[Importe]",
TDinamica_R!$A$5,
"[Calendario].[AñoMes]",
"[Calendario].[AñoMes].&amp;[" &amp; TEXT(AE$6,"yyyymm") &amp; "]",
"[Base].[Metrica]",
"[Base].[Metrica].&amp;[" &amp; $A56 &amp; "]",
"[Base].[SEGMENTO_DESCRIP]",
"[Base].[SEGMENTO_DESCRIP].&amp;[" &amp; $C$6 &amp; "]",
"[Base].[SITUACION]",
"[Base].[SITUACION].&amp;[" &amp; $C56 &amp; "]"
),0)/1000</f>
        <v>-11722.424084581542</v>
      </c>
      <c r="AF56" s="8">
        <f>IFERROR(
GETPIVOTDATA(
"[Base].[Importe]",
TDinamica_R!$A$5,
"[Calendario].[AñoMes]",
"[Calendario].[AñoMes].&amp;[" &amp; TEXT(AF$6,"yyyymm") &amp; "]",
"[Base].[Metrica]",
"[Base].[Metrica].&amp;[" &amp; $A56 &amp; "]",
"[Base].[SEGMENTO_DESCRIP]",
"[Base].[SEGMENTO_DESCRIP].&amp;[" &amp; $C$6 &amp; "]",
"[Base].[SITUACION]",
"[Base].[SITUACION].&amp;[" &amp; $C56 &amp; "]"
),0)/1000</f>
        <v>-11036.180875198446</v>
      </c>
      <c r="AG56" s="8">
        <f>IFERROR(
GETPIVOTDATA(
"[Base].[Importe]",
TDinamica_R!$A$5,
"[Calendario].[AñoMes]",
"[Calendario].[AñoMes].&amp;[" &amp; TEXT(AG$6,"yyyymm") &amp; "]",
"[Base].[Metrica]",
"[Base].[Metrica].&amp;[" &amp; $A56 &amp; "]",
"[Base].[SEGMENTO_DESCRIP]",
"[Base].[SEGMENTO_DESCRIP].&amp;[" &amp; $C$6 &amp; "]",
"[Base].[SITUACION]",
"[Base].[SITUACION].&amp;[" &amp; $C56 &amp; "]"
),0)/1000</f>
        <v>-12864.615268864747</v>
      </c>
      <c r="AH56" s="8">
        <f>IFERROR(
GETPIVOTDATA(
"[Base].[Importe]",
TDinamica_R!$A$5,
"[Calendario].[AñoMes]",
"[Calendario].[AñoMes].&amp;[" &amp; TEXT(AH$6,"yyyymm") &amp; "]",
"[Base].[Metrica]",
"[Base].[Metrica].&amp;[" &amp; $A56 &amp; "]",
"[Base].[SEGMENTO_DESCRIP]",
"[Base].[SEGMENTO_DESCRIP].&amp;[" &amp; $C$6 &amp; "]",
"[Base].[SITUACION]",
"[Base].[SITUACION].&amp;[" &amp; $C56 &amp; "]"
),0)/1000</f>
        <v>-12261.319906168463</v>
      </c>
      <c r="AI56" s="8">
        <f>IFERROR(
GETPIVOTDATA(
"[Base].[Importe]",
TDinamica_R!$A$5,
"[Calendario].[AñoMes]",
"[Calendario].[AñoMes].&amp;[" &amp; TEXT(AI$6,"yyyymm") &amp; "]",
"[Base].[Metrica]",
"[Base].[Metrica].&amp;[" &amp; $A56 &amp; "]",
"[Base].[SEGMENTO_DESCRIP]",
"[Base].[SEGMENTO_DESCRIP].&amp;[" &amp; $C$6 &amp; "]",
"[Base].[SITUACION]",
"[Base].[SITUACION].&amp;[" &amp; $C56 &amp; "]"
),0)/1000</f>
        <v>-13820.406125610099</v>
      </c>
      <c r="AJ56" s="8">
        <f>IFERROR(
GETPIVOTDATA(
"[Base].[Importe]",
TDinamica_R!$A$5,
"[Calendario].[AñoMes]",
"[Calendario].[AñoMes].&amp;[" &amp; TEXT(AJ$6,"yyyymm") &amp; "]",
"[Base].[Metrica]",
"[Base].[Metrica].&amp;[" &amp; $A56 &amp; "]",
"[Base].[SEGMENTO_DESCRIP]",
"[Base].[SEGMENTO_DESCRIP].&amp;[" &amp; $C$6 &amp; "]",
"[Base].[SITUACION]",
"[Base].[SITUACION].&amp;[" &amp; $C56 &amp; "]"
),0)/1000</f>
        <v>-13558.3271103395</v>
      </c>
      <c r="AK56" s="8">
        <f>IFERROR(
GETPIVOTDATA(
"[Base].[Importe]",
TDinamica_R!$A$5,
"[Calendario].[AñoMes]",
"[Calendario].[AñoMes].&amp;[" &amp; TEXT(AK$6,"yyyymm") &amp; "]",
"[Base].[Metrica]",
"[Base].[Metrica].&amp;[" &amp; $A56 &amp; "]",
"[Base].[SEGMENTO_DESCRIP]",
"[Base].[SEGMENTO_DESCRIP].&amp;[" &amp; $C$6 &amp; "]",
"[Base].[SITUACION]",
"[Base].[SITUACION].&amp;[" &amp; $C56 &amp; "]"
),0)/1000</f>
        <v>-17283.2766526657</v>
      </c>
      <c r="AL56" s="8">
        <f>IFERROR(
GETPIVOTDATA(
"[Base].[Importe]",
TDinamica_R!$A$5,
"[Calendario].[AñoMes]",
"[Calendario].[AñoMes].&amp;[" &amp; TEXT(AL$6,"yyyymm") &amp; "]",
"[Base].[Metrica]",
"[Base].[Metrica].&amp;[" &amp; $A56 &amp; "]",
"[Base].[SEGMENTO_DESCRIP]",
"[Base].[SEGMENTO_DESCRIP].&amp;[" &amp; $C$6 &amp; "]",
"[Base].[SITUACION]",
"[Base].[SITUACION].&amp;[" &amp; $C56 &amp; "]"
),0)/1000</f>
        <v>-11654.517947345201</v>
      </c>
      <c r="AM56" s="8">
        <f>IFERROR(
GETPIVOTDATA(
"[Base].[Importe]",
TDinamica_R!$A$5,
"[Calendario].[AñoMes]",
"[Calendario].[AñoMes].&amp;[" &amp; TEXT(AM$6,"yyyymm") &amp; "]",
"[Base].[Metrica]",
"[Base].[Metrica].&amp;[" &amp; $A56 &amp; "]",
"[Base].[SEGMENTO_DESCRIP]",
"[Base].[SEGMENTO_DESCRIP].&amp;[" &amp; $C$6 &amp; "]",
"[Base].[SITUACION]",
"[Base].[SITUACION].&amp;[" &amp; $C56 &amp; "]"
),0)/1000</f>
        <v>-12786.404351390474</v>
      </c>
      <c r="AN56" s="8">
        <f>IFERROR(
GETPIVOTDATA(
"[Base].[Importe]",
TDinamica_R!$A$5,
"[Calendario].[AñoMes]",
"[Calendario].[AñoMes].&amp;[" &amp; TEXT(AN$6,"yyyymm") &amp; "]",
"[Base].[Metrica]",
"[Base].[Metrica].&amp;[" &amp; $A56 &amp; "]",
"[Base].[SEGMENTO_DESCRIP]",
"[Base].[SEGMENTO_DESCRIP].&amp;[" &amp; $C$6 &amp; "]",
"[Base].[SITUACION]",
"[Base].[SITUACION].&amp;[" &amp; $C56 &amp; "]"
),0)/1000</f>
        <v>-11501.585532441753</v>
      </c>
      <c r="AO56" s="8">
        <f>IFERROR(
GETPIVOTDATA(
"[Base].[Importe]",
TDinamica_R!$A$5,
"[Calendario].[AñoMes]",
"[Calendario].[AñoMes].&amp;[" &amp; TEXT(AO$6,"yyyymm") &amp; "]",
"[Base].[Metrica]",
"[Base].[Metrica].&amp;[" &amp; $A56 &amp; "]",
"[Base].[SEGMENTO_DESCRIP]",
"[Base].[SEGMENTO_DESCRIP].&amp;[" &amp; $C$6 &amp; "]",
"[Base].[SITUACION]",
"[Base].[SITUACION].&amp;[" &amp; $C56 &amp; "]"
),0)/1000</f>
        <v>-11470.857500515162</v>
      </c>
      <c r="AP56" s="8">
        <f>IFERROR(
GETPIVOTDATA(
"[Base].[Importe]",
TDinamica_R!$A$5,
"[Calendario].[AñoMes]",
"[Calendario].[AñoMes].&amp;[" &amp; TEXT(AP$6,"yyyymm") &amp; "]",
"[Base].[Metrica]",
"[Base].[Metrica].&amp;[" &amp; $A56 &amp; "]",
"[Base].[SEGMENTO_DESCRIP]",
"[Base].[SEGMENTO_DESCRIP].&amp;[" &amp; $C$6 &amp; "]",
"[Base].[SITUACION]",
"[Base].[SITUACION].&amp;[" &amp; $C56 &amp; "]"
),0)/1000</f>
        <v>-11082.39215</v>
      </c>
      <c r="AQ56" s="8">
        <f>IFERROR(
GETPIVOTDATA(
"[Base].[Importe]",
TDinamica_R!$A$5,
"[Calendario].[AñoMes]",
"[Calendario].[AñoMes].&amp;[" &amp; TEXT(AQ$6,"yyyymm") &amp; "]",
"[Base].[Metrica]",
"[Base].[Metrica].&amp;[" &amp; $A56 &amp; "]",
"[Base].[SEGMENTO_DESCRIP]",
"[Base].[SEGMENTO_DESCRIP].&amp;[" &amp; $C$6 &amp; "]",
"[Base].[SITUACION]",
"[Base].[SITUACION].&amp;[" &amp; $C56 &amp; "]"
),0)/1000</f>
        <v>-12539.956933702297</v>
      </c>
      <c r="AR56" s="8">
        <f>IFERROR(
GETPIVOTDATA(
"[Base].[Importe]",
TDinamica_R!$A$5,
"[Calendario].[AñoMes]",
"[Calendario].[AñoMes].&amp;[" &amp; TEXT(AR$6,"yyyymm") &amp; "]",
"[Base].[Metrica]",
"[Base].[Metrica].&amp;[" &amp; $A56 &amp; "]",
"[Base].[SEGMENTO_DESCRIP]",
"[Base].[SEGMENTO_DESCRIP].&amp;[" &amp; $C$6 &amp; "]",
"[Base].[SITUACION]",
"[Base].[SITUACION].&amp;[" &amp; $C56 &amp; "]"
),0)/1000</f>
        <v>-11757.9883499998</v>
      </c>
      <c r="AS56" s="8">
        <f>IFERROR(
GETPIVOTDATA(
"[Base].[Importe]",
TDinamica_R!$A$5,
"[Calendario].[AñoMes]",
"[Calendario].[AñoMes].&amp;[" &amp; TEXT(AS$6,"yyyymm") &amp; "]",
"[Base].[Metrica]",
"[Base].[Metrica].&amp;[" &amp; $A56 &amp; "]",
"[Base].[SEGMENTO_DESCRIP]",
"[Base].[SEGMENTO_DESCRIP].&amp;[" &amp; $C$6 &amp; "]",
"[Base].[SITUACION]",
"[Base].[SITUACION].&amp;[" &amp; $C56 &amp; "]"
),0)/1000</f>
        <v>-12740.7060599997</v>
      </c>
      <c r="AT56" s="8">
        <f>IFERROR(
GETPIVOTDATA(
"[Base].[Importe]",
TDinamica_R!$A$5,
"[Calendario].[AñoMes]",
"[Calendario].[AñoMes].&amp;[" &amp; TEXT(AT$6,"yyyymm")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U56" s="8">
        <f>IFERROR(
GETPIVOTDATA(
"[Base].[Importe]",
TDinamica_R!$A$5,
"[Calendario].[AñoMes]",
"[Calendario].[AñoMes].&amp;[" &amp; TEXT(AU$6,"yyyymm")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V56" s="8">
        <f>IFERROR(
GETPIVOTDATA(
"[Base].[Importe]",
TDinamica_R!$A$5,
"[Calendario].[AñoMes]",
"[Calendario].[AñoMes].&amp;[" &amp; TEXT(AV$6,"yyyymm")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W56" s="8">
        <f>IFERROR(
GETPIVOTDATA(
"[Base].[Importe]",
TDinamica_R!$A$5,
"[Calendario].[AñoMes]",
"[Calendario].[AñoMes].&amp;[" &amp; TEXT(AW$6,"yyyymm")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X56" s="8">
        <f>IFERROR(
GETPIVOTDATA(
"[Base].[Importe]",
TDinamica_R!$A$5,
"[Calendario].[AñoMes]",
"[Calendario].[AñoMes].&amp;[" &amp; TEXT(AX$6,"yyyymm")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Y56" s="8">
        <f>IFERROR(
GETPIVOTDATA(
"[Base].[Importe]",
TDinamica_R!$A$5,
"[Calendario].[AñoMes]",
"[Calendario].[AñoMes].&amp;[" &amp; TEXT(AY$6,"yyyymm")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Z56" s="8">
        <f>IFERROR(
GETPIVOTDATA(
"[BASE_CONVE_PPTO].[Importe]",
TDinamica_P!$A$5,
"[BASE_CONVE_PPTO].[Periodo]",
"[BASE_CONVE_PPTO].[Periodo].&amp;[" &amp; TEXT(AZ$6,"yyyymm")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-12918.639228741054</v>
      </c>
      <c r="BA56" s="8">
        <f>IFERROR(
GETPIVOTDATA(
"[BASE_CONVE_PPTO].[Importe]",
TDinamica_P!$A$5,
"[BASE_CONVE_PPTO].[Periodo]",
"[BASE_CONVE_PPTO].[Periodo].&amp;[" &amp; TEXT(BA$6,"yyyymm")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-12492.14071850861</v>
      </c>
      <c r="BB56" s="8">
        <f>IFERROR(
GETPIVOTDATA(
"[BASE_CONVE_PPTO].[Importe]",
TDinamica_P!$A$5,
"[BASE_CONVE_PPTO].[Periodo]",
"[BASE_CONVE_PPTO].[Periodo].&amp;[" &amp; TEXT(BB$6,"yyyymm")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-13014.011099186917</v>
      </c>
      <c r="BC56" s="8">
        <f>IFERROR(
GETPIVOTDATA(
"[BASE_CONVE_PPTO].[Importe]",
TDinamica_P!$A$5,
"[BASE_CONVE_PPTO].[Periodo]",
"[BASE_CONVE_PPTO].[Periodo].&amp;[" &amp; TEXT(BC$6,"yyyymm")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-11994.759372767629</v>
      </c>
      <c r="BD56" s="8">
        <f>IFERROR(
GETPIVOTDATA(
"[BASE_CONVE_PPTO].[Importe]",
TDinamica_P!$A$5,
"[BASE_CONVE_PPTO].[Periodo]",
"[BASE_CONVE_PPTO].[Periodo].&amp;[" &amp; TEXT(BD$6,"yyyymm")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-11671.246035931834</v>
      </c>
      <c r="BE56" s="8">
        <f>IFERROR(
GETPIVOTDATA(
"[BASE_CONVE_PPTO].[Importe]",
TDinamica_P!$A$5,
"[BASE_CONVE_PPTO].[Periodo]",
"[BASE_CONVE_PPTO].[Periodo].&amp;[" &amp; TEXT(BE$6,"yyyymm")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-12003.647924828982</v>
      </c>
      <c r="BF56" s="8">
        <f>IFERROR(
GETPIVOTDATA(
"[BASE_CONVE_PPTO].[Importe]",
TDinamica_P!$A$5,
"[BASE_CONVE_PPTO].[Periodo]",
"[BASE_CONVE_PPTO].[Periodo].&amp;[" &amp; TEXT(BF$6,"yyyymm")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-11918.501215040691</v>
      </c>
      <c r="BG56" s="8">
        <f>IFERROR(
GETPIVOTDATA(
"[BASE_CONVE_PPTO].[Importe]",
TDinamica_P!$A$5,
"[BASE_CONVE_PPTO].[Periodo]",
"[BASE_CONVE_PPTO].[Periodo].&amp;[" &amp; TEXT(BG$6,"yyyymm")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-14922.752157970221</v>
      </c>
      <c r="BH56" s="8">
        <f>IFERROR(
GETPIVOTDATA(
"[BASE_CONVE_PPTO].[Importe]",
TDinamica_P!$A$5,
"[BASE_CONVE_PPTO].[Periodo]",
"[BASE_CONVE_PPTO].[Periodo].&amp;[" &amp; TEXT(BH$6,"yyyymm")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-10598.443273783721</v>
      </c>
      <c r="BI56" s="8">
        <f>IFERROR(
GETPIVOTDATA(
"[BASE_CONVE_PPTO].[Importe]",
TDinamica_P!$A$5,
"[BASE_CONVE_PPTO].[Periodo]",
"[BASE_CONVE_PPTO].[Periodo].&amp;[" &amp; TEXT(BI$6,"yyyymm")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-11417.645973423047</v>
      </c>
      <c r="BJ56" s="8">
        <f>IFERROR(
GETPIVOTDATA(
"[BASE_CONVE_PPTO].[Importe]",
TDinamica_P!$A$5,
"[BASE_CONVE_PPTO].[Periodo]",
"[BASE_CONVE_PPTO].[Periodo].&amp;[" &amp; TEXT(BJ$6,"yyyymm")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-11585.877116902599</v>
      </c>
      <c r="BK56" s="8">
        <f>IFERROR(
GETPIVOTDATA(
"[BASE_CONVE_PPTO].[Importe]",
TDinamica_P!$A$5,
"[BASE_CONVE_PPTO].[Periodo]",
"[BASE_CONVE_PPTO].[Periodo].&amp;[" &amp; TEXT(BK$6,"yyyymm")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-10990.248282286453</v>
      </c>
      <c r="BO56" s="24">
        <f t="shared" ref="BO56:BT57" si="43">SUMIFS($D56:$BM56,$D$6:$BM$6,"&gt;="&amp;BO$2,$D$6:$BM$6,"&lt;="&amp;BO$6,$D$5:$BM$5,BO$5)</f>
        <v>-58352.780466659009</v>
      </c>
      <c r="BP56" s="24">
        <f t="shared" si="43"/>
        <v>-62090.796455136042</v>
      </c>
      <c r="BQ56" s="24">
        <f t="shared" si="43"/>
        <v>-46594.792116659213</v>
      </c>
      <c r="BR56" s="24">
        <f t="shared" si="43"/>
        <v>-53606.035342723757</v>
      </c>
      <c r="BS56" s="24">
        <f t="shared" si="43"/>
        <v>-54198.079209923933</v>
      </c>
      <c r="BT56" s="24">
        <f t="shared" si="43"/>
        <v>-35425.77814281905</v>
      </c>
    </row>
    <row r="57" spans="1:72" outlineLevel="1" x14ac:dyDescent="0.25">
      <c r="A57" s="11" t="s">
        <v>65</v>
      </c>
      <c r="C57" s="2" t="s">
        <v>69</v>
      </c>
      <c r="D57" s="8">
        <f>IFERROR(
GETPIVOTDATA(
"[Base].[Importe]",
TDinamica_R!$A$5,
"[Calendario].[AñoMes]",
"[Calendario].[AñoMes].&amp;[" &amp; TEXT(D$6,"yyyymm") &amp; "]",
"[Base].[Metrica]",
"[Base].[Metrica].&amp;[" &amp; $A57 &amp; "]",
"[Base].[SEGMENTO_DESCRIP]",
"[Base].[SEGMENTO_DESCRIP].&amp;[" &amp; $C$6 &amp; "]",
"[Base].[SITUACION]",
"[Base].[SITUACION].&amp;[" &amp; $C57 &amp; "]"
),0)/1000</f>
        <v>1992.5725723259179</v>
      </c>
      <c r="E57" s="8">
        <f>IFERROR(
GETPIVOTDATA(
"[Base].[Importe]",
TDinamica_R!$A$5,
"[Calendario].[AñoMes]",
"[Calendario].[AñoMes].&amp;[" &amp; TEXT(E$6,"yyyymm") &amp; "]",
"[Base].[Metrica]",
"[Base].[Metrica].&amp;[" &amp; $A57 &amp; "]",
"[Base].[SEGMENTO_DESCRIP]",
"[Base].[SEGMENTO_DESCRIP].&amp;[" &amp; $C$6 &amp; "]",
"[Base].[SITUACION]",
"[Base].[SITUACION].&amp;[" &amp; $C57 &amp; "]"
),0)/1000</f>
        <v>2288.8319799395235</v>
      </c>
      <c r="F57" s="8">
        <f>IFERROR(
GETPIVOTDATA(
"[Base].[Importe]",
TDinamica_R!$A$5,
"[Calendario].[AñoMes]",
"[Calendario].[AñoMes].&amp;[" &amp; TEXT(F$6,"yyyymm") &amp; "]",
"[Base].[Metrica]",
"[Base].[Metrica].&amp;[" &amp; $A57 &amp; "]",
"[Base].[SEGMENTO_DESCRIP]",
"[Base].[SEGMENTO_DESCRIP].&amp;[" &amp; $C$6 &amp; "]",
"[Base].[SITUACION]",
"[Base].[SITUACION].&amp;[" &amp; $C57 &amp; "]"
),0)/1000</f>
        <v>2179.9840983420831</v>
      </c>
      <c r="G57" s="8">
        <f>IFERROR(
GETPIVOTDATA(
"[Base].[Importe]",
TDinamica_R!$A$5,
"[Calendario].[AñoMes]",
"[Calendario].[AñoMes].&amp;[" &amp; TEXT(G$6,"yyyymm") &amp; "]",
"[Base].[Metrica]",
"[Base].[Metrica].&amp;[" &amp; $A57 &amp; "]",
"[Base].[SEGMENTO_DESCRIP]",
"[Base].[SEGMENTO_DESCRIP].&amp;[" &amp; $C$6 &amp; "]",
"[Base].[SITUACION]",
"[Base].[SITUACION].&amp;[" &amp; $C57 &amp; "]"
),0)/1000</f>
        <v>2594.7750008348107</v>
      </c>
      <c r="H57" s="8">
        <f>IFERROR(
GETPIVOTDATA(
"[Base].[Importe]",
TDinamica_R!$A$5,
"[Calendario].[AñoMes]",
"[Calendario].[AñoMes].&amp;[" &amp; TEXT(H$6,"yyyymm") &amp; "]",
"[Base].[Metrica]",
"[Base].[Metrica].&amp;[" &amp; $A57 &amp; "]",
"[Base].[SEGMENTO_DESCRIP]",
"[Base].[SEGMENTO_DESCRIP].&amp;[" &amp; $C$6 &amp; "]",
"[Base].[SITUACION]",
"[Base].[SITUACION].&amp;[" &amp; $C57 &amp; "]"
),0)/1000</f>
        <v>3138.2772591287808</v>
      </c>
      <c r="I57" s="8">
        <f>IFERROR(
GETPIVOTDATA(
"[Base].[Importe]",
TDinamica_R!$A$5,
"[Calendario].[AñoMes]",
"[Calendario].[AñoMes].&amp;[" &amp; TEXT(I$6,"yyyymm") &amp; "]",
"[Base].[Metrica]",
"[Base].[Metrica].&amp;[" &amp; $A57 &amp; "]",
"[Base].[SEGMENTO_DESCRIP]",
"[Base].[SEGMENTO_DESCRIP].&amp;[" &amp; $C$6 &amp; "]",
"[Base].[SITUACION]",
"[Base].[SITUACION].&amp;[" &amp; $C57 &amp; "]"
),0)/1000</f>
        <v>2748.9306893313737</v>
      </c>
      <c r="J57" s="8">
        <f>IFERROR(
GETPIVOTDATA(
"[Base].[Importe]",
TDinamica_R!$A$5,
"[Calendario].[AñoMes]",
"[Calendario].[AñoMes].&amp;[" &amp; TEXT(J$6,"yyyymm") &amp; "]",
"[Base].[Metrica]",
"[Base].[Metrica].&amp;[" &amp; $A57 &amp; "]",
"[Base].[SEGMENTO_DESCRIP]",
"[Base].[SEGMENTO_DESCRIP].&amp;[" &amp; $C$6 &amp; "]",
"[Base].[SITUACION]",
"[Base].[SITUACION].&amp;[" &amp; $C57 &amp; "]"
),0)/1000</f>
        <v>2606.640293071317</v>
      </c>
      <c r="K57" s="8">
        <f>IFERROR(
GETPIVOTDATA(
"[Base].[Importe]",
TDinamica_R!$A$5,
"[Calendario].[AñoMes]",
"[Calendario].[AñoMes].&amp;[" &amp; TEXT(K$6,"yyyymm") &amp; "]",
"[Base].[Metrica]",
"[Base].[Metrica].&amp;[" &amp; $A57 &amp; "]",
"[Base].[SEGMENTO_DESCRIP]",
"[Base].[SEGMENTO_DESCRIP].&amp;[" &amp; $C$6 &amp; "]",
"[Base].[SITUACION]",
"[Base].[SITUACION].&amp;[" &amp; $C57 &amp; "]"
),0)/1000</f>
        <v>3625.7437802686877</v>
      </c>
      <c r="L57" s="8">
        <f>IFERROR(
GETPIVOTDATA(
"[Base].[Importe]",
TDinamica_R!$A$5,
"[Calendario].[AñoMes]",
"[Calendario].[AñoMes].&amp;[" &amp; TEXT(L$6,"yyyymm") &amp; "]",
"[Base].[Metrica]",
"[Base].[Metrica].&amp;[" &amp; $A57 &amp; "]",
"[Base].[SEGMENTO_DESCRIP]",
"[Base].[SEGMENTO_DESCRIP].&amp;[" &amp; $C$6 &amp; "]",
"[Base].[SITUACION]",
"[Base].[SITUACION].&amp;[" &amp; $C57 &amp; "]"
),0)/1000</f>
        <v>2757.8181959290687</v>
      </c>
      <c r="M57" s="8">
        <f>IFERROR(
GETPIVOTDATA(
"[Base].[Importe]",
TDinamica_R!$A$5,
"[Calendario].[AñoMes]",
"[Calendario].[AñoMes].&amp;[" &amp; TEXT(M$6,"yyyymm") &amp; "]",
"[Base].[Metrica]",
"[Base].[Metrica].&amp;[" &amp; $A57 &amp; "]",
"[Base].[SEGMENTO_DESCRIP]",
"[Base].[SEGMENTO_DESCRIP].&amp;[" &amp; $C$6 &amp; "]",
"[Base].[SITUACION]",
"[Base].[SITUACION].&amp;[" &amp; $C57 &amp; "]"
),0)/1000</f>
        <v>3540.8304962776333</v>
      </c>
      <c r="N57" s="8">
        <f>IFERROR(
GETPIVOTDATA(
"[Base].[Importe]",
TDinamica_R!$A$5,
"[Calendario].[AñoMes]",
"[Calendario].[AñoMes].&amp;[" &amp; TEXT(N$6,"yyyymm") &amp; "]",
"[Base].[Metrica]",
"[Base].[Metrica].&amp;[" &amp; $A57 &amp; "]",
"[Base].[SEGMENTO_DESCRIP]",
"[Base].[SEGMENTO_DESCRIP].&amp;[" &amp; $C$6 &amp; "]",
"[Base].[SITUACION]",
"[Base].[SITUACION].&amp;[" &amp; $C57 &amp; "]"
),0)/1000</f>
        <v>2750.8753793967771</v>
      </c>
      <c r="O57" s="8">
        <f>IFERROR(
GETPIVOTDATA(
"[Base].[Importe]",
TDinamica_R!$A$5,
"[Calendario].[AñoMes]",
"[Calendario].[AñoMes].&amp;[" &amp; TEXT(O$6,"yyyymm") &amp; "]",
"[Base].[Metrica]",
"[Base].[Metrica].&amp;[" &amp; $A57 &amp; "]",
"[Base].[SEGMENTO_DESCRIP]",
"[Base].[SEGMENTO_DESCRIP].&amp;[" &amp; $C$6 &amp; "]",
"[Base].[SITUACION]",
"[Base].[SITUACION].&amp;[" &amp; $C57 &amp; "]"
),0)/1000</f>
        <v>2765.444977773212</v>
      </c>
      <c r="P57" s="8">
        <f>IFERROR(
GETPIVOTDATA(
"[Base].[Importe]",
TDinamica_R!$A$5,
"[Calendario].[AñoMes]",
"[Calendario].[AñoMes].&amp;[" &amp; TEXT(P$6,"yyyymm") &amp; "]",
"[Base].[Metrica]",
"[Base].[Metrica].&amp;[" &amp; $A57 &amp; "]",
"[Base].[SEGMENTO_DESCRIP]",
"[Base].[SEGMENTO_DESCRIP].&amp;[" &amp; $C$6 &amp; "]",
"[Base].[SITUACION]",
"[Base].[SITUACION].&amp;[" &amp; $C57 &amp; "]"
),0)/1000</f>
        <v>2996.97012</v>
      </c>
      <c r="Q57" s="8">
        <f>IFERROR(
GETPIVOTDATA(
"[Base].[Importe]",
TDinamica_R!$A$5,
"[Calendario].[AñoMes]",
"[Calendario].[AñoMes].&amp;[" &amp; TEXT(Q$6,"yyyymm") &amp; "]",
"[Base].[Metrica]",
"[Base].[Metrica].&amp;[" &amp; $A57 &amp; "]",
"[Base].[SEGMENTO_DESCRIP]",
"[Base].[SEGMENTO_DESCRIP].&amp;[" &amp; $C$6 &amp; "]",
"[Base].[SITUACION]",
"[Base].[SITUACION].&amp;[" &amp; $C57 &amp; "]"
),0)/1000</f>
        <v>2849.70156</v>
      </c>
      <c r="R57" s="8">
        <f>IFERROR(
GETPIVOTDATA(
"[Base].[Importe]",
TDinamica_R!$A$5,
"[Calendario].[AñoMes]",
"[Calendario].[AñoMes].&amp;[" &amp; TEXT(R$6,"yyyymm") &amp; "]",
"[Base].[Metrica]",
"[Base].[Metrica].&amp;[" &amp; $A57 &amp; "]",
"[Base].[SEGMENTO_DESCRIP]",
"[Base].[SEGMENTO_DESCRIP].&amp;[" &amp; $C$6 &amp; "]",
"[Base].[SITUACION]",
"[Base].[SITUACION].&amp;[" &amp; $C57 &amp; "]"
),0)/1000</f>
        <v>2289.6663399999998</v>
      </c>
      <c r="S57" s="8">
        <f>IFERROR(
GETPIVOTDATA(
"[Base].[Importe]",
TDinamica_R!$A$5,
"[Calendario].[AñoMes]",
"[Calendario].[AñoMes].&amp;[" &amp; TEXT(S$6,"yyyymm") &amp; "]",
"[Base].[Metrica]",
"[Base].[Metrica].&amp;[" &amp; $A57 &amp; "]",
"[Base].[SEGMENTO_DESCRIP]",
"[Base].[SEGMENTO_DESCRIP].&amp;[" &amp; $C$6 &amp; "]",
"[Base].[SITUACION]",
"[Base].[SITUACION].&amp;[" &amp; $C57 &amp; "]"
),0)/1000</f>
        <v>2020.4248500000001</v>
      </c>
      <c r="T57" s="8">
        <f>IFERROR(
GETPIVOTDATA(
"[Base].[Importe]",
TDinamica_R!$A$5,
"[Calendario].[AñoMes]",
"[Calendario].[AñoMes].&amp;[" &amp; TEXT(T$6,"yyyymm") &amp; "]",
"[Base].[Metrica]",
"[Base].[Metrica].&amp;[" &amp; $A57 &amp; "]",
"[Base].[SEGMENTO_DESCRIP]",
"[Base].[SEGMENTO_DESCRIP].&amp;[" &amp; $C$6 &amp; "]",
"[Base].[SITUACION]",
"[Base].[SITUACION].&amp;[" &amp; $C57 &amp; "]"
),0)/1000</f>
        <v>2277.7987899999994</v>
      </c>
      <c r="U57" s="8">
        <f>IFERROR(
GETPIVOTDATA(
"[Base].[Importe]",
TDinamica_R!$A$5,
"[Calendario].[AñoMes]",
"[Calendario].[AñoMes].&amp;[" &amp; TEXT(U$6,"yyyymm") &amp; "]",
"[Base].[Metrica]",
"[Base].[Metrica].&amp;[" &amp; $A57 &amp; "]",
"[Base].[SEGMENTO_DESCRIP]",
"[Base].[SEGMENTO_DESCRIP].&amp;[" &amp; $C$6 &amp; "]",
"[Base].[SITUACION]",
"[Base].[SITUACION].&amp;[" &amp; $C57 &amp; "]"
),0)/1000</f>
        <v>2010.66444</v>
      </c>
      <c r="V57" s="8">
        <f>IFERROR(
GETPIVOTDATA(
"[Base].[Importe]",
TDinamica_R!$A$5,
"[Calendario].[AñoMes]",
"[Calendario].[AñoMes].&amp;[" &amp; TEXT(V$6,"yyyymm") &amp; "]",
"[Base].[Metrica]",
"[Base].[Metrica].&amp;[" &amp; $A57 &amp; "]",
"[Base].[SEGMENTO_DESCRIP]",
"[Base].[SEGMENTO_DESCRIP].&amp;[" &amp; $C$6 &amp; "]",
"[Base].[SITUACION]",
"[Base].[SITUACION].&amp;[" &amp; $C57 &amp; "]"
),0)/1000</f>
        <v>2539.7511600000039</v>
      </c>
      <c r="W57" s="8">
        <f>IFERROR(
GETPIVOTDATA(
"[Base].[Importe]",
TDinamica_R!$A$5,
"[Calendario].[AñoMes]",
"[Calendario].[AñoMes].&amp;[" &amp; TEXT(W$6,"yyyymm") &amp; "]",
"[Base].[Metrica]",
"[Base].[Metrica].&amp;[" &amp; $A57 &amp; "]",
"[Base].[SEGMENTO_DESCRIP]",
"[Base].[SEGMENTO_DESCRIP].&amp;[" &amp; $C$6 &amp; "]",
"[Base].[SITUACION]",
"[Base].[SITUACION].&amp;[" &amp; $C57 &amp; "]"
),0)/1000</f>
        <v>2488.9662100000005</v>
      </c>
      <c r="X57" s="8">
        <f>IFERROR(
GETPIVOTDATA(
"[Base].[Importe]",
TDinamica_R!$A$5,
"[Calendario].[AñoMes]",
"[Calendario].[AñoMes].&amp;[" &amp; TEXT(X$6,"yyyymm") &amp; "]",
"[Base].[Metrica]",
"[Base].[Metrica].&amp;[" &amp; $A57 &amp; "]",
"[Base].[SEGMENTO_DESCRIP]",
"[Base].[SEGMENTO_DESCRIP].&amp;[" &amp; $C$6 &amp; "]",
"[Base].[SITUACION]",
"[Base].[SITUACION].&amp;[" &amp; $C57 &amp; "]"
),0)/1000</f>
        <v>1956.1969199999999</v>
      </c>
      <c r="Y57" s="8">
        <f>IFERROR(
GETPIVOTDATA(
"[Base].[Importe]",
TDinamica_R!$A$5,
"[Calendario].[AñoMes]",
"[Calendario].[AñoMes].&amp;[" &amp; TEXT(Y$6,"yyyymm") &amp; "]",
"[Base].[Metrica]",
"[Base].[Metrica].&amp;[" &amp; $A57 &amp; "]",
"[Base].[SEGMENTO_DESCRIP]",
"[Base].[SEGMENTO_DESCRIP].&amp;[" &amp; $C$6 &amp; "]",
"[Base].[SITUACION]",
"[Base].[SITUACION].&amp;[" &amp; $C57 &amp; "]"
),0)/1000</f>
        <v>1950.9493617611693</v>
      </c>
      <c r="Z57" s="8">
        <f>IFERROR(
GETPIVOTDATA(
"[Base].[Importe]",
TDinamica_R!$A$5,
"[Calendario].[AñoMes]",
"[Calendario].[AñoMes].&amp;[" &amp; TEXT(Z$6,"yyyymm") &amp; "]",
"[Base].[Metrica]",
"[Base].[Metrica].&amp;[" &amp; $A57 &amp; "]",
"[Base].[SEGMENTO_DESCRIP]",
"[Base].[SEGMENTO_DESCRIP].&amp;[" &amp; $C$6 &amp; "]",
"[Base].[SITUACION]",
"[Base].[SITUACION].&amp;[" &amp; $C57 &amp; "]"
),0)/1000</f>
        <v>2517.5686500000002</v>
      </c>
      <c r="AA57" s="8">
        <f>IFERROR(
GETPIVOTDATA(
"[Base].[Importe]",
TDinamica_R!$A$5,
"[Calendario].[AñoMes]",
"[Calendario].[AñoMes].&amp;[" &amp; TEXT(AA$6,"yyyymm") &amp; "]",
"[Base].[Metrica]",
"[Base].[Metrica].&amp;[" &amp; $A57 &amp; "]",
"[Base].[SEGMENTO_DESCRIP]",
"[Base].[SEGMENTO_DESCRIP].&amp;[" &amp; $C$6 &amp; "]",
"[Base].[SITUACION]",
"[Base].[SITUACION].&amp;[" &amp; $C57 &amp; "]"
),0)/1000</f>
        <v>2056.27889</v>
      </c>
      <c r="AB57" s="8">
        <f>IFERROR(
GETPIVOTDATA(
"[Base].[Importe]",
TDinamica_R!$A$5,
"[Calendario].[AñoMes]",
"[Calendario].[AñoMes].&amp;[" &amp; TEXT(AB$6,"yyyymm") &amp; "]",
"[Base].[Metrica]",
"[Base].[Metrica].&amp;[" &amp; $A57 &amp; "]",
"[Base].[SEGMENTO_DESCRIP]",
"[Base].[SEGMENTO_DESCRIP].&amp;[" &amp; $C$6 &amp; "]",
"[Base].[SITUACION]",
"[Base].[SITUACION].&amp;[" &amp; $C57 &amp; "]"
),0)/1000</f>
        <v>2416.6526100000001</v>
      </c>
      <c r="AC57" s="8">
        <f>IFERROR(
GETPIVOTDATA(
"[Base].[Importe]",
TDinamica_R!$A$5,
"[Calendario].[AñoMes]",
"[Calendario].[AñoMes].&amp;[" &amp; TEXT(AC$6,"yyyymm") &amp; "]",
"[Base].[Metrica]",
"[Base].[Metrica].&amp;[" &amp; $A57 &amp; "]",
"[Base].[SEGMENTO_DESCRIP]",
"[Base].[SEGMENTO_DESCRIP].&amp;[" &amp; $C$6 &amp; "]",
"[Base].[SITUACION]",
"[Base].[SITUACION].&amp;[" &amp; $C57 &amp; "]"
),0)/1000</f>
        <v>2030.11492</v>
      </c>
      <c r="AD57" s="8">
        <f>IFERROR(
GETPIVOTDATA(
"[Base].[Importe]",
TDinamica_R!$A$5,
"[Calendario].[AñoMes]",
"[Calendario].[AñoMes].&amp;[" &amp; TEXT(AD$6,"yyyymm") &amp; "]",
"[Base].[Metrica]",
"[Base].[Metrica].&amp;[" &amp; $A57 &amp; "]",
"[Base].[SEGMENTO_DESCRIP]",
"[Base].[SEGMENTO_DESCRIP].&amp;[" &amp; $C$6 &amp; "]",
"[Base].[SITUACION]",
"[Base].[SITUACION].&amp;[" &amp; $C57 &amp; "]"
),0)/1000</f>
        <v>3042.9999599999996</v>
      </c>
      <c r="AE57" s="8">
        <f>IFERROR(
GETPIVOTDATA(
"[Base].[Importe]",
TDinamica_R!$A$5,
"[Calendario].[AñoMes]",
"[Calendario].[AñoMes].&amp;[" &amp; TEXT(AE$6,"yyyymm") &amp; "]",
"[Base].[Metrica]",
"[Base].[Metrica].&amp;[" &amp; $A57 &amp; "]",
"[Base].[SEGMENTO_DESCRIP]",
"[Base].[SEGMENTO_DESCRIP].&amp;[" &amp; $C$6 &amp; "]",
"[Base].[SITUACION]",
"[Base].[SITUACION].&amp;[" &amp; $C57 &amp; "]"
),0)/1000</f>
        <v>2045.4219399999997</v>
      </c>
      <c r="AF57" s="8">
        <f>IFERROR(
GETPIVOTDATA(
"[Base].[Importe]",
TDinamica_R!$A$5,
"[Calendario].[AñoMes]",
"[Calendario].[AñoMes].&amp;[" &amp; TEXT(AF$6,"yyyymm") &amp; "]",
"[Base].[Metrica]",
"[Base].[Metrica].&amp;[" &amp; $A57 &amp; "]",
"[Base].[SEGMENTO_DESCRIP]",
"[Base].[SEGMENTO_DESCRIP].&amp;[" &amp; $C$6 &amp; "]",
"[Base].[SITUACION]",
"[Base].[SITUACION].&amp;[" &amp; $C57 &amp; "]"
),0)/1000</f>
        <v>2424.4781999999996</v>
      </c>
      <c r="AG57" s="8">
        <f>IFERROR(
GETPIVOTDATA(
"[Base].[Importe]",
TDinamica_R!$A$5,
"[Calendario].[AñoMes]",
"[Calendario].[AñoMes].&amp;[" &amp; TEXT(AG$6,"yyyymm") &amp; "]",
"[Base].[Metrica]",
"[Base].[Metrica].&amp;[" &amp; $A57 &amp; "]",
"[Base].[SEGMENTO_DESCRIP]",
"[Base].[SEGMENTO_DESCRIP].&amp;[" &amp; $C$6 &amp; "]",
"[Base].[SITUACION]",
"[Base].[SITUACION].&amp;[" &amp; $C57 &amp; "]"
),0)/1000</f>
        <v>2191.2251099999999</v>
      </c>
      <c r="AH57" s="8">
        <f>IFERROR(
GETPIVOTDATA(
"[Base].[Importe]",
TDinamica_R!$A$5,
"[Calendario].[AñoMes]",
"[Calendario].[AñoMes].&amp;[" &amp; TEXT(AH$6,"yyyymm") &amp; "]",
"[Base].[Metrica]",
"[Base].[Metrica].&amp;[" &amp; $A57 &amp; "]",
"[Base].[SEGMENTO_DESCRIP]",
"[Base].[SEGMENTO_DESCRIP].&amp;[" &amp; $C$6 &amp; "]",
"[Base].[SITUACION]",
"[Base].[SITUACION].&amp;[" &amp; $C57 &amp; "]"
),0)/1000</f>
        <v>2089.7811200000001</v>
      </c>
      <c r="AI57" s="8">
        <f>IFERROR(
GETPIVOTDATA(
"[Base].[Importe]",
TDinamica_R!$A$5,
"[Calendario].[AñoMes]",
"[Calendario].[AñoMes].&amp;[" &amp; TEXT(AI$6,"yyyymm") &amp; "]",
"[Base].[Metrica]",
"[Base].[Metrica].&amp;[" &amp; $A57 &amp; "]",
"[Base].[SEGMENTO_DESCRIP]",
"[Base].[SEGMENTO_DESCRIP].&amp;[" &amp; $C$6 &amp; "]",
"[Base].[SITUACION]",
"[Base].[SITUACION].&amp;[" &amp; $C57 &amp; "]"
),0)/1000</f>
        <v>2302.6071899999997</v>
      </c>
      <c r="AJ57" s="8">
        <f>IFERROR(
GETPIVOTDATA(
"[Base].[Importe]",
TDinamica_R!$A$5,
"[Calendario].[AñoMes]",
"[Calendario].[AñoMes].&amp;[" &amp; TEXT(AJ$6,"yyyymm") &amp; "]",
"[Base].[Metrica]",
"[Base].[Metrica].&amp;[" &amp; $A57 &amp; "]",
"[Base].[SEGMENTO_DESCRIP]",
"[Base].[SEGMENTO_DESCRIP].&amp;[" &amp; $C$6 &amp; "]",
"[Base].[SITUACION]",
"[Base].[SITUACION].&amp;[" &amp; $C57 &amp; "]"
),0)/1000</f>
        <v>3145.58601</v>
      </c>
      <c r="AK57" s="8">
        <f>IFERROR(
GETPIVOTDATA(
"[Base].[Importe]",
TDinamica_R!$A$5,
"[Calendario].[AñoMes]",
"[Calendario].[AñoMes].&amp;[" &amp; TEXT(AK$6,"yyyymm") &amp; "]",
"[Base].[Metrica]",
"[Base].[Metrica].&amp;[" &amp; $A57 &amp; "]",
"[Base].[SEGMENTO_DESCRIP]",
"[Base].[SEGMENTO_DESCRIP].&amp;[" &amp; $C$6 &amp; "]",
"[Base].[SITUACION]",
"[Base].[SITUACION].&amp;[" &amp; $C57 &amp; "]"
),0)/1000</f>
        <v>2550.5480899999998</v>
      </c>
      <c r="AL57" s="8">
        <f>IFERROR(
GETPIVOTDATA(
"[Base].[Importe]",
TDinamica_R!$A$5,
"[Calendario].[AñoMes]",
"[Calendario].[AñoMes].&amp;[" &amp; TEXT(AL$6,"yyyymm") &amp; "]",
"[Base].[Metrica]",
"[Base].[Metrica].&amp;[" &amp; $A57 &amp; "]",
"[Base].[SEGMENTO_DESCRIP]",
"[Base].[SEGMENTO_DESCRIP].&amp;[" &amp; $C$6 &amp; "]",
"[Base].[SITUACION]",
"[Base].[SITUACION].&amp;[" &amp; $C57 &amp; "]"
),0)/1000</f>
        <v>2068.7858299999903</v>
      </c>
      <c r="AM57" s="8">
        <f>IFERROR(
GETPIVOTDATA(
"[Base].[Importe]",
TDinamica_R!$A$5,
"[Calendario].[AñoMes]",
"[Calendario].[AñoMes].&amp;[" &amp; TEXT(AM$6,"yyyymm") &amp; "]",
"[Base].[Metrica]",
"[Base].[Metrica].&amp;[" &amp; $A57 &amp; "]",
"[Base].[SEGMENTO_DESCRIP]",
"[Base].[SEGMENTO_DESCRIP].&amp;[" &amp; $C$6 &amp; "]",
"[Base].[SITUACION]",
"[Base].[SITUACION].&amp;[" &amp; $C57 &amp; "]"
),0)/1000</f>
        <v>1927.01654999999</v>
      </c>
      <c r="AN57" s="8">
        <f>IFERROR(
GETPIVOTDATA(
"[Base].[Importe]",
TDinamica_R!$A$5,
"[Calendario].[AñoMes]",
"[Calendario].[AñoMes].&amp;[" &amp; TEXT(AN$6,"yyyymm") &amp; "]",
"[Base].[Metrica]",
"[Base].[Metrica].&amp;[" &amp; $A57 &amp; "]",
"[Base].[SEGMENTO_DESCRIP]",
"[Base].[SEGMENTO_DESCRIP].&amp;[" &amp; $C$6 &amp; "]",
"[Base].[SITUACION]",
"[Base].[SITUACION].&amp;[" &amp; $C57 &amp; "]"
),0)/1000</f>
        <v>2384.60779</v>
      </c>
      <c r="AO57" s="8">
        <f>IFERROR(
GETPIVOTDATA(
"[Base].[Importe]",
TDinamica_R!$A$5,
"[Calendario].[AñoMes]",
"[Calendario].[AñoMes].&amp;[" &amp; TEXT(AO$6,"yyyymm") &amp; "]",
"[Base].[Metrica]",
"[Base].[Metrica].&amp;[" &amp; $A57 &amp; "]",
"[Base].[SEGMENTO_DESCRIP]",
"[Base].[SEGMENTO_DESCRIP].&amp;[" &amp; $C$6 &amp; "]",
"[Base].[SITUACION]",
"[Base].[SITUACION].&amp;[" &amp; $C57 &amp; "]"
),0)/1000</f>
        <v>2367.2355400000001</v>
      </c>
      <c r="AP57" s="8">
        <f>IFERROR(
GETPIVOTDATA(
"[Base].[Importe]",
TDinamica_R!$A$5,
"[Calendario].[AñoMes]",
"[Calendario].[AñoMes].&amp;[" &amp; TEXT(AP$6,"yyyymm") &amp; "]",
"[Base].[Metrica]",
"[Base].[Metrica].&amp;[" &amp; $A57 &amp; "]",
"[Base].[SEGMENTO_DESCRIP]",
"[Base].[SEGMENTO_DESCRIP].&amp;[" &amp; $C$6 &amp; "]",
"[Base].[SITUACION]",
"[Base].[SITUACION].&amp;[" &amp; $C57 &amp; "]"
),0)/1000</f>
        <v>2116.9674100000002</v>
      </c>
      <c r="AQ57" s="8">
        <f>IFERROR(
GETPIVOTDATA(
"[Base].[Importe]",
TDinamica_R!$A$5,
"[Calendario].[AñoMes]",
"[Calendario].[AñoMes].&amp;[" &amp; TEXT(AQ$6,"yyyymm") &amp; "]",
"[Base].[Metrica]",
"[Base].[Metrica].&amp;[" &amp; $A57 &amp; "]",
"[Base].[SEGMENTO_DESCRIP]",
"[Base].[SEGMENTO_DESCRIP].&amp;[" &amp; $C$6 &amp; "]",
"[Base].[SITUACION]",
"[Base].[SITUACION].&amp;[" &amp; $C57 &amp; "]"
),0)/1000</f>
        <v>2105.1909300000002</v>
      </c>
      <c r="AR57" s="8">
        <f>IFERROR(
GETPIVOTDATA(
"[Base].[Importe]",
TDinamica_R!$A$5,
"[Calendario].[AñoMes]",
"[Calendario].[AñoMes].&amp;[" &amp; TEXT(AR$6,"yyyymm") &amp; "]",
"[Base].[Metrica]",
"[Base].[Metrica].&amp;[" &amp; $A57 &amp; "]",
"[Base].[SEGMENTO_DESCRIP]",
"[Base].[SEGMENTO_DESCRIP].&amp;[" &amp; $C$6 &amp; "]",
"[Base].[SITUACION]",
"[Base].[SITUACION].&amp;[" &amp; $C57 &amp; "]"
),0)/1000</f>
        <v>1969.5082199999999</v>
      </c>
      <c r="AS57" s="8">
        <f>IFERROR(
GETPIVOTDATA(
"[Base].[Importe]",
TDinamica_R!$A$5,
"[Calendario].[AñoMes]",
"[Calendario].[AñoMes].&amp;[" &amp; TEXT(AS$6,"yyyymm") &amp; "]",
"[Base].[Metrica]",
"[Base].[Metrica].&amp;[" &amp; $A57 &amp; "]",
"[Base].[SEGMENTO_DESCRIP]",
"[Base].[SEGMENTO_DESCRIP].&amp;[" &amp; $C$6 &amp; "]",
"[Base].[SITUACION]",
"[Base].[SITUACION].&amp;[" &amp; $C57 &amp; "]"
),0)/1000</f>
        <v>2090.17532999999</v>
      </c>
      <c r="AT57" s="8">
        <f>IFERROR(
GETPIVOTDATA(
"[Base].[Importe]",
TDinamica_R!$A$5,
"[Calendario].[AñoMes]",
"[Calendario].[AñoMes].&amp;[" &amp; TEXT(AT$6,"yyyymm")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U57" s="8">
        <f>IFERROR(
GETPIVOTDATA(
"[Base].[Importe]",
TDinamica_R!$A$5,
"[Calendario].[AñoMes]",
"[Calendario].[AñoMes].&amp;[" &amp; TEXT(AU$6,"yyyymm")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V57" s="8">
        <f>IFERROR(
GETPIVOTDATA(
"[Base].[Importe]",
TDinamica_R!$A$5,
"[Calendario].[AñoMes]",
"[Calendario].[AñoMes].&amp;[" &amp; TEXT(AV$6,"yyyymm")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W57" s="8">
        <f>IFERROR(
GETPIVOTDATA(
"[Base].[Importe]",
TDinamica_R!$A$5,
"[Calendario].[AñoMes]",
"[Calendario].[AñoMes].&amp;[" &amp; TEXT(AW$6,"yyyymm")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X57" s="8">
        <f>IFERROR(
GETPIVOTDATA(
"[Base].[Importe]",
TDinamica_R!$A$5,
"[Calendario].[AñoMes]",
"[Calendario].[AñoMes].&amp;[" &amp; TEXT(AX$6,"yyyymm")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Y57" s="8">
        <f>IFERROR(
GETPIVOTDATA(
"[Base].[Importe]",
TDinamica_R!$A$5,
"[Calendario].[AñoMes]",
"[Calendario].[AñoMes].&amp;[" &amp; TEXT(AY$6,"yyyymm")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Z57" s="8">
        <f>IFERROR(
GETPIVOTDATA(
"[BASE_CONVE_PPTO].[Importe]",
TDinamica_P!$A$5,
"[BASE_CONVE_PPTO].[Periodo]",
"[BASE_CONVE_PPTO].[Periodo].&amp;[" &amp; TEXT(AZ$6,"yyyymm")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1991.7031089574425</v>
      </c>
      <c r="BA57" s="8">
        <f>IFERROR(
GETPIVOTDATA(
"[BASE_CONVE_PPTO].[Importe]",
TDinamica_P!$A$5,
"[BASE_CONVE_PPTO].[Periodo]",
"[BASE_CONVE_PPTO].[Periodo].&amp;[" &amp; TEXT(BA$6,"yyyymm")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1971.3767542563071</v>
      </c>
      <c r="BB57" s="8">
        <f>IFERROR(
GETPIVOTDATA(
"[BASE_CONVE_PPTO].[Importe]",
TDinamica_P!$A$5,
"[BASE_CONVE_PPTO].[Periodo]",
"[BASE_CONVE_PPTO].[Periodo].&amp;[" &amp; TEXT(BB$6,"yyyymm")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2159.113203443394</v>
      </c>
      <c r="BC57" s="8">
        <f>IFERROR(
GETPIVOTDATA(
"[BASE_CONVE_PPTO].[Importe]",
TDinamica_P!$A$5,
"[BASE_CONVE_PPTO].[Periodo]",
"[BASE_CONVE_PPTO].[Periodo].&amp;[" &amp; TEXT(BC$6,"yyyymm")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2125.2125636135197</v>
      </c>
      <c r="BD57" s="8">
        <f>IFERROR(
GETPIVOTDATA(
"[BASE_CONVE_PPTO].[Importe]",
TDinamica_P!$A$5,
"[BASE_CONVE_PPTO].[Periodo]",
"[BASE_CONVE_PPTO].[Periodo].&amp;[" &amp; TEXT(BD$6,"yyyymm")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2126.8316788375096</v>
      </c>
      <c r="BE57" s="8">
        <f>IFERROR(
GETPIVOTDATA(
"[BASE_CONVE_PPTO].[Importe]",
TDinamica_P!$A$5,
"[BASE_CONVE_PPTO].[Periodo]",
"[BASE_CONVE_PPTO].[Periodo].&amp;[" &amp; TEXT(BE$6,"yyyymm")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2078.7305490268186</v>
      </c>
      <c r="BF57" s="8">
        <f>IFERROR(
GETPIVOTDATA(
"[BASE_CONVE_PPTO].[Importe]",
TDinamica_P!$A$5,
"[BASE_CONVE_PPTO].[Periodo]",
"[BASE_CONVE_PPTO].[Periodo].&amp;[" &amp; TEXT(BF$6,"yyyymm")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2257.8266530743981</v>
      </c>
      <c r="BG57" s="8">
        <f>IFERROR(
GETPIVOTDATA(
"[BASE_CONVE_PPTO].[Importe]",
TDinamica_P!$A$5,
"[BASE_CONVE_PPTO].[Periodo]",
"[BASE_CONVE_PPTO].[Periodo].&amp;[" &amp; TEXT(BG$6,"yyyymm")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2426.8943229382635</v>
      </c>
      <c r="BH57" s="8">
        <f>IFERROR(
GETPIVOTDATA(
"[BASE_CONVE_PPTO].[Importe]",
TDinamica_P!$A$5,
"[BASE_CONVE_PPTO].[Periodo]",
"[BASE_CONVE_PPTO].[Periodo].&amp;[" &amp; TEXT(BH$6,"yyyymm")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2200.9453249527123</v>
      </c>
      <c r="BI57" s="8">
        <f>IFERROR(
GETPIVOTDATA(
"[BASE_CONVE_PPTO].[Importe]",
TDinamica_P!$A$5,
"[BASE_CONVE_PPTO].[Periodo]",
"[BASE_CONVE_PPTO].[Periodo].&amp;[" &amp; TEXT(BI$6,"yyyymm")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2263.7149298822078</v>
      </c>
      <c r="BJ57" s="8">
        <f>IFERROR(
GETPIVOTDATA(
"[BASE_CONVE_PPTO].[Importe]",
TDinamica_P!$A$5,
"[BASE_CONVE_PPTO].[Periodo]",
"[BASE_CONVE_PPTO].[Periodo].&amp;[" &amp; TEXT(BJ$6,"yyyymm")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2233.459816419429</v>
      </c>
      <c r="BK57" s="8">
        <f>IFERROR(
GETPIVOTDATA(
"[BASE_CONVE_PPTO].[Importe]",
TDinamica_P!$A$5,
"[BASE_CONVE_PPTO].[Periodo]",
"[BASE_CONVE_PPTO].[Periodo].&amp;[" &amp; TEXT(BK$6,"yyyymm")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2281.7004618069814</v>
      </c>
      <c r="BO57" s="24">
        <f t="shared" si="43"/>
        <v>10943.509889999999</v>
      </c>
      <c r="BP57" s="24">
        <f t="shared" si="43"/>
        <v>10374.237309108172</v>
      </c>
      <c r="BQ57" s="24">
        <f t="shared" si="43"/>
        <v>8974.0016699999996</v>
      </c>
      <c r="BR57" s="24">
        <f t="shared" si="43"/>
        <v>11959.66763</v>
      </c>
      <c r="BS57" s="24">
        <f t="shared" si="43"/>
        <v>12434.561659999998</v>
      </c>
      <c r="BT57" s="24">
        <f t="shared" si="43"/>
        <v>12194.440910571117</v>
      </c>
    </row>
    <row r="58" spans="1:72" x14ac:dyDescent="0.25">
      <c r="C58" s="3" t="s">
        <v>68</v>
      </c>
      <c r="D58" s="10">
        <f t="shared" ref="D58:AY58" si="44">SUM(D56:D57)</f>
        <v>-8270.4992671733526</v>
      </c>
      <c r="E58" s="10">
        <f t="shared" si="44"/>
        <v>-791.65756096468294</v>
      </c>
      <c r="F58" s="10">
        <f t="shared" si="44"/>
        <v>-5191.9036375588548</v>
      </c>
      <c r="G58" s="10">
        <f t="shared" si="44"/>
        <v>-4237.1832446829176</v>
      </c>
      <c r="H58" s="10">
        <f t="shared" si="44"/>
        <v>-4740.0935218681225</v>
      </c>
      <c r="I58" s="10">
        <f t="shared" si="44"/>
        <v>-4607.9769055676134</v>
      </c>
      <c r="J58" s="10">
        <f t="shared" si="44"/>
        <v>-4742.5216237524601</v>
      </c>
      <c r="K58" s="10">
        <f t="shared" si="44"/>
        <v>-7717.8955641862431</v>
      </c>
      <c r="L58" s="10">
        <f t="shared" si="44"/>
        <v>-4411.6299500445375</v>
      </c>
      <c r="M58" s="10">
        <f t="shared" si="44"/>
        <v>-10777.165979864469</v>
      </c>
      <c r="N58" s="10">
        <f t="shared" si="44"/>
        <v>-6446.4042876564381</v>
      </c>
      <c r="O58" s="10">
        <f t="shared" si="44"/>
        <v>-6354.3311661118714</v>
      </c>
      <c r="P58" s="10">
        <f t="shared" si="44"/>
        <v>-10824.919073881096</v>
      </c>
      <c r="Q58" s="10">
        <f t="shared" si="44"/>
        <v>-6031.0215024708832</v>
      </c>
      <c r="R58" s="10">
        <f t="shared" si="44"/>
        <v>-8001.3398325739799</v>
      </c>
      <c r="S58" s="10">
        <f t="shared" si="44"/>
        <v>-9712.9207013829528</v>
      </c>
      <c r="T58" s="10">
        <f t="shared" si="44"/>
        <v>-7193.3164396150296</v>
      </c>
      <c r="U58" s="10">
        <f t="shared" si="44"/>
        <v>-8710.7922563472366</v>
      </c>
      <c r="V58" s="10">
        <f t="shared" si="44"/>
        <v>-8816.5324462259287</v>
      </c>
      <c r="W58" s="10">
        <f t="shared" si="44"/>
        <v>-8619.00977913727</v>
      </c>
      <c r="X58" s="10">
        <f t="shared" si="44"/>
        <v>-8493.7449092210063</v>
      </c>
      <c r="Y58" s="10">
        <f t="shared" si="44"/>
        <v>-12384.572661801094</v>
      </c>
      <c r="Z58" s="10">
        <f t="shared" si="44"/>
        <v>-6972.0077965804512</v>
      </c>
      <c r="AA58" s="10">
        <f t="shared" si="44"/>
        <v>-7275.801336210754</v>
      </c>
      <c r="AB58" s="10">
        <f t="shared" si="44"/>
        <v>-11560.848936567625</v>
      </c>
      <c r="AC58" s="10">
        <f t="shared" si="44"/>
        <v>-5694.3787958090079</v>
      </c>
      <c r="AD58" s="10">
        <f t="shared" si="44"/>
        <v>-6102.4351605671291</v>
      </c>
      <c r="AE58" s="10">
        <f t="shared" si="44"/>
        <v>-9677.0021445815419</v>
      </c>
      <c r="AF58" s="10">
        <f t="shared" si="44"/>
        <v>-8611.7026751984467</v>
      </c>
      <c r="AG58" s="10">
        <f t="shared" si="44"/>
        <v>-10673.390158864748</v>
      </c>
      <c r="AH58" s="10">
        <f t="shared" si="44"/>
        <v>-10171.538786168463</v>
      </c>
      <c r="AI58" s="10">
        <f t="shared" si="44"/>
        <v>-11517.798935610099</v>
      </c>
      <c r="AJ58" s="10">
        <f t="shared" si="44"/>
        <v>-10412.741100339499</v>
      </c>
      <c r="AK58" s="10">
        <f t="shared" si="44"/>
        <v>-14732.728562665699</v>
      </c>
      <c r="AL58" s="10">
        <f t="shared" si="44"/>
        <v>-9585.732117345211</v>
      </c>
      <c r="AM58" s="10">
        <f t="shared" si="44"/>
        <v>-10859.387801390485</v>
      </c>
      <c r="AN58" s="10">
        <f t="shared" si="44"/>
        <v>-9116.9777424417534</v>
      </c>
      <c r="AO58" s="10">
        <f t="shared" si="44"/>
        <v>-9103.6219605151618</v>
      </c>
      <c r="AP58" s="10">
        <f t="shared" si="44"/>
        <v>-8965.4247399999986</v>
      </c>
      <c r="AQ58" s="10">
        <f t="shared" si="44"/>
        <v>-10434.766003702296</v>
      </c>
      <c r="AR58" s="10">
        <f t="shared" si="44"/>
        <v>-9788.4801299997998</v>
      </c>
      <c r="AS58" s="10">
        <f t="shared" si="44"/>
        <v>-10650.530729999711</v>
      </c>
      <c r="AT58" s="10">
        <f t="shared" si="44"/>
        <v>0</v>
      </c>
      <c r="AU58" s="10">
        <f t="shared" si="44"/>
        <v>0</v>
      </c>
      <c r="AV58" s="10">
        <f t="shared" si="44"/>
        <v>0</v>
      </c>
      <c r="AW58" s="10">
        <f t="shared" si="44"/>
        <v>0</v>
      </c>
      <c r="AX58" s="10">
        <f t="shared" si="44"/>
        <v>0</v>
      </c>
      <c r="AY58" s="10">
        <f t="shared" si="44"/>
        <v>0</v>
      </c>
      <c r="AZ58" s="10">
        <f t="shared" ref="AZ58:BK58" si="45">SUM(AZ56:AZ57)</f>
        <v>-10926.936119783612</v>
      </c>
      <c r="BA58" s="10">
        <f t="shared" si="45"/>
        <v>-10520.763964252303</v>
      </c>
      <c r="BB58" s="10">
        <f t="shared" si="45"/>
        <v>-10854.897895743523</v>
      </c>
      <c r="BC58" s="10">
        <f t="shared" si="45"/>
        <v>-9869.5468091541079</v>
      </c>
      <c r="BD58" s="10">
        <f t="shared" si="45"/>
        <v>-9544.4143570943233</v>
      </c>
      <c r="BE58" s="10">
        <f t="shared" si="45"/>
        <v>-9924.9173758021625</v>
      </c>
      <c r="BF58" s="10">
        <f t="shared" si="45"/>
        <v>-9660.6745619662925</v>
      </c>
      <c r="BG58" s="10">
        <f t="shared" si="45"/>
        <v>-12495.857835031957</v>
      </c>
      <c r="BH58" s="10">
        <f t="shared" si="45"/>
        <v>-8397.4979488310091</v>
      </c>
      <c r="BI58" s="10">
        <f t="shared" si="45"/>
        <v>-9153.9310435408388</v>
      </c>
      <c r="BJ58" s="10">
        <f t="shared" si="45"/>
        <v>-9352.41730048317</v>
      </c>
      <c r="BK58" s="10">
        <f t="shared" si="45"/>
        <v>-8708.5478204794708</v>
      </c>
      <c r="BO58" s="23">
        <f>SUM(BO56:BO57)</f>
        <v>-47409.270576659008</v>
      </c>
      <c r="BP58" s="23">
        <f t="shared" ref="BP58:BT58" si="46">SUM(BP56:BP57)</f>
        <v>-51716.559146027867</v>
      </c>
      <c r="BQ58" s="23">
        <f t="shared" si="46"/>
        <v>-37620.790446659215</v>
      </c>
      <c r="BR58" s="23">
        <f t="shared" si="46"/>
        <v>-41646.367712723761</v>
      </c>
      <c r="BS58" s="23">
        <f t="shared" si="46"/>
        <v>-41763.517549923934</v>
      </c>
      <c r="BT58" s="23">
        <f t="shared" si="46"/>
        <v>-23231.337232247934</v>
      </c>
    </row>
    <row r="60" spans="1:72" x14ac:dyDescent="0.25">
      <c r="C60" s="3" t="s">
        <v>70</v>
      </c>
      <c r="D60" s="10">
        <f>D53+D58</f>
        <v>12034.277425116645</v>
      </c>
      <c r="E60" s="10">
        <f t="shared" ref="E60:BK60" si="47">E53+E58</f>
        <v>20567.394419725319</v>
      </c>
      <c r="F60" s="10">
        <f t="shared" si="47"/>
        <v>13120.738947901136</v>
      </c>
      <c r="G60" s="10">
        <f t="shared" si="47"/>
        <v>14099.959140857074</v>
      </c>
      <c r="H60" s="10">
        <f t="shared" si="47"/>
        <v>12676.904964401889</v>
      </c>
      <c r="I60" s="10">
        <f t="shared" si="47"/>
        <v>14056.821959952375</v>
      </c>
      <c r="J60" s="10">
        <f t="shared" si="47"/>
        <v>12632.53609274755</v>
      </c>
      <c r="K60" s="10">
        <f t="shared" si="47"/>
        <v>9723.7713800837573</v>
      </c>
      <c r="L60" s="10">
        <f t="shared" si="47"/>
        <v>13793.81372733547</v>
      </c>
      <c r="M60" s="10">
        <f t="shared" si="47"/>
        <v>6051.3266079155364</v>
      </c>
      <c r="N60" s="10">
        <f t="shared" si="47"/>
        <v>11255.257628003572</v>
      </c>
      <c r="O60" s="10">
        <f t="shared" si="47"/>
        <v>10446.119739248119</v>
      </c>
      <c r="P60" s="10">
        <f t="shared" si="47"/>
        <v>5860.2093073289234</v>
      </c>
      <c r="Q60" s="10">
        <f t="shared" si="47"/>
        <v>14147.289702719127</v>
      </c>
      <c r="R60" s="10">
        <f t="shared" si="47"/>
        <v>8875.08020441603</v>
      </c>
      <c r="S60" s="10">
        <f t="shared" si="47"/>
        <v>7673.4818934670348</v>
      </c>
      <c r="T60" s="10">
        <f t="shared" si="47"/>
        <v>10594.956799754984</v>
      </c>
      <c r="U60" s="10">
        <f t="shared" si="47"/>
        <v>10802.713955902762</v>
      </c>
      <c r="V60" s="10">
        <f t="shared" si="47"/>
        <v>10251.764109374069</v>
      </c>
      <c r="W60" s="10">
        <f t="shared" si="47"/>
        <v>10797.832100722726</v>
      </c>
      <c r="X60" s="10">
        <f t="shared" si="47"/>
        <v>12503.885240418995</v>
      </c>
      <c r="Y60" s="10">
        <f t="shared" si="47"/>
        <v>8423.3849105289028</v>
      </c>
      <c r="Z60" s="10">
        <f t="shared" si="47"/>
        <v>14140.022074999564</v>
      </c>
      <c r="AA60" s="10">
        <f t="shared" si="47"/>
        <v>12274.633065169261</v>
      </c>
      <c r="AB60" s="10">
        <f t="shared" si="47"/>
        <v>8046.4724035923828</v>
      </c>
      <c r="AC60" s="10">
        <f t="shared" si="47"/>
        <v>16881.059920090986</v>
      </c>
      <c r="AD60" s="10">
        <f t="shared" si="47"/>
        <v>14172.480701992867</v>
      </c>
      <c r="AE60" s="10">
        <f t="shared" si="47"/>
        <v>11577.436997348455</v>
      </c>
      <c r="AF60" s="10">
        <f t="shared" si="47"/>
        <v>12549.882441361549</v>
      </c>
      <c r="AG60" s="10">
        <f t="shared" si="47"/>
        <v>11188.818791845255</v>
      </c>
      <c r="AH60" s="10">
        <f t="shared" si="47"/>
        <v>11104.555925331535</v>
      </c>
      <c r="AI60" s="10">
        <f t="shared" si="47"/>
        <v>9671.3041160998946</v>
      </c>
      <c r="AJ60" s="10">
        <f t="shared" si="47"/>
        <v>12453.535906600497</v>
      </c>
      <c r="AK60" s="10">
        <f t="shared" si="47"/>
        <v>7646.9006301543013</v>
      </c>
      <c r="AL60" s="10">
        <f t="shared" si="47"/>
        <v>13282.135614964795</v>
      </c>
      <c r="AM60" s="10">
        <f t="shared" si="47"/>
        <v>11108.25130359952</v>
      </c>
      <c r="AN60" s="10">
        <f t="shared" si="47"/>
        <v>12483.831753298249</v>
      </c>
      <c r="AO60" s="10">
        <f t="shared" si="47"/>
        <v>14821.520075924831</v>
      </c>
      <c r="AP60" s="10">
        <f t="shared" si="47"/>
        <v>12847.460661560002</v>
      </c>
      <c r="AQ60" s="10">
        <f t="shared" si="47"/>
        <v>12191.040618297704</v>
      </c>
      <c r="AR60" s="10">
        <f t="shared" si="47"/>
        <v>12132.858138695876</v>
      </c>
      <c r="AS60" s="10">
        <f t="shared" si="47"/>
        <v>11952.617284310287</v>
      </c>
      <c r="AT60" s="10">
        <f t="shared" si="47"/>
        <v>0</v>
      </c>
      <c r="AU60" s="10">
        <f t="shared" si="47"/>
        <v>0</v>
      </c>
      <c r="AV60" s="10">
        <f t="shared" si="47"/>
        <v>0</v>
      </c>
      <c r="AW60" s="10">
        <f t="shared" si="47"/>
        <v>0</v>
      </c>
      <c r="AX60" s="10">
        <f t="shared" si="47"/>
        <v>0</v>
      </c>
      <c r="AY60" s="10">
        <f t="shared" si="47"/>
        <v>0</v>
      </c>
      <c r="AZ60" s="10">
        <f t="shared" si="47"/>
        <v>11816.669880322632</v>
      </c>
      <c r="BA60" s="10">
        <f t="shared" si="47"/>
        <v>15551.422336177628</v>
      </c>
      <c r="BB60" s="10">
        <f t="shared" si="47"/>
        <v>12210.406771622771</v>
      </c>
      <c r="BC60" s="10">
        <f t="shared" si="47"/>
        <v>14609.313368563719</v>
      </c>
      <c r="BD60" s="10">
        <f t="shared" si="47"/>
        <v>14116.925827402196</v>
      </c>
      <c r="BE60" s="10">
        <f t="shared" si="47"/>
        <v>14942.090988088685</v>
      </c>
      <c r="BF60" s="10">
        <f t="shared" si="47"/>
        <v>14756.543777065077</v>
      </c>
      <c r="BG60" s="10">
        <f t="shared" si="47"/>
        <v>12208.892170541507</v>
      </c>
      <c r="BH60" s="10">
        <f t="shared" si="47"/>
        <v>17417.039128304354</v>
      </c>
      <c r="BI60" s="10">
        <f t="shared" si="47"/>
        <v>16337.728248881418</v>
      </c>
      <c r="BJ60" s="10">
        <f t="shared" si="47"/>
        <v>16917.896585885806</v>
      </c>
      <c r="BK60" s="10">
        <f t="shared" si="47"/>
        <v>17172.831399019477</v>
      </c>
      <c r="BO60" s="23">
        <f>BO53+BO58</f>
        <v>64476.711247776708</v>
      </c>
      <c r="BP60" s="23">
        <f t="shared" ref="BP60:BT60" si="48">BP53+BP58</f>
        <v>68304.738184088987</v>
      </c>
      <c r="BQ60" s="23">
        <f t="shared" si="48"/>
        <v>52343.85310908081</v>
      </c>
      <c r="BR60" s="23">
        <f t="shared" si="48"/>
        <v>63227.332464386243</v>
      </c>
      <c r="BS60" s="23">
        <f t="shared" si="48"/>
        <v>47151.017907686117</v>
      </c>
      <c r="BT60" s="23">
        <f t="shared" si="48"/>
        <v>72499.27489800207</v>
      </c>
    </row>
    <row r="63" spans="1:72" outlineLevel="1" x14ac:dyDescent="0.25">
      <c r="A63" s="11" t="s">
        <v>71</v>
      </c>
      <c r="C63" s="2" t="s">
        <v>74</v>
      </c>
      <c r="D63" s="8">
        <f>IFERROR(
GETPIVOTDATA(
"[Base].[Importe]",
TDinamica_R!$A$5,
"[Calendario].[AñoMes]",
"[Calendario].[AñoMes].&amp;[" &amp; TEXT(D$6,"yyyymm") &amp; "]",
"[Base].[Metrica]",
"[Base].[Metrica].&amp;[" &amp; $A63 &amp; "]",
"[Base].[SEGMENTO_DESCRIP]",
"[Base].[SEGMENTO_DESCRIP].&amp;[" &amp; $C$6 &amp; "]",
"[Base].[SITUACION]",
"[Base].[SITUACION].&amp;[" &amp; $C63 &amp; "]"
),0)/1000</f>
        <v>542.9335413</v>
      </c>
      <c r="E63" s="8">
        <f>IFERROR(
GETPIVOTDATA(
"[Base].[Importe]",
TDinamica_R!$A$5,
"[Calendario].[AñoMes]",
"[Calendario].[AñoMes].&amp;[" &amp; TEXT(E$6,"yyyymm") &amp; "]",
"[Base].[Metrica]",
"[Base].[Metrica].&amp;[" &amp; $A63 &amp; "]",
"[Base].[SEGMENTO_DESCRIP]",
"[Base].[SEGMENTO_DESCRIP].&amp;[" &amp; $C$6 &amp; "]",
"[Base].[SITUACION]",
"[Base].[SITUACION].&amp;[" &amp; $C63 &amp; "]"
),0)/1000</f>
        <v>436.43974650000001</v>
      </c>
      <c r="F63" s="8">
        <f>IFERROR(
GETPIVOTDATA(
"[Base].[Importe]",
TDinamica_R!$A$5,
"[Calendario].[AñoMes]",
"[Calendario].[AñoMes].&amp;[" &amp; TEXT(F$6,"yyyymm") &amp; "]",
"[Base].[Metrica]",
"[Base].[Metrica].&amp;[" &amp; $A63 &amp; "]",
"[Base].[SEGMENTO_DESCRIP]",
"[Base].[SEGMENTO_DESCRIP].&amp;[" &amp; $C$6 &amp; "]",
"[Base].[SITUACION]",
"[Base].[SITUACION].&amp;[" &amp; $C63 &amp; "]"
),0)/1000</f>
        <v>467.73199879999999</v>
      </c>
      <c r="G63" s="8">
        <f>IFERROR(
GETPIVOTDATA(
"[Base].[Importe]",
TDinamica_R!$A$5,
"[Calendario].[AñoMes]",
"[Calendario].[AñoMes].&amp;[" &amp; TEXT(G$6,"yyyymm") &amp; "]",
"[Base].[Metrica]",
"[Base].[Metrica].&amp;[" &amp; $A63 &amp; "]",
"[Base].[SEGMENTO_DESCRIP]",
"[Base].[SEGMENTO_DESCRIP].&amp;[" &amp; $C$6 &amp; "]",
"[Base].[SITUACION]",
"[Base].[SITUACION].&amp;[" &amp; $C63 &amp; "]"
),0)/1000</f>
        <v>468.26577649999996</v>
      </c>
      <c r="H63" s="8">
        <f>IFERROR(
GETPIVOTDATA(
"[Base].[Importe]",
TDinamica_R!$A$5,
"[Calendario].[AñoMes]",
"[Calendario].[AñoMes].&amp;[" &amp; TEXT(H$6,"yyyymm") &amp; "]",
"[Base].[Metrica]",
"[Base].[Metrica].&amp;[" &amp; $A63 &amp; "]",
"[Base].[SEGMENTO_DESCRIP]",
"[Base].[SEGMENTO_DESCRIP].&amp;[" &amp; $C$6 &amp; "]",
"[Base].[SITUACION]",
"[Base].[SITUACION].&amp;[" &amp; $C63 &amp; "]"
),0)/1000</f>
        <v>471.19308029999996</v>
      </c>
      <c r="I63" s="8">
        <f>IFERROR(
GETPIVOTDATA(
"[Base].[Importe]",
TDinamica_R!$A$5,
"[Calendario].[AñoMes]",
"[Calendario].[AñoMes].&amp;[" &amp; TEXT(I$6,"yyyymm") &amp; "]",
"[Base].[Metrica]",
"[Base].[Metrica].&amp;[" &amp; $A63 &amp; "]",
"[Base].[SEGMENTO_DESCRIP]",
"[Base].[SEGMENTO_DESCRIP].&amp;[" &amp; $C$6 &amp; "]",
"[Base].[SITUACION]",
"[Base].[SITUACION].&amp;[" &amp; $C63 &amp; "]"
),0)/1000</f>
        <v>505.22179130000001</v>
      </c>
      <c r="J63" s="8">
        <f>IFERROR(
GETPIVOTDATA(
"[Base].[Importe]",
TDinamica_R!$A$5,
"[Calendario].[AñoMes]",
"[Calendario].[AñoMes].&amp;[" &amp; TEXT(J$6,"yyyymm") &amp; "]",
"[Base].[Metrica]",
"[Base].[Metrica].&amp;[" &amp; $A63 &amp; "]",
"[Base].[SEGMENTO_DESCRIP]",
"[Base].[SEGMENTO_DESCRIP].&amp;[" &amp; $C$6 &amp; "]",
"[Base].[SITUACION]",
"[Base].[SITUACION].&amp;[" &amp; $C63 &amp; "]"
),0)/1000</f>
        <v>506.09973660000003</v>
      </c>
      <c r="K63" s="8">
        <f>IFERROR(
GETPIVOTDATA(
"[Base].[Importe]",
TDinamica_R!$A$5,
"[Calendario].[AñoMes]",
"[Calendario].[AñoMes].&amp;[" &amp; TEXT(K$6,"yyyymm") &amp; "]",
"[Base].[Metrica]",
"[Base].[Metrica].&amp;[" &amp; $A63 &amp; "]",
"[Base].[SEGMENTO_DESCRIP]",
"[Base].[SEGMENTO_DESCRIP].&amp;[" &amp; $C$6 &amp; "]",
"[Base].[SITUACION]",
"[Base].[SITUACION].&amp;[" &amp; $C63 &amp; "]"
),0)/1000</f>
        <v>514.8242199</v>
      </c>
      <c r="L63" s="8">
        <f>IFERROR(
GETPIVOTDATA(
"[Base].[Importe]",
TDinamica_R!$A$5,
"[Calendario].[AñoMes]",
"[Calendario].[AñoMes].&amp;[" &amp; TEXT(L$6,"yyyymm") &amp; "]",
"[Base].[Metrica]",
"[Base].[Metrica].&amp;[" &amp; $A63 &amp; "]",
"[Base].[SEGMENTO_DESCRIP]",
"[Base].[SEGMENTO_DESCRIP].&amp;[" &amp; $C$6 &amp; "]",
"[Base].[SITUACION]",
"[Base].[SITUACION].&amp;[" &amp; $C63 &amp; "]"
),0)/1000</f>
        <v>525.16239870000004</v>
      </c>
      <c r="M63" s="8">
        <f>IFERROR(
GETPIVOTDATA(
"[Base].[Importe]",
TDinamica_R!$A$5,
"[Calendario].[AñoMes]",
"[Calendario].[AñoMes].&amp;[" &amp; TEXT(M$6,"yyyymm") &amp; "]",
"[Base].[Metrica]",
"[Base].[Metrica].&amp;[" &amp; $A63 &amp; "]",
"[Base].[SEGMENTO_DESCRIP]",
"[Base].[SEGMENTO_DESCRIP].&amp;[" &amp; $C$6 &amp; "]",
"[Base].[SITUACION]",
"[Base].[SITUACION].&amp;[" &amp; $C63 &amp; "]"
),0)/1000</f>
        <v>525.83417680000002</v>
      </c>
      <c r="N63" s="8">
        <f>IFERROR(
GETPIVOTDATA(
"[Base].[Importe]",
TDinamica_R!$A$5,
"[Calendario].[AñoMes]",
"[Calendario].[AñoMes].&amp;[" &amp; TEXT(N$6,"yyyymm") &amp; "]",
"[Base].[Metrica]",
"[Base].[Metrica].&amp;[" &amp; $A63 &amp; "]",
"[Base].[SEGMENTO_DESCRIP]",
"[Base].[SEGMENTO_DESCRIP].&amp;[" &amp; $C$6 &amp; "]",
"[Base].[SITUACION]",
"[Base].[SITUACION].&amp;[" &amp; $C63 &amp; "]"
),0)/1000</f>
        <v>533.76464540000006</v>
      </c>
      <c r="O63" s="8">
        <f>IFERROR(
GETPIVOTDATA(
"[Base].[Importe]",
TDinamica_R!$A$5,
"[Calendario].[AñoMes]",
"[Calendario].[AñoMes].&amp;[" &amp; TEXT(O$6,"yyyymm") &amp; "]",
"[Base].[Metrica]",
"[Base].[Metrica].&amp;[" &amp; $A63 &amp; "]",
"[Base].[SEGMENTO_DESCRIP]",
"[Base].[SEGMENTO_DESCRIP].&amp;[" &amp; $C$6 &amp; "]",
"[Base].[SITUACION]",
"[Base].[SITUACION].&amp;[" &amp; $C63 &amp; "]"
),0)/1000</f>
        <v>527.8759743999999</v>
      </c>
      <c r="P63" s="8">
        <f>IFERROR(
GETPIVOTDATA(
"[Base].[Importe]",
TDinamica_R!$A$5,
"[Calendario].[AñoMes]",
"[Calendario].[AñoMes].&amp;[" &amp; TEXT(P$6,"yyyymm") &amp; "]",
"[Base].[Metrica]",
"[Base].[Metrica].&amp;[" &amp; $A63 &amp; "]",
"[Base].[SEGMENTO_DESCRIP]",
"[Base].[SEGMENTO_DESCRIP].&amp;[" &amp; $C$6 &amp; "]",
"[Base].[SITUACION]",
"[Base].[SITUACION].&amp;[" &amp; $C63 &amp; "]"
),0)/1000</f>
        <v>535.71675600000003</v>
      </c>
      <c r="Q63" s="8">
        <f>IFERROR(
GETPIVOTDATA(
"[Base].[Importe]",
TDinamica_R!$A$5,
"[Calendario].[AñoMes]",
"[Calendario].[AñoMes].&amp;[" &amp; TEXT(Q$6,"yyyymm") &amp; "]",
"[Base].[Metrica]",
"[Base].[Metrica].&amp;[" &amp; $A63 &amp; "]",
"[Base].[SEGMENTO_DESCRIP]",
"[Base].[SEGMENTO_DESCRIP].&amp;[" &amp; $C$6 &amp; "]",
"[Base].[SITUACION]",
"[Base].[SITUACION].&amp;[" &amp; $C63 &amp; "]"
),0)/1000</f>
        <v>539.82768180000005</v>
      </c>
      <c r="R63" s="8">
        <f>IFERROR(
GETPIVOTDATA(
"[Base].[Importe]",
TDinamica_R!$A$5,
"[Calendario].[AñoMes]",
"[Calendario].[AñoMes].&amp;[" &amp; TEXT(R$6,"yyyymm") &amp; "]",
"[Base].[Metrica]",
"[Base].[Metrica].&amp;[" &amp; $A63 &amp; "]",
"[Base].[SEGMENTO_DESCRIP]",
"[Base].[SEGMENTO_DESCRIP].&amp;[" &amp; $C$6 &amp; "]",
"[Base].[SITUACION]",
"[Base].[SITUACION].&amp;[" &amp; $C63 &amp; "]"
),0)/1000</f>
        <v>537.08672479999996</v>
      </c>
      <c r="S63" s="8">
        <f>IFERROR(
GETPIVOTDATA(
"[Base].[Importe]",
TDinamica_R!$A$5,
"[Calendario].[AñoMes]",
"[Calendario].[AñoMes].&amp;[" &amp; TEXT(S$6,"yyyymm") &amp; "]",
"[Base].[Metrica]",
"[Base].[Metrica].&amp;[" &amp; $A63 &amp; "]",
"[Base].[SEGMENTO_DESCRIP]",
"[Base].[SEGMENTO_DESCRIP].&amp;[" &amp; $C$6 &amp; "]",
"[Base].[SITUACION]",
"[Base].[SITUACION].&amp;[" &amp; $C63 &amp; "]"
),0)/1000</f>
        <v>582.32008369999994</v>
      </c>
      <c r="T63" s="8">
        <f>IFERROR(
GETPIVOTDATA(
"[Base].[Importe]",
TDinamica_R!$A$5,
"[Calendario].[AñoMes]",
"[Calendario].[AñoMes].&amp;[" &amp; TEXT(T$6,"yyyymm") &amp; "]",
"[Base].[Metrica]",
"[Base].[Metrica].&amp;[" &amp; $A63 &amp; "]",
"[Base].[SEGMENTO_DESCRIP]",
"[Base].[SEGMENTO_DESCRIP].&amp;[" &amp; $C$6 &amp; "]",
"[Base].[SITUACION]",
"[Base].[SITUACION].&amp;[" &amp; $C63 &amp; "]"
),0)/1000</f>
        <v>532.23878709999997</v>
      </c>
      <c r="U63" s="8">
        <f>IFERROR(
GETPIVOTDATA(
"[Base].[Importe]",
TDinamica_R!$A$5,
"[Calendario].[AñoMes]",
"[Calendario].[AñoMes].&amp;[" &amp; TEXT(U$6,"yyyymm") &amp; "]",
"[Base].[Metrica]",
"[Base].[Metrica].&amp;[" &amp; $A63 &amp; "]",
"[Base].[SEGMENTO_DESCRIP]",
"[Base].[SEGMENTO_DESCRIP].&amp;[" &amp; $C$6 &amp; "]",
"[Base].[SITUACION]",
"[Base].[SITUACION].&amp;[" &amp; $C63 &amp; "]"
),0)/1000</f>
        <v>593.68651580000005</v>
      </c>
      <c r="V63" s="8">
        <f>IFERROR(
GETPIVOTDATA(
"[Base].[Importe]",
TDinamica_R!$A$5,
"[Calendario].[AñoMes]",
"[Calendario].[AñoMes].&amp;[" &amp; TEXT(V$6,"yyyymm") &amp; "]",
"[Base].[Metrica]",
"[Base].[Metrica].&amp;[" &amp; $A63 &amp; "]",
"[Base].[SEGMENTO_DESCRIP]",
"[Base].[SEGMENTO_DESCRIP].&amp;[" &amp; $C$6 &amp; "]",
"[Base].[SITUACION]",
"[Base].[SITUACION].&amp;[" &amp; $C63 &amp; "]"
),0)/1000</f>
        <v>593.88121440000009</v>
      </c>
      <c r="W63" s="8">
        <f>IFERROR(
GETPIVOTDATA(
"[Base].[Importe]",
TDinamica_R!$A$5,
"[Calendario].[AñoMes]",
"[Calendario].[AñoMes].&amp;[" &amp; TEXT(W$6,"yyyymm") &amp; "]",
"[Base].[Metrica]",
"[Base].[Metrica].&amp;[" &amp; $A63 &amp; "]",
"[Base].[SEGMENTO_DESCRIP]",
"[Base].[SEGMENTO_DESCRIP].&amp;[" &amp; $C$6 &amp; "]",
"[Base].[SITUACION]",
"[Base].[SITUACION].&amp;[" &amp; $C63 &amp; "]"
),0)/1000</f>
        <v>591.3317065</v>
      </c>
      <c r="X63" s="8">
        <f>IFERROR(
GETPIVOTDATA(
"[Base].[Importe]",
TDinamica_R!$A$5,
"[Calendario].[AñoMes]",
"[Calendario].[AñoMes].&amp;[" &amp; TEXT(X$6,"yyyymm") &amp; "]",
"[Base].[Metrica]",
"[Base].[Metrica].&amp;[" &amp; $A63 &amp; "]",
"[Base].[SEGMENTO_DESCRIP]",
"[Base].[SEGMENTO_DESCRIP].&amp;[" &amp; $C$6 &amp; "]",
"[Base].[SITUACION]",
"[Base].[SITUACION].&amp;[" &amp; $C63 &amp; "]"
),0)/1000</f>
        <v>1227.3009360000001</v>
      </c>
      <c r="Y63" s="8">
        <f>IFERROR(
GETPIVOTDATA(
"[Base].[Importe]",
TDinamica_R!$A$5,
"[Calendario].[AñoMes]",
"[Calendario].[AñoMes].&amp;[" &amp; TEXT(Y$6,"yyyymm") &amp; "]",
"[Base].[Metrica]",
"[Base].[Metrica].&amp;[" &amp; $A63 &amp; "]",
"[Base].[SEGMENTO_DESCRIP]",
"[Base].[SEGMENTO_DESCRIP].&amp;[" &amp; $C$6 &amp; "]",
"[Base].[SITUACION]",
"[Base].[SITUACION].&amp;[" &amp; $C63 &amp; "]"
),0)/1000</f>
        <v>-18.48361534</v>
      </c>
      <c r="Z63" s="8">
        <f>IFERROR(
GETPIVOTDATA(
"[Base].[Importe]",
TDinamica_R!$A$5,
"[Calendario].[AñoMes]",
"[Calendario].[AñoMes].&amp;[" &amp; TEXT(Z$6,"yyyymm") &amp; "]",
"[Base].[Metrica]",
"[Base].[Metrica].&amp;[" &amp; $A63 &amp; "]",
"[Base].[SEGMENTO_DESCRIP]",
"[Base].[SEGMENTO_DESCRIP].&amp;[" &amp; $C$6 &amp; "]",
"[Base].[SITUACION]",
"[Base].[SITUACION].&amp;[" &amp; $C63 &amp; "]"
),0)/1000</f>
        <v>588.95919709999998</v>
      </c>
      <c r="AA63" s="8">
        <f>IFERROR(
GETPIVOTDATA(
"[Base].[Importe]",
TDinamica_R!$A$5,
"[Calendario].[AñoMes]",
"[Calendario].[AñoMes].&amp;[" &amp; TEXT(AA$6,"yyyymm") &amp; "]",
"[Base].[Metrica]",
"[Base].[Metrica].&amp;[" &amp; $A63 &amp; "]",
"[Base].[SEGMENTO_DESCRIP]",
"[Base].[SEGMENTO_DESCRIP].&amp;[" &amp; $C$6 &amp; "]",
"[Base].[SITUACION]",
"[Base].[SITUACION].&amp;[" &amp; $C63 &amp; "]"
),0)/1000</f>
        <v>573.80725110000003</v>
      </c>
      <c r="AB63" s="8">
        <f>IFERROR(
GETPIVOTDATA(
"[Base].[Importe]",
TDinamica_R!$A$5,
"[Calendario].[AñoMes]",
"[Calendario].[AñoMes].&amp;[" &amp; TEXT(AB$6,"yyyymm") &amp; "]",
"[Base].[Metrica]",
"[Base].[Metrica].&amp;[" &amp; $A63 &amp; "]",
"[Base].[SEGMENTO_DESCRIP]",
"[Base].[SEGMENTO_DESCRIP].&amp;[" &amp; $C$6 &amp; "]",
"[Base].[SITUACION]",
"[Base].[SITUACION].&amp;[" &amp; $C63 &amp; "]"
),0)/1000</f>
        <v>600.8453154</v>
      </c>
      <c r="AC63" s="8">
        <f>IFERROR(
GETPIVOTDATA(
"[Base].[Importe]",
TDinamica_R!$A$5,
"[Calendario].[AñoMes]",
"[Calendario].[AñoMes].&amp;[" &amp; TEXT(AC$6,"yyyymm") &amp; "]",
"[Base].[Metrica]",
"[Base].[Metrica].&amp;[" &amp; $A63 &amp; "]",
"[Base].[SEGMENTO_DESCRIP]",
"[Base].[SEGMENTO_DESCRIP].&amp;[" &amp; $C$6 &amp; "]",
"[Base].[SITUACION]",
"[Base].[SITUACION].&amp;[" &amp; $C63 &amp; "]"
),0)/1000</f>
        <v>510.48923409999998</v>
      </c>
      <c r="AD63" s="8">
        <f>IFERROR(
GETPIVOTDATA(
"[Base].[Importe]",
TDinamica_R!$A$5,
"[Calendario].[AñoMes]",
"[Calendario].[AñoMes].&amp;[" &amp; TEXT(AD$6,"yyyymm") &amp; "]",
"[Base].[Metrica]",
"[Base].[Metrica].&amp;[" &amp; $A63 &amp; "]",
"[Base].[SEGMENTO_DESCRIP]",
"[Base].[SEGMENTO_DESCRIP].&amp;[" &amp; $C$6 &amp; "]",
"[Base].[SITUACION]",
"[Base].[SITUACION].&amp;[" &amp; $C63 &amp; "]"
),0)/1000</f>
        <v>508.40108670000001</v>
      </c>
      <c r="AE63" s="8">
        <f>IFERROR(
GETPIVOTDATA(
"[Base].[Importe]",
TDinamica_R!$A$5,
"[Calendario].[AñoMes]",
"[Calendario].[AñoMes].&amp;[" &amp; TEXT(AE$6,"yyyymm") &amp; "]",
"[Base].[Metrica]",
"[Base].[Metrica].&amp;[" &amp; $A63 &amp; "]",
"[Base].[SEGMENTO_DESCRIP]",
"[Base].[SEGMENTO_DESCRIP].&amp;[" &amp; $C$6 &amp; "]",
"[Base].[SITUACION]",
"[Base].[SITUACION].&amp;[" &amp; $C63 &amp; "]"
),0)/1000</f>
        <v>512.73573260000001</v>
      </c>
      <c r="AF63" s="8">
        <f>IFERROR(
GETPIVOTDATA(
"[Base].[Importe]",
TDinamica_R!$A$5,
"[Calendario].[AñoMes]",
"[Calendario].[AñoMes].&amp;[" &amp; TEXT(AF$6,"yyyymm") &amp; "]",
"[Base].[Metrica]",
"[Base].[Metrica].&amp;[" &amp; $A63 &amp; "]",
"[Base].[SEGMENTO_DESCRIP]",
"[Base].[SEGMENTO_DESCRIP].&amp;[" &amp; $C$6 &amp; "]",
"[Base].[SITUACION]",
"[Base].[SITUACION].&amp;[" &amp; $C63 &amp; "]"
),0)/1000</f>
        <v>504.49886570000001</v>
      </c>
      <c r="AG63" s="8">
        <f>IFERROR(
GETPIVOTDATA(
"[Base].[Importe]",
TDinamica_R!$A$5,
"[Calendario].[AñoMes]",
"[Calendario].[AñoMes].&amp;[" &amp; TEXT(AG$6,"yyyymm") &amp; "]",
"[Base].[Metrica]",
"[Base].[Metrica].&amp;[" &amp; $A63 &amp; "]",
"[Base].[SEGMENTO_DESCRIP]",
"[Base].[SEGMENTO_DESCRIP].&amp;[" &amp; $C$6 &amp; "]",
"[Base].[SITUACION]",
"[Base].[SITUACION].&amp;[" &amp; $C63 &amp; "]"
),0)/1000</f>
        <v>531.69492309999998</v>
      </c>
      <c r="AH63" s="8">
        <f>IFERROR(
GETPIVOTDATA(
"[Base].[Importe]",
TDinamica_R!$A$5,
"[Calendario].[AñoMes]",
"[Calendario].[AñoMes].&amp;[" &amp; TEXT(AH$6,"yyyymm") &amp; "]",
"[Base].[Metrica]",
"[Base].[Metrica].&amp;[" &amp; $A63 &amp; "]",
"[Base].[SEGMENTO_DESCRIP]",
"[Base].[SEGMENTO_DESCRIP].&amp;[" &amp; $C$6 &amp; "]",
"[Base].[SITUACION]",
"[Base].[SITUACION].&amp;[" &amp; $C63 &amp; "]"
),0)/1000</f>
        <v>513.88549109999997</v>
      </c>
      <c r="AI63" s="8">
        <f>IFERROR(
GETPIVOTDATA(
"[Base].[Importe]",
TDinamica_R!$A$5,
"[Calendario].[AñoMes]",
"[Calendario].[AñoMes].&amp;[" &amp; TEXT(AI$6,"yyyymm") &amp; "]",
"[Base].[Metrica]",
"[Base].[Metrica].&amp;[" &amp; $A63 &amp; "]",
"[Base].[SEGMENTO_DESCRIP]",
"[Base].[SEGMENTO_DESCRIP].&amp;[" &amp; $C$6 &amp; "]",
"[Base].[SITUACION]",
"[Base].[SITUACION].&amp;[" &amp; $C63 &amp; "]"
),0)/1000</f>
        <v>565.27386130000002</v>
      </c>
      <c r="AJ63" s="8">
        <f>IFERROR(
GETPIVOTDATA(
"[Base].[Importe]",
TDinamica_R!$A$5,
"[Calendario].[AñoMes]",
"[Calendario].[AñoMes].&amp;[" &amp; TEXT(AJ$6,"yyyymm") &amp; "]",
"[Base].[Metrica]",
"[Base].[Metrica].&amp;[" &amp; $A63 &amp; "]",
"[Base].[SEGMENTO_DESCRIP]",
"[Base].[SEGMENTO_DESCRIP].&amp;[" &amp; $C$6 &amp; "]",
"[Base].[SITUACION]",
"[Base].[SITUACION].&amp;[" &amp; $C63 &amp; "]"
),0)/1000</f>
        <v>541.09967469999992</v>
      </c>
      <c r="AK63" s="8">
        <f>IFERROR(
GETPIVOTDATA(
"[Base].[Importe]",
TDinamica_R!$A$5,
"[Calendario].[AñoMes]",
"[Calendario].[AñoMes].&amp;[" &amp; TEXT(AK$6,"yyyymm") &amp; "]",
"[Base].[Metrica]",
"[Base].[Metrica].&amp;[" &amp; $A63 &amp; "]",
"[Base].[SEGMENTO_DESCRIP]",
"[Base].[SEGMENTO_DESCRIP].&amp;[" &amp; $C$6 &amp; "]",
"[Base].[SITUACION]",
"[Base].[SITUACION].&amp;[" &amp; $C63 &amp; "]"
),0)/1000</f>
        <v>535.06860540000002</v>
      </c>
      <c r="AL63" s="8">
        <f>IFERROR(
GETPIVOTDATA(
"[Base].[Importe]",
TDinamica_R!$A$5,
"[Calendario].[AñoMes]",
"[Calendario].[AñoMes].&amp;[" &amp; TEXT(AL$6,"yyyymm") &amp; "]",
"[Base].[Metrica]",
"[Base].[Metrica].&amp;[" &amp; $A63 &amp; "]",
"[Base].[SEGMENTO_DESCRIP]",
"[Base].[SEGMENTO_DESCRIP].&amp;[" &amp; $C$6 &amp; "]",
"[Base].[SITUACION]",
"[Base].[SITUACION].&amp;[" &amp; $C63 &amp; "]"
),0)/1000</f>
        <v>591.98881989999995</v>
      </c>
      <c r="AM63" s="8">
        <f>IFERROR(
GETPIVOTDATA(
"[Base].[Importe]",
TDinamica_R!$A$5,
"[Calendario].[AñoMes]",
"[Calendario].[AñoMes].&amp;[" &amp; TEXT(AM$6,"yyyymm") &amp; "]",
"[Base].[Metrica]",
"[Base].[Metrica].&amp;[" &amp; $A63 &amp; "]",
"[Base].[SEGMENTO_DESCRIP]",
"[Base].[SEGMENTO_DESCRIP].&amp;[" &amp; $C$6 &amp; "]",
"[Base].[SITUACION]",
"[Base].[SITUACION].&amp;[" &amp; $C63 &amp; "]"
),0)/1000</f>
        <v>534.08110349999993</v>
      </c>
      <c r="AN63" s="8">
        <f>IFERROR(
GETPIVOTDATA(
"[Base].[Importe]",
TDinamica_R!$A$5,
"[Calendario].[AñoMes]",
"[Calendario].[AñoMes].&amp;[" &amp; TEXT(AN$6,"yyyymm") &amp; "]",
"[Base].[Metrica]",
"[Base].[Metrica].&amp;[" &amp; $A63 &amp; "]",
"[Base].[SEGMENTO_DESCRIP]",
"[Base].[SEGMENTO_DESCRIP].&amp;[" &amp; $C$6 &amp; "]",
"[Base].[SITUACION]",
"[Base].[SITUACION].&amp;[" &amp; $C63 &amp; "]"
),0)/1000</f>
        <v>518.12278622549331</v>
      </c>
      <c r="AO63" s="8">
        <f>IFERROR(
GETPIVOTDATA(
"[Base].[Importe]",
TDinamica_R!$A$5,
"[Calendario].[AñoMes]",
"[Calendario].[AñoMes].&amp;[" &amp; TEXT(AO$6,"yyyymm") &amp; "]",
"[Base].[Metrica]",
"[Base].[Metrica].&amp;[" &amp; $A63 &amp; "]",
"[Base].[SEGMENTO_DESCRIP]",
"[Base].[SEGMENTO_DESCRIP].&amp;[" &amp; $C$6 &amp; "]",
"[Base].[SITUACION]",
"[Base].[SITUACION].&amp;[" &amp; $C63 &amp; "]"
),0)/1000</f>
        <v>508.45305657020759</v>
      </c>
      <c r="AP63" s="8">
        <f>IFERROR(
GETPIVOTDATA(
"[Base].[Importe]",
TDinamica_R!$A$5,
"[Calendario].[AñoMes]",
"[Calendario].[AñoMes].&amp;[" &amp; TEXT(AP$6,"yyyymm") &amp; "]",
"[Base].[Metrica]",
"[Base].[Metrica].&amp;[" &amp; $A63 &amp; "]",
"[Base].[SEGMENTO_DESCRIP]",
"[Base].[SEGMENTO_DESCRIP].&amp;[" &amp; $C$6 &amp; "]",
"[Base].[SITUACION]",
"[Base].[SITUACION].&amp;[" &amp; $C63 &amp; "]"
),0)/1000</f>
        <v>499.2376986708415</v>
      </c>
      <c r="AQ63" s="8">
        <f>IFERROR(
GETPIVOTDATA(
"[Base].[Importe]",
TDinamica_R!$A$5,
"[Calendario].[AñoMes]",
"[Calendario].[AñoMes].&amp;[" &amp; TEXT(AQ$6,"yyyymm") &amp; "]",
"[Base].[Metrica]",
"[Base].[Metrica].&amp;[" &amp; $A63 &amp; "]",
"[Base].[SEGMENTO_DESCRIP]",
"[Base].[SEGMENTO_DESCRIP].&amp;[" &amp; $C$6 &amp; "]",
"[Base].[SITUACION]",
"[Base].[SITUACION].&amp;[" &amp; $C63 &amp; "]"
),0)/1000</f>
        <v>510.36880407282291</v>
      </c>
      <c r="AR63" s="8">
        <f>IFERROR(
GETPIVOTDATA(
"[Base].[Importe]",
TDinamica_R!$A$5,
"[Calendario].[AñoMes]",
"[Calendario].[AñoMes].&amp;[" &amp; TEXT(AR$6,"yyyymm") &amp; "]",
"[Base].[Metrica]",
"[Base].[Metrica].&amp;[" &amp; $A63 &amp; "]",
"[Base].[SEGMENTO_DESCRIP]",
"[Base].[SEGMENTO_DESCRIP].&amp;[" &amp; $C$6 &amp; "]",
"[Base].[SITUACION]",
"[Base].[SITUACION].&amp;[" &amp; $C63 &amp; "]"
),0)/1000</f>
        <v>516.91764507022833</v>
      </c>
      <c r="AS63" s="8">
        <f>IFERROR(
GETPIVOTDATA(
"[Base].[Importe]",
TDinamica_R!$A$5,
"[Calendario].[AñoMes]",
"[Calendario].[AñoMes].&amp;[" &amp; TEXT(AS$6,"yyyymm") &amp; "]",
"[Base].[Metrica]",
"[Base].[Metrica].&amp;[" &amp; $A63 &amp; "]",
"[Base].[SEGMENTO_DESCRIP]",
"[Base].[SEGMENTO_DESCRIP].&amp;[" &amp; $C$6 &amp; "]",
"[Base].[SITUACION]",
"[Base].[SITUACION].&amp;[" &amp; $C63 &amp; "]"
),0)/1000</f>
        <v>513.82152644165694</v>
      </c>
      <c r="AT63" s="8">
        <f>IFERROR(
GETPIVOTDATA(
"[Base].[Importe]",
TDinamica_R!$A$5,
"[Calendario].[AñoMes]",
"[Calendario].[AñoMes].&amp;[" &amp; TEXT(AT$6,"yyyymm")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U63" s="8">
        <f>IFERROR(
GETPIVOTDATA(
"[Base].[Importe]",
TDinamica_R!$A$5,
"[Calendario].[AñoMes]",
"[Calendario].[AñoMes].&amp;[" &amp; TEXT(AU$6,"yyyymm")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V63" s="8">
        <f>IFERROR(
GETPIVOTDATA(
"[Base].[Importe]",
TDinamica_R!$A$5,
"[Calendario].[AñoMes]",
"[Calendario].[AñoMes].&amp;[" &amp; TEXT(AV$6,"yyyymm")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W63" s="8">
        <f>IFERROR(
GETPIVOTDATA(
"[Base].[Importe]",
TDinamica_R!$A$5,
"[Calendario].[AñoMes]",
"[Calendario].[AñoMes].&amp;[" &amp; TEXT(AW$6,"yyyymm")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X63" s="8">
        <f>IFERROR(
GETPIVOTDATA(
"[Base].[Importe]",
TDinamica_R!$A$5,
"[Calendario].[AñoMes]",
"[Calendario].[AñoMes].&amp;[" &amp; TEXT(AX$6,"yyyymm")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Y63" s="8">
        <f>IFERROR(
GETPIVOTDATA(
"[Base].[Importe]",
TDinamica_R!$A$5,
"[Calendario].[AñoMes]",
"[Calendario].[AñoMes].&amp;[" &amp; TEXT(AY$6,"yyyymm")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Z63" s="8">
        <f>IFERROR(
GETPIVOTDATA(
"[BASE_CONVE_PPTO].[Importe]",
TDinamica_P!$A$5,
"[BASE_CONVE_PPTO].[Periodo]",
"[BASE_CONVE_PPTO].[Periodo].&amp;[" &amp; TEXT(AZ$6,"yyyymm")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540.16276143972823</v>
      </c>
      <c r="BA63" s="8">
        <f>IFERROR(
GETPIVOTDATA(
"[BASE_CONVE_PPTO].[Importe]",
TDinamica_P!$A$5,
"[BASE_CONVE_PPTO].[Periodo]",
"[BASE_CONVE_PPTO].[Periodo].&amp;[" &amp; TEXT(BA$6,"yyyymm")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542.64489023291128</v>
      </c>
      <c r="BB63" s="8">
        <f>IFERROR(
GETPIVOTDATA(
"[BASE_CONVE_PPTO].[Importe]",
TDinamica_P!$A$5,
"[BASE_CONVE_PPTO].[Periodo]",
"[BASE_CONVE_PPTO].[Periodo].&amp;[" &amp; TEXT(BB$6,"yyyymm")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545.93525314029796</v>
      </c>
      <c r="BC63" s="8">
        <f>IFERROR(
GETPIVOTDATA(
"[BASE_CONVE_PPTO].[Importe]",
TDinamica_P!$A$5,
"[BASE_CONVE_PPTO].[Periodo]",
"[BASE_CONVE_PPTO].[Periodo].&amp;[" &amp; TEXT(BC$6,"yyyymm")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547.97775583794567</v>
      </c>
      <c r="BD63" s="8">
        <f>IFERROR(
GETPIVOTDATA(
"[BASE_CONVE_PPTO].[Importe]",
TDinamica_P!$A$5,
"[BASE_CONVE_PPTO].[Periodo]",
"[BASE_CONVE_PPTO].[Periodo].&amp;[" &amp; TEXT(BD$6,"yyyymm")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550.18062639055347</v>
      </c>
      <c r="BE63" s="8">
        <f>IFERROR(
GETPIVOTDATA(
"[BASE_CONVE_PPTO].[Importe]",
TDinamica_P!$A$5,
"[BASE_CONVE_PPTO].[Periodo]",
"[BASE_CONVE_PPTO].[Periodo].&amp;[" &amp; TEXT(BE$6,"yyyymm")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552.95753741759177</v>
      </c>
      <c r="BF63" s="8">
        <f>IFERROR(
GETPIVOTDATA(
"[BASE_CONVE_PPTO].[Importe]",
TDinamica_P!$A$5,
"[BASE_CONVE_PPTO].[Periodo]",
"[BASE_CONVE_PPTO].[Periodo].&amp;[" &amp; TEXT(BF$6,"yyyymm")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555.60572928304964</v>
      </c>
      <c r="BG63" s="8">
        <f>IFERROR(
GETPIVOTDATA(
"[BASE_CONVE_PPTO].[Importe]",
TDinamica_P!$A$5,
"[BASE_CONVE_PPTO].[Periodo]",
"[BASE_CONVE_PPTO].[Periodo].&amp;[" &amp; TEXT(BG$6,"yyyymm")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558.21727405351805</v>
      </c>
      <c r="BH63" s="8">
        <f>IFERROR(
GETPIVOTDATA(
"[BASE_CONVE_PPTO].[Importe]",
TDinamica_P!$A$5,
"[BASE_CONVE_PPTO].[Periodo]",
"[BASE_CONVE_PPTO].[Periodo].&amp;[" &amp; TEXT(BH$6,"yyyymm")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561.38063222366964</v>
      </c>
      <c r="BI63" s="8">
        <f>IFERROR(
GETPIVOTDATA(
"[BASE_CONVE_PPTO].[Importe]",
TDinamica_P!$A$5,
"[BASE_CONVE_PPTO].[Periodo]",
"[BASE_CONVE_PPTO].[Periodo].&amp;[" &amp; TEXT(BI$6,"yyyymm")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563.88524922792431</v>
      </c>
      <c r="BJ63" s="8">
        <f>IFERROR(
GETPIVOTDATA(
"[BASE_CONVE_PPTO].[Importe]",
TDinamica_P!$A$5,
"[BASE_CONVE_PPTO].[Periodo]",
"[BASE_CONVE_PPTO].[Periodo].&amp;[" &amp; TEXT(BJ$6,"yyyymm")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566.40161885106284</v>
      </c>
      <c r="BK63" s="8">
        <f>IFERROR(
GETPIVOTDATA(
"[BASE_CONVE_PPTO].[Importe]",
TDinamica_P!$A$5,
"[BASE_CONVE_PPTO].[Periodo]",
"[BASE_CONVE_PPTO].[Periodo].&amp;[" &amp; TEXT(BK$6,"yyyymm")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568.2718869778322</v>
      </c>
      <c r="BO63" s="24">
        <f t="shared" ref="BO63:BT72" si="49">SUMIFS($D63:$BM63,$D$6:$BM$6,"&gt;="&amp;BO$2,$D$6:$BM$6,"&lt;="&amp;BO$6,$D$5:$BM$5,BO$5)</f>
        <v>2553.099990609594</v>
      </c>
      <c r="BP63" s="24">
        <f t="shared" si="49"/>
        <v>2726.9012870414363</v>
      </c>
      <c r="BQ63" s="24">
        <f t="shared" si="49"/>
        <v>2036.1823455393655</v>
      </c>
      <c r="BR63" s="24">
        <f t="shared" si="49"/>
        <v>2636.9702344999996</v>
      </c>
      <c r="BS63" s="24">
        <f t="shared" si="49"/>
        <v>2727.1900334000002</v>
      </c>
      <c r="BT63" s="24">
        <f t="shared" si="49"/>
        <v>2386.5641433999999</v>
      </c>
    </row>
    <row r="64" spans="1:72" outlineLevel="1" x14ac:dyDescent="0.25">
      <c r="A64" s="11" t="s">
        <v>71</v>
      </c>
      <c r="C64" s="2" t="s">
        <v>72</v>
      </c>
      <c r="D64" s="8">
        <f>IFERROR(
GETPIVOTDATA(
"[Base].[Importe]",
TDinamica_R!$A$5,
"[Calendario].[AñoMes]",
"[Calendario].[AñoMes].&amp;[" &amp; TEXT(D$6,"yyyymm") &amp; "]",
"[Base].[Metrica]",
"[Base].[Metrica].&amp;[" &amp; $A64 &amp; "]",
"[Base].[SEGMENTO_DESCRIP]",
"[Base].[SEGMENTO_DESCRIP].&amp;[" &amp; $C$6 &amp; "]",
"[Base].[SITUACION]",
"[Base].[SITUACION].&amp;[" &amp; $C64 &amp; "]"
),0)/1000</f>
        <v>661.00006999999994</v>
      </c>
      <c r="E64" s="8">
        <f>IFERROR(
GETPIVOTDATA(
"[Base].[Importe]",
TDinamica_R!$A$5,
"[Calendario].[AñoMes]",
"[Calendario].[AñoMes].&amp;[" &amp; TEXT(E$6,"yyyymm") &amp; "]",
"[Base].[Metrica]",
"[Base].[Metrica].&amp;[" &amp; $A64 &amp; "]",
"[Base].[SEGMENTO_DESCRIP]",
"[Base].[SEGMENTO_DESCRIP].&amp;[" &amp; $C$6 &amp; "]",
"[Base].[SITUACION]",
"[Base].[SITUACION].&amp;[" &amp; $C64 &amp; "]"
),0)/1000</f>
        <v>655.59431000000006</v>
      </c>
      <c r="F64" s="8">
        <f>IFERROR(
GETPIVOTDATA(
"[Base].[Importe]",
TDinamica_R!$A$5,
"[Calendario].[AñoMes]",
"[Calendario].[AñoMes].&amp;[" &amp; TEXT(F$6,"yyyymm") &amp; "]",
"[Base].[Metrica]",
"[Base].[Metrica].&amp;[" &amp; $A64 &amp; "]",
"[Base].[SEGMENTO_DESCRIP]",
"[Base].[SEGMENTO_DESCRIP].&amp;[" &amp; $C$6 &amp; "]",
"[Base].[SITUACION]",
"[Base].[SITUACION].&amp;[" &amp; $C64 &amp; "]"
),0)/1000</f>
        <v>658.04221999999993</v>
      </c>
      <c r="G64" s="8">
        <f>IFERROR(
GETPIVOTDATA(
"[Base].[Importe]",
TDinamica_R!$A$5,
"[Calendario].[AñoMes]",
"[Calendario].[AñoMes].&amp;[" &amp; TEXT(G$6,"yyyymm") &amp; "]",
"[Base].[Metrica]",
"[Base].[Metrica].&amp;[" &amp; $A64 &amp; "]",
"[Base].[SEGMENTO_DESCRIP]",
"[Base].[SEGMENTO_DESCRIP].&amp;[" &amp; $C$6 &amp; "]",
"[Base].[SITUACION]",
"[Base].[SITUACION].&amp;[" &amp; $C64 &amp; "]"
),0)/1000</f>
        <v>625.90890000000002</v>
      </c>
      <c r="H64" s="8">
        <f>IFERROR(
GETPIVOTDATA(
"[Base].[Importe]",
TDinamica_R!$A$5,
"[Calendario].[AñoMes]",
"[Calendario].[AñoMes].&amp;[" &amp; TEXT(H$6,"yyyymm") &amp; "]",
"[Base].[Metrica]",
"[Base].[Metrica].&amp;[" &amp; $A64 &amp; "]",
"[Base].[SEGMENTO_DESCRIP]",
"[Base].[SEGMENTO_DESCRIP].&amp;[" &amp; $C$6 &amp; "]",
"[Base].[SITUACION]",
"[Base].[SITUACION].&amp;[" &amp; $C64 &amp; "]"
),0)/1000</f>
        <v>646.43676000000005</v>
      </c>
      <c r="I64" s="8">
        <f>IFERROR(
GETPIVOTDATA(
"[Base].[Importe]",
TDinamica_R!$A$5,
"[Calendario].[AñoMes]",
"[Calendario].[AñoMes].&amp;[" &amp; TEXT(I$6,"yyyymm") &amp; "]",
"[Base].[Metrica]",
"[Base].[Metrica].&amp;[" &amp; $A64 &amp; "]",
"[Base].[SEGMENTO_DESCRIP]",
"[Base].[SEGMENTO_DESCRIP].&amp;[" &amp; $C$6 &amp; "]",
"[Base].[SITUACION]",
"[Base].[SITUACION].&amp;[" &amp; $C64 &amp; "]"
),0)/1000</f>
        <v>661.82788000000005</v>
      </c>
      <c r="J64" s="8">
        <f>IFERROR(
GETPIVOTDATA(
"[Base].[Importe]",
TDinamica_R!$A$5,
"[Calendario].[AñoMes]",
"[Calendario].[AñoMes].&amp;[" &amp; TEXT(J$6,"yyyymm") &amp; "]",
"[Base].[Metrica]",
"[Base].[Metrica].&amp;[" &amp; $A64 &amp; "]",
"[Base].[SEGMENTO_DESCRIP]",
"[Base].[SEGMENTO_DESCRIP].&amp;[" &amp; $C$6 &amp; "]",
"[Base].[SITUACION]",
"[Base].[SITUACION].&amp;[" &amp; $C64 &amp; "]"
),0)/1000</f>
        <v>669.61030000000005</v>
      </c>
      <c r="K64" s="8">
        <f>IFERROR(
GETPIVOTDATA(
"[Base].[Importe]",
TDinamica_R!$A$5,
"[Calendario].[AñoMes]",
"[Calendario].[AñoMes].&amp;[" &amp; TEXT(K$6,"yyyymm") &amp; "]",
"[Base].[Metrica]",
"[Base].[Metrica].&amp;[" &amp; $A64 &amp; "]",
"[Base].[SEGMENTO_DESCRIP]",
"[Base].[SEGMENTO_DESCRIP].&amp;[" &amp; $C$6 &amp; "]",
"[Base].[SITUACION]",
"[Base].[SITUACION].&amp;[" &amp; $C64 &amp; "]"
),0)/1000</f>
        <v>680.77693000000011</v>
      </c>
      <c r="L64" s="8">
        <f>IFERROR(
GETPIVOTDATA(
"[Base].[Importe]",
TDinamica_R!$A$5,
"[Calendario].[AñoMes]",
"[Calendario].[AñoMes].&amp;[" &amp; TEXT(L$6,"yyyymm") &amp; "]",
"[Base].[Metrica]",
"[Base].[Metrica].&amp;[" &amp; $A64 &amp; "]",
"[Base].[SEGMENTO_DESCRIP]",
"[Base].[SEGMENTO_DESCRIP].&amp;[" &amp; $C$6 &amp; "]",
"[Base].[SITUACION]",
"[Base].[SITUACION].&amp;[" &amp; $C64 &amp; "]"
),0)/1000</f>
        <v>680.59557999999993</v>
      </c>
      <c r="M64" s="8">
        <f>IFERROR(
GETPIVOTDATA(
"[Base].[Importe]",
TDinamica_R!$A$5,
"[Calendario].[AñoMes]",
"[Calendario].[AñoMes].&amp;[" &amp; TEXT(M$6,"yyyymm") &amp; "]",
"[Base].[Metrica]",
"[Base].[Metrica].&amp;[" &amp; $A64 &amp; "]",
"[Base].[SEGMENTO_DESCRIP]",
"[Base].[SEGMENTO_DESCRIP].&amp;[" &amp; $C$6 &amp; "]",
"[Base].[SITUACION]",
"[Base].[SITUACION].&amp;[" &amp; $C64 &amp; "]"
),0)/1000</f>
        <v>684.28698999999995</v>
      </c>
      <c r="N64" s="8">
        <f>IFERROR(
GETPIVOTDATA(
"[Base].[Importe]",
TDinamica_R!$A$5,
"[Calendario].[AñoMes]",
"[Calendario].[AñoMes].&amp;[" &amp; TEXT(N$6,"yyyymm") &amp; "]",
"[Base].[Metrica]",
"[Base].[Metrica].&amp;[" &amp; $A64 &amp; "]",
"[Base].[SEGMENTO_DESCRIP]",
"[Base].[SEGMENTO_DESCRIP].&amp;[" &amp; $C$6 &amp; "]",
"[Base].[SITUACION]",
"[Base].[SITUACION].&amp;[" &amp; $C64 &amp; "]"
),0)/1000</f>
        <v>685.53607</v>
      </c>
      <c r="O64" s="8">
        <f>IFERROR(
GETPIVOTDATA(
"[Base].[Importe]",
TDinamica_R!$A$5,
"[Calendario].[AñoMes]",
"[Calendario].[AñoMes].&amp;[" &amp; TEXT(O$6,"yyyymm") &amp; "]",
"[Base].[Metrica]",
"[Base].[Metrica].&amp;[" &amp; $A64 &amp; "]",
"[Base].[SEGMENTO_DESCRIP]",
"[Base].[SEGMENTO_DESCRIP].&amp;[" &amp; $C$6 &amp; "]",
"[Base].[SITUACION]",
"[Base].[SITUACION].&amp;[" &amp; $C64 &amp; "]"
),0)/1000</f>
        <v>683.81322999999998</v>
      </c>
      <c r="P64" s="8">
        <f>IFERROR(
GETPIVOTDATA(
"[Base].[Importe]",
TDinamica_R!$A$5,
"[Calendario].[AñoMes]",
"[Calendario].[AñoMes].&amp;[" &amp; TEXT(P$6,"yyyymm") &amp; "]",
"[Base].[Metrica]",
"[Base].[Metrica].&amp;[" &amp; $A64 &amp; "]",
"[Base].[SEGMENTO_DESCRIP]",
"[Base].[SEGMENTO_DESCRIP].&amp;[" &amp; $C$6 &amp; "]",
"[Base].[SITUACION]",
"[Base].[SITUACION].&amp;[" &amp; $C64 &amp; "]"
),0)/1000</f>
        <v>690.85113999999999</v>
      </c>
      <c r="Q64" s="8">
        <f>IFERROR(
GETPIVOTDATA(
"[Base].[Importe]",
TDinamica_R!$A$5,
"[Calendario].[AñoMes]",
"[Calendario].[AñoMes].&amp;[" &amp; TEXT(Q$6,"yyyymm") &amp; "]",
"[Base].[Metrica]",
"[Base].[Metrica].&amp;[" &amp; $A64 &amp; "]",
"[Base].[SEGMENTO_DESCRIP]",
"[Base].[SEGMENTO_DESCRIP].&amp;[" &amp; $C$6 &amp; "]",
"[Base].[SITUACION]",
"[Base].[SITUACION].&amp;[" &amp; $C64 &amp; "]"
),0)/1000</f>
        <v>687.56447000000003</v>
      </c>
      <c r="R64" s="8">
        <f>IFERROR(
GETPIVOTDATA(
"[Base].[Importe]",
TDinamica_R!$A$5,
"[Calendario].[AñoMes]",
"[Calendario].[AñoMes].&amp;[" &amp; TEXT(R$6,"yyyymm") &amp; "]",
"[Base].[Metrica]",
"[Base].[Metrica].&amp;[" &amp; $A64 &amp; "]",
"[Base].[SEGMENTO_DESCRIP]",
"[Base].[SEGMENTO_DESCRIP].&amp;[" &amp; $C$6 &amp; "]",
"[Base].[SITUACION]",
"[Base].[SITUACION].&amp;[" &amp; $C64 &amp; "]"
),0)/1000</f>
        <v>695.10480000000007</v>
      </c>
      <c r="S64" s="8">
        <f>IFERROR(
GETPIVOTDATA(
"[Base].[Importe]",
TDinamica_R!$A$5,
"[Calendario].[AñoMes]",
"[Calendario].[AñoMes].&amp;[" &amp; TEXT(S$6,"yyyymm") &amp; "]",
"[Base].[Metrica]",
"[Base].[Metrica].&amp;[" &amp; $A64 &amp; "]",
"[Base].[SEGMENTO_DESCRIP]",
"[Base].[SEGMENTO_DESCRIP].&amp;[" &amp; $C$6 &amp; "]",
"[Base].[SITUACION]",
"[Base].[SITUACION].&amp;[" &amp; $C64 &amp; "]"
),0)/1000</f>
        <v>666.66270999999995</v>
      </c>
      <c r="T64" s="8">
        <f>IFERROR(
GETPIVOTDATA(
"[Base].[Importe]",
TDinamica_R!$A$5,
"[Calendario].[AñoMes]",
"[Calendario].[AñoMes].&amp;[" &amp; TEXT(T$6,"yyyymm") &amp; "]",
"[Base].[Metrica]",
"[Base].[Metrica].&amp;[" &amp; $A64 &amp; "]",
"[Base].[SEGMENTO_DESCRIP]",
"[Base].[SEGMENTO_DESCRIP].&amp;[" &amp; $C$6 &amp; "]",
"[Base].[SITUACION]",
"[Base].[SITUACION].&amp;[" &amp; $C64 &amp; "]"
),0)/1000</f>
        <v>703.03297999999995</v>
      </c>
      <c r="U64" s="8">
        <f>IFERROR(
GETPIVOTDATA(
"[Base].[Importe]",
TDinamica_R!$A$5,
"[Calendario].[AñoMes]",
"[Calendario].[AñoMes].&amp;[" &amp; TEXT(U$6,"yyyymm") &amp; "]",
"[Base].[Metrica]",
"[Base].[Metrica].&amp;[" &amp; $A64 &amp; "]",
"[Base].[SEGMENTO_DESCRIP]",
"[Base].[SEGMENTO_DESCRIP].&amp;[" &amp; $C$6 &amp; "]",
"[Base].[SITUACION]",
"[Base].[SITUACION].&amp;[" &amp; $C64 &amp; "]"
),0)/1000</f>
        <v>729.67408</v>
      </c>
      <c r="V64" s="8">
        <f>IFERROR(
GETPIVOTDATA(
"[Base].[Importe]",
TDinamica_R!$A$5,
"[Calendario].[AñoMes]",
"[Calendario].[AñoMes].&amp;[" &amp; TEXT(V$6,"yyyymm") &amp; "]",
"[Base].[Metrica]",
"[Base].[Metrica].&amp;[" &amp; $A64 &amp; "]",
"[Base].[SEGMENTO_DESCRIP]",
"[Base].[SEGMENTO_DESCRIP].&amp;[" &amp; $C$6 &amp; "]",
"[Base].[SITUACION]",
"[Base].[SITUACION].&amp;[" &amp; $C64 &amp; "]"
),0)/1000</f>
        <v>742.51320999999996</v>
      </c>
      <c r="W64" s="8">
        <f>IFERROR(
GETPIVOTDATA(
"[Base].[Importe]",
TDinamica_R!$A$5,
"[Calendario].[AñoMes]",
"[Calendario].[AñoMes].&amp;[" &amp; TEXT(W$6,"yyyymm") &amp; "]",
"[Base].[Metrica]",
"[Base].[Metrica].&amp;[" &amp; $A64 &amp; "]",
"[Base].[SEGMENTO_DESCRIP]",
"[Base].[SEGMENTO_DESCRIP].&amp;[" &amp; $C$6 &amp; "]",
"[Base].[SITUACION]",
"[Base].[SITUACION].&amp;[" &amp; $C64 &amp; "]"
),0)/1000</f>
        <v>753.06481000000008</v>
      </c>
      <c r="X64" s="8">
        <f>IFERROR(
GETPIVOTDATA(
"[Base].[Importe]",
TDinamica_R!$A$5,
"[Calendario].[AñoMes]",
"[Calendario].[AñoMes].&amp;[" &amp; TEXT(X$6,"yyyymm") &amp; "]",
"[Base].[Metrica]",
"[Base].[Metrica].&amp;[" &amp; $A64 &amp; "]",
"[Base].[SEGMENTO_DESCRIP]",
"[Base].[SEGMENTO_DESCRIP].&amp;[" &amp; $C$6 &amp; "]",
"[Base].[SITUACION]",
"[Base].[SITUACION].&amp;[" &amp; $C64 &amp; "]"
),0)/1000</f>
        <v>763.95736999999997</v>
      </c>
      <c r="Y64" s="8">
        <f>IFERROR(
GETPIVOTDATA(
"[Base].[Importe]",
TDinamica_R!$A$5,
"[Calendario].[AñoMes]",
"[Calendario].[AñoMes].&amp;[" &amp; TEXT(Y$6,"yyyymm") &amp; "]",
"[Base].[Metrica]",
"[Base].[Metrica].&amp;[" &amp; $A64 &amp; "]",
"[Base].[SEGMENTO_DESCRIP]",
"[Base].[SEGMENTO_DESCRIP].&amp;[" &amp; $C$6 &amp; "]",
"[Base].[SITUACION]",
"[Base].[SITUACION].&amp;[" &amp; $C64 &amp; "]"
),0)/1000</f>
        <v>760.33381000000008</v>
      </c>
      <c r="Z64" s="8">
        <f>IFERROR(
GETPIVOTDATA(
"[Base].[Importe]",
TDinamica_R!$A$5,
"[Calendario].[AñoMes]",
"[Calendario].[AñoMes].&amp;[" &amp; TEXT(Z$6,"yyyymm") &amp; "]",
"[Base].[Metrica]",
"[Base].[Metrica].&amp;[" &amp; $A64 &amp; "]",
"[Base].[SEGMENTO_DESCRIP]",
"[Base].[SEGMENTO_DESCRIP].&amp;[" &amp; $C$6 &amp; "]",
"[Base].[SITUACION]",
"[Base].[SITUACION].&amp;[" &amp; $C64 &amp; "]"
),0)/1000</f>
        <v>768.33508999999992</v>
      </c>
      <c r="AA64" s="8">
        <f>IFERROR(
GETPIVOTDATA(
"[Base].[Importe]",
TDinamica_R!$A$5,
"[Calendario].[AñoMes]",
"[Calendario].[AñoMes].&amp;[" &amp; TEXT(AA$6,"yyyymm") &amp; "]",
"[Base].[Metrica]",
"[Base].[Metrica].&amp;[" &amp; $A64 &amp; "]",
"[Base].[SEGMENTO_DESCRIP]",
"[Base].[SEGMENTO_DESCRIP].&amp;[" &amp; $C$6 &amp; "]",
"[Base].[SITUACION]",
"[Base].[SITUACION].&amp;[" &amp; $C64 &amp; "]"
),0)/1000</f>
        <v>764.06227000000001</v>
      </c>
      <c r="AB64" s="8">
        <f>IFERROR(
GETPIVOTDATA(
"[Base].[Importe]",
TDinamica_R!$A$5,
"[Calendario].[AñoMes]",
"[Calendario].[AñoMes].&amp;[" &amp; TEXT(AB$6,"yyyymm") &amp; "]",
"[Base].[Metrica]",
"[Base].[Metrica].&amp;[" &amp; $A64 &amp; "]",
"[Base].[SEGMENTO_DESCRIP]",
"[Base].[SEGMENTO_DESCRIP].&amp;[" &amp; $C$6 &amp; "]",
"[Base].[SITUACION]",
"[Base].[SITUACION].&amp;[" &amp; $C64 &amp; "]"
),0)/1000</f>
        <v>758.27351999999996</v>
      </c>
      <c r="AC64" s="8">
        <f>IFERROR(
GETPIVOTDATA(
"[Base].[Importe]",
TDinamica_R!$A$5,
"[Calendario].[AñoMes]",
"[Calendario].[AñoMes].&amp;[" &amp; TEXT(AC$6,"yyyymm") &amp; "]",
"[Base].[Metrica]",
"[Base].[Metrica].&amp;[" &amp; $A64 &amp; "]",
"[Base].[SEGMENTO_DESCRIP]",
"[Base].[SEGMENTO_DESCRIP].&amp;[" &amp; $C$6 &amp; "]",
"[Base].[SITUACION]",
"[Base].[SITUACION].&amp;[" &amp; $C64 &amp; "]"
),0)/1000</f>
        <v>744.73494999999991</v>
      </c>
      <c r="AD64" s="8">
        <f>IFERROR(
GETPIVOTDATA(
"[Base].[Importe]",
TDinamica_R!$A$5,
"[Calendario].[AñoMes]",
"[Calendario].[AñoMes].&amp;[" &amp; TEXT(AD$6,"yyyymm") &amp; "]",
"[Base].[Metrica]",
"[Base].[Metrica].&amp;[" &amp; $A64 &amp; "]",
"[Base].[SEGMENTO_DESCRIP]",
"[Base].[SEGMENTO_DESCRIP].&amp;[" &amp; $C$6 &amp; "]",
"[Base].[SITUACION]",
"[Base].[SITUACION].&amp;[" &amp; $C64 &amp; "]"
),0)/1000</f>
        <v>743.12374999999997</v>
      </c>
      <c r="AE64" s="8">
        <f>IFERROR(
GETPIVOTDATA(
"[Base].[Importe]",
TDinamica_R!$A$5,
"[Calendario].[AñoMes]",
"[Calendario].[AñoMes].&amp;[" &amp; TEXT(AE$6,"yyyymm") &amp; "]",
"[Base].[Metrica]",
"[Base].[Metrica].&amp;[" &amp; $A64 &amp; "]",
"[Base].[SEGMENTO_DESCRIP]",
"[Base].[SEGMENTO_DESCRIP].&amp;[" &amp; $C$6 &amp; "]",
"[Base].[SITUACION]",
"[Base].[SITUACION].&amp;[" &amp; $C64 &amp; "]"
),0)/1000</f>
        <v>716.37456999999995</v>
      </c>
      <c r="AF64" s="8">
        <f>IFERROR(
GETPIVOTDATA(
"[Base].[Importe]",
TDinamica_R!$A$5,
"[Calendario].[AñoMes]",
"[Calendario].[AñoMes].&amp;[" &amp; TEXT(AF$6,"yyyymm") &amp; "]",
"[Base].[Metrica]",
"[Base].[Metrica].&amp;[" &amp; $A64 &amp; "]",
"[Base].[SEGMENTO_DESCRIP]",
"[Base].[SEGMENTO_DESCRIP].&amp;[" &amp; $C$6 &amp; "]",
"[Base].[SITUACION]",
"[Base].[SITUACION].&amp;[" &amp; $C64 &amp; "]"
),0)/1000</f>
        <v>726.46405000000004</v>
      </c>
      <c r="AG64" s="8">
        <f>IFERROR(
GETPIVOTDATA(
"[Base].[Importe]",
TDinamica_R!$A$5,
"[Calendario].[AñoMes]",
"[Calendario].[AñoMes].&amp;[" &amp; TEXT(AG$6,"yyyymm") &amp; "]",
"[Base].[Metrica]",
"[Base].[Metrica].&amp;[" &amp; $A64 &amp; "]",
"[Base].[SEGMENTO_DESCRIP]",
"[Base].[SEGMENTO_DESCRIP].&amp;[" &amp; $C$6 &amp; "]",
"[Base].[SITUACION]",
"[Base].[SITUACION].&amp;[" &amp; $C64 &amp; "]"
),0)/1000</f>
        <v>730.27982999999995</v>
      </c>
      <c r="AH64" s="8">
        <f>IFERROR(
GETPIVOTDATA(
"[Base].[Importe]",
TDinamica_R!$A$5,
"[Calendario].[AñoMes]",
"[Calendario].[AñoMes].&amp;[" &amp; TEXT(AH$6,"yyyymm") &amp; "]",
"[Base].[Metrica]",
"[Base].[Metrica].&amp;[" &amp; $A64 &amp; "]",
"[Base].[SEGMENTO_DESCRIP]",
"[Base].[SEGMENTO_DESCRIP].&amp;[" &amp; $C$6 &amp; "]",
"[Base].[SITUACION]",
"[Base].[SITUACION].&amp;[" &amp; $C64 &amp; "]"
),0)/1000</f>
        <v>731.77082999999993</v>
      </c>
      <c r="AI64" s="8">
        <f>IFERROR(
GETPIVOTDATA(
"[Base].[Importe]",
TDinamica_R!$A$5,
"[Calendario].[AñoMes]",
"[Calendario].[AñoMes].&amp;[" &amp; TEXT(AI$6,"yyyymm") &amp; "]",
"[Base].[Metrica]",
"[Base].[Metrica].&amp;[" &amp; $A64 &amp; "]",
"[Base].[SEGMENTO_DESCRIP]",
"[Base].[SEGMENTO_DESCRIP].&amp;[" &amp; $C$6 &amp; "]",
"[Base].[SITUACION]",
"[Base].[SITUACION].&amp;[" &amp; $C64 &amp; "]"
),0)/1000</f>
        <v>728.12805000000003</v>
      </c>
      <c r="AJ64" s="8">
        <f>IFERROR(
GETPIVOTDATA(
"[Base].[Importe]",
TDinamica_R!$A$5,
"[Calendario].[AñoMes]",
"[Calendario].[AñoMes].&amp;[" &amp; TEXT(AJ$6,"yyyymm") &amp; "]",
"[Base].[Metrica]",
"[Base].[Metrica].&amp;[" &amp; $A64 &amp; "]",
"[Base].[SEGMENTO_DESCRIP]",
"[Base].[SEGMENTO_DESCRIP].&amp;[" &amp; $C$6 &amp; "]",
"[Base].[SITUACION]",
"[Base].[SITUACION].&amp;[" &amp; $C64 &amp; "]"
),0)/1000</f>
        <v>716.52138000000002</v>
      </c>
      <c r="AK64" s="8">
        <f>IFERROR(
GETPIVOTDATA(
"[Base].[Importe]",
TDinamica_R!$A$5,
"[Calendario].[AñoMes]",
"[Calendario].[AñoMes].&amp;[" &amp; TEXT(AK$6,"yyyymm") &amp; "]",
"[Base].[Metrica]",
"[Base].[Metrica].&amp;[" &amp; $A64 &amp; "]",
"[Base].[SEGMENTO_DESCRIP]",
"[Base].[SEGMENTO_DESCRIP].&amp;[" &amp; $C$6 &amp; "]",
"[Base].[SITUACION]",
"[Base].[SITUACION].&amp;[" &amp; $C64 &amp; "]"
),0)/1000</f>
        <v>718.83749999999998</v>
      </c>
      <c r="AL64" s="8">
        <f>IFERROR(
GETPIVOTDATA(
"[Base].[Importe]",
TDinamica_R!$A$5,
"[Calendario].[AñoMes]",
"[Calendario].[AñoMes].&amp;[" &amp; TEXT(AL$6,"yyyymm") &amp; "]",
"[Base].[Metrica]",
"[Base].[Metrica].&amp;[" &amp; $A64 &amp; "]",
"[Base].[SEGMENTO_DESCRIP]",
"[Base].[SEGMENTO_DESCRIP].&amp;[" &amp; $C$6 &amp; "]",
"[Base].[SITUACION]",
"[Base].[SITUACION].&amp;[" &amp; $C64 &amp; "]"
),0)/1000</f>
        <v>718.76086999999995</v>
      </c>
      <c r="AM64" s="8">
        <f>IFERROR(
GETPIVOTDATA(
"[Base].[Importe]",
TDinamica_R!$A$5,
"[Calendario].[AñoMes]",
"[Calendario].[AñoMes].&amp;[" &amp; TEXT(AM$6,"yyyymm") &amp; "]",
"[Base].[Metrica]",
"[Base].[Metrica].&amp;[" &amp; $A64 &amp; "]",
"[Base].[SEGMENTO_DESCRIP]",
"[Base].[SEGMENTO_DESCRIP].&amp;[" &amp; $C$6 &amp; "]",
"[Base].[SITUACION]",
"[Base].[SITUACION].&amp;[" &amp; $C64 &amp; "]"
),0)/1000</f>
        <v>715.35633999999993</v>
      </c>
      <c r="AN64" s="8">
        <f>IFERROR(
GETPIVOTDATA(
"[Base].[Importe]",
TDinamica_R!$A$5,
"[Calendario].[AñoMes]",
"[Calendario].[AñoMes].&amp;[" &amp; TEXT(AN$6,"yyyymm") &amp; "]",
"[Base].[Metrica]",
"[Base].[Metrica].&amp;[" &amp; $A64 &amp; "]",
"[Base].[SEGMENTO_DESCRIP]",
"[Base].[SEGMENTO_DESCRIP].&amp;[" &amp; $C$6 &amp; "]",
"[Base].[SITUACION]",
"[Base].[SITUACION].&amp;[" &amp; $C64 &amp; "]"
),0)/1000</f>
        <v>715.55409999999995</v>
      </c>
      <c r="AO64" s="8">
        <f>IFERROR(
GETPIVOTDATA(
"[Base].[Importe]",
TDinamica_R!$A$5,
"[Calendario].[AñoMes]",
"[Calendario].[AñoMes].&amp;[" &amp; TEXT(AO$6,"yyyymm") &amp; "]",
"[Base].[Metrica]",
"[Base].[Metrica].&amp;[" &amp; $A64 &amp; "]",
"[Base].[SEGMENTO_DESCRIP]",
"[Base].[SEGMENTO_DESCRIP].&amp;[" &amp; $C$6 &amp; "]",
"[Base].[SITUACION]",
"[Base].[SITUACION].&amp;[" &amp; $C64 &amp; "]"
),0)/1000</f>
        <v>685.32860000000005</v>
      </c>
      <c r="AP64" s="8">
        <f>IFERROR(
GETPIVOTDATA(
"[Base].[Importe]",
TDinamica_R!$A$5,
"[Calendario].[AñoMes]",
"[Calendario].[AñoMes].&amp;[" &amp; TEXT(AP$6,"yyyymm") &amp; "]",
"[Base].[Metrica]",
"[Base].[Metrica].&amp;[" &amp; $A64 &amp; "]",
"[Base].[SEGMENTO_DESCRIP]",
"[Base].[SEGMENTO_DESCRIP].&amp;[" &amp; $C$6 &amp; "]",
"[Base].[SITUACION]",
"[Base].[SITUACION].&amp;[" &amp; $C64 &amp; "]"
),0)/1000</f>
        <v>693.08685999999989</v>
      </c>
      <c r="AQ64" s="8">
        <f>IFERROR(
GETPIVOTDATA(
"[Base].[Importe]",
TDinamica_R!$A$5,
"[Calendario].[AñoMes]",
"[Calendario].[AñoMes].&amp;[" &amp; TEXT(AQ$6,"yyyymm") &amp; "]",
"[Base].[Metrica]",
"[Base].[Metrica].&amp;[" &amp; $A64 &amp; "]",
"[Base].[SEGMENTO_DESCRIP]",
"[Base].[SEGMENTO_DESCRIP].&amp;[" &amp; $C$6 &amp; "]",
"[Base].[SITUACION]",
"[Base].[SITUACION].&amp;[" &amp; $C64 &amp; "]"
),0)/1000</f>
        <v>671.14550999999994</v>
      </c>
      <c r="AR64" s="8">
        <f>IFERROR(
GETPIVOTDATA(
"[Base].[Importe]",
TDinamica_R!$A$5,
"[Calendario].[AñoMes]",
"[Calendario].[AñoMes].&amp;[" &amp; TEXT(AR$6,"yyyymm") &amp; "]",
"[Base].[Metrica]",
"[Base].[Metrica].&amp;[" &amp; $A64 &amp; "]",
"[Base].[SEGMENTO_DESCRIP]",
"[Base].[SEGMENTO_DESCRIP].&amp;[" &amp; $C$6 &amp; "]",
"[Base].[SITUACION]",
"[Base].[SITUACION].&amp;[" &amp; $C64 &amp; "]"
),0)/1000</f>
        <v>685.07405999999992</v>
      </c>
      <c r="AS64" s="8">
        <f>IFERROR(
GETPIVOTDATA(
"[Base].[Importe]",
TDinamica_R!$A$5,
"[Calendario].[AñoMes]",
"[Calendario].[AñoMes].&amp;[" &amp; TEXT(AS$6,"yyyymm") &amp; "]",
"[Base].[Metrica]",
"[Base].[Metrica].&amp;[" &amp; $A64 &amp; "]",
"[Base].[SEGMENTO_DESCRIP]",
"[Base].[SEGMENTO_DESCRIP].&amp;[" &amp; $C$6 &amp; "]",
"[Base].[SITUACION]",
"[Base].[SITUACION].&amp;[" &amp; $C64 &amp; "]"
),0)/1000</f>
        <v>683.13757999999996</v>
      </c>
      <c r="AT64" s="8">
        <f>IFERROR(
GETPIVOTDATA(
"[Base].[Importe]",
TDinamica_R!$A$5,
"[Calendario].[AñoMes]",
"[Calendario].[AñoMes].&amp;[" &amp; TEXT(AT$6,"yyyymm")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U64" s="8">
        <f>IFERROR(
GETPIVOTDATA(
"[Base].[Importe]",
TDinamica_R!$A$5,
"[Calendario].[AñoMes]",
"[Calendario].[AñoMes].&amp;[" &amp; TEXT(AU$6,"yyyymm")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V64" s="8">
        <f>IFERROR(
GETPIVOTDATA(
"[Base].[Importe]",
TDinamica_R!$A$5,
"[Calendario].[AñoMes]",
"[Calendario].[AñoMes].&amp;[" &amp; TEXT(AV$6,"yyyymm")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W64" s="8">
        <f>IFERROR(
GETPIVOTDATA(
"[Base].[Importe]",
TDinamica_R!$A$5,
"[Calendario].[AñoMes]",
"[Calendario].[AñoMes].&amp;[" &amp; TEXT(AW$6,"yyyymm")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X64" s="8">
        <f>IFERROR(
GETPIVOTDATA(
"[Base].[Importe]",
TDinamica_R!$A$5,
"[Calendario].[AñoMes]",
"[Calendario].[AñoMes].&amp;[" &amp; TEXT(AX$6,"yyyymm")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Y64" s="8">
        <f>IFERROR(
GETPIVOTDATA(
"[Base].[Importe]",
TDinamica_R!$A$5,
"[Calendario].[AñoMes]",
"[Calendario].[AñoMes].&amp;[" &amp; TEXT(AY$6,"yyyymm")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Z64" s="8">
        <f>IFERROR(
GETPIVOTDATA(
"[BASE_CONVE_PPTO].[Importe]",
TDinamica_P!$A$5,
"[BASE_CONVE_PPTO].[Periodo]",
"[BASE_CONVE_PPTO].[Periodo].&amp;[" &amp; TEXT(AZ$6,"yyyymm")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727.79340727704266</v>
      </c>
      <c r="BA64" s="8">
        <f>IFERROR(
GETPIVOTDATA(
"[BASE_CONVE_PPTO].[Importe]",
TDinamica_P!$A$5,
"[BASE_CONVE_PPTO].[Periodo]",
"[BASE_CONVE_PPTO].[Periodo].&amp;[" &amp; TEXT(BA$6,"yyyymm")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724.16118948485973</v>
      </c>
      <c r="BB64" s="8">
        <f>IFERROR(
GETPIVOTDATA(
"[BASE_CONVE_PPTO].[Importe]",
TDinamica_P!$A$5,
"[BASE_CONVE_PPTO].[Periodo]",
"[BASE_CONVE_PPTO].[Periodo].&amp;[" &amp; TEXT(BB$6,"yyyymm")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720.56563865846203</v>
      </c>
      <c r="BC64" s="8">
        <f>IFERROR(
GETPIVOTDATA(
"[BASE_CONVE_PPTO].[Importe]",
TDinamica_P!$A$5,
"[BASE_CONVE_PPTO].[Periodo]",
"[BASE_CONVE_PPTO].[Periodo].&amp;[" &amp; TEXT(BC$6,"yyyymm")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716.82756731868858</v>
      </c>
      <c r="BD64" s="8">
        <f>IFERROR(
GETPIVOTDATA(
"[BASE_CONVE_PPTO].[Importe]",
TDinamica_P!$A$5,
"[BASE_CONVE_PPTO].[Periodo]",
"[BASE_CONVE_PPTO].[Periodo].&amp;[" &amp; TEXT(BD$6,"yyyymm")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713.16788632618488</v>
      </c>
      <c r="BE64" s="8">
        <f>IFERROR(
GETPIVOTDATA(
"[BASE_CONVE_PPTO].[Importe]",
TDinamica_P!$A$5,
"[BASE_CONVE_PPTO].[Periodo]",
"[BASE_CONVE_PPTO].[Periodo].&amp;[" &amp; TEXT(BE$6,"yyyymm")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709.74760559799893</v>
      </c>
      <c r="BF64" s="8">
        <f>IFERROR(
GETPIVOTDATA(
"[BASE_CONVE_PPTO].[Importe]",
TDinamica_P!$A$5,
"[BASE_CONVE_PPTO].[Periodo]",
"[BASE_CONVE_PPTO].[Periodo].&amp;[" &amp; TEXT(BF$6,"yyyymm")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706.15584752831421</v>
      </c>
      <c r="BG64" s="8">
        <f>IFERROR(
GETPIVOTDATA(
"[BASE_CONVE_PPTO].[Importe]",
TDinamica_P!$A$5,
"[BASE_CONVE_PPTO].[Periodo]",
"[BASE_CONVE_PPTO].[Periodo].&amp;[" &amp; TEXT(BG$6,"yyyymm")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702.54962079434233</v>
      </c>
      <c r="BH64" s="8">
        <f>IFERROR(
GETPIVOTDATA(
"[BASE_CONVE_PPTO].[Importe]",
TDinamica_P!$A$5,
"[BASE_CONVE_PPTO].[Periodo]",
"[BASE_CONVE_PPTO].[Periodo].&amp;[" &amp; TEXT(BH$6,"yyyymm")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699.01056927915522</v>
      </c>
      <c r="BI64" s="8">
        <f>IFERROR(
GETPIVOTDATA(
"[BASE_CONVE_PPTO].[Importe]",
TDinamica_P!$A$5,
"[BASE_CONVE_PPTO].[Periodo]",
"[BASE_CONVE_PPTO].[Periodo].&amp;[" &amp; TEXT(BI$6,"yyyymm")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695.38564289885812</v>
      </c>
      <c r="BJ64" s="8">
        <f>IFERROR(
GETPIVOTDATA(
"[BASE_CONVE_PPTO].[Importe]",
TDinamica_P!$A$5,
"[BASE_CONVE_PPTO].[Periodo]",
"[BASE_CONVE_PPTO].[Periodo].&amp;[" &amp; TEXT(BJ$6,"yyyymm")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691.76505125417782</v>
      </c>
      <c r="BK64" s="8">
        <f>IFERROR(
GETPIVOTDATA(
"[BASE_CONVE_PPTO].[Importe]",
TDinamica_P!$A$5,
"[BASE_CONVE_PPTO].[Periodo]",
"[BASE_CONVE_PPTO].[Periodo].&amp;[" &amp; TEXT(BK$6,"yyyymm")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688.06962611337337</v>
      </c>
      <c r="BO64" s="24">
        <f t="shared" si="49"/>
        <v>3450.1891299999997</v>
      </c>
      <c r="BP64" s="24">
        <f t="shared" si="49"/>
        <v>3602.5156890652379</v>
      </c>
      <c r="BQ64" s="24">
        <f t="shared" si="49"/>
        <v>2765.1150699999998</v>
      </c>
      <c r="BR64" s="24">
        <f t="shared" si="49"/>
        <v>3688.9708399999995</v>
      </c>
      <c r="BS64" s="24">
        <f t="shared" si="49"/>
        <v>3443.2161000000001</v>
      </c>
      <c r="BT64" s="24">
        <f t="shared" si="49"/>
        <v>3246.9822599999998</v>
      </c>
    </row>
    <row r="65" spans="1:72" outlineLevel="1" x14ac:dyDescent="0.25">
      <c r="A65" s="11" t="s">
        <v>71</v>
      </c>
      <c r="C65" s="2" t="s">
        <v>73</v>
      </c>
      <c r="D65" s="8">
        <f>IFERROR(
GETPIVOTDATA(
"[Base].[Importe]",
TDinamica_R!$A$5,
"[Calendario].[AñoMes]",
"[Calendario].[AñoMes].&amp;[" &amp; TEXT(D$6,"yyyymm") &amp; "]",
"[Base].[Metrica]",
"[Base].[Metrica].&amp;[" &amp; $A65 &amp; "]",
"[Base].[SEGMENTO_DESCRIP]",
"[Base].[SEGMENTO_DESCRIP].&amp;[" &amp; $C$6 &amp; "]",
"[Base].[SITUACION]",
"[Base].[SITUACION].&amp;[" &amp; $C65 &amp; "]"
),0)/1000</f>
        <v>-547.40598209999996</v>
      </c>
      <c r="E65" s="8">
        <f>IFERROR(
GETPIVOTDATA(
"[Base].[Importe]",
TDinamica_R!$A$5,
"[Calendario].[AñoMes]",
"[Calendario].[AñoMes].&amp;[" &amp; TEXT(E$6,"yyyymm") &amp; "]",
"[Base].[Metrica]",
"[Base].[Metrica].&amp;[" &amp; $A65 &amp; "]",
"[Base].[SEGMENTO_DESCRIP]",
"[Base].[SEGMENTO_DESCRIP].&amp;[" &amp; $C$6 &amp; "]",
"[Base].[SITUACION]",
"[Base].[SITUACION].&amp;[" &amp; $C65 &amp; "]"
),0)/1000</f>
        <v>-503.52051829999999</v>
      </c>
      <c r="F65" s="8">
        <f>IFERROR(
GETPIVOTDATA(
"[Base].[Importe]",
TDinamica_R!$A$5,
"[Calendario].[AñoMes]",
"[Calendario].[AñoMes].&amp;[" &amp; TEXT(F$6,"yyyymm") &amp; "]",
"[Base].[Metrica]",
"[Base].[Metrica].&amp;[" &amp; $A65 &amp; "]",
"[Base].[SEGMENTO_DESCRIP]",
"[Base].[SEGMENTO_DESCRIP].&amp;[" &amp; $C$6 &amp; "]",
"[Base].[SITUACION]",
"[Base].[SITUACION].&amp;[" &amp; $C65 &amp; "]"
),0)/1000</f>
        <v>-553.26279980000004</v>
      </c>
      <c r="G65" s="8">
        <f>IFERROR(
GETPIVOTDATA(
"[Base].[Importe]",
TDinamica_R!$A$5,
"[Calendario].[AñoMes]",
"[Calendario].[AñoMes].&amp;[" &amp; TEXT(G$6,"yyyymm") &amp; "]",
"[Base].[Metrica]",
"[Base].[Metrica].&amp;[" &amp; $A65 &amp; "]",
"[Base].[SEGMENTO_DESCRIP]",
"[Base].[SEGMENTO_DESCRIP].&amp;[" &amp; $C$6 &amp; "]",
"[Base].[SITUACION]",
"[Base].[SITUACION].&amp;[" &amp; $C65 &amp; "]"
),0)/1000</f>
        <v>-445.72405189999995</v>
      </c>
      <c r="H65" s="8">
        <f>IFERROR(
GETPIVOTDATA(
"[Base].[Importe]",
TDinamica_R!$A$5,
"[Calendario].[AñoMes]",
"[Calendario].[AñoMes].&amp;[" &amp; TEXT(H$6,"yyyymm") &amp; "]",
"[Base].[Metrica]",
"[Base].[Metrica].&amp;[" &amp; $A65 &amp; "]",
"[Base].[SEGMENTO_DESCRIP]",
"[Base].[SEGMENTO_DESCRIP].&amp;[" &amp; $C$6 &amp; "]",
"[Base].[SITUACION]",
"[Base].[SITUACION].&amp;[" &amp; $C65 &amp; "]"
),0)/1000</f>
        <v>-556.44675619999998</v>
      </c>
      <c r="I65" s="8">
        <f>IFERROR(
GETPIVOTDATA(
"[Base].[Importe]",
TDinamica_R!$A$5,
"[Calendario].[AñoMes]",
"[Calendario].[AñoMes].&amp;[" &amp; TEXT(I$6,"yyyymm") &amp; "]",
"[Base].[Metrica]",
"[Base].[Metrica].&amp;[" &amp; $A65 &amp; "]",
"[Base].[SEGMENTO_DESCRIP]",
"[Base].[SEGMENTO_DESCRIP].&amp;[" &amp; $C$6 &amp; "]",
"[Base].[SITUACION]",
"[Base].[SITUACION].&amp;[" &amp; $C65 &amp; "]"
),0)/1000</f>
        <v>-542.42937560000007</v>
      </c>
      <c r="J65" s="8">
        <f>IFERROR(
GETPIVOTDATA(
"[Base].[Importe]",
TDinamica_R!$A$5,
"[Calendario].[AñoMes]",
"[Calendario].[AñoMes].&amp;[" &amp; TEXT(J$6,"yyyymm") &amp; "]",
"[Base].[Metrica]",
"[Base].[Metrica].&amp;[" &amp; $A65 &amp; "]",
"[Base].[SEGMENTO_DESCRIP]",
"[Base].[SEGMENTO_DESCRIP].&amp;[" &amp; $C$6 &amp; "]",
"[Base].[SITUACION]",
"[Base].[SITUACION].&amp;[" &amp; $C65 &amp; "]"
),0)/1000</f>
        <v>-639.87942469999996</v>
      </c>
      <c r="K65" s="8">
        <f>IFERROR(
GETPIVOTDATA(
"[Base].[Importe]",
TDinamica_R!$A$5,
"[Calendario].[AñoMes]",
"[Calendario].[AñoMes].&amp;[" &amp; TEXT(K$6,"yyyymm") &amp; "]",
"[Base].[Metrica]",
"[Base].[Metrica].&amp;[" &amp; $A65 &amp; "]",
"[Base].[SEGMENTO_DESCRIP]",
"[Base].[SEGMENTO_DESCRIP].&amp;[" &amp; $C$6 &amp; "]",
"[Base].[SITUACION]",
"[Base].[SITUACION].&amp;[" &amp; $C65 &amp; "]"
),0)/1000</f>
        <v>-658.55232310000008</v>
      </c>
      <c r="L65" s="8">
        <f>IFERROR(
GETPIVOTDATA(
"[Base].[Importe]",
TDinamica_R!$A$5,
"[Calendario].[AñoMes]",
"[Calendario].[AñoMes].&amp;[" &amp; TEXT(L$6,"yyyymm") &amp; "]",
"[Base].[Metrica]",
"[Base].[Metrica].&amp;[" &amp; $A65 &amp; "]",
"[Base].[SEGMENTO_DESCRIP]",
"[Base].[SEGMENTO_DESCRIP].&amp;[" &amp; $C$6 &amp; "]",
"[Base].[SITUACION]",
"[Base].[SITUACION].&amp;[" &amp; $C65 &amp; "]"
),0)/1000</f>
        <v>-656.4965807000001</v>
      </c>
      <c r="M65" s="8">
        <f>IFERROR(
GETPIVOTDATA(
"[Base].[Importe]",
TDinamica_R!$A$5,
"[Calendario].[AñoMes]",
"[Calendario].[AñoMes].&amp;[" &amp; TEXT(M$6,"yyyymm") &amp; "]",
"[Base].[Metrica]",
"[Base].[Metrica].&amp;[" &amp; $A65 &amp; "]",
"[Base].[SEGMENTO_DESCRIP]",
"[Base].[SEGMENTO_DESCRIP].&amp;[" &amp; $C$6 &amp; "]",
"[Base].[SITUACION]",
"[Base].[SITUACION].&amp;[" &amp; $C65 &amp; "]"
),0)/1000</f>
        <v>-752.85676920000003</v>
      </c>
      <c r="N65" s="8">
        <f>IFERROR(
GETPIVOTDATA(
"[Base].[Importe]",
TDinamica_R!$A$5,
"[Calendario].[AñoMes]",
"[Calendario].[AñoMes].&amp;[" &amp; TEXT(N$6,"yyyymm") &amp; "]",
"[Base].[Metrica]",
"[Base].[Metrica].&amp;[" &amp; $A65 &amp; "]",
"[Base].[SEGMENTO_DESCRIP]",
"[Base].[SEGMENTO_DESCRIP].&amp;[" &amp; $C$6 &amp; "]",
"[Base].[SITUACION]",
"[Base].[SITUACION].&amp;[" &amp; $C65 &amp; "]"
),0)/1000</f>
        <v>-563.73698479999996</v>
      </c>
      <c r="O65" s="8">
        <f>IFERROR(
GETPIVOTDATA(
"[Base].[Importe]",
TDinamica_R!$A$5,
"[Calendario].[AñoMes]",
"[Calendario].[AñoMes].&amp;[" &amp; TEXT(O$6,"yyyymm") &amp; "]",
"[Base].[Metrica]",
"[Base].[Metrica].&amp;[" &amp; $A65 &amp; "]",
"[Base].[SEGMENTO_DESCRIP]",
"[Base].[SEGMENTO_DESCRIP].&amp;[" &amp; $C$6 &amp; "]",
"[Base].[SITUACION]",
"[Base].[SITUACION].&amp;[" &amp; $C65 &amp; "]"
),0)/1000</f>
        <v>-962.69872120000002</v>
      </c>
      <c r="P65" s="8">
        <f>IFERROR(
GETPIVOTDATA(
"[Base].[Importe]",
TDinamica_R!$A$5,
"[Calendario].[AñoMes]",
"[Calendario].[AñoMes].&amp;[" &amp; TEXT(P$6,"yyyymm") &amp; "]",
"[Base].[Metrica]",
"[Base].[Metrica].&amp;[" &amp; $A65 &amp; "]",
"[Base].[SEGMENTO_DESCRIP]",
"[Base].[SEGMENTO_DESCRIP].&amp;[" &amp; $C$6 &amp; "]",
"[Base].[SITUACION]",
"[Base].[SITUACION].&amp;[" &amp; $C65 &amp; "]"
),0)/1000</f>
        <v>-723.91682779999996</v>
      </c>
      <c r="Q65" s="8">
        <f>IFERROR(
GETPIVOTDATA(
"[Base].[Importe]",
TDinamica_R!$A$5,
"[Calendario].[AñoMes]",
"[Calendario].[AñoMes].&amp;[" &amp; TEXT(Q$6,"yyyymm") &amp; "]",
"[Base].[Metrica]",
"[Base].[Metrica].&amp;[" &amp; $A65 &amp; "]",
"[Base].[SEGMENTO_DESCRIP]",
"[Base].[SEGMENTO_DESCRIP].&amp;[" &amp; $C$6 &amp; "]",
"[Base].[SITUACION]",
"[Base].[SITUACION].&amp;[" &amp; $C65 &amp; "]"
),0)/1000</f>
        <v>-629.9175209</v>
      </c>
      <c r="R65" s="8">
        <f>IFERROR(
GETPIVOTDATA(
"[Base].[Importe]",
TDinamica_R!$A$5,
"[Calendario].[AñoMes]",
"[Calendario].[AñoMes].&amp;[" &amp; TEXT(R$6,"yyyymm") &amp; "]",
"[Base].[Metrica]",
"[Base].[Metrica].&amp;[" &amp; $A65 &amp; "]",
"[Base].[SEGMENTO_DESCRIP]",
"[Base].[SEGMENTO_DESCRIP].&amp;[" &amp; $C$6 &amp; "]",
"[Base].[SITUACION]",
"[Base].[SITUACION].&amp;[" &amp; $C65 &amp; "]"
),0)/1000</f>
        <v>-639.47227009999995</v>
      </c>
      <c r="S65" s="8">
        <f>IFERROR(
GETPIVOTDATA(
"[Base].[Importe]",
TDinamica_R!$A$5,
"[Calendario].[AñoMes]",
"[Calendario].[AñoMes].&amp;[" &amp; TEXT(S$6,"yyyymm") &amp; "]",
"[Base].[Metrica]",
"[Base].[Metrica].&amp;[" &amp; $A65 &amp; "]",
"[Base].[SEGMENTO_DESCRIP]",
"[Base].[SEGMENTO_DESCRIP].&amp;[" &amp; $C$6 &amp; "]",
"[Base].[SITUACION]",
"[Base].[SITUACION].&amp;[" &amp; $C65 &amp; "]"
),0)/1000</f>
        <v>-680.25219220000008</v>
      </c>
      <c r="T65" s="8">
        <f>IFERROR(
GETPIVOTDATA(
"[Base].[Importe]",
TDinamica_R!$A$5,
"[Calendario].[AñoMes]",
"[Calendario].[AñoMes].&amp;[" &amp; TEXT(T$6,"yyyymm") &amp; "]",
"[Base].[Metrica]",
"[Base].[Metrica].&amp;[" &amp; $A65 &amp; "]",
"[Base].[SEGMENTO_DESCRIP]",
"[Base].[SEGMENTO_DESCRIP].&amp;[" &amp; $C$6 &amp; "]",
"[Base].[SITUACION]",
"[Base].[SITUACION].&amp;[" &amp; $C65 &amp; "]"
),0)/1000</f>
        <v>-768.06815859999995</v>
      </c>
      <c r="U65" s="8">
        <f>IFERROR(
GETPIVOTDATA(
"[Base].[Importe]",
TDinamica_R!$A$5,
"[Calendario].[AñoMes]",
"[Calendario].[AñoMes].&amp;[" &amp; TEXT(U$6,"yyyymm") &amp; "]",
"[Base].[Metrica]",
"[Base].[Metrica].&amp;[" &amp; $A65 &amp; "]",
"[Base].[SEGMENTO_DESCRIP]",
"[Base].[SEGMENTO_DESCRIP].&amp;[" &amp; $C$6 &amp; "]",
"[Base].[SITUACION]",
"[Base].[SITUACION].&amp;[" &amp; $C65 &amp; "]"
),0)/1000</f>
        <v>-658.56513540000003</v>
      </c>
      <c r="V65" s="8">
        <f>IFERROR(
GETPIVOTDATA(
"[Base].[Importe]",
TDinamica_R!$A$5,
"[Calendario].[AñoMes]",
"[Calendario].[AñoMes].&amp;[" &amp; TEXT(V$6,"yyyymm") &amp; "]",
"[Base].[Metrica]",
"[Base].[Metrica].&amp;[" &amp; $A65 &amp; "]",
"[Base].[SEGMENTO_DESCRIP]",
"[Base].[SEGMENTO_DESCRIP].&amp;[" &amp; $C$6 &amp; "]",
"[Base].[SITUACION]",
"[Base].[SITUACION].&amp;[" &amp; $C65 &amp; "]"
),0)/1000</f>
        <v>-656.37988740000003</v>
      </c>
      <c r="W65" s="8">
        <f>IFERROR(
GETPIVOTDATA(
"[Base].[Importe]",
TDinamica_R!$A$5,
"[Calendario].[AñoMes]",
"[Calendario].[AñoMes].&amp;[" &amp; TEXT(W$6,"yyyymm") &amp; "]",
"[Base].[Metrica]",
"[Base].[Metrica].&amp;[" &amp; $A65 &amp; "]",
"[Base].[SEGMENTO_DESCRIP]",
"[Base].[SEGMENTO_DESCRIP].&amp;[" &amp; $C$6 &amp; "]",
"[Base].[SITUACION]",
"[Base].[SITUACION].&amp;[" &amp; $C65 &amp; "]"
),0)/1000</f>
        <v>-835.14091589999998</v>
      </c>
      <c r="X65" s="8">
        <f>IFERROR(
GETPIVOTDATA(
"[Base].[Importe]",
TDinamica_R!$A$5,
"[Calendario].[AñoMes]",
"[Calendario].[AñoMes].&amp;[" &amp; TEXT(X$6,"yyyymm") &amp; "]",
"[Base].[Metrica]",
"[Base].[Metrica].&amp;[" &amp; $A65 &amp; "]",
"[Base].[SEGMENTO_DESCRIP]",
"[Base].[SEGMENTO_DESCRIP].&amp;[" &amp; $C$6 &amp; "]",
"[Base].[SITUACION]",
"[Base].[SITUACION].&amp;[" &amp; $C65 &amp; "]"
),0)/1000</f>
        <v>-808.00924549999991</v>
      </c>
      <c r="Y65" s="8">
        <f>IFERROR(
GETPIVOTDATA(
"[Base].[Importe]",
TDinamica_R!$A$5,
"[Calendario].[AñoMes]",
"[Calendario].[AñoMes].&amp;[" &amp; TEXT(Y$6,"yyyymm") &amp; "]",
"[Base].[Metrica]",
"[Base].[Metrica].&amp;[" &amp; $A65 &amp; "]",
"[Base].[SEGMENTO_DESCRIP]",
"[Base].[SEGMENTO_DESCRIP].&amp;[" &amp; $C$6 &amp; "]",
"[Base].[SITUACION]",
"[Base].[SITUACION].&amp;[" &amp; $C65 &amp; "]"
),0)/1000</f>
        <v>-666.10722050000004</v>
      </c>
      <c r="Z65" s="8">
        <f>IFERROR(
GETPIVOTDATA(
"[Base].[Importe]",
TDinamica_R!$A$5,
"[Calendario].[AñoMes]",
"[Calendario].[AñoMes].&amp;[" &amp; TEXT(Z$6,"yyyymm") &amp; "]",
"[Base].[Metrica]",
"[Base].[Metrica].&amp;[" &amp; $A65 &amp; "]",
"[Base].[SEGMENTO_DESCRIP]",
"[Base].[SEGMENTO_DESCRIP].&amp;[" &amp; $C$6 &amp; "]",
"[Base].[SITUACION]",
"[Base].[SITUACION].&amp;[" &amp; $C65 &amp; "]"
),0)/1000</f>
        <v>-1160.3266985</v>
      </c>
      <c r="AA65" s="8">
        <f>IFERROR(
GETPIVOTDATA(
"[Base].[Importe]",
TDinamica_R!$A$5,
"[Calendario].[AñoMes]",
"[Calendario].[AñoMes].&amp;[" &amp; TEXT(AA$6,"yyyymm") &amp; "]",
"[Base].[Metrica]",
"[Base].[Metrica].&amp;[" &amp; $A65 &amp; "]",
"[Base].[SEGMENTO_DESCRIP]",
"[Base].[SEGMENTO_DESCRIP].&amp;[" &amp; $C$6 &amp; "]",
"[Base].[SITUACION]",
"[Base].[SITUACION].&amp;[" &amp; $C65 &amp; "]"
),0)/1000</f>
        <v>-149.18540282290002</v>
      </c>
      <c r="AB65" s="8">
        <f>IFERROR(
GETPIVOTDATA(
"[Base].[Importe]",
TDinamica_R!$A$5,
"[Calendario].[AñoMes]",
"[Calendario].[AñoMes].&amp;[" &amp; TEXT(AB$6,"yyyymm") &amp; "]",
"[Base].[Metrica]",
"[Base].[Metrica].&amp;[" &amp; $A65 &amp; "]",
"[Base].[SEGMENTO_DESCRIP]",
"[Base].[SEGMENTO_DESCRIP].&amp;[" &amp; $C$6 &amp; "]",
"[Base].[SITUACION]",
"[Base].[SITUACION].&amp;[" &amp; $C65 &amp; "]"
),0)/1000</f>
        <v>-925.34634949999997</v>
      </c>
      <c r="AC65" s="8">
        <f>IFERROR(
GETPIVOTDATA(
"[Base].[Importe]",
TDinamica_R!$A$5,
"[Calendario].[AñoMes]",
"[Calendario].[AñoMes].&amp;[" &amp; TEXT(AC$6,"yyyymm") &amp; "]",
"[Base].[Metrica]",
"[Base].[Metrica].&amp;[" &amp; $A65 &amp; "]",
"[Base].[SEGMENTO_DESCRIP]",
"[Base].[SEGMENTO_DESCRIP].&amp;[" &amp; $C$6 &amp; "]",
"[Base].[SITUACION]",
"[Base].[SITUACION].&amp;[" &amp; $C65 &amp; "]"
),0)/1000</f>
        <v>-758.77554719999989</v>
      </c>
      <c r="AD65" s="8">
        <f>IFERROR(
GETPIVOTDATA(
"[Base].[Importe]",
TDinamica_R!$A$5,
"[Calendario].[AñoMes]",
"[Calendario].[AñoMes].&amp;[" &amp; TEXT(AD$6,"yyyymm") &amp; "]",
"[Base].[Metrica]",
"[Base].[Metrica].&amp;[" &amp; $A65 &amp; "]",
"[Base].[SEGMENTO_DESCRIP]",
"[Base].[SEGMENTO_DESCRIP].&amp;[" &amp; $C$6 &amp; "]",
"[Base].[SITUACION]",
"[Base].[SITUACION].&amp;[" &amp; $C65 &amp; "]"
),0)/1000</f>
        <v>-652.19382330000008</v>
      </c>
      <c r="AE65" s="8">
        <f>IFERROR(
GETPIVOTDATA(
"[Base].[Importe]",
TDinamica_R!$A$5,
"[Calendario].[AñoMes]",
"[Calendario].[AñoMes].&amp;[" &amp; TEXT(AE$6,"yyyymm") &amp; "]",
"[Base].[Metrica]",
"[Base].[Metrica].&amp;[" &amp; $A65 &amp; "]",
"[Base].[SEGMENTO_DESCRIP]",
"[Base].[SEGMENTO_DESCRIP].&amp;[" &amp; $C$6 &amp; "]",
"[Base].[SITUACION]",
"[Base].[SITUACION].&amp;[" &amp; $C65 &amp; "]"
),0)/1000</f>
        <v>-769.60764019999999</v>
      </c>
      <c r="AF65" s="8">
        <f>IFERROR(
GETPIVOTDATA(
"[Base].[Importe]",
TDinamica_R!$A$5,
"[Calendario].[AñoMes]",
"[Calendario].[AñoMes].&amp;[" &amp; TEXT(AF$6,"yyyymm") &amp; "]",
"[Base].[Metrica]",
"[Base].[Metrica].&amp;[" &amp; $A65 &amp; "]",
"[Base].[SEGMENTO_DESCRIP]",
"[Base].[SEGMENTO_DESCRIP].&amp;[" &amp; $C$6 &amp; "]",
"[Base].[SITUACION]",
"[Base].[SITUACION].&amp;[" &amp; $C65 &amp; "]"
),0)/1000</f>
        <v>-195.77528995999998</v>
      </c>
      <c r="AG65" s="8">
        <f>IFERROR(
GETPIVOTDATA(
"[Base].[Importe]",
TDinamica_R!$A$5,
"[Calendario].[AñoMes]",
"[Calendario].[AñoMes].&amp;[" &amp; TEXT(AG$6,"yyyymm") &amp; "]",
"[Base].[Metrica]",
"[Base].[Metrica].&amp;[" &amp; $A65 &amp; "]",
"[Base].[SEGMENTO_DESCRIP]",
"[Base].[SEGMENTO_DESCRIP].&amp;[" &amp; $C$6 &amp; "]",
"[Base].[SITUACION]",
"[Base].[SITUACION].&amp;[" &amp; $C65 &amp; "]"
),0)/1000</f>
        <v>-266.85856691999999</v>
      </c>
      <c r="AH65" s="8">
        <f>IFERROR(
GETPIVOTDATA(
"[Base].[Importe]",
TDinamica_R!$A$5,
"[Calendario].[AñoMes]",
"[Calendario].[AñoMes].&amp;[" &amp; TEXT(AH$6,"yyyymm") &amp; "]",
"[Base].[Metrica]",
"[Base].[Metrica].&amp;[" &amp; $A65 &amp; "]",
"[Base].[SEGMENTO_DESCRIP]",
"[Base].[SEGMENTO_DESCRIP].&amp;[" &amp; $C$6 &amp; "]",
"[Base].[SITUACION]",
"[Base].[SITUACION].&amp;[" &amp; $C65 &amp; "]"
),0)/1000</f>
        <v>-216.68414514</v>
      </c>
      <c r="AI65" s="8">
        <f>IFERROR(
GETPIVOTDATA(
"[Base].[Importe]",
TDinamica_R!$A$5,
"[Calendario].[AñoMes]",
"[Calendario].[AñoMes].&amp;[" &amp; TEXT(AI$6,"yyyymm") &amp; "]",
"[Base].[Metrica]",
"[Base].[Metrica].&amp;[" &amp; $A65 &amp; "]",
"[Base].[SEGMENTO_DESCRIP]",
"[Base].[SEGMENTO_DESCRIP].&amp;[" &amp; $C$6 &amp; "]",
"[Base].[SITUACION]",
"[Base].[SITUACION].&amp;[" &amp; $C65 &amp; "]"
),0)/1000</f>
        <v>-216.83234458999999</v>
      </c>
      <c r="AJ65" s="8">
        <f>IFERROR(
GETPIVOTDATA(
"[Base].[Importe]",
TDinamica_R!$A$5,
"[Calendario].[AñoMes]",
"[Calendario].[AñoMes].&amp;[" &amp; TEXT(AJ$6,"yyyymm") &amp; "]",
"[Base].[Metrica]",
"[Base].[Metrica].&amp;[" &amp; $A65 &amp; "]",
"[Base].[SEGMENTO_DESCRIP]",
"[Base].[SEGMENTO_DESCRIP].&amp;[" &amp; $C$6 &amp; "]",
"[Base].[SITUACION]",
"[Base].[SITUACION].&amp;[" &amp; $C65 &amp; "]"
),0)/1000</f>
        <v>341.99124369999998</v>
      </c>
      <c r="AK65" s="8">
        <f>IFERROR(
GETPIVOTDATA(
"[Base].[Importe]",
TDinamica_R!$A$5,
"[Calendario].[AñoMes]",
"[Calendario].[AñoMes].&amp;[" &amp; TEXT(AK$6,"yyyymm") &amp; "]",
"[Base].[Metrica]",
"[Base].[Metrica].&amp;[" &amp; $A65 &amp; "]",
"[Base].[SEGMENTO_DESCRIP]",
"[Base].[SEGMENTO_DESCRIP].&amp;[" &amp; $C$6 &amp; "]",
"[Base].[SITUACION]",
"[Base].[SITUACION].&amp;[" &amp; $C65 &amp; "]"
),0)/1000</f>
        <v>-193.69890779100001</v>
      </c>
      <c r="AL65" s="8">
        <f>IFERROR(
GETPIVOTDATA(
"[Base].[Importe]",
TDinamica_R!$A$5,
"[Calendario].[AñoMes]",
"[Calendario].[AñoMes].&amp;[" &amp; TEXT(AL$6,"yyyymm") &amp; "]",
"[Base].[Metrica]",
"[Base].[Metrica].&amp;[" &amp; $A65 &amp; "]",
"[Base].[SEGMENTO_DESCRIP]",
"[Base].[SEGMENTO_DESCRIP].&amp;[" &amp; $C$6 &amp; "]",
"[Base].[SITUACION]",
"[Base].[SITUACION].&amp;[" &amp; $C65 &amp; "]"
),0)/1000</f>
        <v>-253.62119078000001</v>
      </c>
      <c r="AM65" s="8">
        <f>IFERROR(
GETPIVOTDATA(
"[Base].[Importe]",
TDinamica_R!$A$5,
"[Calendario].[AñoMes]",
"[Calendario].[AñoMes].&amp;[" &amp; TEXT(AM$6,"yyyymm") &amp; "]",
"[Base].[Metrica]",
"[Base].[Metrica].&amp;[" &amp; $A65 &amp; "]",
"[Base].[SEGMENTO_DESCRIP]",
"[Base].[SEGMENTO_DESCRIP].&amp;[" &amp; $C$6 &amp; "]",
"[Base].[SITUACION]",
"[Base].[SITUACION].&amp;[" &amp; $C65 &amp; "]"
),0)/1000</f>
        <v>-216.24510415</v>
      </c>
      <c r="AN65" s="8">
        <f>IFERROR(
GETPIVOTDATA(
"[Base].[Importe]",
TDinamica_R!$A$5,
"[Calendario].[AñoMes]",
"[Calendario].[AñoMes].&amp;[" &amp; TEXT(AN$6,"yyyymm") &amp; "]",
"[Base].[Metrica]",
"[Base].[Metrica].&amp;[" &amp; $A65 &amp; "]",
"[Base].[SEGMENTO_DESCRIP]",
"[Base].[SEGMENTO_DESCRIP].&amp;[" &amp; $C$6 &amp; "]",
"[Base].[SITUACION]",
"[Base].[SITUACION].&amp;[" &amp; $C65 &amp; "]"
),0)/1000</f>
        <v>-315.83167195211479</v>
      </c>
      <c r="AO65" s="8">
        <f>IFERROR(
GETPIVOTDATA(
"[Base].[Importe]",
TDinamica_R!$A$5,
"[Calendario].[AñoMes]",
"[Calendario].[AñoMes].&amp;[" &amp; TEXT(AO$6,"yyyymm") &amp; "]",
"[Base].[Metrica]",
"[Base].[Metrica].&amp;[" &amp; $A65 &amp; "]",
"[Base].[SEGMENTO_DESCRIP]",
"[Base].[SEGMENTO_DESCRIP].&amp;[" &amp; $C$6 &amp; "]",
"[Base].[SITUACION]",
"[Base].[SITUACION].&amp;[" &amp; $C65 &amp; "]"
),0)/1000</f>
        <v>-96.532548659539401</v>
      </c>
      <c r="AP65" s="8">
        <f>IFERROR(
GETPIVOTDATA(
"[Base].[Importe]",
TDinamica_R!$A$5,
"[Calendario].[AñoMes]",
"[Calendario].[AñoMes].&amp;[" &amp; TEXT(AP$6,"yyyymm") &amp; "]",
"[Base].[Metrica]",
"[Base].[Metrica].&amp;[" &amp; $A65 &amp; "]",
"[Base].[SEGMENTO_DESCRIP]",
"[Base].[SEGMENTO_DESCRIP].&amp;[" &amp; $C$6 &amp; "]",
"[Base].[SITUACION]",
"[Base].[SITUACION].&amp;[" &amp; $C65 &amp; "]"
),0)/1000</f>
        <v>-389.71368768018971</v>
      </c>
      <c r="AQ65" s="8">
        <f>IFERROR(
GETPIVOTDATA(
"[Base].[Importe]",
TDinamica_R!$A$5,
"[Calendario].[AñoMes]",
"[Calendario].[AñoMes].&amp;[" &amp; TEXT(AQ$6,"yyyymm") &amp; "]",
"[Base].[Metrica]",
"[Base].[Metrica].&amp;[" &amp; $A65 &amp; "]",
"[Base].[SEGMENTO_DESCRIP]",
"[Base].[SEGMENTO_DESCRIP].&amp;[" &amp; $C$6 &amp; "]",
"[Base].[SITUACION]",
"[Base].[SITUACION].&amp;[" &amp; $C65 &amp; "]"
),0)/1000</f>
        <v>-7.6957316505671596</v>
      </c>
      <c r="AR65" s="8">
        <f>IFERROR(
GETPIVOTDATA(
"[Base].[Importe]",
TDinamica_R!$A$5,
"[Calendario].[AñoMes]",
"[Calendario].[AñoMes].&amp;[" &amp; TEXT(AR$6,"yyyymm") &amp; "]",
"[Base].[Metrica]",
"[Base].[Metrica].&amp;[" &amp; $A65 &amp; "]",
"[Base].[SEGMENTO_DESCRIP]",
"[Base].[SEGMENTO_DESCRIP].&amp;[" &amp; $C$6 &amp; "]",
"[Base].[SITUACION]",
"[Base].[SITUACION].&amp;[" &amp; $C65 &amp; "]"
),0)/1000</f>
        <v>-318.53294796450251</v>
      </c>
      <c r="AS65" s="8">
        <f>IFERROR(
GETPIVOTDATA(
"[Base].[Importe]",
TDinamica_R!$A$5,
"[Calendario].[AñoMes]",
"[Calendario].[AñoMes].&amp;[" &amp; TEXT(AS$6,"yyyymm") &amp; "]",
"[Base].[Metrica]",
"[Base].[Metrica].&amp;[" &amp; $A65 &amp; "]",
"[Base].[SEGMENTO_DESCRIP]",
"[Base].[SEGMENTO_DESCRIP].&amp;[" &amp; $C$6 &amp; "]",
"[Base].[SITUACION]",
"[Base].[SITUACION].&amp;[" &amp; $C65 &amp; "]"
),0)/1000</f>
        <v>-134.82713381896528</v>
      </c>
      <c r="AT65" s="8">
        <f>IFERROR(
GETPIVOTDATA(
"[Base].[Importe]",
TDinamica_R!$A$5,
"[Calendario].[AñoMes]",
"[Calendario].[AñoMes].&amp;[" &amp; TEXT(AT$6,"yyyymm")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U65" s="8">
        <f>IFERROR(
GETPIVOTDATA(
"[Base].[Importe]",
TDinamica_R!$A$5,
"[Calendario].[AñoMes]",
"[Calendario].[AñoMes].&amp;[" &amp; TEXT(AU$6,"yyyymm")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V65" s="8">
        <f>IFERROR(
GETPIVOTDATA(
"[Base].[Importe]",
TDinamica_R!$A$5,
"[Calendario].[AñoMes]",
"[Calendario].[AñoMes].&amp;[" &amp; TEXT(AV$6,"yyyymm")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W65" s="8">
        <f>IFERROR(
GETPIVOTDATA(
"[Base].[Importe]",
TDinamica_R!$A$5,
"[Calendario].[AñoMes]",
"[Calendario].[AñoMes].&amp;[" &amp; TEXT(AW$6,"yyyymm")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X65" s="8">
        <f>IFERROR(
GETPIVOTDATA(
"[Base].[Importe]",
TDinamica_R!$A$5,
"[Calendario].[AñoMes]",
"[Calendario].[AñoMes].&amp;[" &amp; TEXT(AX$6,"yyyymm")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Y65" s="8">
        <f>IFERROR(
GETPIVOTDATA(
"[Base].[Importe]",
TDinamica_R!$A$5,
"[Calendario].[AñoMes]",
"[Calendario].[AñoMes].&amp;[" &amp; TEXT(AY$6,"yyyymm")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Z65" s="8">
        <f>IFERROR(
GETPIVOTDATA(
"[BASE_CONVE_PPTO].[Importe]",
TDinamica_P!$A$5,
"[BASE_CONVE_PPTO].[Periodo]",
"[BASE_CONVE_PPTO].[Periodo].&amp;[" &amp; TEXT(AZ$6,"yyyymm")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-394.20442603267816</v>
      </c>
      <c r="BA65" s="8">
        <f>IFERROR(
GETPIVOTDATA(
"[BASE_CONVE_PPTO].[Importe]",
TDinamica_P!$A$5,
"[BASE_CONVE_PPTO].[Periodo]",
"[BASE_CONVE_PPTO].[Periodo].&amp;[" &amp; TEXT(BA$6,"yyyymm")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-398.61689879375814</v>
      </c>
      <c r="BB65" s="8">
        <f>IFERROR(
GETPIVOTDATA(
"[BASE_CONVE_PPTO].[Importe]",
TDinamica_P!$A$5,
"[BASE_CONVE_PPTO].[Periodo]",
"[BASE_CONVE_PPTO].[Periodo].&amp;[" &amp; TEXT(BB$6,"yyyymm")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-403.29765301192555</v>
      </c>
      <c r="BC65" s="8">
        <f>IFERROR(
GETPIVOTDATA(
"[BASE_CONVE_PPTO].[Importe]",
TDinamica_P!$A$5,
"[BASE_CONVE_PPTO].[Periodo]",
"[BASE_CONVE_PPTO].[Periodo].&amp;[" &amp; TEXT(BC$6,"yyyymm")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-407.15038039215557</v>
      </c>
      <c r="BD65" s="8">
        <f>IFERROR(
GETPIVOTDATA(
"[BASE_CONVE_PPTO].[Importe]",
TDinamica_P!$A$5,
"[BASE_CONVE_PPTO].[Periodo]",
"[BASE_CONVE_PPTO].[Periodo].&amp;[" &amp; TEXT(BD$6,"yyyymm")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-557.18720939447621</v>
      </c>
      <c r="BE65" s="8">
        <f>IFERROR(
GETPIVOTDATA(
"[BASE_CONVE_PPTO].[Importe]",
TDinamica_P!$A$5,
"[BASE_CONVE_PPTO].[Periodo]",
"[BASE_CONVE_PPTO].[Periodo].&amp;[" &amp; TEXT(BE$6,"yyyymm")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-559.37712863116292</v>
      </c>
      <c r="BF65" s="8">
        <f>IFERROR(
GETPIVOTDATA(
"[BASE_CONVE_PPTO].[Importe]",
TDinamica_P!$A$5,
"[BASE_CONVE_PPTO].[Periodo]",
"[BASE_CONVE_PPTO].[Periodo].&amp;[" &amp; TEXT(BF$6,"yyyymm")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-611.44291156576026</v>
      </c>
      <c r="BG65" s="8">
        <f>IFERROR(
GETPIVOTDATA(
"[BASE_CONVE_PPTO].[Importe]",
TDinamica_P!$A$5,
"[BASE_CONVE_PPTO].[Periodo]",
"[BASE_CONVE_PPTO].[Periodo].&amp;[" &amp; TEXT(BG$6,"yyyymm")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-615.28153963564932</v>
      </c>
      <c r="BH65" s="8">
        <f>IFERROR(
GETPIVOTDATA(
"[BASE_CONVE_PPTO].[Importe]",
TDinamica_P!$A$5,
"[BASE_CONVE_PPTO].[Periodo]",
"[BASE_CONVE_PPTO].[Periodo].&amp;[" &amp; TEXT(BH$6,"yyyymm")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-668.46412607729008</v>
      </c>
      <c r="BI65" s="8">
        <f>IFERROR(
GETPIVOTDATA(
"[BASE_CONVE_PPTO].[Importe]",
TDinamica_P!$A$5,
"[BASE_CONVE_PPTO].[Periodo]",
"[BASE_CONVE_PPTO].[Periodo].&amp;[" &amp; TEXT(BI$6,"yyyymm")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-672.51631541403162</v>
      </c>
      <c r="BJ65" s="8">
        <f>IFERROR(
GETPIVOTDATA(
"[BASE_CONVE_PPTO].[Importe]",
TDinamica_P!$A$5,
"[BASE_CONVE_PPTO].[Periodo]",
"[BASE_CONVE_PPTO].[Periodo].&amp;[" &amp; TEXT(BJ$6,"yyyymm")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-773.11575757476135</v>
      </c>
      <c r="BK65" s="8">
        <f>IFERROR(
GETPIVOTDATA(
"[BASE_CONVE_PPTO].[Importe]",
TDinamica_P!$A$5,
"[BASE_CONVE_PPTO].[Periodo]",
"[BASE_CONVE_PPTO].[Periodo].&amp;[" &amp; TEXT(BK$6,"yyyymm")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-776.17230717035341</v>
      </c>
      <c r="BO65" s="24">
        <f t="shared" si="49"/>
        <v>-1128.3065879069136</v>
      </c>
      <c r="BP65" s="24">
        <f t="shared" si="49"/>
        <v>-2160.4565676249936</v>
      </c>
      <c r="BQ65" s="24">
        <f t="shared" si="49"/>
        <v>-809.77363994241102</v>
      </c>
      <c r="BR65" s="24">
        <f t="shared" si="49"/>
        <v>-3301.6986501599999</v>
      </c>
      <c r="BS65" s="24">
        <f t="shared" si="49"/>
        <v>-3441.6269695999999</v>
      </c>
      <c r="BT65" s="24">
        <f t="shared" si="49"/>
        <v>-2606.3601082999999</v>
      </c>
    </row>
    <row r="66" spans="1:72" outlineLevel="1" x14ac:dyDescent="0.25">
      <c r="A66" s="11" t="s">
        <v>71</v>
      </c>
      <c r="C66" s="2"/>
      <c r="D66" s="8">
        <f>IFERROR(
GETPIVOTDATA(
"[Base].[Importe]",
TDinamica_R!$A$5,
"[Calendario].[AñoMes]",
"[Calendario].[AñoMes].&amp;[" &amp; TEXT(D$6,"yyyymm")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E66" s="8">
        <f>IFERROR(
GETPIVOTDATA(
"[Base].[Importe]",
TDinamica_R!$A$5,
"[Calendario].[AñoMes]",
"[Calendario].[AñoMes].&amp;[" &amp; TEXT(E$6,"yyyymm")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F66" s="8">
        <f>IFERROR(
GETPIVOTDATA(
"[Base].[Importe]",
TDinamica_R!$A$5,
"[Calendario].[AñoMes]",
"[Calendario].[AñoMes].&amp;[" &amp; TEXT(F$6,"yyyymm")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G66" s="8">
        <f>IFERROR(
GETPIVOTDATA(
"[Base].[Importe]",
TDinamica_R!$A$5,
"[Calendario].[AñoMes]",
"[Calendario].[AñoMes].&amp;[" &amp; TEXT(G$6,"yyyymm")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H66" s="8">
        <f>IFERROR(
GETPIVOTDATA(
"[Base].[Importe]",
TDinamica_R!$A$5,
"[Calendario].[AñoMes]",
"[Calendario].[AñoMes].&amp;[" &amp; TEXT(H$6,"yyyymm")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I66" s="8">
        <f>IFERROR(
GETPIVOTDATA(
"[Base].[Importe]",
TDinamica_R!$A$5,
"[Calendario].[AñoMes]",
"[Calendario].[AñoMes].&amp;[" &amp; TEXT(I$6,"yyyymm")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J66" s="8">
        <f>IFERROR(
GETPIVOTDATA(
"[Base].[Importe]",
TDinamica_R!$A$5,
"[Calendario].[AñoMes]",
"[Calendario].[AñoMes].&amp;[" &amp; TEXT(J$6,"yyyymm")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K66" s="8">
        <f>IFERROR(
GETPIVOTDATA(
"[Base].[Importe]",
TDinamica_R!$A$5,
"[Calendario].[AñoMes]",
"[Calendario].[AñoMes].&amp;[" &amp; TEXT(K$6,"yyyymm")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L66" s="8">
        <f>IFERROR(
GETPIVOTDATA(
"[Base].[Importe]",
TDinamica_R!$A$5,
"[Calendario].[AñoMes]",
"[Calendario].[AñoMes].&amp;[" &amp; TEXT(L$6,"yyyymm")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M66" s="8">
        <f>IFERROR(
GETPIVOTDATA(
"[Base].[Importe]",
TDinamica_R!$A$5,
"[Calendario].[AñoMes]",
"[Calendario].[AñoMes].&amp;[" &amp; TEXT(M$6,"yyyymm")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N66" s="8">
        <f>IFERROR(
GETPIVOTDATA(
"[Base].[Importe]",
TDinamica_R!$A$5,
"[Calendario].[AñoMes]",
"[Calendario].[AñoMes].&amp;[" &amp; TEXT(N$6,"yyyymm")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O66" s="8">
        <f>IFERROR(
GETPIVOTDATA(
"[Base].[Importe]",
TDinamica_R!$A$5,
"[Calendario].[AñoMes]",
"[Calendario].[AñoMes].&amp;[" &amp; TEXT(O$6,"yyyymm")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P66" s="8">
        <f>IFERROR(
GETPIVOTDATA(
"[Base].[Importe]",
TDinamica_R!$A$5,
"[Calendario].[AñoMes]",
"[Calendario].[AñoMes].&amp;[" &amp; TEXT(P$6,"yyyymm")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Q66" s="8">
        <f>IFERROR(
GETPIVOTDATA(
"[Base].[Importe]",
TDinamica_R!$A$5,
"[Calendario].[AñoMes]",
"[Calendario].[AñoMes].&amp;[" &amp; TEXT(Q$6,"yyyymm")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R66" s="8">
        <f>IFERROR(
GETPIVOTDATA(
"[Base].[Importe]",
TDinamica_R!$A$5,
"[Calendario].[AñoMes]",
"[Calendario].[AñoMes].&amp;[" &amp; TEXT(R$6,"yyyymm")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S66" s="8">
        <f>IFERROR(
GETPIVOTDATA(
"[Base].[Importe]",
TDinamica_R!$A$5,
"[Calendario].[AñoMes]",
"[Calendario].[AñoMes].&amp;[" &amp; TEXT(S$6,"yyyymm")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T66" s="8">
        <f>IFERROR(
GETPIVOTDATA(
"[Base].[Importe]",
TDinamica_R!$A$5,
"[Calendario].[AñoMes]",
"[Calendario].[AñoMes].&amp;[" &amp; TEXT(T$6,"yyyymm")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U66" s="8">
        <f>IFERROR(
GETPIVOTDATA(
"[Base].[Importe]",
TDinamica_R!$A$5,
"[Calendario].[AñoMes]",
"[Calendario].[AñoMes].&amp;[" &amp; TEXT(U$6,"yyyymm")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V66" s="8">
        <f>IFERROR(
GETPIVOTDATA(
"[Base].[Importe]",
TDinamica_R!$A$5,
"[Calendario].[AñoMes]",
"[Calendario].[AñoMes].&amp;[" &amp; TEXT(V$6,"yyyymm")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W66" s="8">
        <f>IFERROR(
GETPIVOTDATA(
"[Base].[Importe]",
TDinamica_R!$A$5,
"[Calendario].[AñoMes]",
"[Calendario].[AñoMes].&amp;[" &amp; TEXT(W$6,"yyyymm")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X66" s="8">
        <f>IFERROR(
GETPIVOTDATA(
"[Base].[Importe]",
TDinamica_R!$A$5,
"[Calendario].[AñoMes]",
"[Calendario].[AñoMes].&amp;[" &amp; TEXT(X$6,"yyyymm")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Y66" s="8">
        <f>IFERROR(
GETPIVOTDATA(
"[Base].[Importe]",
TDinamica_R!$A$5,
"[Calendario].[AñoMes]",
"[Calendario].[AñoMes].&amp;[" &amp; TEXT(Y$6,"yyyymm")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Z66" s="8">
        <f>IFERROR(
GETPIVOTDATA(
"[Base].[Importe]",
TDinamica_R!$A$5,
"[Calendario].[AñoMes]",
"[Calendario].[AñoMes].&amp;[" &amp; TEXT(Z$6,"yyyymm")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A66" s="8">
        <f>IFERROR(
GETPIVOTDATA(
"[Base].[Importe]",
TDinamica_R!$A$5,
"[Calendario].[AñoMes]",
"[Calendario].[AñoMes].&amp;[" &amp; TEXT(AA$6,"yyyymm")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B66" s="8">
        <f>IFERROR(
GETPIVOTDATA(
"[Base].[Importe]",
TDinamica_R!$A$5,
"[Calendario].[AñoMes]",
"[Calendario].[AñoMes].&amp;[" &amp; TEXT(AB$6,"yyyymm")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C66" s="8">
        <f>IFERROR(
GETPIVOTDATA(
"[Base].[Importe]",
TDinamica_R!$A$5,
"[Calendario].[AñoMes]",
"[Calendario].[AñoMes].&amp;[" &amp; TEXT(AC$6,"yyyymm")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D66" s="8">
        <f>IFERROR(
GETPIVOTDATA(
"[Base].[Importe]",
TDinamica_R!$A$5,
"[Calendario].[AñoMes]",
"[Calendario].[AñoMes].&amp;[" &amp; TEXT(AD$6,"yyyymm")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E66" s="8">
        <f>IFERROR(
GETPIVOTDATA(
"[Base].[Importe]",
TDinamica_R!$A$5,
"[Calendario].[AñoMes]",
"[Calendario].[AñoMes].&amp;[" &amp; TEXT(AE$6,"yyyymm")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F66" s="8">
        <f>IFERROR(
GETPIVOTDATA(
"[Base].[Importe]",
TDinamica_R!$A$5,
"[Calendario].[AñoMes]",
"[Calendario].[AñoMes].&amp;[" &amp; TEXT(AF$6,"yyyymm")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G66" s="8">
        <f>IFERROR(
GETPIVOTDATA(
"[Base].[Importe]",
TDinamica_R!$A$5,
"[Calendario].[AñoMes]",
"[Calendario].[AñoMes].&amp;[" &amp; TEXT(AG$6,"yyyymm")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H66" s="8">
        <f>IFERROR(
GETPIVOTDATA(
"[Base].[Importe]",
TDinamica_R!$A$5,
"[Calendario].[AñoMes]",
"[Calendario].[AñoMes].&amp;[" &amp; TEXT(AH$6,"yyyymm")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I66" s="8">
        <f>IFERROR(
GETPIVOTDATA(
"[Base].[Importe]",
TDinamica_R!$A$5,
"[Calendario].[AñoMes]",
"[Calendario].[AñoMes].&amp;[" &amp; TEXT(AI$6,"yyyymm")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J66" s="8">
        <f>IFERROR(
GETPIVOTDATA(
"[Base].[Importe]",
TDinamica_R!$A$5,
"[Calendario].[AñoMes]",
"[Calendario].[AñoMes].&amp;[" &amp; TEXT(AJ$6,"yyyymm")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K66" s="8">
        <f>IFERROR(
GETPIVOTDATA(
"[Base].[Importe]",
TDinamica_R!$A$5,
"[Calendario].[AñoMes]",
"[Calendario].[AñoMes].&amp;[" &amp; TEXT(AK$6,"yyyymm")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L66" s="8">
        <f>IFERROR(
GETPIVOTDATA(
"[Base].[Importe]",
TDinamica_R!$A$5,
"[Calendario].[AñoMes]",
"[Calendario].[AñoMes].&amp;[" &amp; TEXT(AL$6,"yyyymm")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M66" s="8">
        <f>IFERROR(
GETPIVOTDATA(
"[Base].[Importe]",
TDinamica_R!$A$5,
"[Calendario].[AñoMes]",
"[Calendario].[AñoMes].&amp;[" &amp; TEXT(AM$6,"yyyymm")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N66" s="8">
        <f>IFERROR(
GETPIVOTDATA(
"[Base].[Importe]",
TDinamica_R!$A$5,
"[Calendario].[AñoMes]",
"[Calendario].[AñoMes].&amp;[" &amp; TEXT(AN$6,"yyyymm")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O66" s="8">
        <f>IFERROR(
GETPIVOTDATA(
"[Base].[Importe]",
TDinamica_R!$A$5,
"[Calendario].[AñoMes]",
"[Calendario].[AñoMes].&amp;[" &amp; TEXT(AO$6,"yyyymm")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P66" s="8">
        <f>IFERROR(
GETPIVOTDATA(
"[Base].[Importe]",
TDinamica_R!$A$5,
"[Calendario].[AñoMes]",
"[Calendario].[AñoMes].&amp;[" &amp; TEXT(AP$6,"yyyymm")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Q66" s="8">
        <f>IFERROR(
GETPIVOTDATA(
"[Base].[Importe]",
TDinamica_R!$A$5,
"[Calendario].[AñoMes]",
"[Calendario].[AñoMes].&amp;[" &amp; TEXT(AQ$6,"yyyymm")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R66" s="8">
        <f>IFERROR(
GETPIVOTDATA(
"[Base].[Importe]",
TDinamica_R!$A$5,
"[Calendario].[AñoMes]",
"[Calendario].[AñoMes].&amp;[" &amp; TEXT(AR$6,"yyyymm")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S66" s="8">
        <f>IFERROR(
GETPIVOTDATA(
"[Base].[Importe]",
TDinamica_R!$A$5,
"[Calendario].[AñoMes]",
"[Calendario].[AñoMes].&amp;[" &amp; TEXT(AS$6,"yyyymm")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T66" s="8">
        <f>IFERROR(
GETPIVOTDATA(
"[Base].[Importe]",
TDinamica_R!$A$5,
"[Calendario].[AñoMes]",
"[Calendario].[AñoMes].&amp;[" &amp; TEXT(AT$6,"yyyymm")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U66" s="8">
        <f>IFERROR(
GETPIVOTDATA(
"[Base].[Importe]",
TDinamica_R!$A$5,
"[Calendario].[AñoMes]",
"[Calendario].[AñoMes].&amp;[" &amp; TEXT(AU$6,"yyyymm")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V66" s="8">
        <f>IFERROR(
GETPIVOTDATA(
"[Base].[Importe]",
TDinamica_R!$A$5,
"[Calendario].[AñoMes]",
"[Calendario].[AñoMes].&amp;[" &amp; TEXT(AV$6,"yyyymm")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W66" s="8">
        <f>IFERROR(
GETPIVOTDATA(
"[Base].[Importe]",
TDinamica_R!$A$5,
"[Calendario].[AñoMes]",
"[Calendario].[AñoMes].&amp;[" &amp; TEXT(AW$6,"yyyymm")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X66" s="8">
        <f>IFERROR(
GETPIVOTDATA(
"[Base].[Importe]",
TDinamica_R!$A$5,
"[Calendario].[AñoMes]",
"[Calendario].[AñoMes].&amp;[" &amp; TEXT(AX$6,"yyyymm")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Y66" s="8">
        <f>IFERROR(
GETPIVOTDATA(
"[Base].[Importe]",
TDinamica_R!$A$5,
"[Calendario].[AñoMes]",
"[Calendario].[AñoMes].&amp;[" &amp; TEXT(AY$6,"yyyymm")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Z66" s="8">
        <f>IFERROR(
GETPIVOTDATA(
"[BASE_CONVE_PPTO].[Importe]",
TDinamica_P!$A$5,
"[BASE_CONVE_PPTO].[Periodo]",
"[BASE_CONVE_PPTO].[Periodo].&amp;[" &amp; TEXT(AZ$6,"yyyymm")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A66" s="8">
        <f>IFERROR(
GETPIVOTDATA(
"[BASE_CONVE_PPTO].[Importe]",
TDinamica_P!$A$5,
"[BASE_CONVE_PPTO].[Periodo]",
"[BASE_CONVE_PPTO].[Periodo].&amp;[" &amp; TEXT(BA$6,"yyyymm")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B66" s="8">
        <f>IFERROR(
GETPIVOTDATA(
"[BASE_CONVE_PPTO].[Importe]",
TDinamica_P!$A$5,
"[BASE_CONVE_PPTO].[Periodo]",
"[BASE_CONVE_PPTO].[Periodo].&amp;[" &amp; TEXT(BB$6,"yyyymm")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C66" s="8">
        <f>IFERROR(
GETPIVOTDATA(
"[BASE_CONVE_PPTO].[Importe]",
TDinamica_P!$A$5,
"[BASE_CONVE_PPTO].[Periodo]",
"[BASE_CONVE_PPTO].[Periodo].&amp;[" &amp; TEXT(BC$6,"yyyymm")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D66" s="8">
        <f>IFERROR(
GETPIVOTDATA(
"[BASE_CONVE_PPTO].[Importe]",
TDinamica_P!$A$5,
"[BASE_CONVE_PPTO].[Periodo]",
"[BASE_CONVE_PPTO].[Periodo].&amp;[" &amp; TEXT(BD$6,"yyyymm")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E66" s="8">
        <f>IFERROR(
GETPIVOTDATA(
"[BASE_CONVE_PPTO].[Importe]",
TDinamica_P!$A$5,
"[BASE_CONVE_PPTO].[Periodo]",
"[BASE_CONVE_PPTO].[Periodo].&amp;[" &amp; TEXT(BE$6,"yyyymm")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F66" s="8">
        <f>IFERROR(
GETPIVOTDATA(
"[BASE_CONVE_PPTO].[Importe]",
TDinamica_P!$A$5,
"[BASE_CONVE_PPTO].[Periodo]",
"[BASE_CONVE_PPTO].[Periodo].&amp;[" &amp; TEXT(BF$6,"yyyymm")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G66" s="8">
        <f>IFERROR(
GETPIVOTDATA(
"[BASE_CONVE_PPTO].[Importe]",
TDinamica_P!$A$5,
"[BASE_CONVE_PPTO].[Periodo]",
"[BASE_CONVE_PPTO].[Periodo].&amp;[" &amp; TEXT(BG$6,"yyyymm")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H66" s="8">
        <f>IFERROR(
GETPIVOTDATA(
"[BASE_CONVE_PPTO].[Importe]",
TDinamica_P!$A$5,
"[BASE_CONVE_PPTO].[Periodo]",
"[BASE_CONVE_PPTO].[Periodo].&amp;[" &amp; TEXT(BH$6,"yyyymm")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I66" s="8">
        <f>IFERROR(
GETPIVOTDATA(
"[BASE_CONVE_PPTO].[Importe]",
TDinamica_P!$A$5,
"[BASE_CONVE_PPTO].[Periodo]",
"[BASE_CONVE_PPTO].[Periodo].&amp;[" &amp; TEXT(BI$6,"yyyymm")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J66" s="8">
        <f>IFERROR(
GETPIVOTDATA(
"[BASE_CONVE_PPTO].[Importe]",
TDinamica_P!$A$5,
"[BASE_CONVE_PPTO].[Periodo]",
"[BASE_CONVE_PPTO].[Periodo].&amp;[" &amp; TEXT(BJ$6,"yyyymm")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K66" s="8">
        <f>IFERROR(
GETPIVOTDATA(
"[BASE_CONVE_PPTO].[Importe]",
TDinamica_P!$A$5,
"[BASE_CONVE_PPTO].[Periodo]",
"[BASE_CONVE_PPTO].[Periodo].&amp;[" &amp; TEXT(BK$6,"yyyymm")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O66" s="24">
        <f t="shared" si="49"/>
        <v>0</v>
      </c>
      <c r="BP66" s="24">
        <f t="shared" si="49"/>
        <v>0</v>
      </c>
      <c r="BQ66" s="24">
        <f t="shared" si="49"/>
        <v>0</v>
      </c>
      <c r="BR66" s="24">
        <f t="shared" si="49"/>
        <v>0</v>
      </c>
      <c r="BS66" s="24">
        <f t="shared" si="49"/>
        <v>0</v>
      </c>
      <c r="BT66" s="24">
        <f t="shared" si="49"/>
        <v>0</v>
      </c>
    </row>
    <row r="67" spans="1:72" outlineLevel="1" x14ac:dyDescent="0.25">
      <c r="A67" s="11" t="s">
        <v>71</v>
      </c>
      <c r="C67" s="2"/>
      <c r="D67" s="8">
        <f>IFERROR(
GETPIVOTDATA(
"[Base].[Importe]",
TDinamica_R!$A$5,
"[Calendario].[AñoMes]",
"[Calendario].[AñoMes].&amp;[" &amp; TEXT(D$6,"yyyymm")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E67" s="8">
        <f>IFERROR(
GETPIVOTDATA(
"[Base].[Importe]",
TDinamica_R!$A$5,
"[Calendario].[AñoMes]",
"[Calendario].[AñoMes].&amp;[" &amp; TEXT(E$6,"yyyymm")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F67" s="8">
        <f>IFERROR(
GETPIVOTDATA(
"[Base].[Importe]",
TDinamica_R!$A$5,
"[Calendario].[AñoMes]",
"[Calendario].[AñoMes].&amp;[" &amp; TEXT(F$6,"yyyymm")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G67" s="8">
        <f>IFERROR(
GETPIVOTDATA(
"[Base].[Importe]",
TDinamica_R!$A$5,
"[Calendario].[AñoMes]",
"[Calendario].[AñoMes].&amp;[" &amp; TEXT(G$6,"yyyymm")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H67" s="8">
        <f>IFERROR(
GETPIVOTDATA(
"[Base].[Importe]",
TDinamica_R!$A$5,
"[Calendario].[AñoMes]",
"[Calendario].[AñoMes].&amp;[" &amp; TEXT(H$6,"yyyymm")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I67" s="8">
        <f>IFERROR(
GETPIVOTDATA(
"[Base].[Importe]",
TDinamica_R!$A$5,
"[Calendario].[AñoMes]",
"[Calendario].[AñoMes].&amp;[" &amp; TEXT(I$6,"yyyymm")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J67" s="8">
        <f>IFERROR(
GETPIVOTDATA(
"[Base].[Importe]",
TDinamica_R!$A$5,
"[Calendario].[AñoMes]",
"[Calendario].[AñoMes].&amp;[" &amp; TEXT(J$6,"yyyymm")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K67" s="8">
        <f>IFERROR(
GETPIVOTDATA(
"[Base].[Importe]",
TDinamica_R!$A$5,
"[Calendario].[AñoMes]",
"[Calendario].[AñoMes].&amp;[" &amp; TEXT(K$6,"yyyymm")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L67" s="8">
        <f>IFERROR(
GETPIVOTDATA(
"[Base].[Importe]",
TDinamica_R!$A$5,
"[Calendario].[AñoMes]",
"[Calendario].[AñoMes].&amp;[" &amp; TEXT(L$6,"yyyymm")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M67" s="8">
        <f>IFERROR(
GETPIVOTDATA(
"[Base].[Importe]",
TDinamica_R!$A$5,
"[Calendario].[AñoMes]",
"[Calendario].[AñoMes].&amp;[" &amp; TEXT(M$6,"yyyymm")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N67" s="8">
        <f>IFERROR(
GETPIVOTDATA(
"[Base].[Importe]",
TDinamica_R!$A$5,
"[Calendario].[AñoMes]",
"[Calendario].[AñoMes].&amp;[" &amp; TEXT(N$6,"yyyymm")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O67" s="8">
        <f>IFERROR(
GETPIVOTDATA(
"[Base].[Importe]",
TDinamica_R!$A$5,
"[Calendario].[AñoMes]",
"[Calendario].[AñoMes].&amp;[" &amp; TEXT(O$6,"yyyymm")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P67" s="8">
        <f>IFERROR(
GETPIVOTDATA(
"[Base].[Importe]",
TDinamica_R!$A$5,
"[Calendario].[AñoMes]",
"[Calendario].[AñoMes].&amp;[" &amp; TEXT(P$6,"yyyymm")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Q67" s="8">
        <f>IFERROR(
GETPIVOTDATA(
"[Base].[Importe]",
TDinamica_R!$A$5,
"[Calendario].[AñoMes]",
"[Calendario].[AñoMes].&amp;[" &amp; TEXT(Q$6,"yyyymm")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R67" s="8">
        <f>IFERROR(
GETPIVOTDATA(
"[Base].[Importe]",
TDinamica_R!$A$5,
"[Calendario].[AñoMes]",
"[Calendario].[AñoMes].&amp;[" &amp; TEXT(R$6,"yyyymm")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S67" s="8">
        <f>IFERROR(
GETPIVOTDATA(
"[Base].[Importe]",
TDinamica_R!$A$5,
"[Calendario].[AñoMes]",
"[Calendario].[AñoMes].&amp;[" &amp; TEXT(S$6,"yyyymm")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T67" s="8">
        <f>IFERROR(
GETPIVOTDATA(
"[Base].[Importe]",
TDinamica_R!$A$5,
"[Calendario].[AñoMes]",
"[Calendario].[AñoMes].&amp;[" &amp; TEXT(T$6,"yyyymm")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U67" s="8">
        <f>IFERROR(
GETPIVOTDATA(
"[Base].[Importe]",
TDinamica_R!$A$5,
"[Calendario].[AñoMes]",
"[Calendario].[AñoMes].&amp;[" &amp; TEXT(U$6,"yyyymm")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V67" s="8">
        <f>IFERROR(
GETPIVOTDATA(
"[Base].[Importe]",
TDinamica_R!$A$5,
"[Calendario].[AñoMes]",
"[Calendario].[AñoMes].&amp;[" &amp; TEXT(V$6,"yyyymm")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W67" s="8">
        <f>IFERROR(
GETPIVOTDATA(
"[Base].[Importe]",
TDinamica_R!$A$5,
"[Calendario].[AñoMes]",
"[Calendario].[AñoMes].&amp;[" &amp; TEXT(W$6,"yyyymm")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X67" s="8">
        <f>IFERROR(
GETPIVOTDATA(
"[Base].[Importe]",
TDinamica_R!$A$5,
"[Calendario].[AñoMes]",
"[Calendario].[AñoMes].&amp;[" &amp; TEXT(X$6,"yyyymm")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Y67" s="8">
        <f>IFERROR(
GETPIVOTDATA(
"[Base].[Importe]",
TDinamica_R!$A$5,
"[Calendario].[AñoMes]",
"[Calendario].[AñoMes].&amp;[" &amp; TEXT(Y$6,"yyyymm")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Z67" s="8">
        <f>IFERROR(
GETPIVOTDATA(
"[Base].[Importe]",
TDinamica_R!$A$5,
"[Calendario].[AñoMes]",
"[Calendario].[AñoMes].&amp;[" &amp; TEXT(Z$6,"yyyymm")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A67" s="8">
        <f>IFERROR(
GETPIVOTDATA(
"[Base].[Importe]",
TDinamica_R!$A$5,
"[Calendario].[AñoMes]",
"[Calendario].[AñoMes].&amp;[" &amp; TEXT(AA$6,"yyyymm")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B67" s="8">
        <f>IFERROR(
GETPIVOTDATA(
"[Base].[Importe]",
TDinamica_R!$A$5,
"[Calendario].[AñoMes]",
"[Calendario].[AñoMes].&amp;[" &amp; TEXT(AB$6,"yyyymm")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C67" s="8">
        <f>IFERROR(
GETPIVOTDATA(
"[Base].[Importe]",
TDinamica_R!$A$5,
"[Calendario].[AñoMes]",
"[Calendario].[AñoMes].&amp;[" &amp; TEXT(AC$6,"yyyymm")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D67" s="8">
        <f>IFERROR(
GETPIVOTDATA(
"[Base].[Importe]",
TDinamica_R!$A$5,
"[Calendario].[AñoMes]",
"[Calendario].[AñoMes].&amp;[" &amp; TEXT(AD$6,"yyyymm")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E67" s="8">
        <f>IFERROR(
GETPIVOTDATA(
"[Base].[Importe]",
TDinamica_R!$A$5,
"[Calendario].[AñoMes]",
"[Calendario].[AñoMes].&amp;[" &amp; TEXT(AE$6,"yyyymm")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F67" s="8">
        <f>IFERROR(
GETPIVOTDATA(
"[Base].[Importe]",
TDinamica_R!$A$5,
"[Calendario].[AñoMes]",
"[Calendario].[AñoMes].&amp;[" &amp; TEXT(AF$6,"yyyymm")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G67" s="8">
        <f>IFERROR(
GETPIVOTDATA(
"[Base].[Importe]",
TDinamica_R!$A$5,
"[Calendario].[AñoMes]",
"[Calendario].[AñoMes].&amp;[" &amp; TEXT(AG$6,"yyyymm")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H67" s="8">
        <f>IFERROR(
GETPIVOTDATA(
"[Base].[Importe]",
TDinamica_R!$A$5,
"[Calendario].[AñoMes]",
"[Calendario].[AñoMes].&amp;[" &amp; TEXT(AH$6,"yyyymm")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I67" s="8">
        <f>IFERROR(
GETPIVOTDATA(
"[Base].[Importe]",
TDinamica_R!$A$5,
"[Calendario].[AñoMes]",
"[Calendario].[AñoMes].&amp;[" &amp; TEXT(AI$6,"yyyymm")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J67" s="8">
        <f>IFERROR(
GETPIVOTDATA(
"[Base].[Importe]",
TDinamica_R!$A$5,
"[Calendario].[AñoMes]",
"[Calendario].[AñoMes].&amp;[" &amp; TEXT(AJ$6,"yyyymm")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K67" s="8">
        <f>IFERROR(
GETPIVOTDATA(
"[Base].[Importe]",
TDinamica_R!$A$5,
"[Calendario].[AñoMes]",
"[Calendario].[AñoMes].&amp;[" &amp; TEXT(AK$6,"yyyymm")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L67" s="8">
        <f>IFERROR(
GETPIVOTDATA(
"[Base].[Importe]",
TDinamica_R!$A$5,
"[Calendario].[AñoMes]",
"[Calendario].[AñoMes].&amp;[" &amp; TEXT(AL$6,"yyyymm")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M67" s="8">
        <f>IFERROR(
GETPIVOTDATA(
"[Base].[Importe]",
TDinamica_R!$A$5,
"[Calendario].[AñoMes]",
"[Calendario].[AñoMes].&amp;[" &amp; TEXT(AM$6,"yyyymm")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N67" s="8">
        <f>IFERROR(
GETPIVOTDATA(
"[Base].[Importe]",
TDinamica_R!$A$5,
"[Calendario].[AñoMes]",
"[Calendario].[AñoMes].&amp;[" &amp; TEXT(AN$6,"yyyymm")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O67" s="8">
        <f>IFERROR(
GETPIVOTDATA(
"[Base].[Importe]",
TDinamica_R!$A$5,
"[Calendario].[AñoMes]",
"[Calendario].[AñoMes].&amp;[" &amp; TEXT(AO$6,"yyyymm")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P67" s="8">
        <f>IFERROR(
GETPIVOTDATA(
"[Base].[Importe]",
TDinamica_R!$A$5,
"[Calendario].[AñoMes]",
"[Calendario].[AñoMes].&amp;[" &amp; TEXT(AP$6,"yyyymm")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Q67" s="8">
        <f>IFERROR(
GETPIVOTDATA(
"[Base].[Importe]",
TDinamica_R!$A$5,
"[Calendario].[AñoMes]",
"[Calendario].[AñoMes].&amp;[" &amp; TEXT(AQ$6,"yyyymm")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R67" s="8">
        <f>IFERROR(
GETPIVOTDATA(
"[Base].[Importe]",
TDinamica_R!$A$5,
"[Calendario].[AñoMes]",
"[Calendario].[AñoMes].&amp;[" &amp; TEXT(AR$6,"yyyymm")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S67" s="8">
        <f>IFERROR(
GETPIVOTDATA(
"[Base].[Importe]",
TDinamica_R!$A$5,
"[Calendario].[AñoMes]",
"[Calendario].[AñoMes].&amp;[" &amp; TEXT(AS$6,"yyyymm")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T67" s="8">
        <f>IFERROR(
GETPIVOTDATA(
"[Base].[Importe]",
TDinamica_R!$A$5,
"[Calendario].[AñoMes]",
"[Calendario].[AñoMes].&amp;[" &amp; TEXT(AT$6,"yyyymm")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U67" s="8">
        <f>IFERROR(
GETPIVOTDATA(
"[Base].[Importe]",
TDinamica_R!$A$5,
"[Calendario].[AñoMes]",
"[Calendario].[AñoMes].&amp;[" &amp; TEXT(AU$6,"yyyymm")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V67" s="8">
        <f>IFERROR(
GETPIVOTDATA(
"[Base].[Importe]",
TDinamica_R!$A$5,
"[Calendario].[AñoMes]",
"[Calendario].[AñoMes].&amp;[" &amp; TEXT(AV$6,"yyyymm")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W67" s="8">
        <f>IFERROR(
GETPIVOTDATA(
"[Base].[Importe]",
TDinamica_R!$A$5,
"[Calendario].[AñoMes]",
"[Calendario].[AñoMes].&amp;[" &amp; TEXT(AW$6,"yyyymm")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X67" s="8">
        <f>IFERROR(
GETPIVOTDATA(
"[Base].[Importe]",
TDinamica_R!$A$5,
"[Calendario].[AñoMes]",
"[Calendario].[AñoMes].&amp;[" &amp; TEXT(AX$6,"yyyymm")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Y67" s="8">
        <f>IFERROR(
GETPIVOTDATA(
"[Base].[Importe]",
TDinamica_R!$A$5,
"[Calendario].[AñoMes]",
"[Calendario].[AñoMes].&amp;[" &amp; TEXT(AY$6,"yyyymm")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Z67" s="8">
        <f>IFERROR(
GETPIVOTDATA(
"[BASE_CONVE_PPTO].[Importe]",
TDinamica_P!$A$5,
"[BASE_CONVE_PPTO].[Periodo]",
"[BASE_CONVE_PPTO].[Periodo].&amp;[" &amp; TEXT(AZ$6,"yyyymm")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A67" s="8">
        <f>IFERROR(
GETPIVOTDATA(
"[BASE_CONVE_PPTO].[Importe]",
TDinamica_P!$A$5,
"[BASE_CONVE_PPTO].[Periodo]",
"[BASE_CONVE_PPTO].[Periodo].&amp;[" &amp; TEXT(BA$6,"yyyymm")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B67" s="8">
        <f>IFERROR(
GETPIVOTDATA(
"[BASE_CONVE_PPTO].[Importe]",
TDinamica_P!$A$5,
"[BASE_CONVE_PPTO].[Periodo]",
"[BASE_CONVE_PPTO].[Periodo].&amp;[" &amp; TEXT(BB$6,"yyyymm")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C67" s="8">
        <f>IFERROR(
GETPIVOTDATA(
"[BASE_CONVE_PPTO].[Importe]",
TDinamica_P!$A$5,
"[BASE_CONVE_PPTO].[Periodo]",
"[BASE_CONVE_PPTO].[Periodo].&amp;[" &amp; TEXT(BC$6,"yyyymm")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D67" s="8">
        <f>IFERROR(
GETPIVOTDATA(
"[BASE_CONVE_PPTO].[Importe]",
TDinamica_P!$A$5,
"[BASE_CONVE_PPTO].[Periodo]",
"[BASE_CONVE_PPTO].[Periodo].&amp;[" &amp; TEXT(BD$6,"yyyymm")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E67" s="8">
        <f>IFERROR(
GETPIVOTDATA(
"[BASE_CONVE_PPTO].[Importe]",
TDinamica_P!$A$5,
"[BASE_CONVE_PPTO].[Periodo]",
"[BASE_CONVE_PPTO].[Periodo].&amp;[" &amp; TEXT(BE$6,"yyyymm")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F67" s="8">
        <f>IFERROR(
GETPIVOTDATA(
"[BASE_CONVE_PPTO].[Importe]",
TDinamica_P!$A$5,
"[BASE_CONVE_PPTO].[Periodo]",
"[BASE_CONVE_PPTO].[Periodo].&amp;[" &amp; TEXT(BF$6,"yyyymm")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G67" s="8">
        <f>IFERROR(
GETPIVOTDATA(
"[BASE_CONVE_PPTO].[Importe]",
TDinamica_P!$A$5,
"[BASE_CONVE_PPTO].[Periodo]",
"[BASE_CONVE_PPTO].[Periodo].&amp;[" &amp; TEXT(BG$6,"yyyymm")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H67" s="8">
        <f>IFERROR(
GETPIVOTDATA(
"[BASE_CONVE_PPTO].[Importe]",
TDinamica_P!$A$5,
"[BASE_CONVE_PPTO].[Periodo]",
"[BASE_CONVE_PPTO].[Periodo].&amp;[" &amp; TEXT(BH$6,"yyyymm")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I67" s="8">
        <f>IFERROR(
GETPIVOTDATA(
"[BASE_CONVE_PPTO].[Importe]",
TDinamica_P!$A$5,
"[BASE_CONVE_PPTO].[Periodo]",
"[BASE_CONVE_PPTO].[Periodo].&amp;[" &amp; TEXT(BI$6,"yyyymm")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J67" s="8">
        <f>IFERROR(
GETPIVOTDATA(
"[BASE_CONVE_PPTO].[Importe]",
TDinamica_P!$A$5,
"[BASE_CONVE_PPTO].[Periodo]",
"[BASE_CONVE_PPTO].[Periodo].&amp;[" &amp; TEXT(BJ$6,"yyyymm")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K67" s="8">
        <f>IFERROR(
GETPIVOTDATA(
"[BASE_CONVE_PPTO].[Importe]",
TDinamica_P!$A$5,
"[BASE_CONVE_PPTO].[Periodo]",
"[BASE_CONVE_PPTO].[Periodo].&amp;[" &amp; TEXT(BK$6,"yyyymm")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O67" s="24">
        <f t="shared" si="49"/>
        <v>0</v>
      </c>
      <c r="BP67" s="24">
        <f t="shared" si="49"/>
        <v>0</v>
      </c>
      <c r="BQ67" s="24">
        <f t="shared" si="49"/>
        <v>0</v>
      </c>
      <c r="BR67" s="24">
        <f t="shared" si="49"/>
        <v>0</v>
      </c>
      <c r="BS67" s="24">
        <f t="shared" si="49"/>
        <v>0</v>
      </c>
      <c r="BT67" s="24">
        <f t="shared" si="49"/>
        <v>0</v>
      </c>
    </row>
    <row r="68" spans="1:72" outlineLevel="1" x14ac:dyDescent="0.25">
      <c r="A68" s="11" t="s">
        <v>71</v>
      </c>
      <c r="C68" s="2"/>
      <c r="D68" s="8">
        <f>IFERROR(
GETPIVOTDATA(
"[Base].[Importe]",
TDinamica_R!$A$5,
"[Calendario].[AñoMes]",
"[Calendario].[AñoMes].&amp;[" &amp; TEXT(D$6,"yyyymm")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E68" s="8">
        <f>IFERROR(
GETPIVOTDATA(
"[Base].[Importe]",
TDinamica_R!$A$5,
"[Calendario].[AñoMes]",
"[Calendario].[AñoMes].&amp;[" &amp; TEXT(E$6,"yyyymm")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F68" s="8">
        <f>IFERROR(
GETPIVOTDATA(
"[Base].[Importe]",
TDinamica_R!$A$5,
"[Calendario].[AñoMes]",
"[Calendario].[AñoMes].&amp;[" &amp; TEXT(F$6,"yyyymm")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G68" s="8">
        <f>IFERROR(
GETPIVOTDATA(
"[Base].[Importe]",
TDinamica_R!$A$5,
"[Calendario].[AñoMes]",
"[Calendario].[AñoMes].&amp;[" &amp; TEXT(G$6,"yyyymm")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H68" s="8">
        <f>IFERROR(
GETPIVOTDATA(
"[Base].[Importe]",
TDinamica_R!$A$5,
"[Calendario].[AñoMes]",
"[Calendario].[AñoMes].&amp;[" &amp; TEXT(H$6,"yyyymm")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I68" s="8">
        <f>IFERROR(
GETPIVOTDATA(
"[Base].[Importe]",
TDinamica_R!$A$5,
"[Calendario].[AñoMes]",
"[Calendario].[AñoMes].&amp;[" &amp; TEXT(I$6,"yyyymm")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J68" s="8">
        <f>IFERROR(
GETPIVOTDATA(
"[Base].[Importe]",
TDinamica_R!$A$5,
"[Calendario].[AñoMes]",
"[Calendario].[AñoMes].&amp;[" &amp; TEXT(J$6,"yyyymm")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K68" s="8">
        <f>IFERROR(
GETPIVOTDATA(
"[Base].[Importe]",
TDinamica_R!$A$5,
"[Calendario].[AñoMes]",
"[Calendario].[AñoMes].&amp;[" &amp; TEXT(K$6,"yyyymm")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L68" s="8">
        <f>IFERROR(
GETPIVOTDATA(
"[Base].[Importe]",
TDinamica_R!$A$5,
"[Calendario].[AñoMes]",
"[Calendario].[AñoMes].&amp;[" &amp; TEXT(L$6,"yyyymm")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M68" s="8">
        <f>IFERROR(
GETPIVOTDATA(
"[Base].[Importe]",
TDinamica_R!$A$5,
"[Calendario].[AñoMes]",
"[Calendario].[AñoMes].&amp;[" &amp; TEXT(M$6,"yyyymm")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N68" s="8">
        <f>IFERROR(
GETPIVOTDATA(
"[Base].[Importe]",
TDinamica_R!$A$5,
"[Calendario].[AñoMes]",
"[Calendario].[AñoMes].&amp;[" &amp; TEXT(N$6,"yyyymm")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O68" s="8">
        <f>IFERROR(
GETPIVOTDATA(
"[Base].[Importe]",
TDinamica_R!$A$5,
"[Calendario].[AñoMes]",
"[Calendario].[AñoMes].&amp;[" &amp; TEXT(O$6,"yyyymm")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P68" s="8">
        <f>IFERROR(
GETPIVOTDATA(
"[Base].[Importe]",
TDinamica_R!$A$5,
"[Calendario].[AñoMes]",
"[Calendario].[AñoMes].&amp;[" &amp; TEXT(P$6,"yyyymm")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Q68" s="8">
        <f>IFERROR(
GETPIVOTDATA(
"[Base].[Importe]",
TDinamica_R!$A$5,
"[Calendario].[AñoMes]",
"[Calendario].[AñoMes].&amp;[" &amp; TEXT(Q$6,"yyyymm")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R68" s="8">
        <f>IFERROR(
GETPIVOTDATA(
"[Base].[Importe]",
TDinamica_R!$A$5,
"[Calendario].[AñoMes]",
"[Calendario].[AñoMes].&amp;[" &amp; TEXT(R$6,"yyyymm")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S68" s="8">
        <f>IFERROR(
GETPIVOTDATA(
"[Base].[Importe]",
TDinamica_R!$A$5,
"[Calendario].[AñoMes]",
"[Calendario].[AñoMes].&amp;[" &amp; TEXT(S$6,"yyyymm")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T68" s="8">
        <f>IFERROR(
GETPIVOTDATA(
"[Base].[Importe]",
TDinamica_R!$A$5,
"[Calendario].[AñoMes]",
"[Calendario].[AñoMes].&amp;[" &amp; TEXT(T$6,"yyyymm")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U68" s="8">
        <f>IFERROR(
GETPIVOTDATA(
"[Base].[Importe]",
TDinamica_R!$A$5,
"[Calendario].[AñoMes]",
"[Calendario].[AñoMes].&amp;[" &amp; TEXT(U$6,"yyyymm")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V68" s="8">
        <f>IFERROR(
GETPIVOTDATA(
"[Base].[Importe]",
TDinamica_R!$A$5,
"[Calendario].[AñoMes]",
"[Calendario].[AñoMes].&amp;[" &amp; TEXT(V$6,"yyyymm")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W68" s="8">
        <f>IFERROR(
GETPIVOTDATA(
"[Base].[Importe]",
TDinamica_R!$A$5,
"[Calendario].[AñoMes]",
"[Calendario].[AñoMes].&amp;[" &amp; TEXT(W$6,"yyyymm")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X68" s="8">
        <f>IFERROR(
GETPIVOTDATA(
"[Base].[Importe]",
TDinamica_R!$A$5,
"[Calendario].[AñoMes]",
"[Calendario].[AñoMes].&amp;[" &amp; TEXT(X$6,"yyyymm")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Y68" s="8">
        <f>IFERROR(
GETPIVOTDATA(
"[Base].[Importe]",
TDinamica_R!$A$5,
"[Calendario].[AñoMes]",
"[Calendario].[AñoMes].&amp;[" &amp; TEXT(Y$6,"yyyymm")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Z68" s="8">
        <f>IFERROR(
GETPIVOTDATA(
"[Base].[Importe]",
TDinamica_R!$A$5,
"[Calendario].[AñoMes]",
"[Calendario].[AñoMes].&amp;[" &amp; TEXT(Z$6,"yyyymm")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A68" s="8">
        <f>IFERROR(
GETPIVOTDATA(
"[Base].[Importe]",
TDinamica_R!$A$5,
"[Calendario].[AñoMes]",
"[Calendario].[AñoMes].&amp;[" &amp; TEXT(AA$6,"yyyymm")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B68" s="8">
        <f>IFERROR(
GETPIVOTDATA(
"[Base].[Importe]",
TDinamica_R!$A$5,
"[Calendario].[AñoMes]",
"[Calendario].[AñoMes].&amp;[" &amp; TEXT(AB$6,"yyyymm")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C68" s="8">
        <f>IFERROR(
GETPIVOTDATA(
"[Base].[Importe]",
TDinamica_R!$A$5,
"[Calendario].[AñoMes]",
"[Calendario].[AñoMes].&amp;[" &amp; TEXT(AC$6,"yyyymm")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D68" s="8">
        <f>IFERROR(
GETPIVOTDATA(
"[Base].[Importe]",
TDinamica_R!$A$5,
"[Calendario].[AñoMes]",
"[Calendario].[AñoMes].&amp;[" &amp; TEXT(AD$6,"yyyymm")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E68" s="8">
        <f>IFERROR(
GETPIVOTDATA(
"[Base].[Importe]",
TDinamica_R!$A$5,
"[Calendario].[AñoMes]",
"[Calendario].[AñoMes].&amp;[" &amp; TEXT(AE$6,"yyyymm")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F68" s="8">
        <f>IFERROR(
GETPIVOTDATA(
"[Base].[Importe]",
TDinamica_R!$A$5,
"[Calendario].[AñoMes]",
"[Calendario].[AñoMes].&amp;[" &amp; TEXT(AF$6,"yyyymm")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G68" s="8">
        <f>IFERROR(
GETPIVOTDATA(
"[Base].[Importe]",
TDinamica_R!$A$5,
"[Calendario].[AñoMes]",
"[Calendario].[AñoMes].&amp;[" &amp; TEXT(AG$6,"yyyymm")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H68" s="8">
        <f>IFERROR(
GETPIVOTDATA(
"[Base].[Importe]",
TDinamica_R!$A$5,
"[Calendario].[AñoMes]",
"[Calendario].[AñoMes].&amp;[" &amp; TEXT(AH$6,"yyyymm")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I68" s="8">
        <f>IFERROR(
GETPIVOTDATA(
"[Base].[Importe]",
TDinamica_R!$A$5,
"[Calendario].[AñoMes]",
"[Calendario].[AñoMes].&amp;[" &amp; TEXT(AI$6,"yyyymm")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J68" s="8">
        <f>IFERROR(
GETPIVOTDATA(
"[Base].[Importe]",
TDinamica_R!$A$5,
"[Calendario].[AñoMes]",
"[Calendario].[AñoMes].&amp;[" &amp; TEXT(AJ$6,"yyyymm")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K68" s="8">
        <f>IFERROR(
GETPIVOTDATA(
"[Base].[Importe]",
TDinamica_R!$A$5,
"[Calendario].[AñoMes]",
"[Calendario].[AñoMes].&amp;[" &amp; TEXT(AK$6,"yyyymm")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L68" s="8">
        <f>IFERROR(
GETPIVOTDATA(
"[Base].[Importe]",
TDinamica_R!$A$5,
"[Calendario].[AñoMes]",
"[Calendario].[AñoMes].&amp;[" &amp; TEXT(AL$6,"yyyymm")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M68" s="8">
        <f>IFERROR(
GETPIVOTDATA(
"[Base].[Importe]",
TDinamica_R!$A$5,
"[Calendario].[AñoMes]",
"[Calendario].[AñoMes].&amp;[" &amp; TEXT(AM$6,"yyyymm")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N68" s="8">
        <f>IFERROR(
GETPIVOTDATA(
"[Base].[Importe]",
TDinamica_R!$A$5,
"[Calendario].[AñoMes]",
"[Calendario].[AñoMes].&amp;[" &amp; TEXT(AN$6,"yyyymm")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O68" s="8">
        <f>IFERROR(
GETPIVOTDATA(
"[Base].[Importe]",
TDinamica_R!$A$5,
"[Calendario].[AñoMes]",
"[Calendario].[AñoMes].&amp;[" &amp; TEXT(AO$6,"yyyymm")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P68" s="8">
        <f>IFERROR(
GETPIVOTDATA(
"[Base].[Importe]",
TDinamica_R!$A$5,
"[Calendario].[AñoMes]",
"[Calendario].[AñoMes].&amp;[" &amp; TEXT(AP$6,"yyyymm")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Q68" s="8">
        <f>IFERROR(
GETPIVOTDATA(
"[Base].[Importe]",
TDinamica_R!$A$5,
"[Calendario].[AñoMes]",
"[Calendario].[AñoMes].&amp;[" &amp; TEXT(AQ$6,"yyyymm")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R68" s="8">
        <f>IFERROR(
GETPIVOTDATA(
"[Base].[Importe]",
TDinamica_R!$A$5,
"[Calendario].[AñoMes]",
"[Calendario].[AñoMes].&amp;[" &amp; TEXT(AR$6,"yyyymm")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S68" s="8">
        <f>IFERROR(
GETPIVOTDATA(
"[Base].[Importe]",
TDinamica_R!$A$5,
"[Calendario].[AñoMes]",
"[Calendario].[AñoMes].&amp;[" &amp; TEXT(AS$6,"yyyymm")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T68" s="8">
        <f>IFERROR(
GETPIVOTDATA(
"[Base].[Importe]",
TDinamica_R!$A$5,
"[Calendario].[AñoMes]",
"[Calendario].[AñoMes].&amp;[" &amp; TEXT(AT$6,"yyyymm")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U68" s="8">
        <f>IFERROR(
GETPIVOTDATA(
"[Base].[Importe]",
TDinamica_R!$A$5,
"[Calendario].[AñoMes]",
"[Calendario].[AñoMes].&amp;[" &amp; TEXT(AU$6,"yyyymm")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V68" s="8">
        <f>IFERROR(
GETPIVOTDATA(
"[Base].[Importe]",
TDinamica_R!$A$5,
"[Calendario].[AñoMes]",
"[Calendario].[AñoMes].&amp;[" &amp; TEXT(AV$6,"yyyymm")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W68" s="8">
        <f>IFERROR(
GETPIVOTDATA(
"[Base].[Importe]",
TDinamica_R!$A$5,
"[Calendario].[AñoMes]",
"[Calendario].[AñoMes].&amp;[" &amp; TEXT(AW$6,"yyyymm")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X68" s="8">
        <f>IFERROR(
GETPIVOTDATA(
"[Base].[Importe]",
TDinamica_R!$A$5,
"[Calendario].[AñoMes]",
"[Calendario].[AñoMes].&amp;[" &amp; TEXT(AX$6,"yyyymm")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Y68" s="8">
        <f>IFERROR(
GETPIVOTDATA(
"[Base].[Importe]",
TDinamica_R!$A$5,
"[Calendario].[AñoMes]",
"[Calendario].[AñoMes].&amp;[" &amp; TEXT(AY$6,"yyyymm")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Z68" s="8">
        <f>IFERROR(
GETPIVOTDATA(
"[BASE_CONVE_PPTO].[Importe]",
TDinamica_P!$A$5,
"[BASE_CONVE_PPTO].[Periodo]",
"[BASE_CONVE_PPTO].[Periodo].&amp;[" &amp; TEXT(AZ$6,"yyyymm")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A68" s="8">
        <f>IFERROR(
GETPIVOTDATA(
"[BASE_CONVE_PPTO].[Importe]",
TDinamica_P!$A$5,
"[BASE_CONVE_PPTO].[Periodo]",
"[BASE_CONVE_PPTO].[Periodo].&amp;[" &amp; TEXT(BA$6,"yyyymm")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B68" s="8">
        <f>IFERROR(
GETPIVOTDATA(
"[BASE_CONVE_PPTO].[Importe]",
TDinamica_P!$A$5,
"[BASE_CONVE_PPTO].[Periodo]",
"[BASE_CONVE_PPTO].[Periodo].&amp;[" &amp; TEXT(BB$6,"yyyymm")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C68" s="8">
        <f>IFERROR(
GETPIVOTDATA(
"[BASE_CONVE_PPTO].[Importe]",
TDinamica_P!$A$5,
"[BASE_CONVE_PPTO].[Periodo]",
"[BASE_CONVE_PPTO].[Periodo].&amp;[" &amp; TEXT(BC$6,"yyyymm")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D68" s="8">
        <f>IFERROR(
GETPIVOTDATA(
"[BASE_CONVE_PPTO].[Importe]",
TDinamica_P!$A$5,
"[BASE_CONVE_PPTO].[Periodo]",
"[BASE_CONVE_PPTO].[Periodo].&amp;[" &amp; TEXT(BD$6,"yyyymm")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E68" s="8">
        <f>IFERROR(
GETPIVOTDATA(
"[BASE_CONVE_PPTO].[Importe]",
TDinamica_P!$A$5,
"[BASE_CONVE_PPTO].[Periodo]",
"[BASE_CONVE_PPTO].[Periodo].&amp;[" &amp; TEXT(BE$6,"yyyymm")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F68" s="8">
        <f>IFERROR(
GETPIVOTDATA(
"[BASE_CONVE_PPTO].[Importe]",
TDinamica_P!$A$5,
"[BASE_CONVE_PPTO].[Periodo]",
"[BASE_CONVE_PPTO].[Periodo].&amp;[" &amp; TEXT(BF$6,"yyyymm")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G68" s="8">
        <f>IFERROR(
GETPIVOTDATA(
"[BASE_CONVE_PPTO].[Importe]",
TDinamica_P!$A$5,
"[BASE_CONVE_PPTO].[Periodo]",
"[BASE_CONVE_PPTO].[Periodo].&amp;[" &amp; TEXT(BG$6,"yyyymm")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H68" s="8">
        <f>IFERROR(
GETPIVOTDATA(
"[BASE_CONVE_PPTO].[Importe]",
TDinamica_P!$A$5,
"[BASE_CONVE_PPTO].[Periodo]",
"[BASE_CONVE_PPTO].[Periodo].&amp;[" &amp; TEXT(BH$6,"yyyymm")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I68" s="8">
        <f>IFERROR(
GETPIVOTDATA(
"[BASE_CONVE_PPTO].[Importe]",
TDinamica_P!$A$5,
"[BASE_CONVE_PPTO].[Periodo]",
"[BASE_CONVE_PPTO].[Periodo].&amp;[" &amp; TEXT(BI$6,"yyyymm")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J68" s="8">
        <f>IFERROR(
GETPIVOTDATA(
"[BASE_CONVE_PPTO].[Importe]",
TDinamica_P!$A$5,
"[BASE_CONVE_PPTO].[Periodo]",
"[BASE_CONVE_PPTO].[Periodo].&amp;[" &amp; TEXT(BJ$6,"yyyymm")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K68" s="8">
        <f>IFERROR(
GETPIVOTDATA(
"[BASE_CONVE_PPTO].[Importe]",
TDinamica_P!$A$5,
"[BASE_CONVE_PPTO].[Periodo]",
"[BASE_CONVE_PPTO].[Periodo].&amp;[" &amp; TEXT(BK$6,"yyyymm")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O68" s="24">
        <f t="shared" si="49"/>
        <v>0</v>
      </c>
      <c r="BP68" s="24">
        <f t="shared" si="49"/>
        <v>0</v>
      </c>
      <c r="BQ68" s="24">
        <f t="shared" si="49"/>
        <v>0</v>
      </c>
      <c r="BR68" s="24">
        <f t="shared" si="49"/>
        <v>0</v>
      </c>
      <c r="BS68" s="24">
        <f t="shared" si="49"/>
        <v>0</v>
      </c>
      <c r="BT68" s="24">
        <f t="shared" si="49"/>
        <v>0</v>
      </c>
    </row>
    <row r="69" spans="1:72" outlineLevel="1" x14ac:dyDescent="0.25">
      <c r="A69" s="11" t="s">
        <v>71</v>
      </c>
      <c r="C69" s="2"/>
      <c r="D69" s="8">
        <f>IFERROR(
GETPIVOTDATA(
"[Base].[Importe]",
TDinamica_R!$A$5,
"[Calendario].[AñoMes]",
"[Calendario].[AñoMes].&amp;[" &amp; TEXT(D$6,"yyyymm")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E69" s="8">
        <f>IFERROR(
GETPIVOTDATA(
"[Base].[Importe]",
TDinamica_R!$A$5,
"[Calendario].[AñoMes]",
"[Calendario].[AñoMes].&amp;[" &amp; TEXT(E$6,"yyyymm")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F69" s="8">
        <f>IFERROR(
GETPIVOTDATA(
"[Base].[Importe]",
TDinamica_R!$A$5,
"[Calendario].[AñoMes]",
"[Calendario].[AñoMes].&amp;[" &amp; TEXT(F$6,"yyyymm")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G69" s="8">
        <f>IFERROR(
GETPIVOTDATA(
"[Base].[Importe]",
TDinamica_R!$A$5,
"[Calendario].[AñoMes]",
"[Calendario].[AñoMes].&amp;[" &amp; TEXT(G$6,"yyyymm")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H69" s="8">
        <f>IFERROR(
GETPIVOTDATA(
"[Base].[Importe]",
TDinamica_R!$A$5,
"[Calendario].[AñoMes]",
"[Calendario].[AñoMes].&amp;[" &amp; TEXT(H$6,"yyyymm")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I69" s="8">
        <f>IFERROR(
GETPIVOTDATA(
"[Base].[Importe]",
TDinamica_R!$A$5,
"[Calendario].[AñoMes]",
"[Calendario].[AñoMes].&amp;[" &amp; TEXT(I$6,"yyyymm")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J69" s="8">
        <f>IFERROR(
GETPIVOTDATA(
"[Base].[Importe]",
TDinamica_R!$A$5,
"[Calendario].[AñoMes]",
"[Calendario].[AñoMes].&amp;[" &amp; TEXT(J$6,"yyyymm")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K69" s="8">
        <f>IFERROR(
GETPIVOTDATA(
"[Base].[Importe]",
TDinamica_R!$A$5,
"[Calendario].[AñoMes]",
"[Calendario].[AñoMes].&amp;[" &amp; TEXT(K$6,"yyyymm")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L69" s="8">
        <f>IFERROR(
GETPIVOTDATA(
"[Base].[Importe]",
TDinamica_R!$A$5,
"[Calendario].[AñoMes]",
"[Calendario].[AñoMes].&amp;[" &amp; TEXT(L$6,"yyyymm")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M69" s="8">
        <f>IFERROR(
GETPIVOTDATA(
"[Base].[Importe]",
TDinamica_R!$A$5,
"[Calendario].[AñoMes]",
"[Calendario].[AñoMes].&amp;[" &amp; TEXT(M$6,"yyyymm")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N69" s="8">
        <f>IFERROR(
GETPIVOTDATA(
"[Base].[Importe]",
TDinamica_R!$A$5,
"[Calendario].[AñoMes]",
"[Calendario].[AñoMes].&amp;[" &amp; TEXT(N$6,"yyyymm")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O69" s="8">
        <f>IFERROR(
GETPIVOTDATA(
"[Base].[Importe]",
TDinamica_R!$A$5,
"[Calendario].[AñoMes]",
"[Calendario].[AñoMes].&amp;[" &amp; TEXT(O$6,"yyyymm")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P69" s="8">
        <f>IFERROR(
GETPIVOTDATA(
"[Base].[Importe]",
TDinamica_R!$A$5,
"[Calendario].[AñoMes]",
"[Calendario].[AñoMes].&amp;[" &amp; TEXT(P$6,"yyyymm")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Q69" s="8">
        <f>IFERROR(
GETPIVOTDATA(
"[Base].[Importe]",
TDinamica_R!$A$5,
"[Calendario].[AñoMes]",
"[Calendario].[AñoMes].&amp;[" &amp; TEXT(Q$6,"yyyymm")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R69" s="8">
        <f>IFERROR(
GETPIVOTDATA(
"[Base].[Importe]",
TDinamica_R!$A$5,
"[Calendario].[AñoMes]",
"[Calendario].[AñoMes].&amp;[" &amp; TEXT(R$6,"yyyymm")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S69" s="8">
        <f>IFERROR(
GETPIVOTDATA(
"[Base].[Importe]",
TDinamica_R!$A$5,
"[Calendario].[AñoMes]",
"[Calendario].[AñoMes].&amp;[" &amp; TEXT(S$6,"yyyymm")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T69" s="8">
        <f>IFERROR(
GETPIVOTDATA(
"[Base].[Importe]",
TDinamica_R!$A$5,
"[Calendario].[AñoMes]",
"[Calendario].[AñoMes].&amp;[" &amp; TEXT(T$6,"yyyymm")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U69" s="8">
        <f>IFERROR(
GETPIVOTDATA(
"[Base].[Importe]",
TDinamica_R!$A$5,
"[Calendario].[AñoMes]",
"[Calendario].[AñoMes].&amp;[" &amp; TEXT(U$6,"yyyymm")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V69" s="8">
        <f>IFERROR(
GETPIVOTDATA(
"[Base].[Importe]",
TDinamica_R!$A$5,
"[Calendario].[AñoMes]",
"[Calendario].[AñoMes].&amp;[" &amp; TEXT(V$6,"yyyymm")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W69" s="8">
        <f>IFERROR(
GETPIVOTDATA(
"[Base].[Importe]",
TDinamica_R!$A$5,
"[Calendario].[AñoMes]",
"[Calendario].[AñoMes].&amp;[" &amp; TEXT(W$6,"yyyymm")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X69" s="8">
        <f>IFERROR(
GETPIVOTDATA(
"[Base].[Importe]",
TDinamica_R!$A$5,
"[Calendario].[AñoMes]",
"[Calendario].[AñoMes].&amp;[" &amp; TEXT(X$6,"yyyymm")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Y69" s="8">
        <f>IFERROR(
GETPIVOTDATA(
"[Base].[Importe]",
TDinamica_R!$A$5,
"[Calendario].[AñoMes]",
"[Calendario].[AñoMes].&amp;[" &amp; TEXT(Y$6,"yyyymm")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Z69" s="8">
        <f>IFERROR(
GETPIVOTDATA(
"[Base].[Importe]",
TDinamica_R!$A$5,
"[Calendario].[AñoMes]",
"[Calendario].[AñoMes].&amp;[" &amp; TEXT(Z$6,"yyyymm")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A69" s="8">
        <f>IFERROR(
GETPIVOTDATA(
"[Base].[Importe]",
TDinamica_R!$A$5,
"[Calendario].[AñoMes]",
"[Calendario].[AñoMes].&amp;[" &amp; TEXT(AA$6,"yyyymm")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B69" s="8">
        <f>IFERROR(
GETPIVOTDATA(
"[Base].[Importe]",
TDinamica_R!$A$5,
"[Calendario].[AñoMes]",
"[Calendario].[AñoMes].&amp;[" &amp; TEXT(AB$6,"yyyymm")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C69" s="8">
        <f>IFERROR(
GETPIVOTDATA(
"[Base].[Importe]",
TDinamica_R!$A$5,
"[Calendario].[AñoMes]",
"[Calendario].[AñoMes].&amp;[" &amp; TEXT(AC$6,"yyyymm")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D69" s="8">
        <f>IFERROR(
GETPIVOTDATA(
"[Base].[Importe]",
TDinamica_R!$A$5,
"[Calendario].[AñoMes]",
"[Calendario].[AñoMes].&amp;[" &amp; TEXT(AD$6,"yyyymm")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E69" s="8">
        <f>IFERROR(
GETPIVOTDATA(
"[Base].[Importe]",
TDinamica_R!$A$5,
"[Calendario].[AñoMes]",
"[Calendario].[AñoMes].&amp;[" &amp; TEXT(AE$6,"yyyymm")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F69" s="8">
        <f>IFERROR(
GETPIVOTDATA(
"[Base].[Importe]",
TDinamica_R!$A$5,
"[Calendario].[AñoMes]",
"[Calendario].[AñoMes].&amp;[" &amp; TEXT(AF$6,"yyyymm")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G69" s="8">
        <f>IFERROR(
GETPIVOTDATA(
"[Base].[Importe]",
TDinamica_R!$A$5,
"[Calendario].[AñoMes]",
"[Calendario].[AñoMes].&amp;[" &amp; TEXT(AG$6,"yyyymm")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H69" s="8">
        <f>IFERROR(
GETPIVOTDATA(
"[Base].[Importe]",
TDinamica_R!$A$5,
"[Calendario].[AñoMes]",
"[Calendario].[AñoMes].&amp;[" &amp; TEXT(AH$6,"yyyymm")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I69" s="8">
        <f>IFERROR(
GETPIVOTDATA(
"[Base].[Importe]",
TDinamica_R!$A$5,
"[Calendario].[AñoMes]",
"[Calendario].[AñoMes].&amp;[" &amp; TEXT(AI$6,"yyyymm")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J69" s="8">
        <f>IFERROR(
GETPIVOTDATA(
"[Base].[Importe]",
TDinamica_R!$A$5,
"[Calendario].[AñoMes]",
"[Calendario].[AñoMes].&amp;[" &amp; TEXT(AJ$6,"yyyymm")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K69" s="8">
        <f>IFERROR(
GETPIVOTDATA(
"[Base].[Importe]",
TDinamica_R!$A$5,
"[Calendario].[AñoMes]",
"[Calendario].[AñoMes].&amp;[" &amp; TEXT(AK$6,"yyyymm")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L69" s="8">
        <f>IFERROR(
GETPIVOTDATA(
"[Base].[Importe]",
TDinamica_R!$A$5,
"[Calendario].[AñoMes]",
"[Calendario].[AñoMes].&amp;[" &amp; TEXT(AL$6,"yyyymm")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M69" s="8">
        <f>IFERROR(
GETPIVOTDATA(
"[Base].[Importe]",
TDinamica_R!$A$5,
"[Calendario].[AñoMes]",
"[Calendario].[AñoMes].&amp;[" &amp; TEXT(AM$6,"yyyymm")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N69" s="8">
        <f>IFERROR(
GETPIVOTDATA(
"[Base].[Importe]",
TDinamica_R!$A$5,
"[Calendario].[AñoMes]",
"[Calendario].[AñoMes].&amp;[" &amp; TEXT(AN$6,"yyyymm")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O69" s="8">
        <f>IFERROR(
GETPIVOTDATA(
"[Base].[Importe]",
TDinamica_R!$A$5,
"[Calendario].[AñoMes]",
"[Calendario].[AñoMes].&amp;[" &amp; TEXT(AO$6,"yyyymm")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P69" s="8">
        <f>IFERROR(
GETPIVOTDATA(
"[Base].[Importe]",
TDinamica_R!$A$5,
"[Calendario].[AñoMes]",
"[Calendario].[AñoMes].&amp;[" &amp; TEXT(AP$6,"yyyymm")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Q69" s="8">
        <f>IFERROR(
GETPIVOTDATA(
"[Base].[Importe]",
TDinamica_R!$A$5,
"[Calendario].[AñoMes]",
"[Calendario].[AñoMes].&amp;[" &amp; TEXT(AQ$6,"yyyymm")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R69" s="8">
        <f>IFERROR(
GETPIVOTDATA(
"[Base].[Importe]",
TDinamica_R!$A$5,
"[Calendario].[AñoMes]",
"[Calendario].[AñoMes].&amp;[" &amp; TEXT(AR$6,"yyyymm")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S69" s="8">
        <f>IFERROR(
GETPIVOTDATA(
"[Base].[Importe]",
TDinamica_R!$A$5,
"[Calendario].[AñoMes]",
"[Calendario].[AñoMes].&amp;[" &amp; TEXT(AS$6,"yyyymm")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T69" s="8">
        <f>IFERROR(
GETPIVOTDATA(
"[Base].[Importe]",
TDinamica_R!$A$5,
"[Calendario].[AñoMes]",
"[Calendario].[AñoMes].&amp;[" &amp; TEXT(AT$6,"yyyymm")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U69" s="8">
        <f>IFERROR(
GETPIVOTDATA(
"[Base].[Importe]",
TDinamica_R!$A$5,
"[Calendario].[AñoMes]",
"[Calendario].[AñoMes].&amp;[" &amp; TEXT(AU$6,"yyyymm")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V69" s="8">
        <f>IFERROR(
GETPIVOTDATA(
"[Base].[Importe]",
TDinamica_R!$A$5,
"[Calendario].[AñoMes]",
"[Calendario].[AñoMes].&amp;[" &amp; TEXT(AV$6,"yyyymm")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W69" s="8">
        <f>IFERROR(
GETPIVOTDATA(
"[Base].[Importe]",
TDinamica_R!$A$5,
"[Calendario].[AñoMes]",
"[Calendario].[AñoMes].&amp;[" &amp; TEXT(AW$6,"yyyymm")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X69" s="8">
        <f>IFERROR(
GETPIVOTDATA(
"[Base].[Importe]",
TDinamica_R!$A$5,
"[Calendario].[AñoMes]",
"[Calendario].[AñoMes].&amp;[" &amp; TEXT(AX$6,"yyyymm")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Y69" s="8">
        <f>IFERROR(
GETPIVOTDATA(
"[Base].[Importe]",
TDinamica_R!$A$5,
"[Calendario].[AñoMes]",
"[Calendario].[AñoMes].&amp;[" &amp; TEXT(AY$6,"yyyymm")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Z69" s="8">
        <f>IFERROR(
GETPIVOTDATA(
"[BASE_CONVE_PPTO].[Importe]",
TDinamica_P!$A$5,
"[BASE_CONVE_PPTO].[Periodo]",
"[BASE_CONVE_PPTO].[Periodo].&amp;[" &amp; TEXT(AZ$6,"yyyymm")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A69" s="8">
        <f>IFERROR(
GETPIVOTDATA(
"[BASE_CONVE_PPTO].[Importe]",
TDinamica_P!$A$5,
"[BASE_CONVE_PPTO].[Periodo]",
"[BASE_CONVE_PPTO].[Periodo].&amp;[" &amp; TEXT(BA$6,"yyyymm")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B69" s="8">
        <f>IFERROR(
GETPIVOTDATA(
"[BASE_CONVE_PPTO].[Importe]",
TDinamica_P!$A$5,
"[BASE_CONVE_PPTO].[Periodo]",
"[BASE_CONVE_PPTO].[Periodo].&amp;[" &amp; TEXT(BB$6,"yyyymm")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C69" s="8">
        <f>IFERROR(
GETPIVOTDATA(
"[BASE_CONVE_PPTO].[Importe]",
TDinamica_P!$A$5,
"[BASE_CONVE_PPTO].[Periodo]",
"[BASE_CONVE_PPTO].[Periodo].&amp;[" &amp; TEXT(BC$6,"yyyymm")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D69" s="8">
        <f>IFERROR(
GETPIVOTDATA(
"[BASE_CONVE_PPTO].[Importe]",
TDinamica_P!$A$5,
"[BASE_CONVE_PPTO].[Periodo]",
"[BASE_CONVE_PPTO].[Periodo].&amp;[" &amp; TEXT(BD$6,"yyyymm")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E69" s="8">
        <f>IFERROR(
GETPIVOTDATA(
"[BASE_CONVE_PPTO].[Importe]",
TDinamica_P!$A$5,
"[BASE_CONVE_PPTO].[Periodo]",
"[BASE_CONVE_PPTO].[Periodo].&amp;[" &amp; TEXT(BE$6,"yyyymm")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F69" s="8">
        <f>IFERROR(
GETPIVOTDATA(
"[BASE_CONVE_PPTO].[Importe]",
TDinamica_P!$A$5,
"[BASE_CONVE_PPTO].[Periodo]",
"[BASE_CONVE_PPTO].[Periodo].&amp;[" &amp; TEXT(BF$6,"yyyymm")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G69" s="8">
        <f>IFERROR(
GETPIVOTDATA(
"[BASE_CONVE_PPTO].[Importe]",
TDinamica_P!$A$5,
"[BASE_CONVE_PPTO].[Periodo]",
"[BASE_CONVE_PPTO].[Periodo].&amp;[" &amp; TEXT(BG$6,"yyyymm")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H69" s="8">
        <f>IFERROR(
GETPIVOTDATA(
"[BASE_CONVE_PPTO].[Importe]",
TDinamica_P!$A$5,
"[BASE_CONVE_PPTO].[Periodo]",
"[BASE_CONVE_PPTO].[Periodo].&amp;[" &amp; TEXT(BH$6,"yyyymm")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I69" s="8">
        <f>IFERROR(
GETPIVOTDATA(
"[BASE_CONVE_PPTO].[Importe]",
TDinamica_P!$A$5,
"[BASE_CONVE_PPTO].[Periodo]",
"[BASE_CONVE_PPTO].[Periodo].&amp;[" &amp; TEXT(BI$6,"yyyymm")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J69" s="8">
        <f>IFERROR(
GETPIVOTDATA(
"[BASE_CONVE_PPTO].[Importe]",
TDinamica_P!$A$5,
"[BASE_CONVE_PPTO].[Periodo]",
"[BASE_CONVE_PPTO].[Periodo].&amp;[" &amp; TEXT(BJ$6,"yyyymm")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K69" s="8">
        <f>IFERROR(
GETPIVOTDATA(
"[BASE_CONVE_PPTO].[Importe]",
TDinamica_P!$A$5,
"[BASE_CONVE_PPTO].[Periodo]",
"[BASE_CONVE_PPTO].[Periodo].&amp;[" &amp; TEXT(BK$6,"yyyymm")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O69" s="24">
        <f t="shared" si="49"/>
        <v>0</v>
      </c>
      <c r="BP69" s="24">
        <f t="shared" si="49"/>
        <v>0</v>
      </c>
      <c r="BQ69" s="24">
        <f t="shared" si="49"/>
        <v>0</v>
      </c>
      <c r="BR69" s="24">
        <f t="shared" si="49"/>
        <v>0</v>
      </c>
      <c r="BS69" s="24">
        <f t="shared" si="49"/>
        <v>0</v>
      </c>
      <c r="BT69" s="24">
        <f t="shared" si="49"/>
        <v>0</v>
      </c>
    </row>
    <row r="70" spans="1:72" outlineLevel="1" x14ac:dyDescent="0.25">
      <c r="A70" s="11" t="s">
        <v>71</v>
      </c>
      <c r="C70" s="2"/>
      <c r="D70" s="8">
        <f>IFERROR(
GETPIVOTDATA(
"[Base].[Importe]",
TDinamica_R!$A$5,
"[Calendario].[AñoMes]",
"[Calendario].[AñoMes].&amp;[" &amp; TEXT(D$6,"yyyymm")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E70" s="8">
        <f>IFERROR(
GETPIVOTDATA(
"[Base].[Importe]",
TDinamica_R!$A$5,
"[Calendario].[AñoMes]",
"[Calendario].[AñoMes].&amp;[" &amp; TEXT(E$6,"yyyymm")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F70" s="8">
        <f>IFERROR(
GETPIVOTDATA(
"[Base].[Importe]",
TDinamica_R!$A$5,
"[Calendario].[AñoMes]",
"[Calendario].[AñoMes].&amp;[" &amp; TEXT(F$6,"yyyymm")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G70" s="8">
        <f>IFERROR(
GETPIVOTDATA(
"[Base].[Importe]",
TDinamica_R!$A$5,
"[Calendario].[AñoMes]",
"[Calendario].[AñoMes].&amp;[" &amp; TEXT(G$6,"yyyymm")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H70" s="8">
        <f>IFERROR(
GETPIVOTDATA(
"[Base].[Importe]",
TDinamica_R!$A$5,
"[Calendario].[AñoMes]",
"[Calendario].[AñoMes].&amp;[" &amp; TEXT(H$6,"yyyymm")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I70" s="8">
        <f>IFERROR(
GETPIVOTDATA(
"[Base].[Importe]",
TDinamica_R!$A$5,
"[Calendario].[AñoMes]",
"[Calendario].[AñoMes].&amp;[" &amp; TEXT(I$6,"yyyymm")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J70" s="8">
        <f>IFERROR(
GETPIVOTDATA(
"[Base].[Importe]",
TDinamica_R!$A$5,
"[Calendario].[AñoMes]",
"[Calendario].[AñoMes].&amp;[" &amp; TEXT(J$6,"yyyymm")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K70" s="8">
        <f>IFERROR(
GETPIVOTDATA(
"[Base].[Importe]",
TDinamica_R!$A$5,
"[Calendario].[AñoMes]",
"[Calendario].[AñoMes].&amp;[" &amp; TEXT(K$6,"yyyymm")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L70" s="8">
        <f>IFERROR(
GETPIVOTDATA(
"[Base].[Importe]",
TDinamica_R!$A$5,
"[Calendario].[AñoMes]",
"[Calendario].[AñoMes].&amp;[" &amp; TEXT(L$6,"yyyymm")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M70" s="8">
        <f>IFERROR(
GETPIVOTDATA(
"[Base].[Importe]",
TDinamica_R!$A$5,
"[Calendario].[AñoMes]",
"[Calendario].[AñoMes].&amp;[" &amp; TEXT(M$6,"yyyymm")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N70" s="8">
        <f>IFERROR(
GETPIVOTDATA(
"[Base].[Importe]",
TDinamica_R!$A$5,
"[Calendario].[AñoMes]",
"[Calendario].[AñoMes].&amp;[" &amp; TEXT(N$6,"yyyymm")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O70" s="8">
        <f>IFERROR(
GETPIVOTDATA(
"[Base].[Importe]",
TDinamica_R!$A$5,
"[Calendario].[AñoMes]",
"[Calendario].[AñoMes].&amp;[" &amp; TEXT(O$6,"yyyymm")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P70" s="8">
        <f>IFERROR(
GETPIVOTDATA(
"[Base].[Importe]",
TDinamica_R!$A$5,
"[Calendario].[AñoMes]",
"[Calendario].[AñoMes].&amp;[" &amp; TEXT(P$6,"yyyymm")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Q70" s="8">
        <f>IFERROR(
GETPIVOTDATA(
"[Base].[Importe]",
TDinamica_R!$A$5,
"[Calendario].[AñoMes]",
"[Calendario].[AñoMes].&amp;[" &amp; TEXT(Q$6,"yyyymm")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R70" s="8">
        <f>IFERROR(
GETPIVOTDATA(
"[Base].[Importe]",
TDinamica_R!$A$5,
"[Calendario].[AñoMes]",
"[Calendario].[AñoMes].&amp;[" &amp; TEXT(R$6,"yyyymm")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S70" s="8">
        <f>IFERROR(
GETPIVOTDATA(
"[Base].[Importe]",
TDinamica_R!$A$5,
"[Calendario].[AñoMes]",
"[Calendario].[AñoMes].&amp;[" &amp; TEXT(S$6,"yyyymm")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T70" s="8">
        <f>IFERROR(
GETPIVOTDATA(
"[Base].[Importe]",
TDinamica_R!$A$5,
"[Calendario].[AñoMes]",
"[Calendario].[AñoMes].&amp;[" &amp; TEXT(T$6,"yyyymm")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U70" s="8">
        <f>IFERROR(
GETPIVOTDATA(
"[Base].[Importe]",
TDinamica_R!$A$5,
"[Calendario].[AñoMes]",
"[Calendario].[AñoMes].&amp;[" &amp; TEXT(U$6,"yyyymm")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V70" s="8">
        <f>IFERROR(
GETPIVOTDATA(
"[Base].[Importe]",
TDinamica_R!$A$5,
"[Calendario].[AñoMes]",
"[Calendario].[AñoMes].&amp;[" &amp; TEXT(V$6,"yyyymm")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W70" s="8">
        <f>IFERROR(
GETPIVOTDATA(
"[Base].[Importe]",
TDinamica_R!$A$5,
"[Calendario].[AñoMes]",
"[Calendario].[AñoMes].&amp;[" &amp; TEXT(W$6,"yyyymm")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X70" s="8">
        <f>IFERROR(
GETPIVOTDATA(
"[Base].[Importe]",
TDinamica_R!$A$5,
"[Calendario].[AñoMes]",
"[Calendario].[AñoMes].&amp;[" &amp; TEXT(X$6,"yyyymm")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Y70" s="8">
        <f>IFERROR(
GETPIVOTDATA(
"[Base].[Importe]",
TDinamica_R!$A$5,
"[Calendario].[AñoMes]",
"[Calendario].[AñoMes].&amp;[" &amp; TEXT(Y$6,"yyyymm")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Z70" s="8">
        <f>IFERROR(
GETPIVOTDATA(
"[Base].[Importe]",
TDinamica_R!$A$5,
"[Calendario].[AñoMes]",
"[Calendario].[AñoMes].&amp;[" &amp; TEXT(Z$6,"yyyymm")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A70" s="8">
        <f>IFERROR(
GETPIVOTDATA(
"[Base].[Importe]",
TDinamica_R!$A$5,
"[Calendario].[AñoMes]",
"[Calendario].[AñoMes].&amp;[" &amp; TEXT(AA$6,"yyyymm")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B70" s="8">
        <f>IFERROR(
GETPIVOTDATA(
"[Base].[Importe]",
TDinamica_R!$A$5,
"[Calendario].[AñoMes]",
"[Calendario].[AñoMes].&amp;[" &amp; TEXT(AB$6,"yyyymm")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C70" s="8">
        <f>IFERROR(
GETPIVOTDATA(
"[Base].[Importe]",
TDinamica_R!$A$5,
"[Calendario].[AñoMes]",
"[Calendario].[AñoMes].&amp;[" &amp; TEXT(AC$6,"yyyymm")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D70" s="8">
        <f>IFERROR(
GETPIVOTDATA(
"[Base].[Importe]",
TDinamica_R!$A$5,
"[Calendario].[AñoMes]",
"[Calendario].[AñoMes].&amp;[" &amp; TEXT(AD$6,"yyyymm")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E70" s="8">
        <f>IFERROR(
GETPIVOTDATA(
"[Base].[Importe]",
TDinamica_R!$A$5,
"[Calendario].[AñoMes]",
"[Calendario].[AñoMes].&amp;[" &amp; TEXT(AE$6,"yyyymm")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F70" s="8">
        <f>IFERROR(
GETPIVOTDATA(
"[Base].[Importe]",
TDinamica_R!$A$5,
"[Calendario].[AñoMes]",
"[Calendario].[AñoMes].&amp;[" &amp; TEXT(AF$6,"yyyymm")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G70" s="8">
        <f>IFERROR(
GETPIVOTDATA(
"[Base].[Importe]",
TDinamica_R!$A$5,
"[Calendario].[AñoMes]",
"[Calendario].[AñoMes].&amp;[" &amp; TEXT(AG$6,"yyyymm")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H70" s="8">
        <f>IFERROR(
GETPIVOTDATA(
"[Base].[Importe]",
TDinamica_R!$A$5,
"[Calendario].[AñoMes]",
"[Calendario].[AñoMes].&amp;[" &amp; TEXT(AH$6,"yyyymm")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I70" s="8">
        <f>IFERROR(
GETPIVOTDATA(
"[Base].[Importe]",
TDinamica_R!$A$5,
"[Calendario].[AñoMes]",
"[Calendario].[AñoMes].&amp;[" &amp; TEXT(AI$6,"yyyymm")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J70" s="8">
        <f>IFERROR(
GETPIVOTDATA(
"[Base].[Importe]",
TDinamica_R!$A$5,
"[Calendario].[AñoMes]",
"[Calendario].[AñoMes].&amp;[" &amp; TEXT(AJ$6,"yyyymm")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K70" s="8">
        <f>IFERROR(
GETPIVOTDATA(
"[Base].[Importe]",
TDinamica_R!$A$5,
"[Calendario].[AñoMes]",
"[Calendario].[AñoMes].&amp;[" &amp; TEXT(AK$6,"yyyymm")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L70" s="8">
        <f>IFERROR(
GETPIVOTDATA(
"[Base].[Importe]",
TDinamica_R!$A$5,
"[Calendario].[AñoMes]",
"[Calendario].[AñoMes].&amp;[" &amp; TEXT(AL$6,"yyyymm")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M70" s="8">
        <f>IFERROR(
GETPIVOTDATA(
"[Base].[Importe]",
TDinamica_R!$A$5,
"[Calendario].[AñoMes]",
"[Calendario].[AñoMes].&amp;[" &amp; TEXT(AM$6,"yyyymm")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N70" s="8">
        <f>IFERROR(
GETPIVOTDATA(
"[Base].[Importe]",
TDinamica_R!$A$5,
"[Calendario].[AñoMes]",
"[Calendario].[AñoMes].&amp;[" &amp; TEXT(AN$6,"yyyymm")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O70" s="8">
        <f>IFERROR(
GETPIVOTDATA(
"[Base].[Importe]",
TDinamica_R!$A$5,
"[Calendario].[AñoMes]",
"[Calendario].[AñoMes].&amp;[" &amp; TEXT(AO$6,"yyyymm")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P70" s="8">
        <f>IFERROR(
GETPIVOTDATA(
"[Base].[Importe]",
TDinamica_R!$A$5,
"[Calendario].[AñoMes]",
"[Calendario].[AñoMes].&amp;[" &amp; TEXT(AP$6,"yyyymm")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Q70" s="8">
        <f>IFERROR(
GETPIVOTDATA(
"[Base].[Importe]",
TDinamica_R!$A$5,
"[Calendario].[AñoMes]",
"[Calendario].[AñoMes].&amp;[" &amp; TEXT(AQ$6,"yyyymm")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R70" s="8">
        <f>IFERROR(
GETPIVOTDATA(
"[Base].[Importe]",
TDinamica_R!$A$5,
"[Calendario].[AñoMes]",
"[Calendario].[AñoMes].&amp;[" &amp; TEXT(AR$6,"yyyymm")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S70" s="8">
        <f>IFERROR(
GETPIVOTDATA(
"[Base].[Importe]",
TDinamica_R!$A$5,
"[Calendario].[AñoMes]",
"[Calendario].[AñoMes].&amp;[" &amp; TEXT(AS$6,"yyyymm")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T70" s="8">
        <f>IFERROR(
GETPIVOTDATA(
"[Base].[Importe]",
TDinamica_R!$A$5,
"[Calendario].[AñoMes]",
"[Calendario].[AñoMes].&amp;[" &amp; TEXT(AT$6,"yyyymm")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U70" s="8">
        <f>IFERROR(
GETPIVOTDATA(
"[Base].[Importe]",
TDinamica_R!$A$5,
"[Calendario].[AñoMes]",
"[Calendario].[AñoMes].&amp;[" &amp; TEXT(AU$6,"yyyymm")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V70" s="8">
        <f>IFERROR(
GETPIVOTDATA(
"[Base].[Importe]",
TDinamica_R!$A$5,
"[Calendario].[AñoMes]",
"[Calendario].[AñoMes].&amp;[" &amp; TEXT(AV$6,"yyyymm")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W70" s="8">
        <f>IFERROR(
GETPIVOTDATA(
"[Base].[Importe]",
TDinamica_R!$A$5,
"[Calendario].[AñoMes]",
"[Calendario].[AñoMes].&amp;[" &amp; TEXT(AW$6,"yyyymm")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X70" s="8">
        <f>IFERROR(
GETPIVOTDATA(
"[Base].[Importe]",
TDinamica_R!$A$5,
"[Calendario].[AñoMes]",
"[Calendario].[AñoMes].&amp;[" &amp; TEXT(AX$6,"yyyymm")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Y70" s="8">
        <f>IFERROR(
GETPIVOTDATA(
"[Base].[Importe]",
TDinamica_R!$A$5,
"[Calendario].[AñoMes]",
"[Calendario].[AñoMes].&amp;[" &amp; TEXT(AY$6,"yyyymm")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Z70" s="8">
        <f>IFERROR(
GETPIVOTDATA(
"[BASE_CONVE_PPTO].[Importe]",
TDinamica_P!$A$5,
"[BASE_CONVE_PPTO].[Periodo]",
"[BASE_CONVE_PPTO].[Periodo].&amp;[" &amp; TEXT(AZ$6,"yyyymm")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A70" s="8">
        <f>IFERROR(
GETPIVOTDATA(
"[BASE_CONVE_PPTO].[Importe]",
TDinamica_P!$A$5,
"[BASE_CONVE_PPTO].[Periodo]",
"[BASE_CONVE_PPTO].[Periodo].&amp;[" &amp; TEXT(BA$6,"yyyymm")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B70" s="8">
        <f>IFERROR(
GETPIVOTDATA(
"[BASE_CONVE_PPTO].[Importe]",
TDinamica_P!$A$5,
"[BASE_CONVE_PPTO].[Periodo]",
"[BASE_CONVE_PPTO].[Periodo].&amp;[" &amp; TEXT(BB$6,"yyyymm")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C70" s="8">
        <f>IFERROR(
GETPIVOTDATA(
"[BASE_CONVE_PPTO].[Importe]",
TDinamica_P!$A$5,
"[BASE_CONVE_PPTO].[Periodo]",
"[BASE_CONVE_PPTO].[Periodo].&amp;[" &amp; TEXT(BC$6,"yyyymm")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D70" s="8">
        <f>IFERROR(
GETPIVOTDATA(
"[BASE_CONVE_PPTO].[Importe]",
TDinamica_P!$A$5,
"[BASE_CONVE_PPTO].[Periodo]",
"[BASE_CONVE_PPTO].[Periodo].&amp;[" &amp; TEXT(BD$6,"yyyymm")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E70" s="8">
        <f>IFERROR(
GETPIVOTDATA(
"[BASE_CONVE_PPTO].[Importe]",
TDinamica_P!$A$5,
"[BASE_CONVE_PPTO].[Periodo]",
"[BASE_CONVE_PPTO].[Periodo].&amp;[" &amp; TEXT(BE$6,"yyyymm")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F70" s="8">
        <f>IFERROR(
GETPIVOTDATA(
"[BASE_CONVE_PPTO].[Importe]",
TDinamica_P!$A$5,
"[BASE_CONVE_PPTO].[Periodo]",
"[BASE_CONVE_PPTO].[Periodo].&amp;[" &amp; TEXT(BF$6,"yyyymm")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G70" s="8">
        <f>IFERROR(
GETPIVOTDATA(
"[BASE_CONVE_PPTO].[Importe]",
TDinamica_P!$A$5,
"[BASE_CONVE_PPTO].[Periodo]",
"[BASE_CONVE_PPTO].[Periodo].&amp;[" &amp; TEXT(BG$6,"yyyymm")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H70" s="8">
        <f>IFERROR(
GETPIVOTDATA(
"[BASE_CONVE_PPTO].[Importe]",
TDinamica_P!$A$5,
"[BASE_CONVE_PPTO].[Periodo]",
"[BASE_CONVE_PPTO].[Periodo].&amp;[" &amp; TEXT(BH$6,"yyyymm")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I70" s="8">
        <f>IFERROR(
GETPIVOTDATA(
"[BASE_CONVE_PPTO].[Importe]",
TDinamica_P!$A$5,
"[BASE_CONVE_PPTO].[Periodo]",
"[BASE_CONVE_PPTO].[Periodo].&amp;[" &amp; TEXT(BI$6,"yyyymm")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J70" s="8">
        <f>IFERROR(
GETPIVOTDATA(
"[BASE_CONVE_PPTO].[Importe]",
TDinamica_P!$A$5,
"[BASE_CONVE_PPTO].[Periodo]",
"[BASE_CONVE_PPTO].[Periodo].&amp;[" &amp; TEXT(BJ$6,"yyyymm")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K70" s="8">
        <f>IFERROR(
GETPIVOTDATA(
"[BASE_CONVE_PPTO].[Importe]",
TDinamica_P!$A$5,
"[BASE_CONVE_PPTO].[Periodo]",
"[BASE_CONVE_PPTO].[Periodo].&amp;[" &amp; TEXT(BK$6,"yyyymm")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O70" s="24">
        <f t="shared" si="49"/>
        <v>0</v>
      </c>
      <c r="BP70" s="24">
        <f t="shared" si="49"/>
        <v>0</v>
      </c>
      <c r="BQ70" s="24">
        <f t="shared" si="49"/>
        <v>0</v>
      </c>
      <c r="BR70" s="24">
        <f t="shared" si="49"/>
        <v>0</v>
      </c>
      <c r="BS70" s="24">
        <f t="shared" si="49"/>
        <v>0</v>
      </c>
      <c r="BT70" s="24">
        <f t="shared" si="49"/>
        <v>0</v>
      </c>
    </row>
    <row r="71" spans="1:72" outlineLevel="1" x14ac:dyDescent="0.25">
      <c r="A71" s="11" t="s">
        <v>71</v>
      </c>
      <c r="C71" s="2"/>
      <c r="D71" s="8">
        <f>IFERROR(
GETPIVOTDATA(
"[Base].[Importe]",
TDinamica_R!$A$5,
"[Calendario].[AñoMes]",
"[Calendario].[AñoMes].&amp;[" &amp; TEXT(D$6,"yyyymm")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E71" s="8">
        <f>IFERROR(
GETPIVOTDATA(
"[Base].[Importe]",
TDinamica_R!$A$5,
"[Calendario].[AñoMes]",
"[Calendario].[AñoMes].&amp;[" &amp; TEXT(E$6,"yyyymm")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F71" s="8">
        <f>IFERROR(
GETPIVOTDATA(
"[Base].[Importe]",
TDinamica_R!$A$5,
"[Calendario].[AñoMes]",
"[Calendario].[AñoMes].&amp;[" &amp; TEXT(F$6,"yyyymm")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G71" s="8">
        <f>IFERROR(
GETPIVOTDATA(
"[Base].[Importe]",
TDinamica_R!$A$5,
"[Calendario].[AñoMes]",
"[Calendario].[AñoMes].&amp;[" &amp; TEXT(G$6,"yyyymm")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H71" s="8">
        <f>IFERROR(
GETPIVOTDATA(
"[Base].[Importe]",
TDinamica_R!$A$5,
"[Calendario].[AñoMes]",
"[Calendario].[AñoMes].&amp;[" &amp; TEXT(H$6,"yyyymm")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I71" s="8">
        <f>IFERROR(
GETPIVOTDATA(
"[Base].[Importe]",
TDinamica_R!$A$5,
"[Calendario].[AñoMes]",
"[Calendario].[AñoMes].&amp;[" &amp; TEXT(I$6,"yyyymm")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J71" s="8">
        <f>IFERROR(
GETPIVOTDATA(
"[Base].[Importe]",
TDinamica_R!$A$5,
"[Calendario].[AñoMes]",
"[Calendario].[AñoMes].&amp;[" &amp; TEXT(J$6,"yyyymm")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K71" s="8">
        <f>IFERROR(
GETPIVOTDATA(
"[Base].[Importe]",
TDinamica_R!$A$5,
"[Calendario].[AñoMes]",
"[Calendario].[AñoMes].&amp;[" &amp; TEXT(K$6,"yyyymm")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L71" s="8">
        <f>IFERROR(
GETPIVOTDATA(
"[Base].[Importe]",
TDinamica_R!$A$5,
"[Calendario].[AñoMes]",
"[Calendario].[AñoMes].&amp;[" &amp; TEXT(L$6,"yyyymm")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M71" s="8">
        <f>IFERROR(
GETPIVOTDATA(
"[Base].[Importe]",
TDinamica_R!$A$5,
"[Calendario].[AñoMes]",
"[Calendario].[AñoMes].&amp;[" &amp; TEXT(M$6,"yyyymm")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N71" s="8">
        <f>IFERROR(
GETPIVOTDATA(
"[Base].[Importe]",
TDinamica_R!$A$5,
"[Calendario].[AñoMes]",
"[Calendario].[AñoMes].&amp;[" &amp; TEXT(N$6,"yyyymm")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O71" s="8">
        <f>IFERROR(
GETPIVOTDATA(
"[Base].[Importe]",
TDinamica_R!$A$5,
"[Calendario].[AñoMes]",
"[Calendario].[AñoMes].&amp;[" &amp; TEXT(O$6,"yyyymm")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P71" s="8">
        <f>IFERROR(
GETPIVOTDATA(
"[Base].[Importe]",
TDinamica_R!$A$5,
"[Calendario].[AñoMes]",
"[Calendario].[AñoMes].&amp;[" &amp; TEXT(P$6,"yyyymm")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Q71" s="8">
        <f>IFERROR(
GETPIVOTDATA(
"[Base].[Importe]",
TDinamica_R!$A$5,
"[Calendario].[AñoMes]",
"[Calendario].[AñoMes].&amp;[" &amp; TEXT(Q$6,"yyyymm")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R71" s="8">
        <f>IFERROR(
GETPIVOTDATA(
"[Base].[Importe]",
TDinamica_R!$A$5,
"[Calendario].[AñoMes]",
"[Calendario].[AñoMes].&amp;[" &amp; TEXT(R$6,"yyyymm")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S71" s="8">
        <f>IFERROR(
GETPIVOTDATA(
"[Base].[Importe]",
TDinamica_R!$A$5,
"[Calendario].[AñoMes]",
"[Calendario].[AñoMes].&amp;[" &amp; TEXT(S$6,"yyyymm")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T71" s="8">
        <f>IFERROR(
GETPIVOTDATA(
"[Base].[Importe]",
TDinamica_R!$A$5,
"[Calendario].[AñoMes]",
"[Calendario].[AñoMes].&amp;[" &amp; TEXT(T$6,"yyyymm")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U71" s="8">
        <f>IFERROR(
GETPIVOTDATA(
"[Base].[Importe]",
TDinamica_R!$A$5,
"[Calendario].[AñoMes]",
"[Calendario].[AñoMes].&amp;[" &amp; TEXT(U$6,"yyyymm")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V71" s="8">
        <f>IFERROR(
GETPIVOTDATA(
"[Base].[Importe]",
TDinamica_R!$A$5,
"[Calendario].[AñoMes]",
"[Calendario].[AñoMes].&amp;[" &amp; TEXT(V$6,"yyyymm")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W71" s="8">
        <f>IFERROR(
GETPIVOTDATA(
"[Base].[Importe]",
TDinamica_R!$A$5,
"[Calendario].[AñoMes]",
"[Calendario].[AñoMes].&amp;[" &amp; TEXT(W$6,"yyyymm")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X71" s="8">
        <f>IFERROR(
GETPIVOTDATA(
"[Base].[Importe]",
TDinamica_R!$A$5,
"[Calendario].[AñoMes]",
"[Calendario].[AñoMes].&amp;[" &amp; TEXT(X$6,"yyyymm")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Y71" s="8">
        <f>IFERROR(
GETPIVOTDATA(
"[Base].[Importe]",
TDinamica_R!$A$5,
"[Calendario].[AñoMes]",
"[Calendario].[AñoMes].&amp;[" &amp; TEXT(Y$6,"yyyymm")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Z71" s="8">
        <f>IFERROR(
GETPIVOTDATA(
"[Base].[Importe]",
TDinamica_R!$A$5,
"[Calendario].[AñoMes]",
"[Calendario].[AñoMes].&amp;[" &amp; TEXT(Z$6,"yyyymm")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A71" s="8">
        <f>IFERROR(
GETPIVOTDATA(
"[Base].[Importe]",
TDinamica_R!$A$5,
"[Calendario].[AñoMes]",
"[Calendario].[AñoMes].&amp;[" &amp; TEXT(AA$6,"yyyymm")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B71" s="8">
        <f>IFERROR(
GETPIVOTDATA(
"[Base].[Importe]",
TDinamica_R!$A$5,
"[Calendario].[AñoMes]",
"[Calendario].[AñoMes].&amp;[" &amp; TEXT(AB$6,"yyyymm")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C71" s="8">
        <f>IFERROR(
GETPIVOTDATA(
"[Base].[Importe]",
TDinamica_R!$A$5,
"[Calendario].[AñoMes]",
"[Calendario].[AñoMes].&amp;[" &amp; TEXT(AC$6,"yyyymm")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D71" s="8">
        <f>IFERROR(
GETPIVOTDATA(
"[Base].[Importe]",
TDinamica_R!$A$5,
"[Calendario].[AñoMes]",
"[Calendario].[AñoMes].&amp;[" &amp; TEXT(AD$6,"yyyymm")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E71" s="8">
        <f>IFERROR(
GETPIVOTDATA(
"[Base].[Importe]",
TDinamica_R!$A$5,
"[Calendario].[AñoMes]",
"[Calendario].[AñoMes].&amp;[" &amp; TEXT(AE$6,"yyyymm")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F71" s="8">
        <f>IFERROR(
GETPIVOTDATA(
"[Base].[Importe]",
TDinamica_R!$A$5,
"[Calendario].[AñoMes]",
"[Calendario].[AñoMes].&amp;[" &amp; TEXT(AF$6,"yyyymm")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G71" s="8">
        <f>IFERROR(
GETPIVOTDATA(
"[Base].[Importe]",
TDinamica_R!$A$5,
"[Calendario].[AñoMes]",
"[Calendario].[AñoMes].&amp;[" &amp; TEXT(AG$6,"yyyymm")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H71" s="8">
        <f>IFERROR(
GETPIVOTDATA(
"[Base].[Importe]",
TDinamica_R!$A$5,
"[Calendario].[AñoMes]",
"[Calendario].[AñoMes].&amp;[" &amp; TEXT(AH$6,"yyyymm")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I71" s="8">
        <f>IFERROR(
GETPIVOTDATA(
"[Base].[Importe]",
TDinamica_R!$A$5,
"[Calendario].[AñoMes]",
"[Calendario].[AñoMes].&amp;[" &amp; TEXT(AI$6,"yyyymm")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J71" s="8">
        <f>IFERROR(
GETPIVOTDATA(
"[Base].[Importe]",
TDinamica_R!$A$5,
"[Calendario].[AñoMes]",
"[Calendario].[AñoMes].&amp;[" &amp; TEXT(AJ$6,"yyyymm")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K71" s="8">
        <f>IFERROR(
GETPIVOTDATA(
"[Base].[Importe]",
TDinamica_R!$A$5,
"[Calendario].[AñoMes]",
"[Calendario].[AñoMes].&amp;[" &amp; TEXT(AK$6,"yyyymm")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L71" s="8">
        <f>IFERROR(
GETPIVOTDATA(
"[Base].[Importe]",
TDinamica_R!$A$5,
"[Calendario].[AñoMes]",
"[Calendario].[AñoMes].&amp;[" &amp; TEXT(AL$6,"yyyymm")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M71" s="8">
        <f>IFERROR(
GETPIVOTDATA(
"[Base].[Importe]",
TDinamica_R!$A$5,
"[Calendario].[AñoMes]",
"[Calendario].[AñoMes].&amp;[" &amp; TEXT(AM$6,"yyyymm")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N71" s="8">
        <f>IFERROR(
GETPIVOTDATA(
"[Base].[Importe]",
TDinamica_R!$A$5,
"[Calendario].[AñoMes]",
"[Calendario].[AñoMes].&amp;[" &amp; TEXT(AN$6,"yyyymm")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O71" s="8">
        <f>IFERROR(
GETPIVOTDATA(
"[Base].[Importe]",
TDinamica_R!$A$5,
"[Calendario].[AñoMes]",
"[Calendario].[AñoMes].&amp;[" &amp; TEXT(AO$6,"yyyymm")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P71" s="8">
        <f>IFERROR(
GETPIVOTDATA(
"[Base].[Importe]",
TDinamica_R!$A$5,
"[Calendario].[AñoMes]",
"[Calendario].[AñoMes].&amp;[" &amp; TEXT(AP$6,"yyyymm")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Q71" s="8">
        <f>IFERROR(
GETPIVOTDATA(
"[Base].[Importe]",
TDinamica_R!$A$5,
"[Calendario].[AñoMes]",
"[Calendario].[AñoMes].&amp;[" &amp; TEXT(AQ$6,"yyyymm")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R71" s="8">
        <f>IFERROR(
GETPIVOTDATA(
"[Base].[Importe]",
TDinamica_R!$A$5,
"[Calendario].[AñoMes]",
"[Calendario].[AñoMes].&amp;[" &amp; TEXT(AR$6,"yyyymm")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S71" s="8">
        <f>IFERROR(
GETPIVOTDATA(
"[Base].[Importe]",
TDinamica_R!$A$5,
"[Calendario].[AñoMes]",
"[Calendario].[AñoMes].&amp;[" &amp; TEXT(AS$6,"yyyymm")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T71" s="8">
        <f>IFERROR(
GETPIVOTDATA(
"[Base].[Importe]",
TDinamica_R!$A$5,
"[Calendario].[AñoMes]",
"[Calendario].[AñoMes].&amp;[" &amp; TEXT(AT$6,"yyyymm")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U71" s="8">
        <f>IFERROR(
GETPIVOTDATA(
"[Base].[Importe]",
TDinamica_R!$A$5,
"[Calendario].[AñoMes]",
"[Calendario].[AñoMes].&amp;[" &amp; TEXT(AU$6,"yyyymm")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V71" s="8">
        <f>IFERROR(
GETPIVOTDATA(
"[Base].[Importe]",
TDinamica_R!$A$5,
"[Calendario].[AñoMes]",
"[Calendario].[AñoMes].&amp;[" &amp; TEXT(AV$6,"yyyymm")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W71" s="8">
        <f>IFERROR(
GETPIVOTDATA(
"[Base].[Importe]",
TDinamica_R!$A$5,
"[Calendario].[AñoMes]",
"[Calendario].[AñoMes].&amp;[" &amp; TEXT(AW$6,"yyyymm")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X71" s="8">
        <f>IFERROR(
GETPIVOTDATA(
"[Base].[Importe]",
TDinamica_R!$A$5,
"[Calendario].[AñoMes]",
"[Calendario].[AñoMes].&amp;[" &amp; TEXT(AX$6,"yyyymm")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Y71" s="8">
        <f>IFERROR(
GETPIVOTDATA(
"[Base].[Importe]",
TDinamica_R!$A$5,
"[Calendario].[AñoMes]",
"[Calendario].[AñoMes].&amp;[" &amp; TEXT(AY$6,"yyyymm")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Z71" s="8">
        <f>IFERROR(
GETPIVOTDATA(
"[BASE_CONVE_PPTO].[Importe]",
TDinamica_P!$A$5,
"[BASE_CONVE_PPTO].[Periodo]",
"[BASE_CONVE_PPTO].[Periodo].&amp;[" &amp; TEXT(AZ$6,"yyyymm")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A71" s="8">
        <f>IFERROR(
GETPIVOTDATA(
"[BASE_CONVE_PPTO].[Importe]",
TDinamica_P!$A$5,
"[BASE_CONVE_PPTO].[Periodo]",
"[BASE_CONVE_PPTO].[Periodo].&amp;[" &amp; TEXT(BA$6,"yyyymm")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B71" s="8">
        <f>IFERROR(
GETPIVOTDATA(
"[BASE_CONVE_PPTO].[Importe]",
TDinamica_P!$A$5,
"[BASE_CONVE_PPTO].[Periodo]",
"[BASE_CONVE_PPTO].[Periodo].&amp;[" &amp; TEXT(BB$6,"yyyymm")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C71" s="8">
        <f>IFERROR(
GETPIVOTDATA(
"[BASE_CONVE_PPTO].[Importe]",
TDinamica_P!$A$5,
"[BASE_CONVE_PPTO].[Periodo]",
"[BASE_CONVE_PPTO].[Periodo].&amp;[" &amp; TEXT(BC$6,"yyyymm")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D71" s="8">
        <f>IFERROR(
GETPIVOTDATA(
"[BASE_CONVE_PPTO].[Importe]",
TDinamica_P!$A$5,
"[BASE_CONVE_PPTO].[Periodo]",
"[BASE_CONVE_PPTO].[Periodo].&amp;[" &amp; TEXT(BD$6,"yyyymm")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E71" s="8">
        <f>IFERROR(
GETPIVOTDATA(
"[BASE_CONVE_PPTO].[Importe]",
TDinamica_P!$A$5,
"[BASE_CONVE_PPTO].[Periodo]",
"[BASE_CONVE_PPTO].[Periodo].&amp;[" &amp; TEXT(BE$6,"yyyymm")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F71" s="8">
        <f>IFERROR(
GETPIVOTDATA(
"[BASE_CONVE_PPTO].[Importe]",
TDinamica_P!$A$5,
"[BASE_CONVE_PPTO].[Periodo]",
"[BASE_CONVE_PPTO].[Periodo].&amp;[" &amp; TEXT(BF$6,"yyyymm")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G71" s="8">
        <f>IFERROR(
GETPIVOTDATA(
"[BASE_CONVE_PPTO].[Importe]",
TDinamica_P!$A$5,
"[BASE_CONVE_PPTO].[Periodo]",
"[BASE_CONVE_PPTO].[Periodo].&amp;[" &amp; TEXT(BG$6,"yyyymm")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H71" s="8">
        <f>IFERROR(
GETPIVOTDATA(
"[BASE_CONVE_PPTO].[Importe]",
TDinamica_P!$A$5,
"[BASE_CONVE_PPTO].[Periodo]",
"[BASE_CONVE_PPTO].[Periodo].&amp;[" &amp; TEXT(BH$6,"yyyymm")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I71" s="8">
        <f>IFERROR(
GETPIVOTDATA(
"[BASE_CONVE_PPTO].[Importe]",
TDinamica_P!$A$5,
"[BASE_CONVE_PPTO].[Periodo]",
"[BASE_CONVE_PPTO].[Periodo].&amp;[" &amp; TEXT(BI$6,"yyyymm")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J71" s="8">
        <f>IFERROR(
GETPIVOTDATA(
"[BASE_CONVE_PPTO].[Importe]",
TDinamica_P!$A$5,
"[BASE_CONVE_PPTO].[Periodo]",
"[BASE_CONVE_PPTO].[Periodo].&amp;[" &amp; TEXT(BJ$6,"yyyymm")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K71" s="8">
        <f>IFERROR(
GETPIVOTDATA(
"[BASE_CONVE_PPTO].[Importe]",
TDinamica_P!$A$5,
"[BASE_CONVE_PPTO].[Periodo]",
"[BASE_CONVE_PPTO].[Periodo].&amp;[" &amp; TEXT(BK$6,"yyyymm")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O71" s="24">
        <f t="shared" si="49"/>
        <v>0</v>
      </c>
      <c r="BP71" s="24">
        <f t="shared" si="49"/>
        <v>0</v>
      </c>
      <c r="BQ71" s="24">
        <f t="shared" si="49"/>
        <v>0</v>
      </c>
      <c r="BR71" s="24">
        <f t="shared" si="49"/>
        <v>0</v>
      </c>
      <c r="BS71" s="24">
        <f t="shared" si="49"/>
        <v>0</v>
      </c>
      <c r="BT71" s="24">
        <f t="shared" si="49"/>
        <v>0</v>
      </c>
    </row>
    <row r="72" spans="1:72" outlineLevel="1" x14ac:dyDescent="0.25">
      <c r="A72" s="11" t="s">
        <v>71</v>
      </c>
      <c r="C72" s="2"/>
      <c r="D72" s="8">
        <f>IFERROR(
GETPIVOTDATA(
"[Base].[Importe]",
TDinamica_R!$A$5,
"[Calendario].[AñoMes]",
"[Calendario].[AñoMes].&amp;[" &amp; TEXT(D$6,"yyyymm")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E72" s="8">
        <f>IFERROR(
GETPIVOTDATA(
"[Base].[Importe]",
TDinamica_R!$A$5,
"[Calendario].[AñoMes]",
"[Calendario].[AñoMes].&amp;[" &amp; TEXT(E$6,"yyyymm")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F72" s="8">
        <f>IFERROR(
GETPIVOTDATA(
"[Base].[Importe]",
TDinamica_R!$A$5,
"[Calendario].[AñoMes]",
"[Calendario].[AñoMes].&amp;[" &amp; TEXT(F$6,"yyyymm")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G72" s="8">
        <f>IFERROR(
GETPIVOTDATA(
"[Base].[Importe]",
TDinamica_R!$A$5,
"[Calendario].[AñoMes]",
"[Calendario].[AñoMes].&amp;[" &amp; TEXT(G$6,"yyyymm")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H72" s="8">
        <f>IFERROR(
GETPIVOTDATA(
"[Base].[Importe]",
TDinamica_R!$A$5,
"[Calendario].[AñoMes]",
"[Calendario].[AñoMes].&amp;[" &amp; TEXT(H$6,"yyyymm")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I72" s="8">
        <f>IFERROR(
GETPIVOTDATA(
"[Base].[Importe]",
TDinamica_R!$A$5,
"[Calendario].[AñoMes]",
"[Calendario].[AñoMes].&amp;[" &amp; TEXT(I$6,"yyyymm")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J72" s="8">
        <f>IFERROR(
GETPIVOTDATA(
"[Base].[Importe]",
TDinamica_R!$A$5,
"[Calendario].[AñoMes]",
"[Calendario].[AñoMes].&amp;[" &amp; TEXT(J$6,"yyyymm")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K72" s="8">
        <f>IFERROR(
GETPIVOTDATA(
"[Base].[Importe]",
TDinamica_R!$A$5,
"[Calendario].[AñoMes]",
"[Calendario].[AñoMes].&amp;[" &amp; TEXT(K$6,"yyyymm")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L72" s="8">
        <f>IFERROR(
GETPIVOTDATA(
"[Base].[Importe]",
TDinamica_R!$A$5,
"[Calendario].[AñoMes]",
"[Calendario].[AñoMes].&amp;[" &amp; TEXT(L$6,"yyyymm")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M72" s="8">
        <f>IFERROR(
GETPIVOTDATA(
"[Base].[Importe]",
TDinamica_R!$A$5,
"[Calendario].[AñoMes]",
"[Calendario].[AñoMes].&amp;[" &amp; TEXT(M$6,"yyyymm")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N72" s="8">
        <f>IFERROR(
GETPIVOTDATA(
"[Base].[Importe]",
TDinamica_R!$A$5,
"[Calendario].[AñoMes]",
"[Calendario].[AñoMes].&amp;[" &amp; TEXT(N$6,"yyyymm")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O72" s="8">
        <f>IFERROR(
GETPIVOTDATA(
"[Base].[Importe]",
TDinamica_R!$A$5,
"[Calendario].[AñoMes]",
"[Calendario].[AñoMes].&amp;[" &amp; TEXT(O$6,"yyyymm")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P72" s="8">
        <f>IFERROR(
GETPIVOTDATA(
"[Base].[Importe]",
TDinamica_R!$A$5,
"[Calendario].[AñoMes]",
"[Calendario].[AñoMes].&amp;[" &amp; TEXT(P$6,"yyyymm")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Q72" s="8">
        <f>IFERROR(
GETPIVOTDATA(
"[Base].[Importe]",
TDinamica_R!$A$5,
"[Calendario].[AñoMes]",
"[Calendario].[AñoMes].&amp;[" &amp; TEXT(Q$6,"yyyymm")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R72" s="8">
        <f>IFERROR(
GETPIVOTDATA(
"[Base].[Importe]",
TDinamica_R!$A$5,
"[Calendario].[AñoMes]",
"[Calendario].[AñoMes].&amp;[" &amp; TEXT(R$6,"yyyymm")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S72" s="8">
        <f>IFERROR(
GETPIVOTDATA(
"[Base].[Importe]",
TDinamica_R!$A$5,
"[Calendario].[AñoMes]",
"[Calendario].[AñoMes].&amp;[" &amp; TEXT(S$6,"yyyymm")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T72" s="8">
        <f>IFERROR(
GETPIVOTDATA(
"[Base].[Importe]",
TDinamica_R!$A$5,
"[Calendario].[AñoMes]",
"[Calendario].[AñoMes].&amp;[" &amp; TEXT(T$6,"yyyymm")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U72" s="8">
        <f>IFERROR(
GETPIVOTDATA(
"[Base].[Importe]",
TDinamica_R!$A$5,
"[Calendario].[AñoMes]",
"[Calendario].[AñoMes].&amp;[" &amp; TEXT(U$6,"yyyymm")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V72" s="8">
        <f>IFERROR(
GETPIVOTDATA(
"[Base].[Importe]",
TDinamica_R!$A$5,
"[Calendario].[AñoMes]",
"[Calendario].[AñoMes].&amp;[" &amp; TEXT(V$6,"yyyymm")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W72" s="8">
        <f>IFERROR(
GETPIVOTDATA(
"[Base].[Importe]",
TDinamica_R!$A$5,
"[Calendario].[AñoMes]",
"[Calendario].[AñoMes].&amp;[" &amp; TEXT(W$6,"yyyymm")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X72" s="8">
        <f>IFERROR(
GETPIVOTDATA(
"[Base].[Importe]",
TDinamica_R!$A$5,
"[Calendario].[AñoMes]",
"[Calendario].[AñoMes].&amp;[" &amp; TEXT(X$6,"yyyymm")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Y72" s="8">
        <f>IFERROR(
GETPIVOTDATA(
"[Base].[Importe]",
TDinamica_R!$A$5,
"[Calendario].[AñoMes]",
"[Calendario].[AñoMes].&amp;[" &amp; TEXT(Y$6,"yyyymm")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Z72" s="8">
        <f>IFERROR(
GETPIVOTDATA(
"[Base].[Importe]",
TDinamica_R!$A$5,
"[Calendario].[AñoMes]",
"[Calendario].[AñoMes].&amp;[" &amp; TEXT(Z$6,"yyyymm")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A72" s="8">
        <f>IFERROR(
GETPIVOTDATA(
"[Base].[Importe]",
TDinamica_R!$A$5,
"[Calendario].[AñoMes]",
"[Calendario].[AñoMes].&amp;[" &amp; TEXT(AA$6,"yyyymm")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B72" s="8">
        <f>IFERROR(
GETPIVOTDATA(
"[Base].[Importe]",
TDinamica_R!$A$5,
"[Calendario].[AñoMes]",
"[Calendario].[AñoMes].&amp;[" &amp; TEXT(AB$6,"yyyymm")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C72" s="8">
        <f>IFERROR(
GETPIVOTDATA(
"[Base].[Importe]",
TDinamica_R!$A$5,
"[Calendario].[AñoMes]",
"[Calendario].[AñoMes].&amp;[" &amp; TEXT(AC$6,"yyyymm")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D72" s="8">
        <f>IFERROR(
GETPIVOTDATA(
"[Base].[Importe]",
TDinamica_R!$A$5,
"[Calendario].[AñoMes]",
"[Calendario].[AñoMes].&amp;[" &amp; TEXT(AD$6,"yyyymm")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E72" s="8">
        <f>IFERROR(
GETPIVOTDATA(
"[Base].[Importe]",
TDinamica_R!$A$5,
"[Calendario].[AñoMes]",
"[Calendario].[AñoMes].&amp;[" &amp; TEXT(AE$6,"yyyymm")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F72" s="8">
        <f>IFERROR(
GETPIVOTDATA(
"[Base].[Importe]",
TDinamica_R!$A$5,
"[Calendario].[AñoMes]",
"[Calendario].[AñoMes].&amp;[" &amp; TEXT(AF$6,"yyyymm")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G72" s="8">
        <f>IFERROR(
GETPIVOTDATA(
"[Base].[Importe]",
TDinamica_R!$A$5,
"[Calendario].[AñoMes]",
"[Calendario].[AñoMes].&amp;[" &amp; TEXT(AG$6,"yyyymm")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H72" s="8">
        <f>IFERROR(
GETPIVOTDATA(
"[Base].[Importe]",
TDinamica_R!$A$5,
"[Calendario].[AñoMes]",
"[Calendario].[AñoMes].&amp;[" &amp; TEXT(AH$6,"yyyymm")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I72" s="8">
        <f>IFERROR(
GETPIVOTDATA(
"[Base].[Importe]",
TDinamica_R!$A$5,
"[Calendario].[AñoMes]",
"[Calendario].[AñoMes].&amp;[" &amp; TEXT(AI$6,"yyyymm")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J72" s="8">
        <f>IFERROR(
GETPIVOTDATA(
"[Base].[Importe]",
TDinamica_R!$A$5,
"[Calendario].[AñoMes]",
"[Calendario].[AñoMes].&amp;[" &amp; TEXT(AJ$6,"yyyymm")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K72" s="8">
        <f>IFERROR(
GETPIVOTDATA(
"[Base].[Importe]",
TDinamica_R!$A$5,
"[Calendario].[AñoMes]",
"[Calendario].[AñoMes].&amp;[" &amp; TEXT(AK$6,"yyyymm")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L72" s="8">
        <f>IFERROR(
GETPIVOTDATA(
"[Base].[Importe]",
TDinamica_R!$A$5,
"[Calendario].[AñoMes]",
"[Calendario].[AñoMes].&amp;[" &amp; TEXT(AL$6,"yyyymm")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M72" s="8">
        <f>IFERROR(
GETPIVOTDATA(
"[Base].[Importe]",
TDinamica_R!$A$5,
"[Calendario].[AñoMes]",
"[Calendario].[AñoMes].&amp;[" &amp; TEXT(AM$6,"yyyymm")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N72" s="8">
        <f>IFERROR(
GETPIVOTDATA(
"[Base].[Importe]",
TDinamica_R!$A$5,
"[Calendario].[AñoMes]",
"[Calendario].[AñoMes].&amp;[" &amp; TEXT(AN$6,"yyyymm")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O72" s="8">
        <f>IFERROR(
GETPIVOTDATA(
"[Base].[Importe]",
TDinamica_R!$A$5,
"[Calendario].[AñoMes]",
"[Calendario].[AñoMes].&amp;[" &amp; TEXT(AO$6,"yyyymm")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P72" s="8">
        <f>IFERROR(
GETPIVOTDATA(
"[Base].[Importe]",
TDinamica_R!$A$5,
"[Calendario].[AñoMes]",
"[Calendario].[AñoMes].&amp;[" &amp; TEXT(AP$6,"yyyymm")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Q72" s="8">
        <f>IFERROR(
GETPIVOTDATA(
"[Base].[Importe]",
TDinamica_R!$A$5,
"[Calendario].[AñoMes]",
"[Calendario].[AñoMes].&amp;[" &amp; TEXT(AQ$6,"yyyymm")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R72" s="8">
        <f>IFERROR(
GETPIVOTDATA(
"[Base].[Importe]",
TDinamica_R!$A$5,
"[Calendario].[AñoMes]",
"[Calendario].[AñoMes].&amp;[" &amp; TEXT(AR$6,"yyyymm")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S72" s="8">
        <f>IFERROR(
GETPIVOTDATA(
"[Base].[Importe]",
TDinamica_R!$A$5,
"[Calendario].[AñoMes]",
"[Calendario].[AñoMes].&amp;[" &amp; TEXT(AS$6,"yyyymm")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T72" s="8">
        <f>IFERROR(
GETPIVOTDATA(
"[Base].[Importe]",
TDinamica_R!$A$5,
"[Calendario].[AñoMes]",
"[Calendario].[AñoMes].&amp;[" &amp; TEXT(AT$6,"yyyymm")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U72" s="8">
        <f>IFERROR(
GETPIVOTDATA(
"[Base].[Importe]",
TDinamica_R!$A$5,
"[Calendario].[AñoMes]",
"[Calendario].[AñoMes].&amp;[" &amp; TEXT(AU$6,"yyyymm")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V72" s="8">
        <f>IFERROR(
GETPIVOTDATA(
"[Base].[Importe]",
TDinamica_R!$A$5,
"[Calendario].[AñoMes]",
"[Calendario].[AñoMes].&amp;[" &amp; TEXT(AV$6,"yyyymm")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W72" s="8">
        <f>IFERROR(
GETPIVOTDATA(
"[Base].[Importe]",
TDinamica_R!$A$5,
"[Calendario].[AñoMes]",
"[Calendario].[AñoMes].&amp;[" &amp; TEXT(AW$6,"yyyymm")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X72" s="8">
        <f>IFERROR(
GETPIVOTDATA(
"[Base].[Importe]",
TDinamica_R!$A$5,
"[Calendario].[AñoMes]",
"[Calendario].[AñoMes].&amp;[" &amp; TEXT(AX$6,"yyyymm")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Y72" s="8">
        <f>IFERROR(
GETPIVOTDATA(
"[Base].[Importe]",
TDinamica_R!$A$5,
"[Calendario].[AñoMes]",
"[Calendario].[AñoMes].&amp;[" &amp; TEXT(AY$6,"yyyymm")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Z72" s="8">
        <f>IFERROR(
GETPIVOTDATA(
"[BASE_CONVE_PPTO].[Importe]",
TDinamica_P!$A$5,
"[BASE_CONVE_PPTO].[Periodo]",
"[BASE_CONVE_PPTO].[Periodo].&amp;[" &amp; TEXT(AZ$6,"yyyymm")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A72" s="8">
        <f>IFERROR(
GETPIVOTDATA(
"[BASE_CONVE_PPTO].[Importe]",
TDinamica_P!$A$5,
"[BASE_CONVE_PPTO].[Periodo]",
"[BASE_CONVE_PPTO].[Periodo].&amp;[" &amp; TEXT(BA$6,"yyyymm")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B72" s="8">
        <f>IFERROR(
GETPIVOTDATA(
"[BASE_CONVE_PPTO].[Importe]",
TDinamica_P!$A$5,
"[BASE_CONVE_PPTO].[Periodo]",
"[BASE_CONVE_PPTO].[Periodo].&amp;[" &amp; TEXT(BB$6,"yyyymm")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C72" s="8">
        <f>IFERROR(
GETPIVOTDATA(
"[BASE_CONVE_PPTO].[Importe]",
TDinamica_P!$A$5,
"[BASE_CONVE_PPTO].[Periodo]",
"[BASE_CONVE_PPTO].[Periodo].&amp;[" &amp; TEXT(BC$6,"yyyymm")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D72" s="8">
        <f>IFERROR(
GETPIVOTDATA(
"[BASE_CONVE_PPTO].[Importe]",
TDinamica_P!$A$5,
"[BASE_CONVE_PPTO].[Periodo]",
"[BASE_CONVE_PPTO].[Periodo].&amp;[" &amp; TEXT(BD$6,"yyyymm")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E72" s="8">
        <f>IFERROR(
GETPIVOTDATA(
"[BASE_CONVE_PPTO].[Importe]",
TDinamica_P!$A$5,
"[BASE_CONVE_PPTO].[Periodo]",
"[BASE_CONVE_PPTO].[Periodo].&amp;[" &amp; TEXT(BE$6,"yyyymm")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F72" s="8">
        <f>IFERROR(
GETPIVOTDATA(
"[BASE_CONVE_PPTO].[Importe]",
TDinamica_P!$A$5,
"[BASE_CONVE_PPTO].[Periodo]",
"[BASE_CONVE_PPTO].[Periodo].&amp;[" &amp; TEXT(BF$6,"yyyymm")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G72" s="8">
        <f>IFERROR(
GETPIVOTDATA(
"[BASE_CONVE_PPTO].[Importe]",
TDinamica_P!$A$5,
"[BASE_CONVE_PPTO].[Periodo]",
"[BASE_CONVE_PPTO].[Periodo].&amp;[" &amp; TEXT(BG$6,"yyyymm")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H72" s="8">
        <f>IFERROR(
GETPIVOTDATA(
"[BASE_CONVE_PPTO].[Importe]",
TDinamica_P!$A$5,
"[BASE_CONVE_PPTO].[Periodo]",
"[BASE_CONVE_PPTO].[Periodo].&amp;[" &amp; TEXT(BH$6,"yyyymm")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I72" s="8">
        <f>IFERROR(
GETPIVOTDATA(
"[BASE_CONVE_PPTO].[Importe]",
TDinamica_P!$A$5,
"[BASE_CONVE_PPTO].[Periodo]",
"[BASE_CONVE_PPTO].[Periodo].&amp;[" &amp; TEXT(BI$6,"yyyymm")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J72" s="8">
        <f>IFERROR(
GETPIVOTDATA(
"[BASE_CONVE_PPTO].[Importe]",
TDinamica_P!$A$5,
"[BASE_CONVE_PPTO].[Periodo]",
"[BASE_CONVE_PPTO].[Periodo].&amp;[" &amp; TEXT(BJ$6,"yyyymm")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K72" s="8">
        <f>IFERROR(
GETPIVOTDATA(
"[BASE_CONVE_PPTO].[Importe]",
TDinamica_P!$A$5,
"[BASE_CONVE_PPTO].[Periodo]",
"[BASE_CONVE_PPTO].[Periodo].&amp;[" &amp; TEXT(BK$6,"yyyymm")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O72" s="24">
        <f t="shared" si="49"/>
        <v>0</v>
      </c>
      <c r="BP72" s="24">
        <f t="shared" si="49"/>
        <v>0</v>
      </c>
      <c r="BQ72" s="24">
        <f t="shared" si="49"/>
        <v>0</v>
      </c>
      <c r="BR72" s="24">
        <f t="shared" si="49"/>
        <v>0</v>
      </c>
      <c r="BS72" s="24">
        <f t="shared" si="49"/>
        <v>0</v>
      </c>
      <c r="BT72" s="24">
        <f t="shared" si="49"/>
        <v>0</v>
      </c>
    </row>
    <row r="73" spans="1:72" outlineLevel="1" x14ac:dyDescent="0.25">
      <c r="A73" s="11" t="s">
        <v>71</v>
      </c>
      <c r="C73" s="2"/>
      <c r="D73" s="8">
        <f>IFERROR(
GETPIVOTDATA(
"[Base].[Importe]",
TDinamica_R!$A$5,
"[Calendario].[AñoMes]",
"[Calendario].[AñoMes].&amp;[" &amp; TEXT(D$6,"yyyymm")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E73" s="8">
        <f>IFERROR(
GETPIVOTDATA(
"[Base].[Importe]",
TDinamica_R!$A$5,
"[Calendario].[AñoMes]",
"[Calendario].[AñoMes].&amp;[" &amp; TEXT(E$6,"yyyymm")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F73" s="8">
        <f>IFERROR(
GETPIVOTDATA(
"[Base].[Importe]",
TDinamica_R!$A$5,
"[Calendario].[AñoMes]",
"[Calendario].[AñoMes].&amp;[" &amp; TEXT(F$6,"yyyymm")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G73" s="8">
        <f>IFERROR(
GETPIVOTDATA(
"[Base].[Importe]",
TDinamica_R!$A$5,
"[Calendario].[AñoMes]",
"[Calendario].[AñoMes].&amp;[" &amp; TEXT(G$6,"yyyymm")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H73" s="8">
        <f>IFERROR(
GETPIVOTDATA(
"[Base].[Importe]",
TDinamica_R!$A$5,
"[Calendario].[AñoMes]",
"[Calendario].[AñoMes].&amp;[" &amp; TEXT(H$6,"yyyymm")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I73" s="8">
        <f>IFERROR(
GETPIVOTDATA(
"[Base].[Importe]",
TDinamica_R!$A$5,
"[Calendario].[AñoMes]",
"[Calendario].[AñoMes].&amp;[" &amp; TEXT(I$6,"yyyymm")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J73" s="8">
        <f>IFERROR(
GETPIVOTDATA(
"[Base].[Importe]",
TDinamica_R!$A$5,
"[Calendario].[AñoMes]",
"[Calendario].[AñoMes].&amp;[" &amp; TEXT(J$6,"yyyymm")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K73" s="8">
        <f>IFERROR(
GETPIVOTDATA(
"[Base].[Importe]",
TDinamica_R!$A$5,
"[Calendario].[AñoMes]",
"[Calendario].[AñoMes].&amp;[" &amp; TEXT(K$6,"yyyymm")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L73" s="8">
        <f>IFERROR(
GETPIVOTDATA(
"[Base].[Importe]",
TDinamica_R!$A$5,
"[Calendario].[AñoMes]",
"[Calendario].[AñoMes].&amp;[" &amp; TEXT(L$6,"yyyymm")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M73" s="8">
        <f>IFERROR(
GETPIVOTDATA(
"[Base].[Importe]",
TDinamica_R!$A$5,
"[Calendario].[AñoMes]",
"[Calendario].[AñoMes].&amp;[" &amp; TEXT(M$6,"yyyymm")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N73" s="8">
        <f>IFERROR(
GETPIVOTDATA(
"[Base].[Importe]",
TDinamica_R!$A$5,
"[Calendario].[AñoMes]",
"[Calendario].[AñoMes].&amp;[" &amp; TEXT(N$6,"yyyymm")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O73" s="8">
        <f>IFERROR(
GETPIVOTDATA(
"[Base].[Importe]",
TDinamica_R!$A$5,
"[Calendario].[AñoMes]",
"[Calendario].[AñoMes].&amp;[" &amp; TEXT(O$6,"yyyymm")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P73" s="8">
        <f>IFERROR(
GETPIVOTDATA(
"[Base].[Importe]",
TDinamica_R!$A$5,
"[Calendario].[AñoMes]",
"[Calendario].[AñoMes].&amp;[" &amp; TEXT(P$6,"yyyymm")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Q73" s="8">
        <f>IFERROR(
GETPIVOTDATA(
"[Base].[Importe]",
TDinamica_R!$A$5,
"[Calendario].[AñoMes]",
"[Calendario].[AñoMes].&amp;[" &amp; TEXT(Q$6,"yyyymm")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R73" s="8">
        <f>IFERROR(
GETPIVOTDATA(
"[Base].[Importe]",
TDinamica_R!$A$5,
"[Calendario].[AñoMes]",
"[Calendario].[AñoMes].&amp;[" &amp; TEXT(R$6,"yyyymm")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S73" s="8">
        <f>IFERROR(
GETPIVOTDATA(
"[Base].[Importe]",
TDinamica_R!$A$5,
"[Calendario].[AñoMes]",
"[Calendario].[AñoMes].&amp;[" &amp; TEXT(S$6,"yyyymm")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T73" s="8">
        <f>IFERROR(
GETPIVOTDATA(
"[Base].[Importe]",
TDinamica_R!$A$5,
"[Calendario].[AñoMes]",
"[Calendario].[AñoMes].&amp;[" &amp; TEXT(T$6,"yyyymm")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U73" s="8">
        <f>IFERROR(
GETPIVOTDATA(
"[Base].[Importe]",
TDinamica_R!$A$5,
"[Calendario].[AñoMes]",
"[Calendario].[AñoMes].&amp;[" &amp; TEXT(U$6,"yyyymm")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V73" s="8">
        <f>IFERROR(
GETPIVOTDATA(
"[Base].[Importe]",
TDinamica_R!$A$5,
"[Calendario].[AñoMes]",
"[Calendario].[AñoMes].&amp;[" &amp; TEXT(V$6,"yyyymm")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W73" s="8">
        <f>IFERROR(
GETPIVOTDATA(
"[Base].[Importe]",
TDinamica_R!$A$5,
"[Calendario].[AñoMes]",
"[Calendario].[AñoMes].&amp;[" &amp; TEXT(W$6,"yyyymm")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X73" s="8">
        <f>IFERROR(
GETPIVOTDATA(
"[Base].[Importe]",
TDinamica_R!$A$5,
"[Calendario].[AñoMes]",
"[Calendario].[AñoMes].&amp;[" &amp; TEXT(X$6,"yyyymm")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Y73" s="8">
        <f>IFERROR(
GETPIVOTDATA(
"[Base].[Importe]",
TDinamica_R!$A$5,
"[Calendario].[AñoMes]",
"[Calendario].[AñoMes].&amp;[" &amp; TEXT(Y$6,"yyyymm")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Z73" s="8">
        <f>IFERROR(
GETPIVOTDATA(
"[Base].[Importe]",
TDinamica_R!$A$5,
"[Calendario].[AñoMes]",
"[Calendario].[AñoMes].&amp;[" &amp; TEXT(Z$6,"yyyymm")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A73" s="8">
        <f>IFERROR(
GETPIVOTDATA(
"[Base].[Importe]",
TDinamica_R!$A$5,
"[Calendario].[AñoMes]",
"[Calendario].[AñoMes].&amp;[" &amp; TEXT(AA$6,"yyyymm")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B73" s="8">
        <f>IFERROR(
GETPIVOTDATA(
"[Base].[Importe]",
TDinamica_R!$A$5,
"[Calendario].[AñoMes]",
"[Calendario].[AñoMes].&amp;[" &amp; TEXT(AB$6,"yyyymm")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C73" s="8">
        <f>IFERROR(
GETPIVOTDATA(
"[Base].[Importe]",
TDinamica_R!$A$5,
"[Calendario].[AñoMes]",
"[Calendario].[AñoMes].&amp;[" &amp; TEXT(AC$6,"yyyymm")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D73" s="8">
        <f>IFERROR(
GETPIVOTDATA(
"[Base].[Importe]",
TDinamica_R!$A$5,
"[Calendario].[AñoMes]",
"[Calendario].[AñoMes].&amp;[" &amp; TEXT(AD$6,"yyyymm")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E73" s="8">
        <f>IFERROR(
GETPIVOTDATA(
"[Base].[Importe]",
TDinamica_R!$A$5,
"[Calendario].[AñoMes]",
"[Calendario].[AñoMes].&amp;[" &amp; TEXT(AE$6,"yyyymm")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F73" s="8">
        <f>IFERROR(
GETPIVOTDATA(
"[Base].[Importe]",
TDinamica_R!$A$5,
"[Calendario].[AñoMes]",
"[Calendario].[AñoMes].&amp;[" &amp; TEXT(AF$6,"yyyymm")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G73" s="8">
        <f>IFERROR(
GETPIVOTDATA(
"[Base].[Importe]",
TDinamica_R!$A$5,
"[Calendario].[AñoMes]",
"[Calendario].[AñoMes].&amp;[" &amp; TEXT(AG$6,"yyyymm")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H73" s="8">
        <f>IFERROR(
GETPIVOTDATA(
"[Base].[Importe]",
TDinamica_R!$A$5,
"[Calendario].[AñoMes]",
"[Calendario].[AñoMes].&amp;[" &amp; TEXT(AH$6,"yyyymm")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I73" s="8">
        <f>IFERROR(
GETPIVOTDATA(
"[Base].[Importe]",
TDinamica_R!$A$5,
"[Calendario].[AñoMes]",
"[Calendario].[AñoMes].&amp;[" &amp; TEXT(AI$6,"yyyymm")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J73" s="8">
        <f>IFERROR(
GETPIVOTDATA(
"[Base].[Importe]",
TDinamica_R!$A$5,
"[Calendario].[AñoMes]",
"[Calendario].[AñoMes].&amp;[" &amp; TEXT(AJ$6,"yyyymm")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K73" s="8">
        <f>IFERROR(
GETPIVOTDATA(
"[Base].[Importe]",
TDinamica_R!$A$5,
"[Calendario].[AñoMes]",
"[Calendario].[AñoMes].&amp;[" &amp; TEXT(AK$6,"yyyymm")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L73" s="8">
        <f>IFERROR(
GETPIVOTDATA(
"[Base].[Importe]",
TDinamica_R!$A$5,
"[Calendario].[AñoMes]",
"[Calendario].[AñoMes].&amp;[" &amp; TEXT(AL$6,"yyyymm")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M73" s="8">
        <f>IFERROR(
GETPIVOTDATA(
"[Base].[Importe]",
TDinamica_R!$A$5,
"[Calendario].[AñoMes]",
"[Calendario].[AñoMes].&amp;[" &amp; TEXT(AM$6,"yyyymm")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N73" s="8">
        <f>IFERROR(
GETPIVOTDATA(
"[Base].[Importe]",
TDinamica_R!$A$5,
"[Calendario].[AñoMes]",
"[Calendario].[AñoMes].&amp;[" &amp; TEXT(AN$6,"yyyymm")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O73" s="8">
        <f>IFERROR(
GETPIVOTDATA(
"[Base].[Importe]",
TDinamica_R!$A$5,
"[Calendario].[AñoMes]",
"[Calendario].[AñoMes].&amp;[" &amp; TEXT(AO$6,"yyyymm")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P73" s="8">
        <f>IFERROR(
GETPIVOTDATA(
"[Base].[Importe]",
TDinamica_R!$A$5,
"[Calendario].[AñoMes]",
"[Calendario].[AñoMes].&amp;[" &amp; TEXT(AP$6,"yyyymm")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Q73" s="8">
        <f>IFERROR(
GETPIVOTDATA(
"[Base].[Importe]",
TDinamica_R!$A$5,
"[Calendario].[AñoMes]",
"[Calendario].[AñoMes].&amp;[" &amp; TEXT(AQ$6,"yyyymm")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R73" s="8">
        <f>IFERROR(
GETPIVOTDATA(
"[Base].[Importe]",
TDinamica_R!$A$5,
"[Calendario].[AñoMes]",
"[Calendario].[AñoMes].&amp;[" &amp; TEXT(AR$6,"yyyymm")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S73" s="8">
        <f>IFERROR(
GETPIVOTDATA(
"[Base].[Importe]",
TDinamica_R!$A$5,
"[Calendario].[AñoMes]",
"[Calendario].[AñoMes].&amp;[" &amp; TEXT(AS$6,"yyyymm")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T73" s="8">
        <f>IFERROR(
GETPIVOTDATA(
"[Base].[Importe]",
TDinamica_R!$A$5,
"[Calendario].[AñoMes]",
"[Calendario].[AñoMes].&amp;[" &amp; TEXT(AT$6,"yyyymm")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U73" s="8">
        <f>IFERROR(
GETPIVOTDATA(
"[Base].[Importe]",
TDinamica_R!$A$5,
"[Calendario].[AñoMes]",
"[Calendario].[AñoMes].&amp;[" &amp; TEXT(AU$6,"yyyymm")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V73" s="8">
        <f>IFERROR(
GETPIVOTDATA(
"[Base].[Importe]",
TDinamica_R!$A$5,
"[Calendario].[AñoMes]",
"[Calendario].[AñoMes].&amp;[" &amp; TEXT(AV$6,"yyyymm")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W73" s="8">
        <f>IFERROR(
GETPIVOTDATA(
"[Base].[Importe]",
TDinamica_R!$A$5,
"[Calendario].[AñoMes]",
"[Calendario].[AñoMes].&amp;[" &amp; TEXT(AW$6,"yyyymm")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X73" s="8">
        <f>IFERROR(
GETPIVOTDATA(
"[Base].[Importe]",
TDinamica_R!$A$5,
"[Calendario].[AñoMes]",
"[Calendario].[AñoMes].&amp;[" &amp; TEXT(AX$6,"yyyymm")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Y73" s="8">
        <f>IFERROR(
GETPIVOTDATA(
"[Base].[Importe]",
TDinamica_R!$A$5,
"[Calendario].[AñoMes]",
"[Calendario].[AñoMes].&amp;[" &amp; TEXT(AY$6,"yyyymm")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Z73" s="8">
        <f>IFERROR(
GETPIVOTDATA(
"[BASE_CONVE_PPTO].[Importe]",
TDinamica_P!$A$5,
"[BASE_CONVE_PPTO].[Periodo]",
"[BASE_CONVE_PPTO].[Periodo].&amp;[" &amp; TEXT(AZ$6,"yyyymm")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A73" s="8">
        <f>IFERROR(
GETPIVOTDATA(
"[BASE_CONVE_PPTO].[Importe]",
TDinamica_P!$A$5,
"[BASE_CONVE_PPTO].[Periodo]",
"[BASE_CONVE_PPTO].[Periodo].&amp;[" &amp; TEXT(BA$6,"yyyymm")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B73" s="8">
        <f>IFERROR(
GETPIVOTDATA(
"[BASE_CONVE_PPTO].[Importe]",
TDinamica_P!$A$5,
"[BASE_CONVE_PPTO].[Periodo]",
"[BASE_CONVE_PPTO].[Periodo].&amp;[" &amp; TEXT(BB$6,"yyyymm")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C73" s="8">
        <f>IFERROR(
GETPIVOTDATA(
"[BASE_CONVE_PPTO].[Importe]",
TDinamica_P!$A$5,
"[BASE_CONVE_PPTO].[Periodo]",
"[BASE_CONVE_PPTO].[Periodo].&amp;[" &amp; TEXT(BC$6,"yyyymm")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D73" s="8">
        <f>IFERROR(
GETPIVOTDATA(
"[BASE_CONVE_PPTO].[Importe]",
TDinamica_P!$A$5,
"[BASE_CONVE_PPTO].[Periodo]",
"[BASE_CONVE_PPTO].[Periodo].&amp;[" &amp; TEXT(BD$6,"yyyymm")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E73" s="8">
        <f>IFERROR(
GETPIVOTDATA(
"[BASE_CONVE_PPTO].[Importe]",
TDinamica_P!$A$5,
"[BASE_CONVE_PPTO].[Periodo]",
"[BASE_CONVE_PPTO].[Periodo].&amp;[" &amp; TEXT(BE$6,"yyyymm")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F73" s="8">
        <f>IFERROR(
GETPIVOTDATA(
"[BASE_CONVE_PPTO].[Importe]",
TDinamica_P!$A$5,
"[BASE_CONVE_PPTO].[Periodo]",
"[BASE_CONVE_PPTO].[Periodo].&amp;[" &amp; TEXT(BF$6,"yyyymm")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G73" s="8">
        <f>IFERROR(
GETPIVOTDATA(
"[BASE_CONVE_PPTO].[Importe]",
TDinamica_P!$A$5,
"[BASE_CONVE_PPTO].[Periodo]",
"[BASE_CONVE_PPTO].[Periodo].&amp;[" &amp; TEXT(BG$6,"yyyymm")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H73" s="8">
        <f>IFERROR(
GETPIVOTDATA(
"[BASE_CONVE_PPTO].[Importe]",
TDinamica_P!$A$5,
"[BASE_CONVE_PPTO].[Periodo]",
"[BASE_CONVE_PPTO].[Periodo].&amp;[" &amp; TEXT(BH$6,"yyyymm")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I73" s="8">
        <f>IFERROR(
GETPIVOTDATA(
"[BASE_CONVE_PPTO].[Importe]",
TDinamica_P!$A$5,
"[BASE_CONVE_PPTO].[Periodo]",
"[BASE_CONVE_PPTO].[Periodo].&amp;[" &amp; TEXT(BI$6,"yyyymm")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J73" s="8">
        <f>IFERROR(
GETPIVOTDATA(
"[BASE_CONVE_PPTO].[Importe]",
TDinamica_P!$A$5,
"[BASE_CONVE_PPTO].[Periodo]",
"[BASE_CONVE_PPTO].[Periodo].&amp;[" &amp; TEXT(BJ$6,"yyyymm")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K73" s="8">
        <f>IFERROR(
GETPIVOTDATA(
"[BASE_CONVE_PPTO].[Importe]",
TDinamica_P!$A$5,
"[BASE_CONVE_PPTO].[Periodo]",
"[BASE_CONVE_PPTO].[Periodo].&amp;[" &amp; TEXT(BK$6,"yyyymm")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O73" s="24">
        <f t="shared" ref="BO73:BT82" si="50">SUMIFS($D73:$BM73,$D$6:$BM$6,"&gt;="&amp;BO$2,$D$6:$BM$6,"&lt;="&amp;BO$6,$D$5:$BM$5,BO$5)</f>
        <v>0</v>
      </c>
      <c r="BP73" s="24">
        <f t="shared" si="50"/>
        <v>0</v>
      </c>
      <c r="BQ73" s="24">
        <f t="shared" si="50"/>
        <v>0</v>
      </c>
      <c r="BR73" s="24">
        <f t="shared" si="50"/>
        <v>0</v>
      </c>
      <c r="BS73" s="24">
        <f t="shared" si="50"/>
        <v>0</v>
      </c>
      <c r="BT73" s="24">
        <f t="shared" si="50"/>
        <v>0</v>
      </c>
    </row>
    <row r="74" spans="1:72" outlineLevel="1" x14ac:dyDescent="0.25">
      <c r="A74" s="11" t="s">
        <v>71</v>
      </c>
      <c r="C74" s="2"/>
      <c r="D74" s="8">
        <f>IFERROR(
GETPIVOTDATA(
"[Base].[Importe]",
TDinamica_R!$A$5,
"[Calendario].[AñoMes]",
"[Calendario].[AñoMes].&amp;[" &amp; TEXT(D$6,"yyyymm")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E74" s="8">
        <f>IFERROR(
GETPIVOTDATA(
"[Base].[Importe]",
TDinamica_R!$A$5,
"[Calendario].[AñoMes]",
"[Calendario].[AñoMes].&amp;[" &amp; TEXT(E$6,"yyyymm")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F74" s="8">
        <f>IFERROR(
GETPIVOTDATA(
"[Base].[Importe]",
TDinamica_R!$A$5,
"[Calendario].[AñoMes]",
"[Calendario].[AñoMes].&amp;[" &amp; TEXT(F$6,"yyyymm")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G74" s="8">
        <f>IFERROR(
GETPIVOTDATA(
"[Base].[Importe]",
TDinamica_R!$A$5,
"[Calendario].[AñoMes]",
"[Calendario].[AñoMes].&amp;[" &amp; TEXT(G$6,"yyyymm")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H74" s="8">
        <f>IFERROR(
GETPIVOTDATA(
"[Base].[Importe]",
TDinamica_R!$A$5,
"[Calendario].[AñoMes]",
"[Calendario].[AñoMes].&amp;[" &amp; TEXT(H$6,"yyyymm")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I74" s="8">
        <f>IFERROR(
GETPIVOTDATA(
"[Base].[Importe]",
TDinamica_R!$A$5,
"[Calendario].[AñoMes]",
"[Calendario].[AñoMes].&amp;[" &amp; TEXT(I$6,"yyyymm")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J74" s="8">
        <f>IFERROR(
GETPIVOTDATA(
"[Base].[Importe]",
TDinamica_R!$A$5,
"[Calendario].[AñoMes]",
"[Calendario].[AñoMes].&amp;[" &amp; TEXT(J$6,"yyyymm")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K74" s="8">
        <f>IFERROR(
GETPIVOTDATA(
"[Base].[Importe]",
TDinamica_R!$A$5,
"[Calendario].[AñoMes]",
"[Calendario].[AñoMes].&amp;[" &amp; TEXT(K$6,"yyyymm")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L74" s="8">
        <f>IFERROR(
GETPIVOTDATA(
"[Base].[Importe]",
TDinamica_R!$A$5,
"[Calendario].[AñoMes]",
"[Calendario].[AñoMes].&amp;[" &amp; TEXT(L$6,"yyyymm")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M74" s="8">
        <f>IFERROR(
GETPIVOTDATA(
"[Base].[Importe]",
TDinamica_R!$A$5,
"[Calendario].[AñoMes]",
"[Calendario].[AñoMes].&amp;[" &amp; TEXT(M$6,"yyyymm")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N74" s="8">
        <f>IFERROR(
GETPIVOTDATA(
"[Base].[Importe]",
TDinamica_R!$A$5,
"[Calendario].[AñoMes]",
"[Calendario].[AñoMes].&amp;[" &amp; TEXT(N$6,"yyyymm")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O74" s="8">
        <f>IFERROR(
GETPIVOTDATA(
"[Base].[Importe]",
TDinamica_R!$A$5,
"[Calendario].[AñoMes]",
"[Calendario].[AñoMes].&amp;[" &amp; TEXT(O$6,"yyyymm")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P74" s="8">
        <f>IFERROR(
GETPIVOTDATA(
"[Base].[Importe]",
TDinamica_R!$A$5,
"[Calendario].[AñoMes]",
"[Calendario].[AñoMes].&amp;[" &amp; TEXT(P$6,"yyyymm")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Q74" s="8">
        <f>IFERROR(
GETPIVOTDATA(
"[Base].[Importe]",
TDinamica_R!$A$5,
"[Calendario].[AñoMes]",
"[Calendario].[AñoMes].&amp;[" &amp; TEXT(Q$6,"yyyymm")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R74" s="8">
        <f>IFERROR(
GETPIVOTDATA(
"[Base].[Importe]",
TDinamica_R!$A$5,
"[Calendario].[AñoMes]",
"[Calendario].[AñoMes].&amp;[" &amp; TEXT(R$6,"yyyymm")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S74" s="8">
        <f>IFERROR(
GETPIVOTDATA(
"[Base].[Importe]",
TDinamica_R!$A$5,
"[Calendario].[AñoMes]",
"[Calendario].[AñoMes].&amp;[" &amp; TEXT(S$6,"yyyymm")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T74" s="8">
        <f>IFERROR(
GETPIVOTDATA(
"[Base].[Importe]",
TDinamica_R!$A$5,
"[Calendario].[AñoMes]",
"[Calendario].[AñoMes].&amp;[" &amp; TEXT(T$6,"yyyymm")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U74" s="8">
        <f>IFERROR(
GETPIVOTDATA(
"[Base].[Importe]",
TDinamica_R!$A$5,
"[Calendario].[AñoMes]",
"[Calendario].[AñoMes].&amp;[" &amp; TEXT(U$6,"yyyymm")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V74" s="8">
        <f>IFERROR(
GETPIVOTDATA(
"[Base].[Importe]",
TDinamica_R!$A$5,
"[Calendario].[AñoMes]",
"[Calendario].[AñoMes].&amp;[" &amp; TEXT(V$6,"yyyymm")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W74" s="8">
        <f>IFERROR(
GETPIVOTDATA(
"[Base].[Importe]",
TDinamica_R!$A$5,
"[Calendario].[AñoMes]",
"[Calendario].[AñoMes].&amp;[" &amp; TEXT(W$6,"yyyymm")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X74" s="8">
        <f>IFERROR(
GETPIVOTDATA(
"[Base].[Importe]",
TDinamica_R!$A$5,
"[Calendario].[AñoMes]",
"[Calendario].[AñoMes].&amp;[" &amp; TEXT(X$6,"yyyymm")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Y74" s="8">
        <f>IFERROR(
GETPIVOTDATA(
"[Base].[Importe]",
TDinamica_R!$A$5,
"[Calendario].[AñoMes]",
"[Calendario].[AñoMes].&amp;[" &amp; TEXT(Y$6,"yyyymm")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Z74" s="8">
        <f>IFERROR(
GETPIVOTDATA(
"[Base].[Importe]",
TDinamica_R!$A$5,
"[Calendario].[AñoMes]",
"[Calendario].[AñoMes].&amp;[" &amp; TEXT(Z$6,"yyyymm")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A74" s="8">
        <f>IFERROR(
GETPIVOTDATA(
"[Base].[Importe]",
TDinamica_R!$A$5,
"[Calendario].[AñoMes]",
"[Calendario].[AñoMes].&amp;[" &amp; TEXT(AA$6,"yyyymm")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B74" s="8">
        <f>IFERROR(
GETPIVOTDATA(
"[Base].[Importe]",
TDinamica_R!$A$5,
"[Calendario].[AñoMes]",
"[Calendario].[AñoMes].&amp;[" &amp; TEXT(AB$6,"yyyymm")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C74" s="8">
        <f>IFERROR(
GETPIVOTDATA(
"[Base].[Importe]",
TDinamica_R!$A$5,
"[Calendario].[AñoMes]",
"[Calendario].[AñoMes].&amp;[" &amp; TEXT(AC$6,"yyyymm")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D74" s="8">
        <f>IFERROR(
GETPIVOTDATA(
"[Base].[Importe]",
TDinamica_R!$A$5,
"[Calendario].[AñoMes]",
"[Calendario].[AñoMes].&amp;[" &amp; TEXT(AD$6,"yyyymm")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E74" s="8">
        <f>IFERROR(
GETPIVOTDATA(
"[Base].[Importe]",
TDinamica_R!$A$5,
"[Calendario].[AñoMes]",
"[Calendario].[AñoMes].&amp;[" &amp; TEXT(AE$6,"yyyymm")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F74" s="8">
        <f>IFERROR(
GETPIVOTDATA(
"[Base].[Importe]",
TDinamica_R!$A$5,
"[Calendario].[AñoMes]",
"[Calendario].[AñoMes].&amp;[" &amp; TEXT(AF$6,"yyyymm")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G74" s="8">
        <f>IFERROR(
GETPIVOTDATA(
"[Base].[Importe]",
TDinamica_R!$A$5,
"[Calendario].[AñoMes]",
"[Calendario].[AñoMes].&amp;[" &amp; TEXT(AG$6,"yyyymm")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H74" s="8">
        <f>IFERROR(
GETPIVOTDATA(
"[Base].[Importe]",
TDinamica_R!$A$5,
"[Calendario].[AñoMes]",
"[Calendario].[AñoMes].&amp;[" &amp; TEXT(AH$6,"yyyymm")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I74" s="8">
        <f>IFERROR(
GETPIVOTDATA(
"[Base].[Importe]",
TDinamica_R!$A$5,
"[Calendario].[AñoMes]",
"[Calendario].[AñoMes].&amp;[" &amp; TEXT(AI$6,"yyyymm")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J74" s="8">
        <f>IFERROR(
GETPIVOTDATA(
"[Base].[Importe]",
TDinamica_R!$A$5,
"[Calendario].[AñoMes]",
"[Calendario].[AñoMes].&amp;[" &amp; TEXT(AJ$6,"yyyymm")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K74" s="8">
        <f>IFERROR(
GETPIVOTDATA(
"[Base].[Importe]",
TDinamica_R!$A$5,
"[Calendario].[AñoMes]",
"[Calendario].[AñoMes].&amp;[" &amp; TEXT(AK$6,"yyyymm")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L74" s="8">
        <f>IFERROR(
GETPIVOTDATA(
"[Base].[Importe]",
TDinamica_R!$A$5,
"[Calendario].[AñoMes]",
"[Calendario].[AñoMes].&amp;[" &amp; TEXT(AL$6,"yyyymm")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M74" s="8">
        <f>IFERROR(
GETPIVOTDATA(
"[Base].[Importe]",
TDinamica_R!$A$5,
"[Calendario].[AñoMes]",
"[Calendario].[AñoMes].&amp;[" &amp; TEXT(AM$6,"yyyymm")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N74" s="8">
        <f>IFERROR(
GETPIVOTDATA(
"[Base].[Importe]",
TDinamica_R!$A$5,
"[Calendario].[AñoMes]",
"[Calendario].[AñoMes].&amp;[" &amp; TEXT(AN$6,"yyyymm")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O74" s="8">
        <f>IFERROR(
GETPIVOTDATA(
"[Base].[Importe]",
TDinamica_R!$A$5,
"[Calendario].[AñoMes]",
"[Calendario].[AñoMes].&amp;[" &amp; TEXT(AO$6,"yyyymm")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P74" s="8">
        <f>IFERROR(
GETPIVOTDATA(
"[Base].[Importe]",
TDinamica_R!$A$5,
"[Calendario].[AñoMes]",
"[Calendario].[AñoMes].&amp;[" &amp; TEXT(AP$6,"yyyymm")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Q74" s="8">
        <f>IFERROR(
GETPIVOTDATA(
"[Base].[Importe]",
TDinamica_R!$A$5,
"[Calendario].[AñoMes]",
"[Calendario].[AñoMes].&amp;[" &amp; TEXT(AQ$6,"yyyymm")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R74" s="8">
        <f>IFERROR(
GETPIVOTDATA(
"[Base].[Importe]",
TDinamica_R!$A$5,
"[Calendario].[AñoMes]",
"[Calendario].[AñoMes].&amp;[" &amp; TEXT(AR$6,"yyyymm")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S74" s="8">
        <f>IFERROR(
GETPIVOTDATA(
"[Base].[Importe]",
TDinamica_R!$A$5,
"[Calendario].[AñoMes]",
"[Calendario].[AñoMes].&amp;[" &amp; TEXT(AS$6,"yyyymm")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T74" s="8">
        <f>IFERROR(
GETPIVOTDATA(
"[Base].[Importe]",
TDinamica_R!$A$5,
"[Calendario].[AñoMes]",
"[Calendario].[AñoMes].&amp;[" &amp; TEXT(AT$6,"yyyymm")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U74" s="8">
        <f>IFERROR(
GETPIVOTDATA(
"[Base].[Importe]",
TDinamica_R!$A$5,
"[Calendario].[AñoMes]",
"[Calendario].[AñoMes].&amp;[" &amp; TEXT(AU$6,"yyyymm")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V74" s="8">
        <f>IFERROR(
GETPIVOTDATA(
"[Base].[Importe]",
TDinamica_R!$A$5,
"[Calendario].[AñoMes]",
"[Calendario].[AñoMes].&amp;[" &amp; TEXT(AV$6,"yyyymm")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W74" s="8">
        <f>IFERROR(
GETPIVOTDATA(
"[Base].[Importe]",
TDinamica_R!$A$5,
"[Calendario].[AñoMes]",
"[Calendario].[AñoMes].&amp;[" &amp; TEXT(AW$6,"yyyymm")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X74" s="8">
        <f>IFERROR(
GETPIVOTDATA(
"[Base].[Importe]",
TDinamica_R!$A$5,
"[Calendario].[AñoMes]",
"[Calendario].[AñoMes].&amp;[" &amp; TEXT(AX$6,"yyyymm")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Y74" s="8">
        <f>IFERROR(
GETPIVOTDATA(
"[Base].[Importe]",
TDinamica_R!$A$5,
"[Calendario].[AñoMes]",
"[Calendario].[AñoMes].&amp;[" &amp; TEXT(AY$6,"yyyymm")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Z74" s="8">
        <f>IFERROR(
GETPIVOTDATA(
"[BASE_CONVE_PPTO].[Importe]",
TDinamica_P!$A$5,
"[BASE_CONVE_PPTO].[Periodo]",
"[BASE_CONVE_PPTO].[Periodo].&amp;[" &amp; TEXT(AZ$6,"yyyymm")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A74" s="8">
        <f>IFERROR(
GETPIVOTDATA(
"[BASE_CONVE_PPTO].[Importe]",
TDinamica_P!$A$5,
"[BASE_CONVE_PPTO].[Periodo]",
"[BASE_CONVE_PPTO].[Periodo].&amp;[" &amp; TEXT(BA$6,"yyyymm")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B74" s="8">
        <f>IFERROR(
GETPIVOTDATA(
"[BASE_CONVE_PPTO].[Importe]",
TDinamica_P!$A$5,
"[BASE_CONVE_PPTO].[Periodo]",
"[BASE_CONVE_PPTO].[Periodo].&amp;[" &amp; TEXT(BB$6,"yyyymm")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C74" s="8">
        <f>IFERROR(
GETPIVOTDATA(
"[BASE_CONVE_PPTO].[Importe]",
TDinamica_P!$A$5,
"[BASE_CONVE_PPTO].[Periodo]",
"[BASE_CONVE_PPTO].[Periodo].&amp;[" &amp; TEXT(BC$6,"yyyymm")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D74" s="8">
        <f>IFERROR(
GETPIVOTDATA(
"[BASE_CONVE_PPTO].[Importe]",
TDinamica_P!$A$5,
"[BASE_CONVE_PPTO].[Periodo]",
"[BASE_CONVE_PPTO].[Periodo].&amp;[" &amp; TEXT(BD$6,"yyyymm")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E74" s="8">
        <f>IFERROR(
GETPIVOTDATA(
"[BASE_CONVE_PPTO].[Importe]",
TDinamica_P!$A$5,
"[BASE_CONVE_PPTO].[Periodo]",
"[BASE_CONVE_PPTO].[Periodo].&amp;[" &amp; TEXT(BE$6,"yyyymm")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F74" s="8">
        <f>IFERROR(
GETPIVOTDATA(
"[BASE_CONVE_PPTO].[Importe]",
TDinamica_P!$A$5,
"[BASE_CONVE_PPTO].[Periodo]",
"[BASE_CONVE_PPTO].[Periodo].&amp;[" &amp; TEXT(BF$6,"yyyymm")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G74" s="8">
        <f>IFERROR(
GETPIVOTDATA(
"[BASE_CONVE_PPTO].[Importe]",
TDinamica_P!$A$5,
"[BASE_CONVE_PPTO].[Periodo]",
"[BASE_CONVE_PPTO].[Periodo].&amp;[" &amp; TEXT(BG$6,"yyyymm")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H74" s="8">
        <f>IFERROR(
GETPIVOTDATA(
"[BASE_CONVE_PPTO].[Importe]",
TDinamica_P!$A$5,
"[BASE_CONVE_PPTO].[Periodo]",
"[BASE_CONVE_PPTO].[Periodo].&amp;[" &amp; TEXT(BH$6,"yyyymm")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I74" s="8">
        <f>IFERROR(
GETPIVOTDATA(
"[BASE_CONVE_PPTO].[Importe]",
TDinamica_P!$A$5,
"[BASE_CONVE_PPTO].[Periodo]",
"[BASE_CONVE_PPTO].[Periodo].&amp;[" &amp; TEXT(BI$6,"yyyymm")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J74" s="8">
        <f>IFERROR(
GETPIVOTDATA(
"[BASE_CONVE_PPTO].[Importe]",
TDinamica_P!$A$5,
"[BASE_CONVE_PPTO].[Periodo]",
"[BASE_CONVE_PPTO].[Periodo].&amp;[" &amp; TEXT(BJ$6,"yyyymm")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K74" s="8">
        <f>IFERROR(
GETPIVOTDATA(
"[BASE_CONVE_PPTO].[Importe]",
TDinamica_P!$A$5,
"[BASE_CONVE_PPTO].[Periodo]",
"[BASE_CONVE_PPTO].[Periodo].&amp;[" &amp; TEXT(BK$6,"yyyymm")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O74" s="24">
        <f t="shared" si="50"/>
        <v>0</v>
      </c>
      <c r="BP74" s="24">
        <f t="shared" si="50"/>
        <v>0</v>
      </c>
      <c r="BQ74" s="24">
        <f t="shared" si="50"/>
        <v>0</v>
      </c>
      <c r="BR74" s="24">
        <f t="shared" si="50"/>
        <v>0</v>
      </c>
      <c r="BS74" s="24">
        <f t="shared" si="50"/>
        <v>0</v>
      </c>
      <c r="BT74" s="24">
        <f t="shared" si="50"/>
        <v>0</v>
      </c>
    </row>
    <row r="75" spans="1:72" outlineLevel="1" x14ac:dyDescent="0.25">
      <c r="A75" s="11" t="s">
        <v>71</v>
      </c>
      <c r="C75" s="2"/>
      <c r="D75" s="8">
        <f>IFERROR(
GETPIVOTDATA(
"[Base].[Importe]",
TDinamica_R!$A$5,
"[Calendario].[AñoMes]",
"[Calendario].[AñoMes].&amp;[" &amp; TEXT(D$6,"yyyymm")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E75" s="8">
        <f>IFERROR(
GETPIVOTDATA(
"[Base].[Importe]",
TDinamica_R!$A$5,
"[Calendario].[AñoMes]",
"[Calendario].[AñoMes].&amp;[" &amp; TEXT(E$6,"yyyymm")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F75" s="8">
        <f>IFERROR(
GETPIVOTDATA(
"[Base].[Importe]",
TDinamica_R!$A$5,
"[Calendario].[AñoMes]",
"[Calendario].[AñoMes].&amp;[" &amp; TEXT(F$6,"yyyymm")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G75" s="8">
        <f>IFERROR(
GETPIVOTDATA(
"[Base].[Importe]",
TDinamica_R!$A$5,
"[Calendario].[AñoMes]",
"[Calendario].[AñoMes].&amp;[" &amp; TEXT(G$6,"yyyymm")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H75" s="8">
        <f>IFERROR(
GETPIVOTDATA(
"[Base].[Importe]",
TDinamica_R!$A$5,
"[Calendario].[AñoMes]",
"[Calendario].[AñoMes].&amp;[" &amp; TEXT(H$6,"yyyymm")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I75" s="8">
        <f>IFERROR(
GETPIVOTDATA(
"[Base].[Importe]",
TDinamica_R!$A$5,
"[Calendario].[AñoMes]",
"[Calendario].[AñoMes].&amp;[" &amp; TEXT(I$6,"yyyymm")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J75" s="8">
        <f>IFERROR(
GETPIVOTDATA(
"[Base].[Importe]",
TDinamica_R!$A$5,
"[Calendario].[AñoMes]",
"[Calendario].[AñoMes].&amp;[" &amp; TEXT(J$6,"yyyymm")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K75" s="8">
        <f>IFERROR(
GETPIVOTDATA(
"[Base].[Importe]",
TDinamica_R!$A$5,
"[Calendario].[AñoMes]",
"[Calendario].[AñoMes].&amp;[" &amp; TEXT(K$6,"yyyymm")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L75" s="8">
        <f>IFERROR(
GETPIVOTDATA(
"[Base].[Importe]",
TDinamica_R!$A$5,
"[Calendario].[AñoMes]",
"[Calendario].[AñoMes].&amp;[" &amp; TEXT(L$6,"yyyymm")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M75" s="8">
        <f>IFERROR(
GETPIVOTDATA(
"[Base].[Importe]",
TDinamica_R!$A$5,
"[Calendario].[AñoMes]",
"[Calendario].[AñoMes].&amp;[" &amp; TEXT(M$6,"yyyymm")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N75" s="8">
        <f>IFERROR(
GETPIVOTDATA(
"[Base].[Importe]",
TDinamica_R!$A$5,
"[Calendario].[AñoMes]",
"[Calendario].[AñoMes].&amp;[" &amp; TEXT(N$6,"yyyymm")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O75" s="8">
        <f>IFERROR(
GETPIVOTDATA(
"[Base].[Importe]",
TDinamica_R!$A$5,
"[Calendario].[AñoMes]",
"[Calendario].[AñoMes].&amp;[" &amp; TEXT(O$6,"yyyymm")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P75" s="8">
        <f>IFERROR(
GETPIVOTDATA(
"[Base].[Importe]",
TDinamica_R!$A$5,
"[Calendario].[AñoMes]",
"[Calendario].[AñoMes].&amp;[" &amp; TEXT(P$6,"yyyymm")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Q75" s="8">
        <f>IFERROR(
GETPIVOTDATA(
"[Base].[Importe]",
TDinamica_R!$A$5,
"[Calendario].[AñoMes]",
"[Calendario].[AñoMes].&amp;[" &amp; TEXT(Q$6,"yyyymm")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R75" s="8">
        <f>IFERROR(
GETPIVOTDATA(
"[Base].[Importe]",
TDinamica_R!$A$5,
"[Calendario].[AñoMes]",
"[Calendario].[AñoMes].&amp;[" &amp; TEXT(R$6,"yyyymm")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S75" s="8">
        <f>IFERROR(
GETPIVOTDATA(
"[Base].[Importe]",
TDinamica_R!$A$5,
"[Calendario].[AñoMes]",
"[Calendario].[AñoMes].&amp;[" &amp; TEXT(S$6,"yyyymm")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T75" s="8">
        <f>IFERROR(
GETPIVOTDATA(
"[Base].[Importe]",
TDinamica_R!$A$5,
"[Calendario].[AñoMes]",
"[Calendario].[AñoMes].&amp;[" &amp; TEXT(T$6,"yyyymm")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U75" s="8">
        <f>IFERROR(
GETPIVOTDATA(
"[Base].[Importe]",
TDinamica_R!$A$5,
"[Calendario].[AñoMes]",
"[Calendario].[AñoMes].&amp;[" &amp; TEXT(U$6,"yyyymm")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V75" s="8">
        <f>IFERROR(
GETPIVOTDATA(
"[Base].[Importe]",
TDinamica_R!$A$5,
"[Calendario].[AñoMes]",
"[Calendario].[AñoMes].&amp;[" &amp; TEXT(V$6,"yyyymm")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W75" s="8">
        <f>IFERROR(
GETPIVOTDATA(
"[Base].[Importe]",
TDinamica_R!$A$5,
"[Calendario].[AñoMes]",
"[Calendario].[AñoMes].&amp;[" &amp; TEXT(W$6,"yyyymm")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X75" s="8">
        <f>IFERROR(
GETPIVOTDATA(
"[Base].[Importe]",
TDinamica_R!$A$5,
"[Calendario].[AñoMes]",
"[Calendario].[AñoMes].&amp;[" &amp; TEXT(X$6,"yyyymm")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Y75" s="8">
        <f>IFERROR(
GETPIVOTDATA(
"[Base].[Importe]",
TDinamica_R!$A$5,
"[Calendario].[AñoMes]",
"[Calendario].[AñoMes].&amp;[" &amp; TEXT(Y$6,"yyyymm")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Z75" s="8">
        <f>IFERROR(
GETPIVOTDATA(
"[Base].[Importe]",
TDinamica_R!$A$5,
"[Calendario].[AñoMes]",
"[Calendario].[AñoMes].&amp;[" &amp; TEXT(Z$6,"yyyymm")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A75" s="8">
        <f>IFERROR(
GETPIVOTDATA(
"[Base].[Importe]",
TDinamica_R!$A$5,
"[Calendario].[AñoMes]",
"[Calendario].[AñoMes].&amp;[" &amp; TEXT(AA$6,"yyyymm")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B75" s="8">
        <f>IFERROR(
GETPIVOTDATA(
"[Base].[Importe]",
TDinamica_R!$A$5,
"[Calendario].[AñoMes]",
"[Calendario].[AñoMes].&amp;[" &amp; TEXT(AB$6,"yyyymm")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C75" s="8">
        <f>IFERROR(
GETPIVOTDATA(
"[Base].[Importe]",
TDinamica_R!$A$5,
"[Calendario].[AñoMes]",
"[Calendario].[AñoMes].&amp;[" &amp; TEXT(AC$6,"yyyymm")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D75" s="8">
        <f>IFERROR(
GETPIVOTDATA(
"[Base].[Importe]",
TDinamica_R!$A$5,
"[Calendario].[AñoMes]",
"[Calendario].[AñoMes].&amp;[" &amp; TEXT(AD$6,"yyyymm")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E75" s="8">
        <f>IFERROR(
GETPIVOTDATA(
"[Base].[Importe]",
TDinamica_R!$A$5,
"[Calendario].[AñoMes]",
"[Calendario].[AñoMes].&amp;[" &amp; TEXT(AE$6,"yyyymm")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F75" s="8">
        <f>IFERROR(
GETPIVOTDATA(
"[Base].[Importe]",
TDinamica_R!$A$5,
"[Calendario].[AñoMes]",
"[Calendario].[AñoMes].&amp;[" &amp; TEXT(AF$6,"yyyymm")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G75" s="8">
        <f>IFERROR(
GETPIVOTDATA(
"[Base].[Importe]",
TDinamica_R!$A$5,
"[Calendario].[AñoMes]",
"[Calendario].[AñoMes].&amp;[" &amp; TEXT(AG$6,"yyyymm")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H75" s="8">
        <f>IFERROR(
GETPIVOTDATA(
"[Base].[Importe]",
TDinamica_R!$A$5,
"[Calendario].[AñoMes]",
"[Calendario].[AñoMes].&amp;[" &amp; TEXT(AH$6,"yyyymm")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I75" s="8">
        <f>IFERROR(
GETPIVOTDATA(
"[Base].[Importe]",
TDinamica_R!$A$5,
"[Calendario].[AñoMes]",
"[Calendario].[AñoMes].&amp;[" &amp; TEXT(AI$6,"yyyymm")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J75" s="8">
        <f>IFERROR(
GETPIVOTDATA(
"[Base].[Importe]",
TDinamica_R!$A$5,
"[Calendario].[AñoMes]",
"[Calendario].[AñoMes].&amp;[" &amp; TEXT(AJ$6,"yyyymm")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K75" s="8">
        <f>IFERROR(
GETPIVOTDATA(
"[Base].[Importe]",
TDinamica_R!$A$5,
"[Calendario].[AñoMes]",
"[Calendario].[AñoMes].&amp;[" &amp; TEXT(AK$6,"yyyymm")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L75" s="8">
        <f>IFERROR(
GETPIVOTDATA(
"[Base].[Importe]",
TDinamica_R!$A$5,
"[Calendario].[AñoMes]",
"[Calendario].[AñoMes].&amp;[" &amp; TEXT(AL$6,"yyyymm")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M75" s="8">
        <f>IFERROR(
GETPIVOTDATA(
"[Base].[Importe]",
TDinamica_R!$A$5,
"[Calendario].[AñoMes]",
"[Calendario].[AñoMes].&amp;[" &amp; TEXT(AM$6,"yyyymm")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N75" s="8">
        <f>IFERROR(
GETPIVOTDATA(
"[Base].[Importe]",
TDinamica_R!$A$5,
"[Calendario].[AñoMes]",
"[Calendario].[AñoMes].&amp;[" &amp; TEXT(AN$6,"yyyymm")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O75" s="8">
        <f>IFERROR(
GETPIVOTDATA(
"[Base].[Importe]",
TDinamica_R!$A$5,
"[Calendario].[AñoMes]",
"[Calendario].[AñoMes].&amp;[" &amp; TEXT(AO$6,"yyyymm")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P75" s="8">
        <f>IFERROR(
GETPIVOTDATA(
"[Base].[Importe]",
TDinamica_R!$A$5,
"[Calendario].[AñoMes]",
"[Calendario].[AñoMes].&amp;[" &amp; TEXT(AP$6,"yyyymm")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Q75" s="8">
        <f>IFERROR(
GETPIVOTDATA(
"[Base].[Importe]",
TDinamica_R!$A$5,
"[Calendario].[AñoMes]",
"[Calendario].[AñoMes].&amp;[" &amp; TEXT(AQ$6,"yyyymm")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R75" s="8">
        <f>IFERROR(
GETPIVOTDATA(
"[Base].[Importe]",
TDinamica_R!$A$5,
"[Calendario].[AñoMes]",
"[Calendario].[AñoMes].&amp;[" &amp; TEXT(AR$6,"yyyymm")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S75" s="8">
        <f>IFERROR(
GETPIVOTDATA(
"[Base].[Importe]",
TDinamica_R!$A$5,
"[Calendario].[AñoMes]",
"[Calendario].[AñoMes].&amp;[" &amp; TEXT(AS$6,"yyyymm")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T75" s="8">
        <f>IFERROR(
GETPIVOTDATA(
"[Base].[Importe]",
TDinamica_R!$A$5,
"[Calendario].[AñoMes]",
"[Calendario].[AñoMes].&amp;[" &amp; TEXT(AT$6,"yyyymm")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U75" s="8">
        <f>IFERROR(
GETPIVOTDATA(
"[Base].[Importe]",
TDinamica_R!$A$5,
"[Calendario].[AñoMes]",
"[Calendario].[AñoMes].&amp;[" &amp; TEXT(AU$6,"yyyymm")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V75" s="8">
        <f>IFERROR(
GETPIVOTDATA(
"[Base].[Importe]",
TDinamica_R!$A$5,
"[Calendario].[AñoMes]",
"[Calendario].[AñoMes].&amp;[" &amp; TEXT(AV$6,"yyyymm")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W75" s="8">
        <f>IFERROR(
GETPIVOTDATA(
"[Base].[Importe]",
TDinamica_R!$A$5,
"[Calendario].[AñoMes]",
"[Calendario].[AñoMes].&amp;[" &amp; TEXT(AW$6,"yyyymm")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X75" s="8">
        <f>IFERROR(
GETPIVOTDATA(
"[Base].[Importe]",
TDinamica_R!$A$5,
"[Calendario].[AñoMes]",
"[Calendario].[AñoMes].&amp;[" &amp; TEXT(AX$6,"yyyymm")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Y75" s="8">
        <f>IFERROR(
GETPIVOTDATA(
"[Base].[Importe]",
TDinamica_R!$A$5,
"[Calendario].[AñoMes]",
"[Calendario].[AñoMes].&amp;[" &amp; TEXT(AY$6,"yyyymm")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Z75" s="8">
        <f>IFERROR(
GETPIVOTDATA(
"[BASE_CONVE_PPTO].[Importe]",
TDinamica_P!$A$5,
"[BASE_CONVE_PPTO].[Periodo]",
"[BASE_CONVE_PPTO].[Periodo].&amp;[" &amp; TEXT(AZ$6,"yyyymm")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A75" s="8">
        <f>IFERROR(
GETPIVOTDATA(
"[BASE_CONVE_PPTO].[Importe]",
TDinamica_P!$A$5,
"[BASE_CONVE_PPTO].[Periodo]",
"[BASE_CONVE_PPTO].[Periodo].&amp;[" &amp; TEXT(BA$6,"yyyymm")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B75" s="8">
        <f>IFERROR(
GETPIVOTDATA(
"[BASE_CONVE_PPTO].[Importe]",
TDinamica_P!$A$5,
"[BASE_CONVE_PPTO].[Periodo]",
"[BASE_CONVE_PPTO].[Periodo].&amp;[" &amp; TEXT(BB$6,"yyyymm")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C75" s="8">
        <f>IFERROR(
GETPIVOTDATA(
"[BASE_CONVE_PPTO].[Importe]",
TDinamica_P!$A$5,
"[BASE_CONVE_PPTO].[Periodo]",
"[BASE_CONVE_PPTO].[Periodo].&amp;[" &amp; TEXT(BC$6,"yyyymm")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D75" s="8">
        <f>IFERROR(
GETPIVOTDATA(
"[BASE_CONVE_PPTO].[Importe]",
TDinamica_P!$A$5,
"[BASE_CONVE_PPTO].[Periodo]",
"[BASE_CONVE_PPTO].[Periodo].&amp;[" &amp; TEXT(BD$6,"yyyymm")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E75" s="8">
        <f>IFERROR(
GETPIVOTDATA(
"[BASE_CONVE_PPTO].[Importe]",
TDinamica_P!$A$5,
"[BASE_CONVE_PPTO].[Periodo]",
"[BASE_CONVE_PPTO].[Periodo].&amp;[" &amp; TEXT(BE$6,"yyyymm")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F75" s="8">
        <f>IFERROR(
GETPIVOTDATA(
"[BASE_CONVE_PPTO].[Importe]",
TDinamica_P!$A$5,
"[BASE_CONVE_PPTO].[Periodo]",
"[BASE_CONVE_PPTO].[Periodo].&amp;[" &amp; TEXT(BF$6,"yyyymm")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G75" s="8">
        <f>IFERROR(
GETPIVOTDATA(
"[BASE_CONVE_PPTO].[Importe]",
TDinamica_P!$A$5,
"[BASE_CONVE_PPTO].[Periodo]",
"[BASE_CONVE_PPTO].[Periodo].&amp;[" &amp; TEXT(BG$6,"yyyymm")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H75" s="8">
        <f>IFERROR(
GETPIVOTDATA(
"[BASE_CONVE_PPTO].[Importe]",
TDinamica_P!$A$5,
"[BASE_CONVE_PPTO].[Periodo]",
"[BASE_CONVE_PPTO].[Periodo].&amp;[" &amp; TEXT(BH$6,"yyyymm")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I75" s="8">
        <f>IFERROR(
GETPIVOTDATA(
"[BASE_CONVE_PPTO].[Importe]",
TDinamica_P!$A$5,
"[BASE_CONVE_PPTO].[Periodo]",
"[BASE_CONVE_PPTO].[Periodo].&amp;[" &amp; TEXT(BI$6,"yyyymm")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J75" s="8">
        <f>IFERROR(
GETPIVOTDATA(
"[BASE_CONVE_PPTO].[Importe]",
TDinamica_P!$A$5,
"[BASE_CONVE_PPTO].[Periodo]",
"[BASE_CONVE_PPTO].[Periodo].&amp;[" &amp; TEXT(BJ$6,"yyyymm")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K75" s="8">
        <f>IFERROR(
GETPIVOTDATA(
"[BASE_CONVE_PPTO].[Importe]",
TDinamica_P!$A$5,
"[BASE_CONVE_PPTO].[Periodo]",
"[BASE_CONVE_PPTO].[Periodo].&amp;[" &amp; TEXT(BK$6,"yyyymm")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O75" s="24">
        <f t="shared" si="50"/>
        <v>0</v>
      </c>
      <c r="BP75" s="24">
        <f t="shared" si="50"/>
        <v>0</v>
      </c>
      <c r="BQ75" s="24">
        <f t="shared" si="50"/>
        <v>0</v>
      </c>
      <c r="BR75" s="24">
        <f t="shared" si="50"/>
        <v>0</v>
      </c>
      <c r="BS75" s="24">
        <f t="shared" si="50"/>
        <v>0</v>
      </c>
      <c r="BT75" s="24">
        <f t="shared" si="50"/>
        <v>0</v>
      </c>
    </row>
    <row r="76" spans="1:72" outlineLevel="1" x14ac:dyDescent="0.25">
      <c r="A76" s="11" t="s">
        <v>71</v>
      </c>
      <c r="C76" s="2"/>
      <c r="D76" s="8">
        <f>IFERROR(
GETPIVOTDATA(
"[Base].[Importe]",
TDinamica_R!$A$5,
"[Calendario].[AñoMes]",
"[Calendario].[AñoMes].&amp;[" &amp; TEXT(D$6,"yyyymm")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E76" s="8">
        <f>IFERROR(
GETPIVOTDATA(
"[Base].[Importe]",
TDinamica_R!$A$5,
"[Calendario].[AñoMes]",
"[Calendario].[AñoMes].&amp;[" &amp; TEXT(E$6,"yyyymm")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F76" s="8">
        <f>IFERROR(
GETPIVOTDATA(
"[Base].[Importe]",
TDinamica_R!$A$5,
"[Calendario].[AñoMes]",
"[Calendario].[AñoMes].&amp;[" &amp; TEXT(F$6,"yyyymm")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G76" s="8">
        <f>IFERROR(
GETPIVOTDATA(
"[Base].[Importe]",
TDinamica_R!$A$5,
"[Calendario].[AñoMes]",
"[Calendario].[AñoMes].&amp;[" &amp; TEXT(G$6,"yyyymm")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H76" s="8">
        <f>IFERROR(
GETPIVOTDATA(
"[Base].[Importe]",
TDinamica_R!$A$5,
"[Calendario].[AñoMes]",
"[Calendario].[AñoMes].&amp;[" &amp; TEXT(H$6,"yyyymm")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I76" s="8">
        <f>IFERROR(
GETPIVOTDATA(
"[Base].[Importe]",
TDinamica_R!$A$5,
"[Calendario].[AñoMes]",
"[Calendario].[AñoMes].&amp;[" &amp; TEXT(I$6,"yyyymm")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J76" s="8">
        <f>IFERROR(
GETPIVOTDATA(
"[Base].[Importe]",
TDinamica_R!$A$5,
"[Calendario].[AñoMes]",
"[Calendario].[AñoMes].&amp;[" &amp; TEXT(J$6,"yyyymm")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K76" s="8">
        <f>IFERROR(
GETPIVOTDATA(
"[Base].[Importe]",
TDinamica_R!$A$5,
"[Calendario].[AñoMes]",
"[Calendario].[AñoMes].&amp;[" &amp; TEXT(K$6,"yyyymm")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L76" s="8">
        <f>IFERROR(
GETPIVOTDATA(
"[Base].[Importe]",
TDinamica_R!$A$5,
"[Calendario].[AñoMes]",
"[Calendario].[AñoMes].&amp;[" &amp; TEXT(L$6,"yyyymm")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M76" s="8">
        <f>IFERROR(
GETPIVOTDATA(
"[Base].[Importe]",
TDinamica_R!$A$5,
"[Calendario].[AñoMes]",
"[Calendario].[AñoMes].&amp;[" &amp; TEXT(M$6,"yyyymm")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N76" s="8">
        <f>IFERROR(
GETPIVOTDATA(
"[Base].[Importe]",
TDinamica_R!$A$5,
"[Calendario].[AñoMes]",
"[Calendario].[AñoMes].&amp;[" &amp; TEXT(N$6,"yyyymm")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O76" s="8">
        <f>IFERROR(
GETPIVOTDATA(
"[Base].[Importe]",
TDinamica_R!$A$5,
"[Calendario].[AñoMes]",
"[Calendario].[AñoMes].&amp;[" &amp; TEXT(O$6,"yyyymm")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P76" s="8">
        <f>IFERROR(
GETPIVOTDATA(
"[Base].[Importe]",
TDinamica_R!$A$5,
"[Calendario].[AñoMes]",
"[Calendario].[AñoMes].&amp;[" &amp; TEXT(P$6,"yyyymm")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Q76" s="8">
        <f>IFERROR(
GETPIVOTDATA(
"[Base].[Importe]",
TDinamica_R!$A$5,
"[Calendario].[AñoMes]",
"[Calendario].[AñoMes].&amp;[" &amp; TEXT(Q$6,"yyyymm")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R76" s="8">
        <f>IFERROR(
GETPIVOTDATA(
"[Base].[Importe]",
TDinamica_R!$A$5,
"[Calendario].[AñoMes]",
"[Calendario].[AñoMes].&amp;[" &amp; TEXT(R$6,"yyyymm")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S76" s="8">
        <f>IFERROR(
GETPIVOTDATA(
"[Base].[Importe]",
TDinamica_R!$A$5,
"[Calendario].[AñoMes]",
"[Calendario].[AñoMes].&amp;[" &amp; TEXT(S$6,"yyyymm")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T76" s="8">
        <f>IFERROR(
GETPIVOTDATA(
"[Base].[Importe]",
TDinamica_R!$A$5,
"[Calendario].[AñoMes]",
"[Calendario].[AñoMes].&amp;[" &amp; TEXT(T$6,"yyyymm")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U76" s="8">
        <f>IFERROR(
GETPIVOTDATA(
"[Base].[Importe]",
TDinamica_R!$A$5,
"[Calendario].[AñoMes]",
"[Calendario].[AñoMes].&amp;[" &amp; TEXT(U$6,"yyyymm")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V76" s="8">
        <f>IFERROR(
GETPIVOTDATA(
"[Base].[Importe]",
TDinamica_R!$A$5,
"[Calendario].[AñoMes]",
"[Calendario].[AñoMes].&amp;[" &amp; TEXT(V$6,"yyyymm")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W76" s="8">
        <f>IFERROR(
GETPIVOTDATA(
"[Base].[Importe]",
TDinamica_R!$A$5,
"[Calendario].[AñoMes]",
"[Calendario].[AñoMes].&amp;[" &amp; TEXT(W$6,"yyyymm")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X76" s="8">
        <f>IFERROR(
GETPIVOTDATA(
"[Base].[Importe]",
TDinamica_R!$A$5,
"[Calendario].[AñoMes]",
"[Calendario].[AñoMes].&amp;[" &amp; TEXT(X$6,"yyyymm")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Y76" s="8">
        <f>IFERROR(
GETPIVOTDATA(
"[Base].[Importe]",
TDinamica_R!$A$5,
"[Calendario].[AñoMes]",
"[Calendario].[AñoMes].&amp;[" &amp; TEXT(Y$6,"yyyymm")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Z76" s="8">
        <f>IFERROR(
GETPIVOTDATA(
"[Base].[Importe]",
TDinamica_R!$A$5,
"[Calendario].[AñoMes]",
"[Calendario].[AñoMes].&amp;[" &amp; TEXT(Z$6,"yyyymm")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A76" s="8">
        <f>IFERROR(
GETPIVOTDATA(
"[Base].[Importe]",
TDinamica_R!$A$5,
"[Calendario].[AñoMes]",
"[Calendario].[AñoMes].&amp;[" &amp; TEXT(AA$6,"yyyymm")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B76" s="8">
        <f>IFERROR(
GETPIVOTDATA(
"[Base].[Importe]",
TDinamica_R!$A$5,
"[Calendario].[AñoMes]",
"[Calendario].[AñoMes].&amp;[" &amp; TEXT(AB$6,"yyyymm")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C76" s="8">
        <f>IFERROR(
GETPIVOTDATA(
"[Base].[Importe]",
TDinamica_R!$A$5,
"[Calendario].[AñoMes]",
"[Calendario].[AñoMes].&amp;[" &amp; TEXT(AC$6,"yyyymm")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D76" s="8">
        <f>IFERROR(
GETPIVOTDATA(
"[Base].[Importe]",
TDinamica_R!$A$5,
"[Calendario].[AñoMes]",
"[Calendario].[AñoMes].&amp;[" &amp; TEXT(AD$6,"yyyymm")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E76" s="8">
        <f>IFERROR(
GETPIVOTDATA(
"[Base].[Importe]",
TDinamica_R!$A$5,
"[Calendario].[AñoMes]",
"[Calendario].[AñoMes].&amp;[" &amp; TEXT(AE$6,"yyyymm")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F76" s="8">
        <f>IFERROR(
GETPIVOTDATA(
"[Base].[Importe]",
TDinamica_R!$A$5,
"[Calendario].[AñoMes]",
"[Calendario].[AñoMes].&amp;[" &amp; TEXT(AF$6,"yyyymm")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G76" s="8">
        <f>IFERROR(
GETPIVOTDATA(
"[Base].[Importe]",
TDinamica_R!$A$5,
"[Calendario].[AñoMes]",
"[Calendario].[AñoMes].&amp;[" &amp; TEXT(AG$6,"yyyymm")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H76" s="8">
        <f>IFERROR(
GETPIVOTDATA(
"[Base].[Importe]",
TDinamica_R!$A$5,
"[Calendario].[AñoMes]",
"[Calendario].[AñoMes].&amp;[" &amp; TEXT(AH$6,"yyyymm")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I76" s="8">
        <f>IFERROR(
GETPIVOTDATA(
"[Base].[Importe]",
TDinamica_R!$A$5,
"[Calendario].[AñoMes]",
"[Calendario].[AñoMes].&amp;[" &amp; TEXT(AI$6,"yyyymm")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J76" s="8">
        <f>IFERROR(
GETPIVOTDATA(
"[Base].[Importe]",
TDinamica_R!$A$5,
"[Calendario].[AñoMes]",
"[Calendario].[AñoMes].&amp;[" &amp; TEXT(AJ$6,"yyyymm")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K76" s="8">
        <f>IFERROR(
GETPIVOTDATA(
"[Base].[Importe]",
TDinamica_R!$A$5,
"[Calendario].[AñoMes]",
"[Calendario].[AñoMes].&amp;[" &amp; TEXT(AK$6,"yyyymm")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L76" s="8">
        <f>IFERROR(
GETPIVOTDATA(
"[Base].[Importe]",
TDinamica_R!$A$5,
"[Calendario].[AñoMes]",
"[Calendario].[AñoMes].&amp;[" &amp; TEXT(AL$6,"yyyymm")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M76" s="8">
        <f>IFERROR(
GETPIVOTDATA(
"[Base].[Importe]",
TDinamica_R!$A$5,
"[Calendario].[AñoMes]",
"[Calendario].[AñoMes].&amp;[" &amp; TEXT(AM$6,"yyyymm")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N76" s="8">
        <f>IFERROR(
GETPIVOTDATA(
"[Base].[Importe]",
TDinamica_R!$A$5,
"[Calendario].[AñoMes]",
"[Calendario].[AñoMes].&amp;[" &amp; TEXT(AN$6,"yyyymm")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O76" s="8">
        <f>IFERROR(
GETPIVOTDATA(
"[Base].[Importe]",
TDinamica_R!$A$5,
"[Calendario].[AñoMes]",
"[Calendario].[AñoMes].&amp;[" &amp; TEXT(AO$6,"yyyymm")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P76" s="8">
        <f>IFERROR(
GETPIVOTDATA(
"[Base].[Importe]",
TDinamica_R!$A$5,
"[Calendario].[AñoMes]",
"[Calendario].[AñoMes].&amp;[" &amp; TEXT(AP$6,"yyyymm")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Q76" s="8">
        <f>IFERROR(
GETPIVOTDATA(
"[Base].[Importe]",
TDinamica_R!$A$5,
"[Calendario].[AñoMes]",
"[Calendario].[AñoMes].&amp;[" &amp; TEXT(AQ$6,"yyyymm")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R76" s="8">
        <f>IFERROR(
GETPIVOTDATA(
"[Base].[Importe]",
TDinamica_R!$A$5,
"[Calendario].[AñoMes]",
"[Calendario].[AñoMes].&amp;[" &amp; TEXT(AR$6,"yyyymm")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S76" s="8">
        <f>IFERROR(
GETPIVOTDATA(
"[Base].[Importe]",
TDinamica_R!$A$5,
"[Calendario].[AñoMes]",
"[Calendario].[AñoMes].&amp;[" &amp; TEXT(AS$6,"yyyymm")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T76" s="8">
        <f>IFERROR(
GETPIVOTDATA(
"[Base].[Importe]",
TDinamica_R!$A$5,
"[Calendario].[AñoMes]",
"[Calendario].[AñoMes].&amp;[" &amp; TEXT(AT$6,"yyyymm")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U76" s="8">
        <f>IFERROR(
GETPIVOTDATA(
"[Base].[Importe]",
TDinamica_R!$A$5,
"[Calendario].[AñoMes]",
"[Calendario].[AñoMes].&amp;[" &amp; TEXT(AU$6,"yyyymm")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V76" s="8">
        <f>IFERROR(
GETPIVOTDATA(
"[Base].[Importe]",
TDinamica_R!$A$5,
"[Calendario].[AñoMes]",
"[Calendario].[AñoMes].&amp;[" &amp; TEXT(AV$6,"yyyymm")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W76" s="8">
        <f>IFERROR(
GETPIVOTDATA(
"[Base].[Importe]",
TDinamica_R!$A$5,
"[Calendario].[AñoMes]",
"[Calendario].[AñoMes].&amp;[" &amp; TEXT(AW$6,"yyyymm")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X76" s="8">
        <f>IFERROR(
GETPIVOTDATA(
"[Base].[Importe]",
TDinamica_R!$A$5,
"[Calendario].[AñoMes]",
"[Calendario].[AñoMes].&amp;[" &amp; TEXT(AX$6,"yyyymm")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Y76" s="8">
        <f>IFERROR(
GETPIVOTDATA(
"[Base].[Importe]",
TDinamica_R!$A$5,
"[Calendario].[AñoMes]",
"[Calendario].[AñoMes].&amp;[" &amp; TEXT(AY$6,"yyyymm")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Z76" s="8">
        <f>IFERROR(
GETPIVOTDATA(
"[BASE_CONVE_PPTO].[Importe]",
TDinamica_P!$A$5,
"[BASE_CONVE_PPTO].[Periodo]",
"[BASE_CONVE_PPTO].[Periodo].&amp;[" &amp; TEXT(AZ$6,"yyyymm")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A76" s="8">
        <f>IFERROR(
GETPIVOTDATA(
"[BASE_CONVE_PPTO].[Importe]",
TDinamica_P!$A$5,
"[BASE_CONVE_PPTO].[Periodo]",
"[BASE_CONVE_PPTO].[Periodo].&amp;[" &amp; TEXT(BA$6,"yyyymm")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B76" s="8">
        <f>IFERROR(
GETPIVOTDATA(
"[BASE_CONVE_PPTO].[Importe]",
TDinamica_P!$A$5,
"[BASE_CONVE_PPTO].[Periodo]",
"[BASE_CONVE_PPTO].[Periodo].&amp;[" &amp; TEXT(BB$6,"yyyymm")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C76" s="8">
        <f>IFERROR(
GETPIVOTDATA(
"[BASE_CONVE_PPTO].[Importe]",
TDinamica_P!$A$5,
"[BASE_CONVE_PPTO].[Periodo]",
"[BASE_CONVE_PPTO].[Periodo].&amp;[" &amp; TEXT(BC$6,"yyyymm")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D76" s="8">
        <f>IFERROR(
GETPIVOTDATA(
"[BASE_CONVE_PPTO].[Importe]",
TDinamica_P!$A$5,
"[BASE_CONVE_PPTO].[Periodo]",
"[BASE_CONVE_PPTO].[Periodo].&amp;[" &amp; TEXT(BD$6,"yyyymm")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E76" s="8">
        <f>IFERROR(
GETPIVOTDATA(
"[BASE_CONVE_PPTO].[Importe]",
TDinamica_P!$A$5,
"[BASE_CONVE_PPTO].[Periodo]",
"[BASE_CONVE_PPTO].[Periodo].&amp;[" &amp; TEXT(BE$6,"yyyymm")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F76" s="8">
        <f>IFERROR(
GETPIVOTDATA(
"[BASE_CONVE_PPTO].[Importe]",
TDinamica_P!$A$5,
"[BASE_CONVE_PPTO].[Periodo]",
"[BASE_CONVE_PPTO].[Periodo].&amp;[" &amp; TEXT(BF$6,"yyyymm")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G76" s="8">
        <f>IFERROR(
GETPIVOTDATA(
"[BASE_CONVE_PPTO].[Importe]",
TDinamica_P!$A$5,
"[BASE_CONVE_PPTO].[Periodo]",
"[BASE_CONVE_PPTO].[Periodo].&amp;[" &amp; TEXT(BG$6,"yyyymm")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H76" s="8">
        <f>IFERROR(
GETPIVOTDATA(
"[BASE_CONVE_PPTO].[Importe]",
TDinamica_P!$A$5,
"[BASE_CONVE_PPTO].[Periodo]",
"[BASE_CONVE_PPTO].[Periodo].&amp;[" &amp; TEXT(BH$6,"yyyymm")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I76" s="8">
        <f>IFERROR(
GETPIVOTDATA(
"[BASE_CONVE_PPTO].[Importe]",
TDinamica_P!$A$5,
"[BASE_CONVE_PPTO].[Periodo]",
"[BASE_CONVE_PPTO].[Periodo].&amp;[" &amp; TEXT(BI$6,"yyyymm")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J76" s="8">
        <f>IFERROR(
GETPIVOTDATA(
"[BASE_CONVE_PPTO].[Importe]",
TDinamica_P!$A$5,
"[BASE_CONVE_PPTO].[Periodo]",
"[BASE_CONVE_PPTO].[Periodo].&amp;[" &amp; TEXT(BJ$6,"yyyymm")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K76" s="8">
        <f>IFERROR(
GETPIVOTDATA(
"[BASE_CONVE_PPTO].[Importe]",
TDinamica_P!$A$5,
"[BASE_CONVE_PPTO].[Periodo]",
"[BASE_CONVE_PPTO].[Periodo].&amp;[" &amp; TEXT(BK$6,"yyyymm")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O76" s="24">
        <f t="shared" si="50"/>
        <v>0</v>
      </c>
      <c r="BP76" s="24">
        <f t="shared" si="50"/>
        <v>0</v>
      </c>
      <c r="BQ76" s="24">
        <f t="shared" si="50"/>
        <v>0</v>
      </c>
      <c r="BR76" s="24">
        <f t="shared" si="50"/>
        <v>0</v>
      </c>
      <c r="BS76" s="24">
        <f t="shared" si="50"/>
        <v>0</v>
      </c>
      <c r="BT76" s="24">
        <f t="shared" si="50"/>
        <v>0</v>
      </c>
    </row>
    <row r="77" spans="1:72" outlineLevel="1" x14ac:dyDescent="0.25">
      <c r="A77" s="11" t="s">
        <v>71</v>
      </c>
      <c r="C77" s="2"/>
      <c r="D77" s="8">
        <f>IFERROR(
GETPIVOTDATA(
"[Base].[Importe]",
TDinamica_R!$A$5,
"[Calendario].[AñoMes]",
"[Calendario].[AñoMes].&amp;[" &amp; TEXT(D$6,"yyyymm")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E77" s="8">
        <f>IFERROR(
GETPIVOTDATA(
"[Base].[Importe]",
TDinamica_R!$A$5,
"[Calendario].[AñoMes]",
"[Calendario].[AñoMes].&amp;[" &amp; TEXT(E$6,"yyyymm")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F77" s="8">
        <f>IFERROR(
GETPIVOTDATA(
"[Base].[Importe]",
TDinamica_R!$A$5,
"[Calendario].[AñoMes]",
"[Calendario].[AñoMes].&amp;[" &amp; TEXT(F$6,"yyyymm")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G77" s="8">
        <f>IFERROR(
GETPIVOTDATA(
"[Base].[Importe]",
TDinamica_R!$A$5,
"[Calendario].[AñoMes]",
"[Calendario].[AñoMes].&amp;[" &amp; TEXT(G$6,"yyyymm")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H77" s="8">
        <f>IFERROR(
GETPIVOTDATA(
"[Base].[Importe]",
TDinamica_R!$A$5,
"[Calendario].[AñoMes]",
"[Calendario].[AñoMes].&amp;[" &amp; TEXT(H$6,"yyyymm")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I77" s="8">
        <f>IFERROR(
GETPIVOTDATA(
"[Base].[Importe]",
TDinamica_R!$A$5,
"[Calendario].[AñoMes]",
"[Calendario].[AñoMes].&amp;[" &amp; TEXT(I$6,"yyyymm")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J77" s="8">
        <f>IFERROR(
GETPIVOTDATA(
"[Base].[Importe]",
TDinamica_R!$A$5,
"[Calendario].[AñoMes]",
"[Calendario].[AñoMes].&amp;[" &amp; TEXT(J$6,"yyyymm")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K77" s="8">
        <f>IFERROR(
GETPIVOTDATA(
"[Base].[Importe]",
TDinamica_R!$A$5,
"[Calendario].[AñoMes]",
"[Calendario].[AñoMes].&amp;[" &amp; TEXT(K$6,"yyyymm")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L77" s="8">
        <f>IFERROR(
GETPIVOTDATA(
"[Base].[Importe]",
TDinamica_R!$A$5,
"[Calendario].[AñoMes]",
"[Calendario].[AñoMes].&amp;[" &amp; TEXT(L$6,"yyyymm")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M77" s="8">
        <f>IFERROR(
GETPIVOTDATA(
"[Base].[Importe]",
TDinamica_R!$A$5,
"[Calendario].[AñoMes]",
"[Calendario].[AñoMes].&amp;[" &amp; TEXT(M$6,"yyyymm")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N77" s="8">
        <f>IFERROR(
GETPIVOTDATA(
"[Base].[Importe]",
TDinamica_R!$A$5,
"[Calendario].[AñoMes]",
"[Calendario].[AñoMes].&amp;[" &amp; TEXT(N$6,"yyyymm")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O77" s="8">
        <f>IFERROR(
GETPIVOTDATA(
"[Base].[Importe]",
TDinamica_R!$A$5,
"[Calendario].[AñoMes]",
"[Calendario].[AñoMes].&amp;[" &amp; TEXT(O$6,"yyyymm")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P77" s="8">
        <f>IFERROR(
GETPIVOTDATA(
"[Base].[Importe]",
TDinamica_R!$A$5,
"[Calendario].[AñoMes]",
"[Calendario].[AñoMes].&amp;[" &amp; TEXT(P$6,"yyyymm")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Q77" s="8">
        <f>IFERROR(
GETPIVOTDATA(
"[Base].[Importe]",
TDinamica_R!$A$5,
"[Calendario].[AñoMes]",
"[Calendario].[AñoMes].&amp;[" &amp; TEXT(Q$6,"yyyymm")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R77" s="8">
        <f>IFERROR(
GETPIVOTDATA(
"[Base].[Importe]",
TDinamica_R!$A$5,
"[Calendario].[AñoMes]",
"[Calendario].[AñoMes].&amp;[" &amp; TEXT(R$6,"yyyymm")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S77" s="8">
        <f>IFERROR(
GETPIVOTDATA(
"[Base].[Importe]",
TDinamica_R!$A$5,
"[Calendario].[AñoMes]",
"[Calendario].[AñoMes].&amp;[" &amp; TEXT(S$6,"yyyymm")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T77" s="8">
        <f>IFERROR(
GETPIVOTDATA(
"[Base].[Importe]",
TDinamica_R!$A$5,
"[Calendario].[AñoMes]",
"[Calendario].[AñoMes].&amp;[" &amp; TEXT(T$6,"yyyymm")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U77" s="8">
        <f>IFERROR(
GETPIVOTDATA(
"[Base].[Importe]",
TDinamica_R!$A$5,
"[Calendario].[AñoMes]",
"[Calendario].[AñoMes].&amp;[" &amp; TEXT(U$6,"yyyymm")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V77" s="8">
        <f>IFERROR(
GETPIVOTDATA(
"[Base].[Importe]",
TDinamica_R!$A$5,
"[Calendario].[AñoMes]",
"[Calendario].[AñoMes].&amp;[" &amp; TEXT(V$6,"yyyymm")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W77" s="8">
        <f>IFERROR(
GETPIVOTDATA(
"[Base].[Importe]",
TDinamica_R!$A$5,
"[Calendario].[AñoMes]",
"[Calendario].[AñoMes].&amp;[" &amp; TEXT(W$6,"yyyymm")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X77" s="8">
        <f>IFERROR(
GETPIVOTDATA(
"[Base].[Importe]",
TDinamica_R!$A$5,
"[Calendario].[AñoMes]",
"[Calendario].[AñoMes].&amp;[" &amp; TEXT(X$6,"yyyymm")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Y77" s="8">
        <f>IFERROR(
GETPIVOTDATA(
"[Base].[Importe]",
TDinamica_R!$A$5,
"[Calendario].[AñoMes]",
"[Calendario].[AñoMes].&amp;[" &amp; TEXT(Y$6,"yyyymm")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Z77" s="8">
        <f>IFERROR(
GETPIVOTDATA(
"[Base].[Importe]",
TDinamica_R!$A$5,
"[Calendario].[AñoMes]",
"[Calendario].[AñoMes].&amp;[" &amp; TEXT(Z$6,"yyyymm")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A77" s="8">
        <f>IFERROR(
GETPIVOTDATA(
"[Base].[Importe]",
TDinamica_R!$A$5,
"[Calendario].[AñoMes]",
"[Calendario].[AñoMes].&amp;[" &amp; TEXT(AA$6,"yyyymm")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B77" s="8">
        <f>IFERROR(
GETPIVOTDATA(
"[Base].[Importe]",
TDinamica_R!$A$5,
"[Calendario].[AñoMes]",
"[Calendario].[AñoMes].&amp;[" &amp; TEXT(AB$6,"yyyymm")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C77" s="8">
        <f>IFERROR(
GETPIVOTDATA(
"[Base].[Importe]",
TDinamica_R!$A$5,
"[Calendario].[AñoMes]",
"[Calendario].[AñoMes].&amp;[" &amp; TEXT(AC$6,"yyyymm")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D77" s="8">
        <f>IFERROR(
GETPIVOTDATA(
"[Base].[Importe]",
TDinamica_R!$A$5,
"[Calendario].[AñoMes]",
"[Calendario].[AñoMes].&amp;[" &amp; TEXT(AD$6,"yyyymm")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E77" s="8">
        <f>IFERROR(
GETPIVOTDATA(
"[Base].[Importe]",
TDinamica_R!$A$5,
"[Calendario].[AñoMes]",
"[Calendario].[AñoMes].&amp;[" &amp; TEXT(AE$6,"yyyymm")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F77" s="8">
        <f>IFERROR(
GETPIVOTDATA(
"[Base].[Importe]",
TDinamica_R!$A$5,
"[Calendario].[AñoMes]",
"[Calendario].[AñoMes].&amp;[" &amp; TEXT(AF$6,"yyyymm")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G77" s="8">
        <f>IFERROR(
GETPIVOTDATA(
"[Base].[Importe]",
TDinamica_R!$A$5,
"[Calendario].[AñoMes]",
"[Calendario].[AñoMes].&amp;[" &amp; TEXT(AG$6,"yyyymm")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H77" s="8">
        <f>IFERROR(
GETPIVOTDATA(
"[Base].[Importe]",
TDinamica_R!$A$5,
"[Calendario].[AñoMes]",
"[Calendario].[AñoMes].&amp;[" &amp; TEXT(AH$6,"yyyymm")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I77" s="8">
        <f>IFERROR(
GETPIVOTDATA(
"[Base].[Importe]",
TDinamica_R!$A$5,
"[Calendario].[AñoMes]",
"[Calendario].[AñoMes].&amp;[" &amp; TEXT(AI$6,"yyyymm")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J77" s="8">
        <f>IFERROR(
GETPIVOTDATA(
"[Base].[Importe]",
TDinamica_R!$A$5,
"[Calendario].[AñoMes]",
"[Calendario].[AñoMes].&amp;[" &amp; TEXT(AJ$6,"yyyymm")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K77" s="8">
        <f>IFERROR(
GETPIVOTDATA(
"[Base].[Importe]",
TDinamica_R!$A$5,
"[Calendario].[AñoMes]",
"[Calendario].[AñoMes].&amp;[" &amp; TEXT(AK$6,"yyyymm")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L77" s="8">
        <f>IFERROR(
GETPIVOTDATA(
"[Base].[Importe]",
TDinamica_R!$A$5,
"[Calendario].[AñoMes]",
"[Calendario].[AñoMes].&amp;[" &amp; TEXT(AL$6,"yyyymm")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M77" s="8">
        <f>IFERROR(
GETPIVOTDATA(
"[Base].[Importe]",
TDinamica_R!$A$5,
"[Calendario].[AñoMes]",
"[Calendario].[AñoMes].&amp;[" &amp; TEXT(AM$6,"yyyymm")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N77" s="8">
        <f>IFERROR(
GETPIVOTDATA(
"[Base].[Importe]",
TDinamica_R!$A$5,
"[Calendario].[AñoMes]",
"[Calendario].[AñoMes].&amp;[" &amp; TEXT(AN$6,"yyyymm")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O77" s="8">
        <f>IFERROR(
GETPIVOTDATA(
"[Base].[Importe]",
TDinamica_R!$A$5,
"[Calendario].[AñoMes]",
"[Calendario].[AñoMes].&amp;[" &amp; TEXT(AO$6,"yyyymm")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P77" s="8">
        <f>IFERROR(
GETPIVOTDATA(
"[Base].[Importe]",
TDinamica_R!$A$5,
"[Calendario].[AñoMes]",
"[Calendario].[AñoMes].&amp;[" &amp; TEXT(AP$6,"yyyymm")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Q77" s="8">
        <f>IFERROR(
GETPIVOTDATA(
"[Base].[Importe]",
TDinamica_R!$A$5,
"[Calendario].[AñoMes]",
"[Calendario].[AñoMes].&amp;[" &amp; TEXT(AQ$6,"yyyymm")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R77" s="8">
        <f>IFERROR(
GETPIVOTDATA(
"[Base].[Importe]",
TDinamica_R!$A$5,
"[Calendario].[AñoMes]",
"[Calendario].[AñoMes].&amp;[" &amp; TEXT(AR$6,"yyyymm")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S77" s="8">
        <f>IFERROR(
GETPIVOTDATA(
"[Base].[Importe]",
TDinamica_R!$A$5,
"[Calendario].[AñoMes]",
"[Calendario].[AñoMes].&amp;[" &amp; TEXT(AS$6,"yyyymm")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T77" s="8">
        <f>IFERROR(
GETPIVOTDATA(
"[Base].[Importe]",
TDinamica_R!$A$5,
"[Calendario].[AñoMes]",
"[Calendario].[AñoMes].&amp;[" &amp; TEXT(AT$6,"yyyymm")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U77" s="8">
        <f>IFERROR(
GETPIVOTDATA(
"[Base].[Importe]",
TDinamica_R!$A$5,
"[Calendario].[AñoMes]",
"[Calendario].[AñoMes].&amp;[" &amp; TEXT(AU$6,"yyyymm")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V77" s="8">
        <f>IFERROR(
GETPIVOTDATA(
"[Base].[Importe]",
TDinamica_R!$A$5,
"[Calendario].[AñoMes]",
"[Calendario].[AñoMes].&amp;[" &amp; TEXT(AV$6,"yyyymm")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W77" s="8">
        <f>IFERROR(
GETPIVOTDATA(
"[Base].[Importe]",
TDinamica_R!$A$5,
"[Calendario].[AñoMes]",
"[Calendario].[AñoMes].&amp;[" &amp; TEXT(AW$6,"yyyymm")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X77" s="8">
        <f>IFERROR(
GETPIVOTDATA(
"[Base].[Importe]",
TDinamica_R!$A$5,
"[Calendario].[AñoMes]",
"[Calendario].[AñoMes].&amp;[" &amp; TEXT(AX$6,"yyyymm")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Y77" s="8">
        <f>IFERROR(
GETPIVOTDATA(
"[Base].[Importe]",
TDinamica_R!$A$5,
"[Calendario].[AñoMes]",
"[Calendario].[AñoMes].&amp;[" &amp; TEXT(AY$6,"yyyymm")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Z77" s="8">
        <f>IFERROR(
GETPIVOTDATA(
"[BASE_CONVE_PPTO].[Importe]",
TDinamica_P!$A$5,
"[BASE_CONVE_PPTO].[Periodo]",
"[BASE_CONVE_PPTO].[Periodo].&amp;[" &amp; TEXT(AZ$6,"yyyymm")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A77" s="8">
        <f>IFERROR(
GETPIVOTDATA(
"[BASE_CONVE_PPTO].[Importe]",
TDinamica_P!$A$5,
"[BASE_CONVE_PPTO].[Periodo]",
"[BASE_CONVE_PPTO].[Periodo].&amp;[" &amp; TEXT(BA$6,"yyyymm")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B77" s="8">
        <f>IFERROR(
GETPIVOTDATA(
"[BASE_CONVE_PPTO].[Importe]",
TDinamica_P!$A$5,
"[BASE_CONVE_PPTO].[Periodo]",
"[BASE_CONVE_PPTO].[Periodo].&amp;[" &amp; TEXT(BB$6,"yyyymm")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C77" s="8">
        <f>IFERROR(
GETPIVOTDATA(
"[BASE_CONVE_PPTO].[Importe]",
TDinamica_P!$A$5,
"[BASE_CONVE_PPTO].[Periodo]",
"[BASE_CONVE_PPTO].[Periodo].&amp;[" &amp; TEXT(BC$6,"yyyymm")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D77" s="8">
        <f>IFERROR(
GETPIVOTDATA(
"[BASE_CONVE_PPTO].[Importe]",
TDinamica_P!$A$5,
"[BASE_CONVE_PPTO].[Periodo]",
"[BASE_CONVE_PPTO].[Periodo].&amp;[" &amp; TEXT(BD$6,"yyyymm")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E77" s="8">
        <f>IFERROR(
GETPIVOTDATA(
"[BASE_CONVE_PPTO].[Importe]",
TDinamica_P!$A$5,
"[BASE_CONVE_PPTO].[Periodo]",
"[BASE_CONVE_PPTO].[Periodo].&amp;[" &amp; TEXT(BE$6,"yyyymm")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F77" s="8">
        <f>IFERROR(
GETPIVOTDATA(
"[BASE_CONVE_PPTO].[Importe]",
TDinamica_P!$A$5,
"[BASE_CONVE_PPTO].[Periodo]",
"[BASE_CONVE_PPTO].[Periodo].&amp;[" &amp; TEXT(BF$6,"yyyymm")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G77" s="8">
        <f>IFERROR(
GETPIVOTDATA(
"[BASE_CONVE_PPTO].[Importe]",
TDinamica_P!$A$5,
"[BASE_CONVE_PPTO].[Periodo]",
"[BASE_CONVE_PPTO].[Periodo].&amp;[" &amp; TEXT(BG$6,"yyyymm")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H77" s="8">
        <f>IFERROR(
GETPIVOTDATA(
"[BASE_CONVE_PPTO].[Importe]",
TDinamica_P!$A$5,
"[BASE_CONVE_PPTO].[Periodo]",
"[BASE_CONVE_PPTO].[Periodo].&amp;[" &amp; TEXT(BH$6,"yyyymm")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I77" s="8">
        <f>IFERROR(
GETPIVOTDATA(
"[BASE_CONVE_PPTO].[Importe]",
TDinamica_P!$A$5,
"[BASE_CONVE_PPTO].[Periodo]",
"[BASE_CONVE_PPTO].[Periodo].&amp;[" &amp; TEXT(BI$6,"yyyymm")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J77" s="8">
        <f>IFERROR(
GETPIVOTDATA(
"[BASE_CONVE_PPTO].[Importe]",
TDinamica_P!$A$5,
"[BASE_CONVE_PPTO].[Periodo]",
"[BASE_CONVE_PPTO].[Periodo].&amp;[" &amp; TEXT(BJ$6,"yyyymm")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K77" s="8">
        <f>IFERROR(
GETPIVOTDATA(
"[BASE_CONVE_PPTO].[Importe]",
TDinamica_P!$A$5,
"[BASE_CONVE_PPTO].[Periodo]",
"[BASE_CONVE_PPTO].[Periodo].&amp;[" &amp; TEXT(BK$6,"yyyymm")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O77" s="24">
        <f t="shared" si="50"/>
        <v>0</v>
      </c>
      <c r="BP77" s="24">
        <f t="shared" si="50"/>
        <v>0</v>
      </c>
      <c r="BQ77" s="24">
        <f t="shared" si="50"/>
        <v>0</v>
      </c>
      <c r="BR77" s="24">
        <f t="shared" si="50"/>
        <v>0</v>
      </c>
      <c r="BS77" s="24">
        <f t="shared" si="50"/>
        <v>0</v>
      </c>
      <c r="BT77" s="24">
        <f t="shared" si="50"/>
        <v>0</v>
      </c>
    </row>
    <row r="78" spans="1:72" outlineLevel="1" x14ac:dyDescent="0.25">
      <c r="A78" s="11" t="s">
        <v>71</v>
      </c>
      <c r="C78" s="2"/>
      <c r="D78" s="8">
        <f>IFERROR(
GETPIVOTDATA(
"[Base].[Importe]",
TDinamica_R!$A$5,
"[Calendario].[AñoMes]",
"[Calendario].[AñoMes].&amp;[" &amp; TEXT(D$6,"yyyymm")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E78" s="8">
        <f>IFERROR(
GETPIVOTDATA(
"[Base].[Importe]",
TDinamica_R!$A$5,
"[Calendario].[AñoMes]",
"[Calendario].[AñoMes].&amp;[" &amp; TEXT(E$6,"yyyymm")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F78" s="8">
        <f>IFERROR(
GETPIVOTDATA(
"[Base].[Importe]",
TDinamica_R!$A$5,
"[Calendario].[AñoMes]",
"[Calendario].[AñoMes].&amp;[" &amp; TEXT(F$6,"yyyymm")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G78" s="8">
        <f>IFERROR(
GETPIVOTDATA(
"[Base].[Importe]",
TDinamica_R!$A$5,
"[Calendario].[AñoMes]",
"[Calendario].[AñoMes].&amp;[" &amp; TEXT(G$6,"yyyymm")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H78" s="8">
        <f>IFERROR(
GETPIVOTDATA(
"[Base].[Importe]",
TDinamica_R!$A$5,
"[Calendario].[AñoMes]",
"[Calendario].[AñoMes].&amp;[" &amp; TEXT(H$6,"yyyymm")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I78" s="8">
        <f>IFERROR(
GETPIVOTDATA(
"[Base].[Importe]",
TDinamica_R!$A$5,
"[Calendario].[AñoMes]",
"[Calendario].[AñoMes].&amp;[" &amp; TEXT(I$6,"yyyymm")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J78" s="8">
        <f>IFERROR(
GETPIVOTDATA(
"[Base].[Importe]",
TDinamica_R!$A$5,
"[Calendario].[AñoMes]",
"[Calendario].[AñoMes].&amp;[" &amp; TEXT(J$6,"yyyymm")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K78" s="8">
        <f>IFERROR(
GETPIVOTDATA(
"[Base].[Importe]",
TDinamica_R!$A$5,
"[Calendario].[AñoMes]",
"[Calendario].[AñoMes].&amp;[" &amp; TEXT(K$6,"yyyymm")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L78" s="8">
        <f>IFERROR(
GETPIVOTDATA(
"[Base].[Importe]",
TDinamica_R!$A$5,
"[Calendario].[AñoMes]",
"[Calendario].[AñoMes].&amp;[" &amp; TEXT(L$6,"yyyymm")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M78" s="8">
        <f>IFERROR(
GETPIVOTDATA(
"[Base].[Importe]",
TDinamica_R!$A$5,
"[Calendario].[AñoMes]",
"[Calendario].[AñoMes].&amp;[" &amp; TEXT(M$6,"yyyymm")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N78" s="8">
        <f>IFERROR(
GETPIVOTDATA(
"[Base].[Importe]",
TDinamica_R!$A$5,
"[Calendario].[AñoMes]",
"[Calendario].[AñoMes].&amp;[" &amp; TEXT(N$6,"yyyymm")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O78" s="8">
        <f>IFERROR(
GETPIVOTDATA(
"[Base].[Importe]",
TDinamica_R!$A$5,
"[Calendario].[AñoMes]",
"[Calendario].[AñoMes].&amp;[" &amp; TEXT(O$6,"yyyymm")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P78" s="8">
        <f>IFERROR(
GETPIVOTDATA(
"[Base].[Importe]",
TDinamica_R!$A$5,
"[Calendario].[AñoMes]",
"[Calendario].[AñoMes].&amp;[" &amp; TEXT(P$6,"yyyymm")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Q78" s="8">
        <f>IFERROR(
GETPIVOTDATA(
"[Base].[Importe]",
TDinamica_R!$A$5,
"[Calendario].[AñoMes]",
"[Calendario].[AñoMes].&amp;[" &amp; TEXT(Q$6,"yyyymm")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R78" s="8">
        <f>IFERROR(
GETPIVOTDATA(
"[Base].[Importe]",
TDinamica_R!$A$5,
"[Calendario].[AñoMes]",
"[Calendario].[AñoMes].&amp;[" &amp; TEXT(R$6,"yyyymm")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S78" s="8">
        <f>IFERROR(
GETPIVOTDATA(
"[Base].[Importe]",
TDinamica_R!$A$5,
"[Calendario].[AñoMes]",
"[Calendario].[AñoMes].&amp;[" &amp; TEXT(S$6,"yyyymm")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T78" s="8">
        <f>IFERROR(
GETPIVOTDATA(
"[Base].[Importe]",
TDinamica_R!$A$5,
"[Calendario].[AñoMes]",
"[Calendario].[AñoMes].&amp;[" &amp; TEXT(T$6,"yyyymm")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U78" s="8">
        <f>IFERROR(
GETPIVOTDATA(
"[Base].[Importe]",
TDinamica_R!$A$5,
"[Calendario].[AñoMes]",
"[Calendario].[AñoMes].&amp;[" &amp; TEXT(U$6,"yyyymm")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V78" s="8">
        <f>IFERROR(
GETPIVOTDATA(
"[Base].[Importe]",
TDinamica_R!$A$5,
"[Calendario].[AñoMes]",
"[Calendario].[AñoMes].&amp;[" &amp; TEXT(V$6,"yyyymm")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W78" s="8">
        <f>IFERROR(
GETPIVOTDATA(
"[Base].[Importe]",
TDinamica_R!$A$5,
"[Calendario].[AñoMes]",
"[Calendario].[AñoMes].&amp;[" &amp; TEXT(W$6,"yyyymm")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X78" s="8">
        <f>IFERROR(
GETPIVOTDATA(
"[Base].[Importe]",
TDinamica_R!$A$5,
"[Calendario].[AñoMes]",
"[Calendario].[AñoMes].&amp;[" &amp; TEXT(X$6,"yyyymm")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Y78" s="8">
        <f>IFERROR(
GETPIVOTDATA(
"[Base].[Importe]",
TDinamica_R!$A$5,
"[Calendario].[AñoMes]",
"[Calendario].[AñoMes].&amp;[" &amp; TEXT(Y$6,"yyyymm")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Z78" s="8">
        <f>IFERROR(
GETPIVOTDATA(
"[Base].[Importe]",
TDinamica_R!$A$5,
"[Calendario].[AñoMes]",
"[Calendario].[AñoMes].&amp;[" &amp; TEXT(Z$6,"yyyymm")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A78" s="8">
        <f>IFERROR(
GETPIVOTDATA(
"[Base].[Importe]",
TDinamica_R!$A$5,
"[Calendario].[AñoMes]",
"[Calendario].[AñoMes].&amp;[" &amp; TEXT(AA$6,"yyyymm")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B78" s="8">
        <f>IFERROR(
GETPIVOTDATA(
"[Base].[Importe]",
TDinamica_R!$A$5,
"[Calendario].[AñoMes]",
"[Calendario].[AñoMes].&amp;[" &amp; TEXT(AB$6,"yyyymm")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C78" s="8">
        <f>IFERROR(
GETPIVOTDATA(
"[Base].[Importe]",
TDinamica_R!$A$5,
"[Calendario].[AñoMes]",
"[Calendario].[AñoMes].&amp;[" &amp; TEXT(AC$6,"yyyymm")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D78" s="8">
        <f>IFERROR(
GETPIVOTDATA(
"[Base].[Importe]",
TDinamica_R!$A$5,
"[Calendario].[AñoMes]",
"[Calendario].[AñoMes].&amp;[" &amp; TEXT(AD$6,"yyyymm")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E78" s="8">
        <f>IFERROR(
GETPIVOTDATA(
"[Base].[Importe]",
TDinamica_R!$A$5,
"[Calendario].[AñoMes]",
"[Calendario].[AñoMes].&amp;[" &amp; TEXT(AE$6,"yyyymm")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F78" s="8">
        <f>IFERROR(
GETPIVOTDATA(
"[Base].[Importe]",
TDinamica_R!$A$5,
"[Calendario].[AñoMes]",
"[Calendario].[AñoMes].&amp;[" &amp; TEXT(AF$6,"yyyymm")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G78" s="8">
        <f>IFERROR(
GETPIVOTDATA(
"[Base].[Importe]",
TDinamica_R!$A$5,
"[Calendario].[AñoMes]",
"[Calendario].[AñoMes].&amp;[" &amp; TEXT(AG$6,"yyyymm")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H78" s="8">
        <f>IFERROR(
GETPIVOTDATA(
"[Base].[Importe]",
TDinamica_R!$A$5,
"[Calendario].[AñoMes]",
"[Calendario].[AñoMes].&amp;[" &amp; TEXT(AH$6,"yyyymm")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I78" s="8">
        <f>IFERROR(
GETPIVOTDATA(
"[Base].[Importe]",
TDinamica_R!$A$5,
"[Calendario].[AñoMes]",
"[Calendario].[AñoMes].&amp;[" &amp; TEXT(AI$6,"yyyymm")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J78" s="8">
        <f>IFERROR(
GETPIVOTDATA(
"[Base].[Importe]",
TDinamica_R!$A$5,
"[Calendario].[AñoMes]",
"[Calendario].[AñoMes].&amp;[" &amp; TEXT(AJ$6,"yyyymm")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K78" s="8">
        <f>IFERROR(
GETPIVOTDATA(
"[Base].[Importe]",
TDinamica_R!$A$5,
"[Calendario].[AñoMes]",
"[Calendario].[AñoMes].&amp;[" &amp; TEXT(AK$6,"yyyymm")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L78" s="8">
        <f>IFERROR(
GETPIVOTDATA(
"[Base].[Importe]",
TDinamica_R!$A$5,
"[Calendario].[AñoMes]",
"[Calendario].[AñoMes].&amp;[" &amp; TEXT(AL$6,"yyyymm")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M78" s="8">
        <f>IFERROR(
GETPIVOTDATA(
"[Base].[Importe]",
TDinamica_R!$A$5,
"[Calendario].[AñoMes]",
"[Calendario].[AñoMes].&amp;[" &amp; TEXT(AM$6,"yyyymm")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N78" s="8">
        <f>IFERROR(
GETPIVOTDATA(
"[Base].[Importe]",
TDinamica_R!$A$5,
"[Calendario].[AñoMes]",
"[Calendario].[AñoMes].&amp;[" &amp; TEXT(AN$6,"yyyymm")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O78" s="8">
        <f>IFERROR(
GETPIVOTDATA(
"[Base].[Importe]",
TDinamica_R!$A$5,
"[Calendario].[AñoMes]",
"[Calendario].[AñoMes].&amp;[" &amp; TEXT(AO$6,"yyyymm")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P78" s="8">
        <f>IFERROR(
GETPIVOTDATA(
"[Base].[Importe]",
TDinamica_R!$A$5,
"[Calendario].[AñoMes]",
"[Calendario].[AñoMes].&amp;[" &amp; TEXT(AP$6,"yyyymm")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Q78" s="8">
        <f>IFERROR(
GETPIVOTDATA(
"[Base].[Importe]",
TDinamica_R!$A$5,
"[Calendario].[AñoMes]",
"[Calendario].[AñoMes].&amp;[" &amp; TEXT(AQ$6,"yyyymm")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R78" s="8">
        <f>IFERROR(
GETPIVOTDATA(
"[Base].[Importe]",
TDinamica_R!$A$5,
"[Calendario].[AñoMes]",
"[Calendario].[AñoMes].&amp;[" &amp; TEXT(AR$6,"yyyymm")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S78" s="8">
        <f>IFERROR(
GETPIVOTDATA(
"[Base].[Importe]",
TDinamica_R!$A$5,
"[Calendario].[AñoMes]",
"[Calendario].[AñoMes].&amp;[" &amp; TEXT(AS$6,"yyyymm")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T78" s="8">
        <f>IFERROR(
GETPIVOTDATA(
"[Base].[Importe]",
TDinamica_R!$A$5,
"[Calendario].[AñoMes]",
"[Calendario].[AñoMes].&amp;[" &amp; TEXT(AT$6,"yyyymm")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U78" s="8">
        <f>IFERROR(
GETPIVOTDATA(
"[Base].[Importe]",
TDinamica_R!$A$5,
"[Calendario].[AñoMes]",
"[Calendario].[AñoMes].&amp;[" &amp; TEXT(AU$6,"yyyymm")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V78" s="8">
        <f>IFERROR(
GETPIVOTDATA(
"[Base].[Importe]",
TDinamica_R!$A$5,
"[Calendario].[AñoMes]",
"[Calendario].[AñoMes].&amp;[" &amp; TEXT(AV$6,"yyyymm")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W78" s="8">
        <f>IFERROR(
GETPIVOTDATA(
"[Base].[Importe]",
TDinamica_R!$A$5,
"[Calendario].[AñoMes]",
"[Calendario].[AñoMes].&amp;[" &amp; TEXT(AW$6,"yyyymm")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X78" s="8">
        <f>IFERROR(
GETPIVOTDATA(
"[Base].[Importe]",
TDinamica_R!$A$5,
"[Calendario].[AñoMes]",
"[Calendario].[AñoMes].&amp;[" &amp; TEXT(AX$6,"yyyymm")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Y78" s="8">
        <f>IFERROR(
GETPIVOTDATA(
"[Base].[Importe]",
TDinamica_R!$A$5,
"[Calendario].[AñoMes]",
"[Calendario].[AñoMes].&amp;[" &amp; TEXT(AY$6,"yyyymm")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Z78" s="8">
        <f>IFERROR(
GETPIVOTDATA(
"[BASE_CONVE_PPTO].[Importe]",
TDinamica_P!$A$5,
"[BASE_CONVE_PPTO].[Periodo]",
"[BASE_CONVE_PPTO].[Periodo].&amp;[" &amp; TEXT(AZ$6,"yyyymm")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A78" s="8">
        <f>IFERROR(
GETPIVOTDATA(
"[BASE_CONVE_PPTO].[Importe]",
TDinamica_P!$A$5,
"[BASE_CONVE_PPTO].[Periodo]",
"[BASE_CONVE_PPTO].[Periodo].&amp;[" &amp; TEXT(BA$6,"yyyymm")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B78" s="8">
        <f>IFERROR(
GETPIVOTDATA(
"[BASE_CONVE_PPTO].[Importe]",
TDinamica_P!$A$5,
"[BASE_CONVE_PPTO].[Periodo]",
"[BASE_CONVE_PPTO].[Periodo].&amp;[" &amp; TEXT(BB$6,"yyyymm")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C78" s="8">
        <f>IFERROR(
GETPIVOTDATA(
"[BASE_CONVE_PPTO].[Importe]",
TDinamica_P!$A$5,
"[BASE_CONVE_PPTO].[Periodo]",
"[BASE_CONVE_PPTO].[Periodo].&amp;[" &amp; TEXT(BC$6,"yyyymm")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D78" s="8">
        <f>IFERROR(
GETPIVOTDATA(
"[BASE_CONVE_PPTO].[Importe]",
TDinamica_P!$A$5,
"[BASE_CONVE_PPTO].[Periodo]",
"[BASE_CONVE_PPTO].[Periodo].&amp;[" &amp; TEXT(BD$6,"yyyymm")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E78" s="8">
        <f>IFERROR(
GETPIVOTDATA(
"[BASE_CONVE_PPTO].[Importe]",
TDinamica_P!$A$5,
"[BASE_CONVE_PPTO].[Periodo]",
"[BASE_CONVE_PPTO].[Periodo].&amp;[" &amp; TEXT(BE$6,"yyyymm")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F78" s="8">
        <f>IFERROR(
GETPIVOTDATA(
"[BASE_CONVE_PPTO].[Importe]",
TDinamica_P!$A$5,
"[BASE_CONVE_PPTO].[Periodo]",
"[BASE_CONVE_PPTO].[Periodo].&amp;[" &amp; TEXT(BF$6,"yyyymm")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G78" s="8">
        <f>IFERROR(
GETPIVOTDATA(
"[BASE_CONVE_PPTO].[Importe]",
TDinamica_P!$A$5,
"[BASE_CONVE_PPTO].[Periodo]",
"[BASE_CONVE_PPTO].[Periodo].&amp;[" &amp; TEXT(BG$6,"yyyymm")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H78" s="8">
        <f>IFERROR(
GETPIVOTDATA(
"[BASE_CONVE_PPTO].[Importe]",
TDinamica_P!$A$5,
"[BASE_CONVE_PPTO].[Periodo]",
"[BASE_CONVE_PPTO].[Periodo].&amp;[" &amp; TEXT(BH$6,"yyyymm")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I78" s="8">
        <f>IFERROR(
GETPIVOTDATA(
"[BASE_CONVE_PPTO].[Importe]",
TDinamica_P!$A$5,
"[BASE_CONVE_PPTO].[Periodo]",
"[BASE_CONVE_PPTO].[Periodo].&amp;[" &amp; TEXT(BI$6,"yyyymm")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J78" s="8">
        <f>IFERROR(
GETPIVOTDATA(
"[BASE_CONVE_PPTO].[Importe]",
TDinamica_P!$A$5,
"[BASE_CONVE_PPTO].[Periodo]",
"[BASE_CONVE_PPTO].[Periodo].&amp;[" &amp; TEXT(BJ$6,"yyyymm")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K78" s="8">
        <f>IFERROR(
GETPIVOTDATA(
"[BASE_CONVE_PPTO].[Importe]",
TDinamica_P!$A$5,
"[BASE_CONVE_PPTO].[Periodo]",
"[BASE_CONVE_PPTO].[Periodo].&amp;[" &amp; TEXT(BK$6,"yyyymm")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O78" s="24">
        <f t="shared" si="50"/>
        <v>0</v>
      </c>
      <c r="BP78" s="24">
        <f t="shared" si="50"/>
        <v>0</v>
      </c>
      <c r="BQ78" s="24">
        <f t="shared" si="50"/>
        <v>0</v>
      </c>
      <c r="BR78" s="24">
        <f t="shared" si="50"/>
        <v>0</v>
      </c>
      <c r="BS78" s="24">
        <f t="shared" si="50"/>
        <v>0</v>
      </c>
      <c r="BT78" s="24">
        <f t="shared" si="50"/>
        <v>0</v>
      </c>
    </row>
    <row r="79" spans="1:72" outlineLevel="1" x14ac:dyDescent="0.25">
      <c r="A79" s="11" t="s">
        <v>71</v>
      </c>
      <c r="C79" s="2"/>
      <c r="D79" s="8">
        <f>IFERROR(
GETPIVOTDATA(
"[Base].[Importe]",
TDinamica_R!$A$5,
"[Calendario].[AñoMes]",
"[Calendario].[AñoMes].&amp;[" &amp; TEXT(D$6,"yyyymm")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E79" s="8">
        <f>IFERROR(
GETPIVOTDATA(
"[Base].[Importe]",
TDinamica_R!$A$5,
"[Calendario].[AñoMes]",
"[Calendario].[AñoMes].&amp;[" &amp; TEXT(E$6,"yyyymm")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F79" s="8">
        <f>IFERROR(
GETPIVOTDATA(
"[Base].[Importe]",
TDinamica_R!$A$5,
"[Calendario].[AñoMes]",
"[Calendario].[AñoMes].&amp;[" &amp; TEXT(F$6,"yyyymm")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G79" s="8">
        <f>IFERROR(
GETPIVOTDATA(
"[Base].[Importe]",
TDinamica_R!$A$5,
"[Calendario].[AñoMes]",
"[Calendario].[AñoMes].&amp;[" &amp; TEXT(G$6,"yyyymm")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H79" s="8">
        <f>IFERROR(
GETPIVOTDATA(
"[Base].[Importe]",
TDinamica_R!$A$5,
"[Calendario].[AñoMes]",
"[Calendario].[AñoMes].&amp;[" &amp; TEXT(H$6,"yyyymm")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I79" s="8">
        <f>IFERROR(
GETPIVOTDATA(
"[Base].[Importe]",
TDinamica_R!$A$5,
"[Calendario].[AñoMes]",
"[Calendario].[AñoMes].&amp;[" &amp; TEXT(I$6,"yyyymm")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J79" s="8">
        <f>IFERROR(
GETPIVOTDATA(
"[Base].[Importe]",
TDinamica_R!$A$5,
"[Calendario].[AñoMes]",
"[Calendario].[AñoMes].&amp;[" &amp; TEXT(J$6,"yyyymm")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K79" s="8">
        <f>IFERROR(
GETPIVOTDATA(
"[Base].[Importe]",
TDinamica_R!$A$5,
"[Calendario].[AñoMes]",
"[Calendario].[AñoMes].&amp;[" &amp; TEXT(K$6,"yyyymm")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L79" s="8">
        <f>IFERROR(
GETPIVOTDATA(
"[Base].[Importe]",
TDinamica_R!$A$5,
"[Calendario].[AñoMes]",
"[Calendario].[AñoMes].&amp;[" &amp; TEXT(L$6,"yyyymm")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M79" s="8">
        <f>IFERROR(
GETPIVOTDATA(
"[Base].[Importe]",
TDinamica_R!$A$5,
"[Calendario].[AñoMes]",
"[Calendario].[AñoMes].&amp;[" &amp; TEXT(M$6,"yyyymm")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N79" s="8">
        <f>IFERROR(
GETPIVOTDATA(
"[Base].[Importe]",
TDinamica_R!$A$5,
"[Calendario].[AñoMes]",
"[Calendario].[AñoMes].&amp;[" &amp; TEXT(N$6,"yyyymm")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O79" s="8">
        <f>IFERROR(
GETPIVOTDATA(
"[Base].[Importe]",
TDinamica_R!$A$5,
"[Calendario].[AñoMes]",
"[Calendario].[AñoMes].&amp;[" &amp; TEXT(O$6,"yyyymm")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P79" s="8">
        <f>IFERROR(
GETPIVOTDATA(
"[Base].[Importe]",
TDinamica_R!$A$5,
"[Calendario].[AñoMes]",
"[Calendario].[AñoMes].&amp;[" &amp; TEXT(P$6,"yyyymm")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Q79" s="8">
        <f>IFERROR(
GETPIVOTDATA(
"[Base].[Importe]",
TDinamica_R!$A$5,
"[Calendario].[AñoMes]",
"[Calendario].[AñoMes].&amp;[" &amp; TEXT(Q$6,"yyyymm")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R79" s="8">
        <f>IFERROR(
GETPIVOTDATA(
"[Base].[Importe]",
TDinamica_R!$A$5,
"[Calendario].[AñoMes]",
"[Calendario].[AñoMes].&amp;[" &amp; TEXT(R$6,"yyyymm")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S79" s="8">
        <f>IFERROR(
GETPIVOTDATA(
"[Base].[Importe]",
TDinamica_R!$A$5,
"[Calendario].[AñoMes]",
"[Calendario].[AñoMes].&amp;[" &amp; TEXT(S$6,"yyyymm")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T79" s="8">
        <f>IFERROR(
GETPIVOTDATA(
"[Base].[Importe]",
TDinamica_R!$A$5,
"[Calendario].[AñoMes]",
"[Calendario].[AñoMes].&amp;[" &amp; TEXT(T$6,"yyyymm")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U79" s="8">
        <f>IFERROR(
GETPIVOTDATA(
"[Base].[Importe]",
TDinamica_R!$A$5,
"[Calendario].[AñoMes]",
"[Calendario].[AñoMes].&amp;[" &amp; TEXT(U$6,"yyyymm")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V79" s="8">
        <f>IFERROR(
GETPIVOTDATA(
"[Base].[Importe]",
TDinamica_R!$A$5,
"[Calendario].[AñoMes]",
"[Calendario].[AñoMes].&amp;[" &amp; TEXT(V$6,"yyyymm")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W79" s="8">
        <f>IFERROR(
GETPIVOTDATA(
"[Base].[Importe]",
TDinamica_R!$A$5,
"[Calendario].[AñoMes]",
"[Calendario].[AñoMes].&amp;[" &amp; TEXT(W$6,"yyyymm")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X79" s="8">
        <f>IFERROR(
GETPIVOTDATA(
"[Base].[Importe]",
TDinamica_R!$A$5,
"[Calendario].[AñoMes]",
"[Calendario].[AñoMes].&amp;[" &amp; TEXT(X$6,"yyyymm")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Y79" s="8">
        <f>IFERROR(
GETPIVOTDATA(
"[Base].[Importe]",
TDinamica_R!$A$5,
"[Calendario].[AñoMes]",
"[Calendario].[AñoMes].&amp;[" &amp; TEXT(Y$6,"yyyymm")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Z79" s="8">
        <f>IFERROR(
GETPIVOTDATA(
"[Base].[Importe]",
TDinamica_R!$A$5,
"[Calendario].[AñoMes]",
"[Calendario].[AñoMes].&amp;[" &amp; TEXT(Z$6,"yyyymm")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A79" s="8">
        <f>IFERROR(
GETPIVOTDATA(
"[Base].[Importe]",
TDinamica_R!$A$5,
"[Calendario].[AñoMes]",
"[Calendario].[AñoMes].&amp;[" &amp; TEXT(AA$6,"yyyymm")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B79" s="8">
        <f>IFERROR(
GETPIVOTDATA(
"[Base].[Importe]",
TDinamica_R!$A$5,
"[Calendario].[AñoMes]",
"[Calendario].[AñoMes].&amp;[" &amp; TEXT(AB$6,"yyyymm")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C79" s="8">
        <f>IFERROR(
GETPIVOTDATA(
"[Base].[Importe]",
TDinamica_R!$A$5,
"[Calendario].[AñoMes]",
"[Calendario].[AñoMes].&amp;[" &amp; TEXT(AC$6,"yyyymm")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D79" s="8">
        <f>IFERROR(
GETPIVOTDATA(
"[Base].[Importe]",
TDinamica_R!$A$5,
"[Calendario].[AñoMes]",
"[Calendario].[AñoMes].&amp;[" &amp; TEXT(AD$6,"yyyymm")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E79" s="8">
        <f>IFERROR(
GETPIVOTDATA(
"[Base].[Importe]",
TDinamica_R!$A$5,
"[Calendario].[AñoMes]",
"[Calendario].[AñoMes].&amp;[" &amp; TEXT(AE$6,"yyyymm")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F79" s="8">
        <f>IFERROR(
GETPIVOTDATA(
"[Base].[Importe]",
TDinamica_R!$A$5,
"[Calendario].[AñoMes]",
"[Calendario].[AñoMes].&amp;[" &amp; TEXT(AF$6,"yyyymm")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G79" s="8">
        <f>IFERROR(
GETPIVOTDATA(
"[Base].[Importe]",
TDinamica_R!$A$5,
"[Calendario].[AñoMes]",
"[Calendario].[AñoMes].&amp;[" &amp; TEXT(AG$6,"yyyymm")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H79" s="8">
        <f>IFERROR(
GETPIVOTDATA(
"[Base].[Importe]",
TDinamica_R!$A$5,
"[Calendario].[AñoMes]",
"[Calendario].[AñoMes].&amp;[" &amp; TEXT(AH$6,"yyyymm")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I79" s="8">
        <f>IFERROR(
GETPIVOTDATA(
"[Base].[Importe]",
TDinamica_R!$A$5,
"[Calendario].[AñoMes]",
"[Calendario].[AñoMes].&amp;[" &amp; TEXT(AI$6,"yyyymm")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J79" s="8">
        <f>IFERROR(
GETPIVOTDATA(
"[Base].[Importe]",
TDinamica_R!$A$5,
"[Calendario].[AñoMes]",
"[Calendario].[AñoMes].&amp;[" &amp; TEXT(AJ$6,"yyyymm")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K79" s="8">
        <f>IFERROR(
GETPIVOTDATA(
"[Base].[Importe]",
TDinamica_R!$A$5,
"[Calendario].[AñoMes]",
"[Calendario].[AñoMes].&amp;[" &amp; TEXT(AK$6,"yyyymm")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L79" s="8">
        <f>IFERROR(
GETPIVOTDATA(
"[Base].[Importe]",
TDinamica_R!$A$5,
"[Calendario].[AñoMes]",
"[Calendario].[AñoMes].&amp;[" &amp; TEXT(AL$6,"yyyymm")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M79" s="8">
        <f>IFERROR(
GETPIVOTDATA(
"[Base].[Importe]",
TDinamica_R!$A$5,
"[Calendario].[AñoMes]",
"[Calendario].[AñoMes].&amp;[" &amp; TEXT(AM$6,"yyyymm")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N79" s="8">
        <f>IFERROR(
GETPIVOTDATA(
"[Base].[Importe]",
TDinamica_R!$A$5,
"[Calendario].[AñoMes]",
"[Calendario].[AñoMes].&amp;[" &amp; TEXT(AN$6,"yyyymm")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O79" s="8">
        <f>IFERROR(
GETPIVOTDATA(
"[Base].[Importe]",
TDinamica_R!$A$5,
"[Calendario].[AñoMes]",
"[Calendario].[AñoMes].&amp;[" &amp; TEXT(AO$6,"yyyymm")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P79" s="8">
        <f>IFERROR(
GETPIVOTDATA(
"[Base].[Importe]",
TDinamica_R!$A$5,
"[Calendario].[AñoMes]",
"[Calendario].[AñoMes].&amp;[" &amp; TEXT(AP$6,"yyyymm")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Q79" s="8">
        <f>IFERROR(
GETPIVOTDATA(
"[Base].[Importe]",
TDinamica_R!$A$5,
"[Calendario].[AñoMes]",
"[Calendario].[AñoMes].&amp;[" &amp; TEXT(AQ$6,"yyyymm")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R79" s="8">
        <f>IFERROR(
GETPIVOTDATA(
"[Base].[Importe]",
TDinamica_R!$A$5,
"[Calendario].[AñoMes]",
"[Calendario].[AñoMes].&amp;[" &amp; TEXT(AR$6,"yyyymm")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S79" s="8">
        <f>IFERROR(
GETPIVOTDATA(
"[Base].[Importe]",
TDinamica_R!$A$5,
"[Calendario].[AñoMes]",
"[Calendario].[AñoMes].&amp;[" &amp; TEXT(AS$6,"yyyymm")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T79" s="8">
        <f>IFERROR(
GETPIVOTDATA(
"[Base].[Importe]",
TDinamica_R!$A$5,
"[Calendario].[AñoMes]",
"[Calendario].[AñoMes].&amp;[" &amp; TEXT(AT$6,"yyyymm")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U79" s="8">
        <f>IFERROR(
GETPIVOTDATA(
"[Base].[Importe]",
TDinamica_R!$A$5,
"[Calendario].[AñoMes]",
"[Calendario].[AñoMes].&amp;[" &amp; TEXT(AU$6,"yyyymm")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V79" s="8">
        <f>IFERROR(
GETPIVOTDATA(
"[Base].[Importe]",
TDinamica_R!$A$5,
"[Calendario].[AñoMes]",
"[Calendario].[AñoMes].&amp;[" &amp; TEXT(AV$6,"yyyymm")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W79" s="8">
        <f>IFERROR(
GETPIVOTDATA(
"[Base].[Importe]",
TDinamica_R!$A$5,
"[Calendario].[AñoMes]",
"[Calendario].[AñoMes].&amp;[" &amp; TEXT(AW$6,"yyyymm")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X79" s="8">
        <f>IFERROR(
GETPIVOTDATA(
"[Base].[Importe]",
TDinamica_R!$A$5,
"[Calendario].[AñoMes]",
"[Calendario].[AñoMes].&amp;[" &amp; TEXT(AX$6,"yyyymm")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Y79" s="8">
        <f>IFERROR(
GETPIVOTDATA(
"[Base].[Importe]",
TDinamica_R!$A$5,
"[Calendario].[AñoMes]",
"[Calendario].[AñoMes].&amp;[" &amp; TEXT(AY$6,"yyyymm")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Z79" s="8">
        <f>IFERROR(
GETPIVOTDATA(
"[BASE_CONVE_PPTO].[Importe]",
TDinamica_P!$A$5,
"[BASE_CONVE_PPTO].[Periodo]",
"[BASE_CONVE_PPTO].[Periodo].&amp;[" &amp; TEXT(AZ$6,"yyyymm")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A79" s="8">
        <f>IFERROR(
GETPIVOTDATA(
"[BASE_CONVE_PPTO].[Importe]",
TDinamica_P!$A$5,
"[BASE_CONVE_PPTO].[Periodo]",
"[BASE_CONVE_PPTO].[Periodo].&amp;[" &amp; TEXT(BA$6,"yyyymm")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B79" s="8">
        <f>IFERROR(
GETPIVOTDATA(
"[BASE_CONVE_PPTO].[Importe]",
TDinamica_P!$A$5,
"[BASE_CONVE_PPTO].[Periodo]",
"[BASE_CONVE_PPTO].[Periodo].&amp;[" &amp; TEXT(BB$6,"yyyymm")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C79" s="8">
        <f>IFERROR(
GETPIVOTDATA(
"[BASE_CONVE_PPTO].[Importe]",
TDinamica_P!$A$5,
"[BASE_CONVE_PPTO].[Periodo]",
"[BASE_CONVE_PPTO].[Periodo].&amp;[" &amp; TEXT(BC$6,"yyyymm")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D79" s="8">
        <f>IFERROR(
GETPIVOTDATA(
"[BASE_CONVE_PPTO].[Importe]",
TDinamica_P!$A$5,
"[BASE_CONVE_PPTO].[Periodo]",
"[BASE_CONVE_PPTO].[Periodo].&amp;[" &amp; TEXT(BD$6,"yyyymm")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E79" s="8">
        <f>IFERROR(
GETPIVOTDATA(
"[BASE_CONVE_PPTO].[Importe]",
TDinamica_P!$A$5,
"[BASE_CONVE_PPTO].[Periodo]",
"[BASE_CONVE_PPTO].[Periodo].&amp;[" &amp; TEXT(BE$6,"yyyymm")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F79" s="8">
        <f>IFERROR(
GETPIVOTDATA(
"[BASE_CONVE_PPTO].[Importe]",
TDinamica_P!$A$5,
"[BASE_CONVE_PPTO].[Periodo]",
"[BASE_CONVE_PPTO].[Periodo].&amp;[" &amp; TEXT(BF$6,"yyyymm")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G79" s="8">
        <f>IFERROR(
GETPIVOTDATA(
"[BASE_CONVE_PPTO].[Importe]",
TDinamica_P!$A$5,
"[BASE_CONVE_PPTO].[Periodo]",
"[BASE_CONVE_PPTO].[Periodo].&amp;[" &amp; TEXT(BG$6,"yyyymm")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H79" s="8">
        <f>IFERROR(
GETPIVOTDATA(
"[BASE_CONVE_PPTO].[Importe]",
TDinamica_P!$A$5,
"[BASE_CONVE_PPTO].[Periodo]",
"[BASE_CONVE_PPTO].[Periodo].&amp;[" &amp; TEXT(BH$6,"yyyymm")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I79" s="8">
        <f>IFERROR(
GETPIVOTDATA(
"[BASE_CONVE_PPTO].[Importe]",
TDinamica_P!$A$5,
"[BASE_CONVE_PPTO].[Periodo]",
"[BASE_CONVE_PPTO].[Periodo].&amp;[" &amp; TEXT(BI$6,"yyyymm")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J79" s="8">
        <f>IFERROR(
GETPIVOTDATA(
"[BASE_CONVE_PPTO].[Importe]",
TDinamica_P!$A$5,
"[BASE_CONVE_PPTO].[Periodo]",
"[BASE_CONVE_PPTO].[Periodo].&amp;[" &amp; TEXT(BJ$6,"yyyymm")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K79" s="8">
        <f>IFERROR(
GETPIVOTDATA(
"[BASE_CONVE_PPTO].[Importe]",
TDinamica_P!$A$5,
"[BASE_CONVE_PPTO].[Periodo]",
"[BASE_CONVE_PPTO].[Periodo].&amp;[" &amp; TEXT(BK$6,"yyyymm")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O79" s="24">
        <f t="shared" si="50"/>
        <v>0</v>
      </c>
      <c r="BP79" s="24">
        <f t="shared" si="50"/>
        <v>0</v>
      </c>
      <c r="BQ79" s="24">
        <f t="shared" si="50"/>
        <v>0</v>
      </c>
      <c r="BR79" s="24">
        <f t="shared" si="50"/>
        <v>0</v>
      </c>
      <c r="BS79" s="24">
        <f t="shared" si="50"/>
        <v>0</v>
      </c>
      <c r="BT79" s="24">
        <f t="shared" si="50"/>
        <v>0</v>
      </c>
    </row>
    <row r="80" spans="1:72" outlineLevel="1" x14ac:dyDescent="0.25">
      <c r="A80" s="11" t="s">
        <v>71</v>
      </c>
      <c r="C80" s="2"/>
      <c r="D80" s="8">
        <f>IFERROR(
GETPIVOTDATA(
"[Base].[Importe]",
TDinamica_R!$A$5,
"[Calendario].[AñoMes]",
"[Calendario].[AñoMes].&amp;[" &amp; TEXT(D$6,"yyyymm")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E80" s="8">
        <f>IFERROR(
GETPIVOTDATA(
"[Base].[Importe]",
TDinamica_R!$A$5,
"[Calendario].[AñoMes]",
"[Calendario].[AñoMes].&amp;[" &amp; TEXT(E$6,"yyyymm")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F80" s="8">
        <f>IFERROR(
GETPIVOTDATA(
"[Base].[Importe]",
TDinamica_R!$A$5,
"[Calendario].[AñoMes]",
"[Calendario].[AñoMes].&amp;[" &amp; TEXT(F$6,"yyyymm")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G80" s="8">
        <f>IFERROR(
GETPIVOTDATA(
"[Base].[Importe]",
TDinamica_R!$A$5,
"[Calendario].[AñoMes]",
"[Calendario].[AñoMes].&amp;[" &amp; TEXT(G$6,"yyyymm")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H80" s="8">
        <f>IFERROR(
GETPIVOTDATA(
"[Base].[Importe]",
TDinamica_R!$A$5,
"[Calendario].[AñoMes]",
"[Calendario].[AñoMes].&amp;[" &amp; TEXT(H$6,"yyyymm")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I80" s="8">
        <f>IFERROR(
GETPIVOTDATA(
"[Base].[Importe]",
TDinamica_R!$A$5,
"[Calendario].[AñoMes]",
"[Calendario].[AñoMes].&amp;[" &amp; TEXT(I$6,"yyyymm")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J80" s="8">
        <f>IFERROR(
GETPIVOTDATA(
"[Base].[Importe]",
TDinamica_R!$A$5,
"[Calendario].[AñoMes]",
"[Calendario].[AñoMes].&amp;[" &amp; TEXT(J$6,"yyyymm")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K80" s="8">
        <f>IFERROR(
GETPIVOTDATA(
"[Base].[Importe]",
TDinamica_R!$A$5,
"[Calendario].[AñoMes]",
"[Calendario].[AñoMes].&amp;[" &amp; TEXT(K$6,"yyyymm")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L80" s="8">
        <f>IFERROR(
GETPIVOTDATA(
"[Base].[Importe]",
TDinamica_R!$A$5,
"[Calendario].[AñoMes]",
"[Calendario].[AñoMes].&amp;[" &amp; TEXT(L$6,"yyyymm")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M80" s="8">
        <f>IFERROR(
GETPIVOTDATA(
"[Base].[Importe]",
TDinamica_R!$A$5,
"[Calendario].[AñoMes]",
"[Calendario].[AñoMes].&amp;[" &amp; TEXT(M$6,"yyyymm")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N80" s="8">
        <f>IFERROR(
GETPIVOTDATA(
"[Base].[Importe]",
TDinamica_R!$A$5,
"[Calendario].[AñoMes]",
"[Calendario].[AñoMes].&amp;[" &amp; TEXT(N$6,"yyyymm")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O80" s="8">
        <f>IFERROR(
GETPIVOTDATA(
"[Base].[Importe]",
TDinamica_R!$A$5,
"[Calendario].[AñoMes]",
"[Calendario].[AñoMes].&amp;[" &amp; TEXT(O$6,"yyyymm")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P80" s="8">
        <f>IFERROR(
GETPIVOTDATA(
"[Base].[Importe]",
TDinamica_R!$A$5,
"[Calendario].[AñoMes]",
"[Calendario].[AñoMes].&amp;[" &amp; TEXT(P$6,"yyyymm")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Q80" s="8">
        <f>IFERROR(
GETPIVOTDATA(
"[Base].[Importe]",
TDinamica_R!$A$5,
"[Calendario].[AñoMes]",
"[Calendario].[AñoMes].&amp;[" &amp; TEXT(Q$6,"yyyymm")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R80" s="8">
        <f>IFERROR(
GETPIVOTDATA(
"[Base].[Importe]",
TDinamica_R!$A$5,
"[Calendario].[AñoMes]",
"[Calendario].[AñoMes].&amp;[" &amp; TEXT(R$6,"yyyymm")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S80" s="8">
        <f>IFERROR(
GETPIVOTDATA(
"[Base].[Importe]",
TDinamica_R!$A$5,
"[Calendario].[AñoMes]",
"[Calendario].[AñoMes].&amp;[" &amp; TEXT(S$6,"yyyymm")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T80" s="8">
        <f>IFERROR(
GETPIVOTDATA(
"[Base].[Importe]",
TDinamica_R!$A$5,
"[Calendario].[AñoMes]",
"[Calendario].[AñoMes].&amp;[" &amp; TEXT(T$6,"yyyymm")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U80" s="8">
        <f>IFERROR(
GETPIVOTDATA(
"[Base].[Importe]",
TDinamica_R!$A$5,
"[Calendario].[AñoMes]",
"[Calendario].[AñoMes].&amp;[" &amp; TEXT(U$6,"yyyymm")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V80" s="8">
        <f>IFERROR(
GETPIVOTDATA(
"[Base].[Importe]",
TDinamica_R!$A$5,
"[Calendario].[AñoMes]",
"[Calendario].[AñoMes].&amp;[" &amp; TEXT(V$6,"yyyymm")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W80" s="8">
        <f>IFERROR(
GETPIVOTDATA(
"[Base].[Importe]",
TDinamica_R!$A$5,
"[Calendario].[AñoMes]",
"[Calendario].[AñoMes].&amp;[" &amp; TEXT(W$6,"yyyymm")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X80" s="8">
        <f>IFERROR(
GETPIVOTDATA(
"[Base].[Importe]",
TDinamica_R!$A$5,
"[Calendario].[AñoMes]",
"[Calendario].[AñoMes].&amp;[" &amp; TEXT(X$6,"yyyymm")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Y80" s="8">
        <f>IFERROR(
GETPIVOTDATA(
"[Base].[Importe]",
TDinamica_R!$A$5,
"[Calendario].[AñoMes]",
"[Calendario].[AñoMes].&amp;[" &amp; TEXT(Y$6,"yyyymm")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Z80" s="8">
        <f>IFERROR(
GETPIVOTDATA(
"[Base].[Importe]",
TDinamica_R!$A$5,
"[Calendario].[AñoMes]",
"[Calendario].[AñoMes].&amp;[" &amp; TEXT(Z$6,"yyyymm")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A80" s="8">
        <f>IFERROR(
GETPIVOTDATA(
"[Base].[Importe]",
TDinamica_R!$A$5,
"[Calendario].[AñoMes]",
"[Calendario].[AñoMes].&amp;[" &amp; TEXT(AA$6,"yyyymm")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B80" s="8">
        <f>IFERROR(
GETPIVOTDATA(
"[Base].[Importe]",
TDinamica_R!$A$5,
"[Calendario].[AñoMes]",
"[Calendario].[AñoMes].&amp;[" &amp; TEXT(AB$6,"yyyymm")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C80" s="8">
        <f>IFERROR(
GETPIVOTDATA(
"[Base].[Importe]",
TDinamica_R!$A$5,
"[Calendario].[AñoMes]",
"[Calendario].[AñoMes].&amp;[" &amp; TEXT(AC$6,"yyyymm")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D80" s="8">
        <f>IFERROR(
GETPIVOTDATA(
"[Base].[Importe]",
TDinamica_R!$A$5,
"[Calendario].[AñoMes]",
"[Calendario].[AñoMes].&amp;[" &amp; TEXT(AD$6,"yyyymm")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E80" s="8">
        <f>IFERROR(
GETPIVOTDATA(
"[Base].[Importe]",
TDinamica_R!$A$5,
"[Calendario].[AñoMes]",
"[Calendario].[AñoMes].&amp;[" &amp; TEXT(AE$6,"yyyymm")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F80" s="8">
        <f>IFERROR(
GETPIVOTDATA(
"[Base].[Importe]",
TDinamica_R!$A$5,
"[Calendario].[AñoMes]",
"[Calendario].[AñoMes].&amp;[" &amp; TEXT(AF$6,"yyyymm")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G80" s="8">
        <f>IFERROR(
GETPIVOTDATA(
"[Base].[Importe]",
TDinamica_R!$A$5,
"[Calendario].[AñoMes]",
"[Calendario].[AñoMes].&amp;[" &amp; TEXT(AG$6,"yyyymm")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H80" s="8">
        <f>IFERROR(
GETPIVOTDATA(
"[Base].[Importe]",
TDinamica_R!$A$5,
"[Calendario].[AñoMes]",
"[Calendario].[AñoMes].&amp;[" &amp; TEXT(AH$6,"yyyymm")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I80" s="8">
        <f>IFERROR(
GETPIVOTDATA(
"[Base].[Importe]",
TDinamica_R!$A$5,
"[Calendario].[AñoMes]",
"[Calendario].[AñoMes].&amp;[" &amp; TEXT(AI$6,"yyyymm")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J80" s="8">
        <f>IFERROR(
GETPIVOTDATA(
"[Base].[Importe]",
TDinamica_R!$A$5,
"[Calendario].[AñoMes]",
"[Calendario].[AñoMes].&amp;[" &amp; TEXT(AJ$6,"yyyymm")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K80" s="8">
        <f>IFERROR(
GETPIVOTDATA(
"[Base].[Importe]",
TDinamica_R!$A$5,
"[Calendario].[AñoMes]",
"[Calendario].[AñoMes].&amp;[" &amp; TEXT(AK$6,"yyyymm")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L80" s="8">
        <f>IFERROR(
GETPIVOTDATA(
"[Base].[Importe]",
TDinamica_R!$A$5,
"[Calendario].[AñoMes]",
"[Calendario].[AñoMes].&amp;[" &amp; TEXT(AL$6,"yyyymm")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M80" s="8">
        <f>IFERROR(
GETPIVOTDATA(
"[Base].[Importe]",
TDinamica_R!$A$5,
"[Calendario].[AñoMes]",
"[Calendario].[AñoMes].&amp;[" &amp; TEXT(AM$6,"yyyymm")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N80" s="8">
        <f>IFERROR(
GETPIVOTDATA(
"[Base].[Importe]",
TDinamica_R!$A$5,
"[Calendario].[AñoMes]",
"[Calendario].[AñoMes].&amp;[" &amp; TEXT(AN$6,"yyyymm")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O80" s="8">
        <f>IFERROR(
GETPIVOTDATA(
"[Base].[Importe]",
TDinamica_R!$A$5,
"[Calendario].[AñoMes]",
"[Calendario].[AñoMes].&amp;[" &amp; TEXT(AO$6,"yyyymm")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P80" s="8">
        <f>IFERROR(
GETPIVOTDATA(
"[Base].[Importe]",
TDinamica_R!$A$5,
"[Calendario].[AñoMes]",
"[Calendario].[AñoMes].&amp;[" &amp; TEXT(AP$6,"yyyymm")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Q80" s="8">
        <f>IFERROR(
GETPIVOTDATA(
"[Base].[Importe]",
TDinamica_R!$A$5,
"[Calendario].[AñoMes]",
"[Calendario].[AñoMes].&amp;[" &amp; TEXT(AQ$6,"yyyymm")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R80" s="8">
        <f>IFERROR(
GETPIVOTDATA(
"[Base].[Importe]",
TDinamica_R!$A$5,
"[Calendario].[AñoMes]",
"[Calendario].[AñoMes].&amp;[" &amp; TEXT(AR$6,"yyyymm")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S80" s="8">
        <f>IFERROR(
GETPIVOTDATA(
"[Base].[Importe]",
TDinamica_R!$A$5,
"[Calendario].[AñoMes]",
"[Calendario].[AñoMes].&amp;[" &amp; TEXT(AS$6,"yyyymm")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T80" s="8">
        <f>IFERROR(
GETPIVOTDATA(
"[Base].[Importe]",
TDinamica_R!$A$5,
"[Calendario].[AñoMes]",
"[Calendario].[AñoMes].&amp;[" &amp; TEXT(AT$6,"yyyymm")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U80" s="8">
        <f>IFERROR(
GETPIVOTDATA(
"[Base].[Importe]",
TDinamica_R!$A$5,
"[Calendario].[AñoMes]",
"[Calendario].[AñoMes].&amp;[" &amp; TEXT(AU$6,"yyyymm")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V80" s="8">
        <f>IFERROR(
GETPIVOTDATA(
"[Base].[Importe]",
TDinamica_R!$A$5,
"[Calendario].[AñoMes]",
"[Calendario].[AñoMes].&amp;[" &amp; TEXT(AV$6,"yyyymm")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W80" s="8">
        <f>IFERROR(
GETPIVOTDATA(
"[Base].[Importe]",
TDinamica_R!$A$5,
"[Calendario].[AñoMes]",
"[Calendario].[AñoMes].&amp;[" &amp; TEXT(AW$6,"yyyymm")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X80" s="8">
        <f>IFERROR(
GETPIVOTDATA(
"[Base].[Importe]",
TDinamica_R!$A$5,
"[Calendario].[AñoMes]",
"[Calendario].[AñoMes].&amp;[" &amp; TEXT(AX$6,"yyyymm")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Y80" s="8">
        <f>IFERROR(
GETPIVOTDATA(
"[Base].[Importe]",
TDinamica_R!$A$5,
"[Calendario].[AñoMes]",
"[Calendario].[AñoMes].&amp;[" &amp; TEXT(AY$6,"yyyymm")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Z80" s="8">
        <f>IFERROR(
GETPIVOTDATA(
"[BASE_CONVE_PPTO].[Importe]",
TDinamica_P!$A$5,
"[BASE_CONVE_PPTO].[Periodo]",
"[BASE_CONVE_PPTO].[Periodo].&amp;[" &amp; TEXT(AZ$6,"yyyymm")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A80" s="8">
        <f>IFERROR(
GETPIVOTDATA(
"[BASE_CONVE_PPTO].[Importe]",
TDinamica_P!$A$5,
"[BASE_CONVE_PPTO].[Periodo]",
"[BASE_CONVE_PPTO].[Periodo].&amp;[" &amp; TEXT(BA$6,"yyyymm")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B80" s="8">
        <f>IFERROR(
GETPIVOTDATA(
"[BASE_CONVE_PPTO].[Importe]",
TDinamica_P!$A$5,
"[BASE_CONVE_PPTO].[Periodo]",
"[BASE_CONVE_PPTO].[Periodo].&amp;[" &amp; TEXT(BB$6,"yyyymm")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C80" s="8">
        <f>IFERROR(
GETPIVOTDATA(
"[BASE_CONVE_PPTO].[Importe]",
TDinamica_P!$A$5,
"[BASE_CONVE_PPTO].[Periodo]",
"[BASE_CONVE_PPTO].[Periodo].&amp;[" &amp; TEXT(BC$6,"yyyymm")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D80" s="8">
        <f>IFERROR(
GETPIVOTDATA(
"[BASE_CONVE_PPTO].[Importe]",
TDinamica_P!$A$5,
"[BASE_CONVE_PPTO].[Periodo]",
"[BASE_CONVE_PPTO].[Periodo].&amp;[" &amp; TEXT(BD$6,"yyyymm")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E80" s="8">
        <f>IFERROR(
GETPIVOTDATA(
"[BASE_CONVE_PPTO].[Importe]",
TDinamica_P!$A$5,
"[BASE_CONVE_PPTO].[Periodo]",
"[BASE_CONVE_PPTO].[Periodo].&amp;[" &amp; TEXT(BE$6,"yyyymm")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F80" s="8">
        <f>IFERROR(
GETPIVOTDATA(
"[BASE_CONVE_PPTO].[Importe]",
TDinamica_P!$A$5,
"[BASE_CONVE_PPTO].[Periodo]",
"[BASE_CONVE_PPTO].[Periodo].&amp;[" &amp; TEXT(BF$6,"yyyymm")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G80" s="8">
        <f>IFERROR(
GETPIVOTDATA(
"[BASE_CONVE_PPTO].[Importe]",
TDinamica_P!$A$5,
"[BASE_CONVE_PPTO].[Periodo]",
"[BASE_CONVE_PPTO].[Periodo].&amp;[" &amp; TEXT(BG$6,"yyyymm")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H80" s="8">
        <f>IFERROR(
GETPIVOTDATA(
"[BASE_CONVE_PPTO].[Importe]",
TDinamica_P!$A$5,
"[BASE_CONVE_PPTO].[Periodo]",
"[BASE_CONVE_PPTO].[Periodo].&amp;[" &amp; TEXT(BH$6,"yyyymm")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I80" s="8">
        <f>IFERROR(
GETPIVOTDATA(
"[BASE_CONVE_PPTO].[Importe]",
TDinamica_P!$A$5,
"[BASE_CONVE_PPTO].[Periodo]",
"[BASE_CONVE_PPTO].[Periodo].&amp;[" &amp; TEXT(BI$6,"yyyymm")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J80" s="8">
        <f>IFERROR(
GETPIVOTDATA(
"[BASE_CONVE_PPTO].[Importe]",
TDinamica_P!$A$5,
"[BASE_CONVE_PPTO].[Periodo]",
"[BASE_CONVE_PPTO].[Periodo].&amp;[" &amp; TEXT(BJ$6,"yyyymm")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K80" s="8">
        <f>IFERROR(
GETPIVOTDATA(
"[BASE_CONVE_PPTO].[Importe]",
TDinamica_P!$A$5,
"[BASE_CONVE_PPTO].[Periodo]",
"[BASE_CONVE_PPTO].[Periodo].&amp;[" &amp; TEXT(BK$6,"yyyymm")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O80" s="24">
        <f t="shared" si="50"/>
        <v>0</v>
      </c>
      <c r="BP80" s="24">
        <f t="shared" si="50"/>
        <v>0</v>
      </c>
      <c r="BQ80" s="24">
        <f t="shared" si="50"/>
        <v>0</v>
      </c>
      <c r="BR80" s="24">
        <f t="shared" si="50"/>
        <v>0</v>
      </c>
      <c r="BS80" s="24">
        <f t="shared" si="50"/>
        <v>0</v>
      </c>
      <c r="BT80" s="24">
        <f t="shared" si="50"/>
        <v>0</v>
      </c>
    </row>
    <row r="81" spans="1:72" outlineLevel="1" x14ac:dyDescent="0.25">
      <c r="A81" s="11" t="s">
        <v>71</v>
      </c>
      <c r="C81" s="2"/>
      <c r="D81" s="8">
        <f>IFERROR(
GETPIVOTDATA(
"[Base].[Importe]",
TDinamica_R!$A$5,
"[Calendario].[AñoMes]",
"[Calendario].[AñoMes].&amp;[" &amp; TEXT(D$6,"yyyymm")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E81" s="8">
        <f>IFERROR(
GETPIVOTDATA(
"[Base].[Importe]",
TDinamica_R!$A$5,
"[Calendario].[AñoMes]",
"[Calendario].[AñoMes].&amp;[" &amp; TEXT(E$6,"yyyymm")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F81" s="8">
        <f>IFERROR(
GETPIVOTDATA(
"[Base].[Importe]",
TDinamica_R!$A$5,
"[Calendario].[AñoMes]",
"[Calendario].[AñoMes].&amp;[" &amp; TEXT(F$6,"yyyymm")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G81" s="8">
        <f>IFERROR(
GETPIVOTDATA(
"[Base].[Importe]",
TDinamica_R!$A$5,
"[Calendario].[AñoMes]",
"[Calendario].[AñoMes].&amp;[" &amp; TEXT(G$6,"yyyymm")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H81" s="8">
        <f>IFERROR(
GETPIVOTDATA(
"[Base].[Importe]",
TDinamica_R!$A$5,
"[Calendario].[AñoMes]",
"[Calendario].[AñoMes].&amp;[" &amp; TEXT(H$6,"yyyymm")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I81" s="8">
        <f>IFERROR(
GETPIVOTDATA(
"[Base].[Importe]",
TDinamica_R!$A$5,
"[Calendario].[AñoMes]",
"[Calendario].[AñoMes].&amp;[" &amp; TEXT(I$6,"yyyymm")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J81" s="8">
        <f>IFERROR(
GETPIVOTDATA(
"[Base].[Importe]",
TDinamica_R!$A$5,
"[Calendario].[AñoMes]",
"[Calendario].[AñoMes].&amp;[" &amp; TEXT(J$6,"yyyymm")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K81" s="8">
        <f>IFERROR(
GETPIVOTDATA(
"[Base].[Importe]",
TDinamica_R!$A$5,
"[Calendario].[AñoMes]",
"[Calendario].[AñoMes].&amp;[" &amp; TEXT(K$6,"yyyymm")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L81" s="8">
        <f>IFERROR(
GETPIVOTDATA(
"[Base].[Importe]",
TDinamica_R!$A$5,
"[Calendario].[AñoMes]",
"[Calendario].[AñoMes].&amp;[" &amp; TEXT(L$6,"yyyymm")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M81" s="8">
        <f>IFERROR(
GETPIVOTDATA(
"[Base].[Importe]",
TDinamica_R!$A$5,
"[Calendario].[AñoMes]",
"[Calendario].[AñoMes].&amp;[" &amp; TEXT(M$6,"yyyymm")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N81" s="8">
        <f>IFERROR(
GETPIVOTDATA(
"[Base].[Importe]",
TDinamica_R!$A$5,
"[Calendario].[AñoMes]",
"[Calendario].[AñoMes].&amp;[" &amp; TEXT(N$6,"yyyymm")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O81" s="8">
        <f>IFERROR(
GETPIVOTDATA(
"[Base].[Importe]",
TDinamica_R!$A$5,
"[Calendario].[AñoMes]",
"[Calendario].[AñoMes].&amp;[" &amp; TEXT(O$6,"yyyymm")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P81" s="8">
        <f>IFERROR(
GETPIVOTDATA(
"[Base].[Importe]",
TDinamica_R!$A$5,
"[Calendario].[AñoMes]",
"[Calendario].[AñoMes].&amp;[" &amp; TEXT(P$6,"yyyymm")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Q81" s="8">
        <f>IFERROR(
GETPIVOTDATA(
"[Base].[Importe]",
TDinamica_R!$A$5,
"[Calendario].[AñoMes]",
"[Calendario].[AñoMes].&amp;[" &amp; TEXT(Q$6,"yyyymm")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R81" s="8">
        <f>IFERROR(
GETPIVOTDATA(
"[Base].[Importe]",
TDinamica_R!$A$5,
"[Calendario].[AñoMes]",
"[Calendario].[AñoMes].&amp;[" &amp; TEXT(R$6,"yyyymm")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S81" s="8">
        <f>IFERROR(
GETPIVOTDATA(
"[Base].[Importe]",
TDinamica_R!$A$5,
"[Calendario].[AñoMes]",
"[Calendario].[AñoMes].&amp;[" &amp; TEXT(S$6,"yyyymm")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T81" s="8">
        <f>IFERROR(
GETPIVOTDATA(
"[Base].[Importe]",
TDinamica_R!$A$5,
"[Calendario].[AñoMes]",
"[Calendario].[AñoMes].&amp;[" &amp; TEXT(T$6,"yyyymm")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U81" s="8">
        <f>IFERROR(
GETPIVOTDATA(
"[Base].[Importe]",
TDinamica_R!$A$5,
"[Calendario].[AñoMes]",
"[Calendario].[AñoMes].&amp;[" &amp; TEXT(U$6,"yyyymm")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V81" s="8">
        <f>IFERROR(
GETPIVOTDATA(
"[Base].[Importe]",
TDinamica_R!$A$5,
"[Calendario].[AñoMes]",
"[Calendario].[AñoMes].&amp;[" &amp; TEXT(V$6,"yyyymm")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W81" s="8">
        <f>IFERROR(
GETPIVOTDATA(
"[Base].[Importe]",
TDinamica_R!$A$5,
"[Calendario].[AñoMes]",
"[Calendario].[AñoMes].&amp;[" &amp; TEXT(W$6,"yyyymm")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X81" s="8">
        <f>IFERROR(
GETPIVOTDATA(
"[Base].[Importe]",
TDinamica_R!$A$5,
"[Calendario].[AñoMes]",
"[Calendario].[AñoMes].&amp;[" &amp; TEXT(X$6,"yyyymm")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Y81" s="8">
        <f>IFERROR(
GETPIVOTDATA(
"[Base].[Importe]",
TDinamica_R!$A$5,
"[Calendario].[AñoMes]",
"[Calendario].[AñoMes].&amp;[" &amp; TEXT(Y$6,"yyyymm")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Z81" s="8">
        <f>IFERROR(
GETPIVOTDATA(
"[Base].[Importe]",
TDinamica_R!$A$5,
"[Calendario].[AñoMes]",
"[Calendario].[AñoMes].&amp;[" &amp; TEXT(Z$6,"yyyymm")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A81" s="8">
        <f>IFERROR(
GETPIVOTDATA(
"[Base].[Importe]",
TDinamica_R!$A$5,
"[Calendario].[AñoMes]",
"[Calendario].[AñoMes].&amp;[" &amp; TEXT(AA$6,"yyyymm")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B81" s="8">
        <f>IFERROR(
GETPIVOTDATA(
"[Base].[Importe]",
TDinamica_R!$A$5,
"[Calendario].[AñoMes]",
"[Calendario].[AñoMes].&amp;[" &amp; TEXT(AB$6,"yyyymm")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C81" s="8">
        <f>IFERROR(
GETPIVOTDATA(
"[Base].[Importe]",
TDinamica_R!$A$5,
"[Calendario].[AñoMes]",
"[Calendario].[AñoMes].&amp;[" &amp; TEXT(AC$6,"yyyymm")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D81" s="8">
        <f>IFERROR(
GETPIVOTDATA(
"[Base].[Importe]",
TDinamica_R!$A$5,
"[Calendario].[AñoMes]",
"[Calendario].[AñoMes].&amp;[" &amp; TEXT(AD$6,"yyyymm")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E81" s="8">
        <f>IFERROR(
GETPIVOTDATA(
"[Base].[Importe]",
TDinamica_R!$A$5,
"[Calendario].[AñoMes]",
"[Calendario].[AñoMes].&amp;[" &amp; TEXT(AE$6,"yyyymm")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F81" s="8">
        <f>IFERROR(
GETPIVOTDATA(
"[Base].[Importe]",
TDinamica_R!$A$5,
"[Calendario].[AñoMes]",
"[Calendario].[AñoMes].&amp;[" &amp; TEXT(AF$6,"yyyymm")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G81" s="8">
        <f>IFERROR(
GETPIVOTDATA(
"[Base].[Importe]",
TDinamica_R!$A$5,
"[Calendario].[AñoMes]",
"[Calendario].[AñoMes].&amp;[" &amp; TEXT(AG$6,"yyyymm")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H81" s="8">
        <f>IFERROR(
GETPIVOTDATA(
"[Base].[Importe]",
TDinamica_R!$A$5,
"[Calendario].[AñoMes]",
"[Calendario].[AñoMes].&amp;[" &amp; TEXT(AH$6,"yyyymm")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I81" s="8">
        <f>IFERROR(
GETPIVOTDATA(
"[Base].[Importe]",
TDinamica_R!$A$5,
"[Calendario].[AñoMes]",
"[Calendario].[AñoMes].&amp;[" &amp; TEXT(AI$6,"yyyymm")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J81" s="8">
        <f>IFERROR(
GETPIVOTDATA(
"[Base].[Importe]",
TDinamica_R!$A$5,
"[Calendario].[AñoMes]",
"[Calendario].[AñoMes].&amp;[" &amp; TEXT(AJ$6,"yyyymm")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K81" s="8">
        <f>IFERROR(
GETPIVOTDATA(
"[Base].[Importe]",
TDinamica_R!$A$5,
"[Calendario].[AñoMes]",
"[Calendario].[AñoMes].&amp;[" &amp; TEXT(AK$6,"yyyymm")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L81" s="8">
        <f>IFERROR(
GETPIVOTDATA(
"[Base].[Importe]",
TDinamica_R!$A$5,
"[Calendario].[AñoMes]",
"[Calendario].[AñoMes].&amp;[" &amp; TEXT(AL$6,"yyyymm")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M81" s="8">
        <f>IFERROR(
GETPIVOTDATA(
"[Base].[Importe]",
TDinamica_R!$A$5,
"[Calendario].[AñoMes]",
"[Calendario].[AñoMes].&amp;[" &amp; TEXT(AM$6,"yyyymm")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N81" s="8">
        <f>IFERROR(
GETPIVOTDATA(
"[Base].[Importe]",
TDinamica_R!$A$5,
"[Calendario].[AñoMes]",
"[Calendario].[AñoMes].&amp;[" &amp; TEXT(AN$6,"yyyymm")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O81" s="8">
        <f>IFERROR(
GETPIVOTDATA(
"[Base].[Importe]",
TDinamica_R!$A$5,
"[Calendario].[AñoMes]",
"[Calendario].[AñoMes].&amp;[" &amp; TEXT(AO$6,"yyyymm")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P81" s="8">
        <f>IFERROR(
GETPIVOTDATA(
"[Base].[Importe]",
TDinamica_R!$A$5,
"[Calendario].[AñoMes]",
"[Calendario].[AñoMes].&amp;[" &amp; TEXT(AP$6,"yyyymm")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Q81" s="8">
        <f>IFERROR(
GETPIVOTDATA(
"[Base].[Importe]",
TDinamica_R!$A$5,
"[Calendario].[AñoMes]",
"[Calendario].[AñoMes].&amp;[" &amp; TEXT(AQ$6,"yyyymm")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R81" s="8">
        <f>IFERROR(
GETPIVOTDATA(
"[Base].[Importe]",
TDinamica_R!$A$5,
"[Calendario].[AñoMes]",
"[Calendario].[AñoMes].&amp;[" &amp; TEXT(AR$6,"yyyymm")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S81" s="8">
        <f>IFERROR(
GETPIVOTDATA(
"[Base].[Importe]",
TDinamica_R!$A$5,
"[Calendario].[AñoMes]",
"[Calendario].[AñoMes].&amp;[" &amp; TEXT(AS$6,"yyyymm")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T81" s="8">
        <f>IFERROR(
GETPIVOTDATA(
"[Base].[Importe]",
TDinamica_R!$A$5,
"[Calendario].[AñoMes]",
"[Calendario].[AñoMes].&amp;[" &amp; TEXT(AT$6,"yyyymm")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U81" s="8">
        <f>IFERROR(
GETPIVOTDATA(
"[Base].[Importe]",
TDinamica_R!$A$5,
"[Calendario].[AñoMes]",
"[Calendario].[AñoMes].&amp;[" &amp; TEXT(AU$6,"yyyymm")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V81" s="8">
        <f>IFERROR(
GETPIVOTDATA(
"[Base].[Importe]",
TDinamica_R!$A$5,
"[Calendario].[AñoMes]",
"[Calendario].[AñoMes].&amp;[" &amp; TEXT(AV$6,"yyyymm")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W81" s="8">
        <f>IFERROR(
GETPIVOTDATA(
"[Base].[Importe]",
TDinamica_R!$A$5,
"[Calendario].[AñoMes]",
"[Calendario].[AñoMes].&amp;[" &amp; TEXT(AW$6,"yyyymm")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X81" s="8">
        <f>IFERROR(
GETPIVOTDATA(
"[Base].[Importe]",
TDinamica_R!$A$5,
"[Calendario].[AñoMes]",
"[Calendario].[AñoMes].&amp;[" &amp; TEXT(AX$6,"yyyymm")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Y81" s="8">
        <f>IFERROR(
GETPIVOTDATA(
"[Base].[Importe]",
TDinamica_R!$A$5,
"[Calendario].[AñoMes]",
"[Calendario].[AñoMes].&amp;[" &amp; TEXT(AY$6,"yyyymm")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Z81" s="8">
        <f>IFERROR(
GETPIVOTDATA(
"[BASE_CONVE_PPTO].[Importe]",
TDinamica_P!$A$5,
"[BASE_CONVE_PPTO].[Periodo]",
"[BASE_CONVE_PPTO].[Periodo].&amp;[" &amp; TEXT(AZ$6,"yyyymm")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A81" s="8">
        <f>IFERROR(
GETPIVOTDATA(
"[BASE_CONVE_PPTO].[Importe]",
TDinamica_P!$A$5,
"[BASE_CONVE_PPTO].[Periodo]",
"[BASE_CONVE_PPTO].[Periodo].&amp;[" &amp; TEXT(BA$6,"yyyymm")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B81" s="8">
        <f>IFERROR(
GETPIVOTDATA(
"[BASE_CONVE_PPTO].[Importe]",
TDinamica_P!$A$5,
"[BASE_CONVE_PPTO].[Periodo]",
"[BASE_CONVE_PPTO].[Periodo].&amp;[" &amp; TEXT(BB$6,"yyyymm")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C81" s="8">
        <f>IFERROR(
GETPIVOTDATA(
"[BASE_CONVE_PPTO].[Importe]",
TDinamica_P!$A$5,
"[BASE_CONVE_PPTO].[Periodo]",
"[BASE_CONVE_PPTO].[Periodo].&amp;[" &amp; TEXT(BC$6,"yyyymm")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D81" s="8">
        <f>IFERROR(
GETPIVOTDATA(
"[BASE_CONVE_PPTO].[Importe]",
TDinamica_P!$A$5,
"[BASE_CONVE_PPTO].[Periodo]",
"[BASE_CONVE_PPTO].[Periodo].&amp;[" &amp; TEXT(BD$6,"yyyymm")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E81" s="8">
        <f>IFERROR(
GETPIVOTDATA(
"[BASE_CONVE_PPTO].[Importe]",
TDinamica_P!$A$5,
"[BASE_CONVE_PPTO].[Periodo]",
"[BASE_CONVE_PPTO].[Periodo].&amp;[" &amp; TEXT(BE$6,"yyyymm")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F81" s="8">
        <f>IFERROR(
GETPIVOTDATA(
"[BASE_CONVE_PPTO].[Importe]",
TDinamica_P!$A$5,
"[BASE_CONVE_PPTO].[Periodo]",
"[BASE_CONVE_PPTO].[Periodo].&amp;[" &amp; TEXT(BF$6,"yyyymm")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G81" s="8">
        <f>IFERROR(
GETPIVOTDATA(
"[BASE_CONVE_PPTO].[Importe]",
TDinamica_P!$A$5,
"[BASE_CONVE_PPTO].[Periodo]",
"[BASE_CONVE_PPTO].[Periodo].&amp;[" &amp; TEXT(BG$6,"yyyymm")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H81" s="8">
        <f>IFERROR(
GETPIVOTDATA(
"[BASE_CONVE_PPTO].[Importe]",
TDinamica_P!$A$5,
"[BASE_CONVE_PPTO].[Periodo]",
"[BASE_CONVE_PPTO].[Periodo].&amp;[" &amp; TEXT(BH$6,"yyyymm")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I81" s="8">
        <f>IFERROR(
GETPIVOTDATA(
"[BASE_CONVE_PPTO].[Importe]",
TDinamica_P!$A$5,
"[BASE_CONVE_PPTO].[Periodo]",
"[BASE_CONVE_PPTO].[Periodo].&amp;[" &amp; TEXT(BI$6,"yyyymm")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J81" s="8">
        <f>IFERROR(
GETPIVOTDATA(
"[BASE_CONVE_PPTO].[Importe]",
TDinamica_P!$A$5,
"[BASE_CONVE_PPTO].[Periodo]",
"[BASE_CONVE_PPTO].[Periodo].&amp;[" &amp; TEXT(BJ$6,"yyyymm")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K81" s="8">
        <f>IFERROR(
GETPIVOTDATA(
"[BASE_CONVE_PPTO].[Importe]",
TDinamica_P!$A$5,
"[BASE_CONVE_PPTO].[Periodo]",
"[BASE_CONVE_PPTO].[Periodo].&amp;[" &amp; TEXT(BK$6,"yyyymm")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O81" s="24">
        <f t="shared" si="50"/>
        <v>0</v>
      </c>
      <c r="BP81" s="24">
        <f t="shared" si="50"/>
        <v>0</v>
      </c>
      <c r="BQ81" s="24">
        <f t="shared" si="50"/>
        <v>0</v>
      </c>
      <c r="BR81" s="24">
        <f t="shared" si="50"/>
        <v>0</v>
      </c>
      <c r="BS81" s="24">
        <f t="shared" si="50"/>
        <v>0</v>
      </c>
      <c r="BT81" s="24">
        <f t="shared" si="50"/>
        <v>0</v>
      </c>
    </row>
    <row r="82" spans="1:72" outlineLevel="1" x14ac:dyDescent="0.25">
      <c r="A82" s="11" t="s">
        <v>71</v>
      </c>
      <c r="C82" s="2"/>
      <c r="D82" s="8">
        <f>IFERROR(
GETPIVOTDATA(
"[Base].[Importe]",
TDinamica_R!$A$5,
"[Calendario].[AñoMes]",
"[Calendario].[AñoMes].&amp;[" &amp; TEXT(D$6,"yyyymm")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E82" s="8">
        <f>IFERROR(
GETPIVOTDATA(
"[Base].[Importe]",
TDinamica_R!$A$5,
"[Calendario].[AñoMes]",
"[Calendario].[AñoMes].&amp;[" &amp; TEXT(E$6,"yyyymm")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F82" s="8">
        <f>IFERROR(
GETPIVOTDATA(
"[Base].[Importe]",
TDinamica_R!$A$5,
"[Calendario].[AñoMes]",
"[Calendario].[AñoMes].&amp;[" &amp; TEXT(F$6,"yyyymm")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G82" s="8">
        <f>IFERROR(
GETPIVOTDATA(
"[Base].[Importe]",
TDinamica_R!$A$5,
"[Calendario].[AñoMes]",
"[Calendario].[AñoMes].&amp;[" &amp; TEXT(G$6,"yyyymm")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H82" s="8">
        <f>IFERROR(
GETPIVOTDATA(
"[Base].[Importe]",
TDinamica_R!$A$5,
"[Calendario].[AñoMes]",
"[Calendario].[AñoMes].&amp;[" &amp; TEXT(H$6,"yyyymm")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I82" s="8">
        <f>IFERROR(
GETPIVOTDATA(
"[Base].[Importe]",
TDinamica_R!$A$5,
"[Calendario].[AñoMes]",
"[Calendario].[AñoMes].&amp;[" &amp; TEXT(I$6,"yyyymm")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J82" s="8">
        <f>IFERROR(
GETPIVOTDATA(
"[Base].[Importe]",
TDinamica_R!$A$5,
"[Calendario].[AñoMes]",
"[Calendario].[AñoMes].&amp;[" &amp; TEXT(J$6,"yyyymm")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K82" s="8">
        <f>IFERROR(
GETPIVOTDATA(
"[Base].[Importe]",
TDinamica_R!$A$5,
"[Calendario].[AñoMes]",
"[Calendario].[AñoMes].&amp;[" &amp; TEXT(K$6,"yyyymm")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L82" s="8">
        <f>IFERROR(
GETPIVOTDATA(
"[Base].[Importe]",
TDinamica_R!$A$5,
"[Calendario].[AñoMes]",
"[Calendario].[AñoMes].&amp;[" &amp; TEXT(L$6,"yyyymm")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M82" s="8">
        <f>IFERROR(
GETPIVOTDATA(
"[Base].[Importe]",
TDinamica_R!$A$5,
"[Calendario].[AñoMes]",
"[Calendario].[AñoMes].&amp;[" &amp; TEXT(M$6,"yyyymm")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N82" s="8">
        <f>IFERROR(
GETPIVOTDATA(
"[Base].[Importe]",
TDinamica_R!$A$5,
"[Calendario].[AñoMes]",
"[Calendario].[AñoMes].&amp;[" &amp; TEXT(N$6,"yyyymm")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O82" s="8">
        <f>IFERROR(
GETPIVOTDATA(
"[Base].[Importe]",
TDinamica_R!$A$5,
"[Calendario].[AñoMes]",
"[Calendario].[AñoMes].&amp;[" &amp; TEXT(O$6,"yyyymm")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P82" s="8">
        <f>IFERROR(
GETPIVOTDATA(
"[Base].[Importe]",
TDinamica_R!$A$5,
"[Calendario].[AñoMes]",
"[Calendario].[AñoMes].&amp;[" &amp; TEXT(P$6,"yyyymm")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Q82" s="8">
        <f>IFERROR(
GETPIVOTDATA(
"[Base].[Importe]",
TDinamica_R!$A$5,
"[Calendario].[AñoMes]",
"[Calendario].[AñoMes].&amp;[" &amp; TEXT(Q$6,"yyyymm")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R82" s="8">
        <f>IFERROR(
GETPIVOTDATA(
"[Base].[Importe]",
TDinamica_R!$A$5,
"[Calendario].[AñoMes]",
"[Calendario].[AñoMes].&amp;[" &amp; TEXT(R$6,"yyyymm")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S82" s="8">
        <f>IFERROR(
GETPIVOTDATA(
"[Base].[Importe]",
TDinamica_R!$A$5,
"[Calendario].[AñoMes]",
"[Calendario].[AñoMes].&amp;[" &amp; TEXT(S$6,"yyyymm")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T82" s="8">
        <f>IFERROR(
GETPIVOTDATA(
"[Base].[Importe]",
TDinamica_R!$A$5,
"[Calendario].[AñoMes]",
"[Calendario].[AñoMes].&amp;[" &amp; TEXT(T$6,"yyyymm")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U82" s="8">
        <f>IFERROR(
GETPIVOTDATA(
"[Base].[Importe]",
TDinamica_R!$A$5,
"[Calendario].[AñoMes]",
"[Calendario].[AñoMes].&amp;[" &amp; TEXT(U$6,"yyyymm")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V82" s="8">
        <f>IFERROR(
GETPIVOTDATA(
"[Base].[Importe]",
TDinamica_R!$A$5,
"[Calendario].[AñoMes]",
"[Calendario].[AñoMes].&amp;[" &amp; TEXT(V$6,"yyyymm")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W82" s="8">
        <f>IFERROR(
GETPIVOTDATA(
"[Base].[Importe]",
TDinamica_R!$A$5,
"[Calendario].[AñoMes]",
"[Calendario].[AñoMes].&amp;[" &amp; TEXT(W$6,"yyyymm")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X82" s="8">
        <f>IFERROR(
GETPIVOTDATA(
"[Base].[Importe]",
TDinamica_R!$A$5,
"[Calendario].[AñoMes]",
"[Calendario].[AñoMes].&amp;[" &amp; TEXT(X$6,"yyyymm")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Y82" s="8">
        <f>IFERROR(
GETPIVOTDATA(
"[Base].[Importe]",
TDinamica_R!$A$5,
"[Calendario].[AñoMes]",
"[Calendario].[AñoMes].&amp;[" &amp; TEXT(Y$6,"yyyymm")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Z82" s="8">
        <f>IFERROR(
GETPIVOTDATA(
"[Base].[Importe]",
TDinamica_R!$A$5,
"[Calendario].[AñoMes]",
"[Calendario].[AñoMes].&amp;[" &amp; TEXT(Z$6,"yyyymm")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A82" s="8">
        <f>IFERROR(
GETPIVOTDATA(
"[Base].[Importe]",
TDinamica_R!$A$5,
"[Calendario].[AñoMes]",
"[Calendario].[AñoMes].&amp;[" &amp; TEXT(AA$6,"yyyymm")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B82" s="8">
        <f>IFERROR(
GETPIVOTDATA(
"[Base].[Importe]",
TDinamica_R!$A$5,
"[Calendario].[AñoMes]",
"[Calendario].[AñoMes].&amp;[" &amp; TEXT(AB$6,"yyyymm")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C82" s="8">
        <f>IFERROR(
GETPIVOTDATA(
"[Base].[Importe]",
TDinamica_R!$A$5,
"[Calendario].[AñoMes]",
"[Calendario].[AñoMes].&amp;[" &amp; TEXT(AC$6,"yyyymm")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D82" s="8">
        <f>IFERROR(
GETPIVOTDATA(
"[Base].[Importe]",
TDinamica_R!$A$5,
"[Calendario].[AñoMes]",
"[Calendario].[AñoMes].&amp;[" &amp; TEXT(AD$6,"yyyymm")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E82" s="8">
        <f>IFERROR(
GETPIVOTDATA(
"[Base].[Importe]",
TDinamica_R!$A$5,
"[Calendario].[AñoMes]",
"[Calendario].[AñoMes].&amp;[" &amp; TEXT(AE$6,"yyyymm")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F82" s="8">
        <f>IFERROR(
GETPIVOTDATA(
"[Base].[Importe]",
TDinamica_R!$A$5,
"[Calendario].[AñoMes]",
"[Calendario].[AñoMes].&amp;[" &amp; TEXT(AF$6,"yyyymm")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G82" s="8">
        <f>IFERROR(
GETPIVOTDATA(
"[Base].[Importe]",
TDinamica_R!$A$5,
"[Calendario].[AñoMes]",
"[Calendario].[AñoMes].&amp;[" &amp; TEXT(AG$6,"yyyymm")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H82" s="8">
        <f>IFERROR(
GETPIVOTDATA(
"[Base].[Importe]",
TDinamica_R!$A$5,
"[Calendario].[AñoMes]",
"[Calendario].[AñoMes].&amp;[" &amp; TEXT(AH$6,"yyyymm")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I82" s="8">
        <f>IFERROR(
GETPIVOTDATA(
"[Base].[Importe]",
TDinamica_R!$A$5,
"[Calendario].[AñoMes]",
"[Calendario].[AñoMes].&amp;[" &amp; TEXT(AI$6,"yyyymm")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J82" s="8">
        <f>IFERROR(
GETPIVOTDATA(
"[Base].[Importe]",
TDinamica_R!$A$5,
"[Calendario].[AñoMes]",
"[Calendario].[AñoMes].&amp;[" &amp; TEXT(AJ$6,"yyyymm")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K82" s="8">
        <f>IFERROR(
GETPIVOTDATA(
"[Base].[Importe]",
TDinamica_R!$A$5,
"[Calendario].[AñoMes]",
"[Calendario].[AñoMes].&amp;[" &amp; TEXT(AK$6,"yyyymm")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L82" s="8">
        <f>IFERROR(
GETPIVOTDATA(
"[Base].[Importe]",
TDinamica_R!$A$5,
"[Calendario].[AñoMes]",
"[Calendario].[AñoMes].&amp;[" &amp; TEXT(AL$6,"yyyymm")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M82" s="8">
        <f>IFERROR(
GETPIVOTDATA(
"[Base].[Importe]",
TDinamica_R!$A$5,
"[Calendario].[AñoMes]",
"[Calendario].[AñoMes].&amp;[" &amp; TEXT(AM$6,"yyyymm")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N82" s="8">
        <f>IFERROR(
GETPIVOTDATA(
"[Base].[Importe]",
TDinamica_R!$A$5,
"[Calendario].[AñoMes]",
"[Calendario].[AñoMes].&amp;[" &amp; TEXT(AN$6,"yyyymm")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O82" s="8">
        <f>IFERROR(
GETPIVOTDATA(
"[Base].[Importe]",
TDinamica_R!$A$5,
"[Calendario].[AñoMes]",
"[Calendario].[AñoMes].&amp;[" &amp; TEXT(AO$6,"yyyymm")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P82" s="8">
        <f>IFERROR(
GETPIVOTDATA(
"[Base].[Importe]",
TDinamica_R!$A$5,
"[Calendario].[AñoMes]",
"[Calendario].[AñoMes].&amp;[" &amp; TEXT(AP$6,"yyyymm")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Q82" s="8">
        <f>IFERROR(
GETPIVOTDATA(
"[Base].[Importe]",
TDinamica_R!$A$5,
"[Calendario].[AñoMes]",
"[Calendario].[AñoMes].&amp;[" &amp; TEXT(AQ$6,"yyyymm")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R82" s="8">
        <f>IFERROR(
GETPIVOTDATA(
"[Base].[Importe]",
TDinamica_R!$A$5,
"[Calendario].[AñoMes]",
"[Calendario].[AñoMes].&amp;[" &amp; TEXT(AR$6,"yyyymm")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S82" s="8">
        <f>IFERROR(
GETPIVOTDATA(
"[Base].[Importe]",
TDinamica_R!$A$5,
"[Calendario].[AñoMes]",
"[Calendario].[AñoMes].&amp;[" &amp; TEXT(AS$6,"yyyymm")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T82" s="8">
        <f>IFERROR(
GETPIVOTDATA(
"[Base].[Importe]",
TDinamica_R!$A$5,
"[Calendario].[AñoMes]",
"[Calendario].[AñoMes].&amp;[" &amp; TEXT(AT$6,"yyyymm")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U82" s="8">
        <f>IFERROR(
GETPIVOTDATA(
"[Base].[Importe]",
TDinamica_R!$A$5,
"[Calendario].[AñoMes]",
"[Calendario].[AñoMes].&amp;[" &amp; TEXT(AU$6,"yyyymm")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V82" s="8">
        <f>IFERROR(
GETPIVOTDATA(
"[Base].[Importe]",
TDinamica_R!$A$5,
"[Calendario].[AñoMes]",
"[Calendario].[AñoMes].&amp;[" &amp; TEXT(AV$6,"yyyymm")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W82" s="8">
        <f>IFERROR(
GETPIVOTDATA(
"[Base].[Importe]",
TDinamica_R!$A$5,
"[Calendario].[AñoMes]",
"[Calendario].[AñoMes].&amp;[" &amp; TEXT(AW$6,"yyyymm")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X82" s="8">
        <f>IFERROR(
GETPIVOTDATA(
"[Base].[Importe]",
TDinamica_R!$A$5,
"[Calendario].[AñoMes]",
"[Calendario].[AñoMes].&amp;[" &amp; TEXT(AX$6,"yyyymm")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Y82" s="8">
        <f>IFERROR(
GETPIVOTDATA(
"[Base].[Importe]",
TDinamica_R!$A$5,
"[Calendario].[AñoMes]",
"[Calendario].[AñoMes].&amp;[" &amp; TEXT(AY$6,"yyyymm")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Z82" s="8">
        <f>IFERROR(
GETPIVOTDATA(
"[BASE_CONVE_PPTO].[Importe]",
TDinamica_P!$A$5,
"[BASE_CONVE_PPTO].[Periodo]",
"[BASE_CONVE_PPTO].[Periodo].&amp;[" &amp; TEXT(AZ$6,"yyyymm")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A82" s="8">
        <f>IFERROR(
GETPIVOTDATA(
"[BASE_CONVE_PPTO].[Importe]",
TDinamica_P!$A$5,
"[BASE_CONVE_PPTO].[Periodo]",
"[BASE_CONVE_PPTO].[Periodo].&amp;[" &amp; TEXT(BA$6,"yyyymm")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B82" s="8">
        <f>IFERROR(
GETPIVOTDATA(
"[BASE_CONVE_PPTO].[Importe]",
TDinamica_P!$A$5,
"[BASE_CONVE_PPTO].[Periodo]",
"[BASE_CONVE_PPTO].[Periodo].&amp;[" &amp; TEXT(BB$6,"yyyymm")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C82" s="8">
        <f>IFERROR(
GETPIVOTDATA(
"[BASE_CONVE_PPTO].[Importe]",
TDinamica_P!$A$5,
"[BASE_CONVE_PPTO].[Periodo]",
"[BASE_CONVE_PPTO].[Periodo].&amp;[" &amp; TEXT(BC$6,"yyyymm")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D82" s="8">
        <f>IFERROR(
GETPIVOTDATA(
"[BASE_CONVE_PPTO].[Importe]",
TDinamica_P!$A$5,
"[BASE_CONVE_PPTO].[Periodo]",
"[BASE_CONVE_PPTO].[Periodo].&amp;[" &amp; TEXT(BD$6,"yyyymm")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E82" s="8">
        <f>IFERROR(
GETPIVOTDATA(
"[BASE_CONVE_PPTO].[Importe]",
TDinamica_P!$A$5,
"[BASE_CONVE_PPTO].[Periodo]",
"[BASE_CONVE_PPTO].[Periodo].&amp;[" &amp; TEXT(BE$6,"yyyymm")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F82" s="8">
        <f>IFERROR(
GETPIVOTDATA(
"[BASE_CONVE_PPTO].[Importe]",
TDinamica_P!$A$5,
"[BASE_CONVE_PPTO].[Periodo]",
"[BASE_CONVE_PPTO].[Periodo].&amp;[" &amp; TEXT(BF$6,"yyyymm")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G82" s="8">
        <f>IFERROR(
GETPIVOTDATA(
"[BASE_CONVE_PPTO].[Importe]",
TDinamica_P!$A$5,
"[BASE_CONVE_PPTO].[Periodo]",
"[BASE_CONVE_PPTO].[Periodo].&amp;[" &amp; TEXT(BG$6,"yyyymm")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H82" s="8">
        <f>IFERROR(
GETPIVOTDATA(
"[BASE_CONVE_PPTO].[Importe]",
TDinamica_P!$A$5,
"[BASE_CONVE_PPTO].[Periodo]",
"[BASE_CONVE_PPTO].[Periodo].&amp;[" &amp; TEXT(BH$6,"yyyymm")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I82" s="8">
        <f>IFERROR(
GETPIVOTDATA(
"[BASE_CONVE_PPTO].[Importe]",
TDinamica_P!$A$5,
"[BASE_CONVE_PPTO].[Periodo]",
"[BASE_CONVE_PPTO].[Periodo].&amp;[" &amp; TEXT(BI$6,"yyyymm")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J82" s="8">
        <f>IFERROR(
GETPIVOTDATA(
"[BASE_CONVE_PPTO].[Importe]",
TDinamica_P!$A$5,
"[BASE_CONVE_PPTO].[Periodo]",
"[BASE_CONVE_PPTO].[Periodo].&amp;[" &amp; TEXT(BJ$6,"yyyymm")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K82" s="8">
        <f>IFERROR(
GETPIVOTDATA(
"[BASE_CONVE_PPTO].[Importe]",
TDinamica_P!$A$5,
"[BASE_CONVE_PPTO].[Periodo]",
"[BASE_CONVE_PPTO].[Periodo].&amp;[" &amp; TEXT(BK$6,"yyyymm")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O82" s="24">
        <f t="shared" si="50"/>
        <v>0</v>
      </c>
      <c r="BP82" s="24">
        <f t="shared" si="50"/>
        <v>0</v>
      </c>
      <c r="BQ82" s="24">
        <f t="shared" si="50"/>
        <v>0</v>
      </c>
      <c r="BR82" s="24">
        <f t="shared" si="50"/>
        <v>0</v>
      </c>
      <c r="BS82" s="24">
        <f t="shared" si="50"/>
        <v>0</v>
      </c>
      <c r="BT82" s="24">
        <f t="shared" si="50"/>
        <v>0</v>
      </c>
    </row>
    <row r="83" spans="1:72" x14ac:dyDescent="0.25">
      <c r="C83" s="3" t="s">
        <v>71</v>
      </c>
      <c r="D83" s="10">
        <f t="shared" ref="D83:AY83" si="51">SUM(D63:D82)</f>
        <v>656.52762919999998</v>
      </c>
      <c r="E83" s="10">
        <f t="shared" si="51"/>
        <v>588.51353820000008</v>
      </c>
      <c r="F83" s="10">
        <f t="shared" si="51"/>
        <v>572.51141899999993</v>
      </c>
      <c r="G83" s="10">
        <f t="shared" si="51"/>
        <v>648.45062460000008</v>
      </c>
      <c r="H83" s="10">
        <f t="shared" si="51"/>
        <v>561.18308410000009</v>
      </c>
      <c r="I83" s="10">
        <f t="shared" si="51"/>
        <v>624.62029569999993</v>
      </c>
      <c r="J83" s="10">
        <f t="shared" si="51"/>
        <v>535.83061190000001</v>
      </c>
      <c r="K83" s="10">
        <f t="shared" si="51"/>
        <v>537.04882680000003</v>
      </c>
      <c r="L83" s="10">
        <f t="shared" si="51"/>
        <v>549.26139799999987</v>
      </c>
      <c r="M83" s="10">
        <f t="shared" si="51"/>
        <v>457.26439760000005</v>
      </c>
      <c r="N83" s="10">
        <f t="shared" si="51"/>
        <v>655.56373060000021</v>
      </c>
      <c r="O83" s="10">
        <f t="shared" si="51"/>
        <v>248.99048319999986</v>
      </c>
      <c r="P83" s="10">
        <f t="shared" si="51"/>
        <v>502.65106820000005</v>
      </c>
      <c r="Q83" s="10">
        <f t="shared" si="51"/>
        <v>597.47463090000019</v>
      </c>
      <c r="R83" s="10">
        <f t="shared" si="51"/>
        <v>592.71925470000008</v>
      </c>
      <c r="S83" s="10">
        <f t="shared" si="51"/>
        <v>568.73060149999992</v>
      </c>
      <c r="T83" s="10">
        <f t="shared" si="51"/>
        <v>467.20360850000009</v>
      </c>
      <c r="U83" s="10">
        <f t="shared" si="51"/>
        <v>664.79546040000002</v>
      </c>
      <c r="V83" s="10">
        <f t="shared" si="51"/>
        <v>680.0145369999999</v>
      </c>
      <c r="W83" s="10">
        <f t="shared" si="51"/>
        <v>509.25560059999998</v>
      </c>
      <c r="X83" s="10">
        <f t="shared" si="51"/>
        <v>1183.2490605000003</v>
      </c>
      <c r="Y83" s="10">
        <f t="shared" si="51"/>
        <v>75.742974160000017</v>
      </c>
      <c r="Z83" s="10">
        <f t="shared" si="51"/>
        <v>196.9675886</v>
      </c>
      <c r="AA83" s="10">
        <f t="shared" si="51"/>
        <v>1188.6841182771</v>
      </c>
      <c r="AB83" s="10">
        <f t="shared" si="51"/>
        <v>433.77248590000011</v>
      </c>
      <c r="AC83" s="10">
        <f t="shared" si="51"/>
        <v>496.44863690000011</v>
      </c>
      <c r="AD83" s="10">
        <f t="shared" si="51"/>
        <v>599.33101339999985</v>
      </c>
      <c r="AE83" s="10">
        <f t="shared" si="51"/>
        <v>459.50266240000008</v>
      </c>
      <c r="AF83" s="10">
        <f t="shared" si="51"/>
        <v>1035.1876257399999</v>
      </c>
      <c r="AG83" s="10">
        <f t="shared" si="51"/>
        <v>995.11618617999989</v>
      </c>
      <c r="AH83" s="10">
        <f t="shared" si="51"/>
        <v>1028.9721759599997</v>
      </c>
      <c r="AI83" s="10">
        <f t="shared" si="51"/>
        <v>1076.5695667099999</v>
      </c>
      <c r="AJ83" s="10">
        <f t="shared" si="51"/>
        <v>1599.6122984000001</v>
      </c>
      <c r="AK83" s="10">
        <f t="shared" si="51"/>
        <v>1060.2071976089999</v>
      </c>
      <c r="AL83" s="10">
        <f t="shared" si="51"/>
        <v>1057.1284991199998</v>
      </c>
      <c r="AM83" s="10">
        <f t="shared" si="51"/>
        <v>1033.1923393499999</v>
      </c>
      <c r="AN83" s="10">
        <f t="shared" si="51"/>
        <v>917.84521427337847</v>
      </c>
      <c r="AO83" s="10">
        <f t="shared" si="51"/>
        <v>1097.2491079106683</v>
      </c>
      <c r="AP83" s="10">
        <f t="shared" si="51"/>
        <v>802.61087099065162</v>
      </c>
      <c r="AQ83" s="10">
        <f t="shared" si="51"/>
        <v>1173.8185824222555</v>
      </c>
      <c r="AR83" s="10">
        <f t="shared" si="51"/>
        <v>883.45875710572591</v>
      </c>
      <c r="AS83" s="10">
        <f t="shared" si="51"/>
        <v>1062.1319726226916</v>
      </c>
      <c r="AT83" s="10">
        <f t="shared" si="51"/>
        <v>0</v>
      </c>
      <c r="AU83" s="10">
        <f t="shared" si="51"/>
        <v>0</v>
      </c>
      <c r="AV83" s="10">
        <f t="shared" si="51"/>
        <v>0</v>
      </c>
      <c r="AW83" s="10">
        <f t="shared" si="51"/>
        <v>0</v>
      </c>
      <c r="AX83" s="10">
        <f t="shared" si="51"/>
        <v>0</v>
      </c>
      <c r="AY83" s="10">
        <f t="shared" si="51"/>
        <v>0</v>
      </c>
      <c r="AZ83" s="10">
        <f t="shared" ref="AZ83:BK83" si="52">SUM(AZ63:AZ82)</f>
        <v>873.75174268409273</v>
      </c>
      <c r="BA83" s="10">
        <f t="shared" si="52"/>
        <v>868.18918092401282</v>
      </c>
      <c r="BB83" s="10">
        <f t="shared" si="52"/>
        <v>863.20323878683439</v>
      </c>
      <c r="BC83" s="10">
        <f t="shared" si="52"/>
        <v>857.65494276447862</v>
      </c>
      <c r="BD83" s="10">
        <f t="shared" si="52"/>
        <v>706.16130332226203</v>
      </c>
      <c r="BE83" s="10">
        <f t="shared" si="52"/>
        <v>703.32801438442777</v>
      </c>
      <c r="BF83" s="10">
        <f t="shared" si="52"/>
        <v>650.31866524560348</v>
      </c>
      <c r="BG83" s="10">
        <f t="shared" si="52"/>
        <v>645.48535521221106</v>
      </c>
      <c r="BH83" s="10">
        <f t="shared" si="52"/>
        <v>591.92707542553489</v>
      </c>
      <c r="BI83" s="10">
        <f t="shared" si="52"/>
        <v>586.7545767127508</v>
      </c>
      <c r="BJ83" s="10">
        <f t="shared" si="52"/>
        <v>485.05091253047931</v>
      </c>
      <c r="BK83" s="10">
        <f t="shared" si="52"/>
        <v>480.16920592085216</v>
      </c>
      <c r="BO83" s="23">
        <f>SUM(BO63:BO82)</f>
        <v>4874.9825327026801</v>
      </c>
      <c r="BP83" s="23">
        <f t="shared" ref="BP83:BT83" si="53">SUM(BP63:BP82)</f>
        <v>4168.9604084816801</v>
      </c>
      <c r="BQ83" s="23">
        <f t="shared" si="53"/>
        <v>3991.5237755969547</v>
      </c>
      <c r="BR83" s="23">
        <f t="shared" si="53"/>
        <v>3024.2424243399987</v>
      </c>
      <c r="BS83" s="23">
        <f t="shared" si="53"/>
        <v>2728.7791637999999</v>
      </c>
      <c r="BT83" s="23">
        <f t="shared" si="53"/>
        <v>3027.1862950999998</v>
      </c>
    </row>
    <row r="86" spans="1:72" outlineLevel="1" x14ac:dyDescent="0.25">
      <c r="A86" s="11" t="s">
        <v>75</v>
      </c>
      <c r="C86" s="2" t="s">
        <v>78</v>
      </c>
      <c r="D86" s="8">
        <f>IFERROR(
GETPIVOTDATA(
"[Base].[Importe]",
TDinamica_R!$A$5,
"[Calendario].[AñoMes]",
"[Calendario].[AñoMes].&amp;[" &amp; TEXT(D$6,"yyyymm") &amp; "]",
"[Base].[Metrica]",
"[Base].[Metrica].&amp;[" &amp; $A86 &amp; "]",
"[Base].[SEGMENTO_DESCRIP]",
"[Base].[SEGMENTO_DESCRIP].&amp;[" &amp; $C$6 &amp; "]",
"[Base].[SITUACION]",
"[Base].[SITUACION].&amp;[" &amp; $C86 &amp; "]"
),0)/1000</f>
        <v>-3933.8889669704995</v>
      </c>
      <c r="E86" s="8">
        <f>IFERROR(
GETPIVOTDATA(
"[Base].[Importe]",
TDinamica_R!$A$5,
"[Calendario].[AñoMes]",
"[Calendario].[AñoMes].&amp;[" &amp; TEXT(E$6,"yyyymm") &amp; "]",
"[Base].[Metrica]",
"[Base].[Metrica].&amp;[" &amp; $A86 &amp; "]",
"[Base].[SEGMENTO_DESCRIP]",
"[Base].[SEGMENTO_DESCRIP].&amp;[" &amp; $C$6 &amp; "]",
"[Base].[SITUACION]",
"[Base].[SITUACION].&amp;[" &amp; $C86 &amp; "]"
),0)/1000</f>
        <v>-4227.7962690724007</v>
      </c>
      <c r="F86" s="8">
        <f>IFERROR(
GETPIVOTDATA(
"[Base].[Importe]",
TDinamica_R!$A$5,
"[Calendario].[AñoMes]",
"[Calendario].[AñoMes].&amp;[" &amp; TEXT(F$6,"yyyymm") &amp; "]",
"[Base].[Metrica]",
"[Base].[Metrica].&amp;[" &amp; $A86 &amp; "]",
"[Base].[SEGMENTO_DESCRIP]",
"[Base].[SEGMENTO_DESCRIP].&amp;[" &amp; $C$6 &amp; "]",
"[Base].[SITUACION]",
"[Base].[SITUACION].&amp;[" &amp; $C86 &amp; "]"
),0)/1000</f>
        <v>-3998.7578633194003</v>
      </c>
      <c r="G86" s="8">
        <f>IFERROR(
GETPIVOTDATA(
"[Base].[Importe]",
TDinamica_R!$A$5,
"[Calendario].[AñoMes]",
"[Calendario].[AñoMes].&amp;[" &amp; TEXT(G$6,"yyyymm") &amp; "]",
"[Base].[Metrica]",
"[Base].[Metrica].&amp;[" &amp; $A86 &amp; "]",
"[Base].[SEGMENTO_DESCRIP]",
"[Base].[SEGMENTO_DESCRIP].&amp;[" &amp; $C$6 &amp; "]",
"[Base].[SITUACION]",
"[Base].[SITUACION].&amp;[" &amp; $C86 &amp; "]"
),0)/1000</f>
        <v>-4402.7113791512002</v>
      </c>
      <c r="H86" s="8">
        <f>IFERROR(
GETPIVOTDATA(
"[Base].[Importe]",
TDinamica_R!$A$5,
"[Calendario].[AñoMes]",
"[Calendario].[AñoMes].&amp;[" &amp; TEXT(H$6,"yyyymm") &amp; "]",
"[Base].[Metrica]",
"[Base].[Metrica].&amp;[" &amp; $A86 &amp; "]",
"[Base].[SEGMENTO_DESCRIP]",
"[Base].[SEGMENTO_DESCRIP].&amp;[" &amp; $C$6 &amp; "]",
"[Base].[SITUACION]",
"[Base].[SITUACION].&amp;[" &amp; $C86 &amp; "]"
),0)/1000</f>
        <v>-3793.2998599781004</v>
      </c>
      <c r="I86" s="8">
        <f>IFERROR(
GETPIVOTDATA(
"[Base].[Importe]",
TDinamica_R!$A$5,
"[Calendario].[AñoMes]",
"[Calendario].[AñoMes].&amp;[" &amp; TEXT(I$6,"yyyymm") &amp; "]",
"[Base].[Metrica]",
"[Base].[Metrica].&amp;[" &amp; $A86 &amp; "]",
"[Base].[SEGMENTO_DESCRIP]",
"[Base].[SEGMENTO_DESCRIP].&amp;[" &amp; $C$6 &amp; "]",
"[Base].[SITUACION]",
"[Base].[SITUACION].&amp;[" &amp; $C86 &amp; "]"
),0)/1000</f>
        <v>-3790.8720370291003</v>
      </c>
      <c r="J86" s="8">
        <f>IFERROR(
GETPIVOTDATA(
"[Base].[Importe]",
TDinamica_R!$A$5,
"[Calendario].[AñoMes]",
"[Calendario].[AñoMes].&amp;[" &amp; TEXT(J$6,"yyyymm") &amp; "]",
"[Base].[Metrica]",
"[Base].[Metrica].&amp;[" &amp; $A86 &amp; "]",
"[Base].[SEGMENTO_DESCRIP]",
"[Base].[SEGMENTO_DESCRIP].&amp;[" &amp; $C$6 &amp; "]",
"[Base].[SITUACION]",
"[Base].[SITUACION].&amp;[" &amp; $C86 &amp; "]"
),0)/1000</f>
        <v>-3896.5317398085003</v>
      </c>
      <c r="K86" s="8">
        <f>IFERROR(
GETPIVOTDATA(
"[Base].[Importe]",
TDinamica_R!$A$5,
"[Calendario].[AñoMes]",
"[Calendario].[AñoMes].&amp;[" &amp; TEXT(K$6,"yyyymm") &amp; "]",
"[Base].[Metrica]",
"[Base].[Metrica].&amp;[" &amp; $A86 &amp; "]",
"[Base].[SEGMENTO_DESCRIP]",
"[Base].[SEGMENTO_DESCRIP].&amp;[" &amp; $C$6 &amp; "]",
"[Base].[SITUACION]",
"[Base].[SITUACION].&amp;[" &amp; $C86 &amp; "]"
),0)/1000</f>
        <v>-3349.3952383580004</v>
      </c>
      <c r="L86" s="8">
        <f>IFERROR(
GETPIVOTDATA(
"[Base].[Importe]",
TDinamica_R!$A$5,
"[Calendario].[AñoMes]",
"[Calendario].[AñoMes].&amp;[" &amp; TEXT(L$6,"yyyymm") &amp; "]",
"[Base].[Metrica]",
"[Base].[Metrica].&amp;[" &amp; $A86 &amp; "]",
"[Base].[SEGMENTO_DESCRIP]",
"[Base].[SEGMENTO_DESCRIP].&amp;[" &amp; $C$6 &amp; "]",
"[Base].[SITUACION]",
"[Base].[SITUACION].&amp;[" &amp; $C86 &amp; "]"
),0)/1000</f>
        <v>-3580.9216614987999</v>
      </c>
      <c r="M86" s="8">
        <f>IFERROR(
GETPIVOTDATA(
"[Base].[Importe]",
TDinamica_R!$A$5,
"[Calendario].[AñoMes]",
"[Calendario].[AñoMes].&amp;[" &amp; TEXT(M$6,"yyyymm") &amp; "]",
"[Base].[Metrica]",
"[Base].[Metrica].&amp;[" &amp; $A86 &amp; "]",
"[Base].[SEGMENTO_DESCRIP]",
"[Base].[SEGMENTO_DESCRIP].&amp;[" &amp; $C$6 &amp; "]",
"[Base].[SITUACION]",
"[Base].[SITUACION].&amp;[" &amp; $C86 &amp; "]"
),0)/1000</f>
        <v>-3546.3201633550998</v>
      </c>
      <c r="N86" s="8">
        <f>IFERROR(
GETPIVOTDATA(
"[Base].[Importe]",
TDinamica_R!$A$5,
"[Calendario].[AñoMes]",
"[Calendario].[AñoMes].&amp;[" &amp; TEXT(N$6,"yyyymm") &amp; "]",
"[Base].[Metrica]",
"[Base].[Metrica].&amp;[" &amp; $A86 &amp; "]",
"[Base].[SEGMENTO_DESCRIP]",
"[Base].[SEGMENTO_DESCRIP].&amp;[" &amp; $C$6 &amp; "]",
"[Base].[SITUACION]",
"[Base].[SITUACION].&amp;[" &amp; $C86 &amp; "]"
),0)/1000</f>
        <v>-3272.5705115026999</v>
      </c>
      <c r="O86" s="8">
        <f>IFERROR(
GETPIVOTDATA(
"[Base].[Importe]",
TDinamica_R!$A$5,
"[Calendario].[AñoMes]",
"[Calendario].[AñoMes].&amp;[" &amp; TEXT(O$6,"yyyymm") &amp; "]",
"[Base].[Metrica]",
"[Base].[Metrica].&amp;[" &amp; $A86 &amp; "]",
"[Base].[SEGMENTO_DESCRIP]",
"[Base].[SEGMENTO_DESCRIP].&amp;[" &amp; $C$6 &amp; "]",
"[Base].[SITUACION]",
"[Base].[SITUACION].&amp;[" &amp; $C86 &amp; "]"
),0)/1000</f>
        <v>-3061.0904263549996</v>
      </c>
      <c r="P86" s="8">
        <f>IFERROR(
GETPIVOTDATA(
"[Base].[Importe]",
TDinamica_R!$A$5,
"[Calendario].[AñoMes]",
"[Calendario].[AñoMes].&amp;[" &amp; TEXT(P$6,"yyyymm") &amp; "]",
"[Base].[Metrica]",
"[Base].[Metrica].&amp;[" &amp; $A86 &amp; "]",
"[Base].[SEGMENTO_DESCRIP]",
"[Base].[SEGMENTO_DESCRIP].&amp;[" &amp; $C$6 &amp; "]",
"[Base].[SITUACION]",
"[Base].[SITUACION].&amp;[" &amp; $C86 &amp; "]"
),0)/1000</f>
        <v>-3213.7257340077003</v>
      </c>
      <c r="Q86" s="8">
        <f>IFERROR(
GETPIVOTDATA(
"[Base].[Importe]",
TDinamica_R!$A$5,
"[Calendario].[AñoMes]",
"[Calendario].[AñoMes].&amp;[" &amp; TEXT(Q$6,"yyyymm") &amp; "]",
"[Base].[Metrica]",
"[Base].[Metrica].&amp;[" &amp; $A86 &amp; "]",
"[Base].[SEGMENTO_DESCRIP]",
"[Base].[SEGMENTO_DESCRIP].&amp;[" &amp; $C$6 &amp; "]",
"[Base].[SITUACION]",
"[Base].[SITUACION].&amp;[" &amp; $C86 &amp; "]"
),0)/1000</f>
        <v>-3979.4335745834001</v>
      </c>
      <c r="R86" s="8">
        <f>IFERROR(
GETPIVOTDATA(
"[Base].[Importe]",
TDinamica_R!$A$5,
"[Calendario].[AñoMes]",
"[Calendario].[AñoMes].&amp;[" &amp; TEXT(R$6,"yyyymm") &amp; "]",
"[Base].[Metrica]",
"[Base].[Metrica].&amp;[" &amp; $A86 &amp; "]",
"[Base].[SEGMENTO_DESCRIP]",
"[Base].[SEGMENTO_DESCRIP].&amp;[" &amp; $C$6 &amp; "]",
"[Base].[SITUACION]",
"[Base].[SITUACION].&amp;[" &amp; $C86 &amp; "]"
),0)/1000</f>
        <v>-3696.4848919071001</v>
      </c>
      <c r="S86" s="8">
        <f>IFERROR(
GETPIVOTDATA(
"[Base].[Importe]",
TDinamica_R!$A$5,
"[Calendario].[AñoMes]",
"[Calendario].[AñoMes].&amp;[" &amp; TEXT(S$6,"yyyymm") &amp; "]",
"[Base].[Metrica]",
"[Base].[Metrica].&amp;[" &amp; $A86 &amp; "]",
"[Base].[SEGMENTO_DESCRIP]",
"[Base].[SEGMENTO_DESCRIP].&amp;[" &amp; $C$6 &amp; "]",
"[Base].[SITUACION]",
"[Base].[SITUACION].&amp;[" &amp; $C86 &amp; "]"
),0)/1000</f>
        <v>-3529.0259220313001</v>
      </c>
      <c r="T86" s="8">
        <f>IFERROR(
GETPIVOTDATA(
"[Base].[Importe]",
TDinamica_R!$A$5,
"[Calendario].[AñoMes]",
"[Calendario].[AñoMes].&amp;[" &amp; TEXT(T$6,"yyyymm") &amp; "]",
"[Base].[Metrica]",
"[Base].[Metrica].&amp;[" &amp; $A86 &amp; "]",
"[Base].[SEGMENTO_DESCRIP]",
"[Base].[SEGMENTO_DESCRIP].&amp;[" &amp; $C$6 &amp; "]",
"[Base].[SITUACION]",
"[Base].[SITUACION].&amp;[" &amp; $C86 &amp; "]"
),0)/1000</f>
        <v>-3869.8464182908001</v>
      </c>
      <c r="U86" s="8">
        <f>IFERROR(
GETPIVOTDATA(
"[Base].[Importe]",
TDinamica_R!$A$5,
"[Calendario].[AñoMes]",
"[Calendario].[AñoMes].&amp;[" &amp; TEXT(U$6,"yyyymm") &amp; "]",
"[Base].[Metrica]",
"[Base].[Metrica].&amp;[" &amp; $A86 &amp; "]",
"[Base].[SEGMENTO_DESCRIP]",
"[Base].[SEGMENTO_DESCRIP].&amp;[" &amp; $C$6 &amp; "]",
"[Base].[SITUACION]",
"[Base].[SITUACION].&amp;[" &amp; $C86 &amp; "]"
),0)/1000</f>
        <v>-3419.2241004644998</v>
      </c>
      <c r="V86" s="8">
        <f>IFERROR(
GETPIVOTDATA(
"[Base].[Importe]",
TDinamica_R!$A$5,
"[Calendario].[AñoMes]",
"[Calendario].[AñoMes].&amp;[" &amp; TEXT(V$6,"yyyymm") &amp; "]",
"[Base].[Metrica]",
"[Base].[Metrica].&amp;[" &amp; $A86 &amp; "]",
"[Base].[SEGMENTO_DESCRIP]",
"[Base].[SEGMENTO_DESCRIP].&amp;[" &amp; $C$6 &amp; "]",
"[Base].[SITUACION]",
"[Base].[SITUACION].&amp;[" &amp; $C86 &amp; "]"
),0)/1000</f>
        <v>-3776.2799530498</v>
      </c>
      <c r="W86" s="8">
        <f>IFERROR(
GETPIVOTDATA(
"[Base].[Importe]",
TDinamica_R!$A$5,
"[Calendario].[AñoMes]",
"[Calendario].[AñoMes].&amp;[" &amp; TEXT(W$6,"yyyymm") &amp; "]",
"[Base].[Metrica]",
"[Base].[Metrica].&amp;[" &amp; $A86 &amp; "]",
"[Base].[SEGMENTO_DESCRIP]",
"[Base].[SEGMENTO_DESCRIP].&amp;[" &amp; $C$6 &amp; "]",
"[Base].[SITUACION]",
"[Base].[SITUACION].&amp;[" &amp; $C86 &amp; "]"
),0)/1000</f>
        <v>-3465.7501565509001</v>
      </c>
      <c r="X86" s="8">
        <f>IFERROR(
GETPIVOTDATA(
"[Base].[Importe]",
TDinamica_R!$A$5,
"[Calendario].[AñoMes]",
"[Calendario].[AñoMes].&amp;[" &amp; TEXT(X$6,"yyyymm") &amp; "]",
"[Base].[Metrica]",
"[Base].[Metrica].&amp;[" &amp; $A86 &amp; "]",
"[Base].[SEGMENTO_DESCRIP]",
"[Base].[SEGMENTO_DESCRIP].&amp;[" &amp; $C$6 &amp; "]",
"[Base].[SITUACION]",
"[Base].[SITUACION].&amp;[" &amp; $C86 &amp; "]"
),0)/1000</f>
        <v>-3570.8818836534001</v>
      </c>
      <c r="Y86" s="8">
        <f>IFERROR(
GETPIVOTDATA(
"[Base].[Importe]",
TDinamica_R!$A$5,
"[Calendario].[AñoMes]",
"[Calendario].[AñoMes].&amp;[" &amp; TEXT(Y$6,"yyyymm") &amp; "]",
"[Base].[Metrica]",
"[Base].[Metrica].&amp;[" &amp; $A86 &amp; "]",
"[Base].[SEGMENTO_DESCRIP]",
"[Base].[SEGMENTO_DESCRIP].&amp;[" &amp; $C$6 &amp; "]",
"[Base].[SITUACION]",
"[Base].[SITUACION].&amp;[" &amp; $C86 &amp; "]"
),0)/1000</f>
        <v>-3556.1150225877996</v>
      </c>
      <c r="Z86" s="8">
        <f>IFERROR(
GETPIVOTDATA(
"[Base].[Importe]",
TDinamica_R!$A$5,
"[Calendario].[AñoMes]",
"[Calendario].[AñoMes].&amp;[" &amp; TEXT(Z$6,"yyyymm") &amp; "]",
"[Base].[Metrica]",
"[Base].[Metrica].&amp;[" &amp; $A86 &amp; "]",
"[Base].[SEGMENTO_DESCRIP]",
"[Base].[SEGMENTO_DESCRIP].&amp;[" &amp; $C$6 &amp; "]",
"[Base].[SITUACION]",
"[Base].[SITUACION].&amp;[" &amp; $C86 &amp; "]"
),0)/1000</f>
        <v>-3518.9264349081004</v>
      </c>
      <c r="AA86" s="8">
        <f>IFERROR(
GETPIVOTDATA(
"[Base].[Importe]",
TDinamica_R!$A$5,
"[Calendario].[AñoMes]",
"[Calendario].[AñoMes].&amp;[" &amp; TEXT(AA$6,"yyyymm") &amp; "]",
"[Base].[Metrica]",
"[Base].[Metrica].&amp;[" &amp; $A86 &amp; "]",
"[Base].[SEGMENTO_DESCRIP]",
"[Base].[SEGMENTO_DESCRIP].&amp;[" &amp; $C$6 &amp; "]",
"[Base].[SITUACION]",
"[Base].[SITUACION].&amp;[" &amp; $C86 &amp; "]"
),0)/1000</f>
        <v>-3385.8877127524001</v>
      </c>
      <c r="AB86" s="8">
        <f>IFERROR(
GETPIVOTDATA(
"[Base].[Importe]",
TDinamica_R!$A$5,
"[Calendario].[AñoMes]",
"[Calendario].[AñoMes].&amp;[" &amp; TEXT(AB$6,"yyyymm") &amp; "]",
"[Base].[Metrica]",
"[Base].[Metrica].&amp;[" &amp; $A86 &amp; "]",
"[Base].[SEGMENTO_DESCRIP]",
"[Base].[SEGMENTO_DESCRIP].&amp;[" &amp; $C$6 &amp; "]",
"[Base].[SITUACION]",
"[Base].[SITUACION].&amp;[" &amp; $C86 &amp; "]"
),0)/1000</f>
        <v>-3716.4605656888002</v>
      </c>
      <c r="AC86" s="8">
        <f>IFERROR(
GETPIVOTDATA(
"[Base].[Importe]",
TDinamica_R!$A$5,
"[Calendario].[AñoMes]",
"[Calendario].[AñoMes].&amp;[" &amp; TEXT(AC$6,"yyyymm") &amp; "]",
"[Base].[Metrica]",
"[Base].[Metrica].&amp;[" &amp; $A86 &amp; "]",
"[Base].[SEGMENTO_DESCRIP]",
"[Base].[SEGMENTO_DESCRIP].&amp;[" &amp; $C$6 &amp; "]",
"[Base].[SITUACION]",
"[Base].[SITUACION].&amp;[" &amp; $C86 &amp; "]"
),0)/1000</f>
        <v>-3715.3733081504001</v>
      </c>
      <c r="AD86" s="8">
        <f>IFERROR(
GETPIVOTDATA(
"[Base].[Importe]",
TDinamica_R!$A$5,
"[Calendario].[AñoMes]",
"[Calendario].[AñoMes].&amp;[" &amp; TEXT(AD$6,"yyyymm") &amp; "]",
"[Base].[Metrica]",
"[Base].[Metrica].&amp;[" &amp; $A86 &amp; "]",
"[Base].[SEGMENTO_DESCRIP]",
"[Base].[SEGMENTO_DESCRIP].&amp;[" &amp; $C$6 &amp; "]",
"[Base].[SITUACION]",
"[Base].[SITUACION].&amp;[" &amp; $C86 &amp; "]"
),0)/1000</f>
        <v>-3946.5791009789</v>
      </c>
      <c r="AE86" s="8">
        <f>IFERROR(
GETPIVOTDATA(
"[Base].[Importe]",
TDinamica_R!$A$5,
"[Calendario].[AñoMes]",
"[Calendario].[AñoMes].&amp;[" &amp; TEXT(AE$6,"yyyymm") &amp; "]",
"[Base].[Metrica]",
"[Base].[Metrica].&amp;[" &amp; $A86 &amp; "]",
"[Base].[SEGMENTO_DESCRIP]",
"[Base].[SEGMENTO_DESCRIP].&amp;[" &amp; $C$6 &amp; "]",
"[Base].[SITUACION]",
"[Base].[SITUACION].&amp;[" &amp; $C86 &amp; "]"
),0)/1000</f>
        <v>-4147.2053170216996</v>
      </c>
      <c r="AF86" s="8">
        <f>IFERROR(
GETPIVOTDATA(
"[Base].[Importe]",
TDinamica_R!$A$5,
"[Calendario].[AñoMes]",
"[Calendario].[AñoMes].&amp;[" &amp; TEXT(AF$6,"yyyymm") &amp; "]",
"[Base].[Metrica]",
"[Base].[Metrica].&amp;[" &amp; $A86 &amp; "]",
"[Base].[SEGMENTO_DESCRIP]",
"[Base].[SEGMENTO_DESCRIP].&amp;[" &amp; $C$6 &amp; "]",
"[Base].[SITUACION]",
"[Base].[SITUACION].&amp;[" &amp; $C86 &amp; "]"
),0)/1000</f>
        <v>-4144.9707712562995</v>
      </c>
      <c r="AG86" s="8">
        <f>IFERROR(
GETPIVOTDATA(
"[Base].[Importe]",
TDinamica_R!$A$5,
"[Calendario].[AñoMes]",
"[Calendario].[AñoMes].&amp;[" &amp; TEXT(AG$6,"yyyymm") &amp; "]",
"[Base].[Metrica]",
"[Base].[Metrica].&amp;[" &amp; $A86 &amp; "]",
"[Base].[SEGMENTO_DESCRIP]",
"[Base].[SEGMENTO_DESCRIP].&amp;[" &amp; $C$6 &amp; "]",
"[Base].[SITUACION]",
"[Base].[SITUACION].&amp;[" &amp; $C86 &amp; "]"
),0)/1000</f>
        <v>-4155.3399344695999</v>
      </c>
      <c r="AH86" s="8">
        <f>IFERROR(
GETPIVOTDATA(
"[Base].[Importe]",
TDinamica_R!$A$5,
"[Calendario].[AñoMes]",
"[Calendario].[AñoMes].&amp;[" &amp; TEXT(AH$6,"yyyymm") &amp; "]",
"[Base].[Metrica]",
"[Base].[Metrica].&amp;[" &amp; $A86 &amp; "]",
"[Base].[SEGMENTO_DESCRIP]",
"[Base].[SEGMENTO_DESCRIP].&amp;[" &amp; $C$6 &amp; "]",
"[Base].[SITUACION]",
"[Base].[SITUACION].&amp;[" &amp; $C86 &amp; "]"
),0)/1000</f>
        <v>-4178.6043858036001</v>
      </c>
      <c r="AI86" s="8">
        <f>IFERROR(
GETPIVOTDATA(
"[Base].[Importe]",
TDinamica_R!$A$5,
"[Calendario].[AñoMes]",
"[Calendario].[AñoMes].&amp;[" &amp; TEXT(AI$6,"yyyymm") &amp; "]",
"[Base].[Metrica]",
"[Base].[Metrica].&amp;[" &amp; $A86 &amp; "]",
"[Base].[SEGMENTO_DESCRIP]",
"[Base].[SEGMENTO_DESCRIP].&amp;[" &amp; $C$6 &amp; "]",
"[Base].[SITUACION]",
"[Base].[SITUACION].&amp;[" &amp; $C86 &amp; "]"
),0)/1000</f>
        <v>-4535.0994587464993</v>
      </c>
      <c r="AJ86" s="8">
        <f>IFERROR(
GETPIVOTDATA(
"[Base].[Importe]",
TDinamica_R!$A$5,
"[Calendario].[AñoMes]",
"[Calendario].[AñoMes].&amp;[" &amp; TEXT(AJ$6,"yyyymm") &amp; "]",
"[Base].[Metrica]",
"[Base].[Metrica].&amp;[" &amp; $A86 &amp; "]",
"[Base].[SEGMENTO_DESCRIP]",
"[Base].[SEGMENTO_DESCRIP].&amp;[" &amp; $C$6 &amp; "]",
"[Base].[SITUACION]",
"[Base].[SITUACION].&amp;[" &amp; $C86 &amp; "]"
),0)/1000</f>
        <v>-4144.5857568602996</v>
      </c>
      <c r="AK86" s="8">
        <f>IFERROR(
GETPIVOTDATA(
"[Base].[Importe]",
TDinamica_R!$A$5,
"[Calendario].[AñoMes]",
"[Calendario].[AñoMes].&amp;[" &amp; TEXT(AK$6,"yyyymm") &amp; "]",
"[Base].[Metrica]",
"[Base].[Metrica].&amp;[" &amp; $A86 &amp; "]",
"[Base].[SEGMENTO_DESCRIP]",
"[Base].[SEGMENTO_DESCRIP].&amp;[" &amp; $C$6 &amp; "]",
"[Base].[SITUACION]",
"[Base].[SITUACION].&amp;[" &amp; $C86 &amp; "]"
),0)/1000</f>
        <v>-4012.2867053779</v>
      </c>
      <c r="AL86" s="8">
        <f>IFERROR(
GETPIVOTDATA(
"[Base].[Importe]",
TDinamica_R!$A$5,
"[Calendario].[AñoMes]",
"[Calendario].[AñoMes].&amp;[" &amp; TEXT(AL$6,"yyyymm") &amp; "]",
"[Base].[Metrica]",
"[Base].[Metrica].&amp;[" &amp; $A86 &amp; "]",
"[Base].[SEGMENTO_DESCRIP]",
"[Base].[SEGMENTO_DESCRIP].&amp;[" &amp; $C$6 &amp; "]",
"[Base].[SITUACION]",
"[Base].[SITUACION].&amp;[" &amp; $C86 &amp; "]"
),0)/1000</f>
        <v>-4108.8948999889999</v>
      </c>
      <c r="AM86" s="8">
        <f>IFERROR(
GETPIVOTDATA(
"[Base].[Importe]",
TDinamica_R!$A$5,
"[Calendario].[AñoMes]",
"[Calendario].[AñoMes].&amp;[" &amp; TEXT(AM$6,"yyyymm") &amp; "]",
"[Base].[Metrica]",
"[Base].[Metrica].&amp;[" &amp; $A86 &amp; "]",
"[Base].[SEGMENTO_DESCRIP]",
"[Base].[SEGMENTO_DESCRIP].&amp;[" &amp; $C$6 &amp; "]",
"[Base].[SITUACION]",
"[Base].[SITUACION].&amp;[" &amp; $C86 &amp; "]"
),0)/1000</f>
        <v>-4537.3832528073999</v>
      </c>
      <c r="AN86" s="8">
        <f>IFERROR(
GETPIVOTDATA(
"[Base].[Importe]",
TDinamica_R!$A$5,
"[Calendario].[AñoMes]",
"[Calendario].[AñoMes].&amp;[" &amp; TEXT(AN$6,"yyyymm") &amp; "]",
"[Base].[Metrica]",
"[Base].[Metrica].&amp;[" &amp; $A86 &amp; "]",
"[Base].[SEGMENTO_DESCRIP]",
"[Base].[SEGMENTO_DESCRIP].&amp;[" &amp; $C$6 &amp; "]",
"[Base].[SITUACION]",
"[Base].[SITUACION].&amp;[" &amp; $C86 &amp; "]"
),0)/1000</f>
        <v>-4052.8296672619999</v>
      </c>
      <c r="AO86" s="8">
        <f>IFERROR(
GETPIVOTDATA(
"[Base].[Importe]",
TDinamica_R!$A$5,
"[Calendario].[AñoMes]",
"[Calendario].[AñoMes].&amp;[" &amp; TEXT(AO$6,"yyyymm") &amp; "]",
"[Base].[Metrica]",
"[Base].[Metrica].&amp;[" &amp; $A86 &amp; "]",
"[Base].[SEGMENTO_DESCRIP]",
"[Base].[SEGMENTO_DESCRIP].&amp;[" &amp; $C$6 &amp; "]",
"[Base].[SITUACION]",
"[Base].[SITUACION].&amp;[" &amp; $C86 &amp; "]"
),0)/1000</f>
        <v>-3898.9388764916998</v>
      </c>
      <c r="AP86" s="8">
        <f>IFERROR(
GETPIVOTDATA(
"[Base].[Importe]",
TDinamica_R!$A$5,
"[Calendario].[AñoMes]",
"[Calendario].[AñoMes].&amp;[" &amp; TEXT(AP$6,"yyyymm") &amp; "]",
"[Base].[Metrica]",
"[Base].[Metrica].&amp;[" &amp; $A86 &amp; "]",
"[Base].[SEGMENTO_DESCRIP]",
"[Base].[SEGMENTO_DESCRIP].&amp;[" &amp; $C$6 &amp; "]",
"[Base].[SITUACION]",
"[Base].[SITUACION].&amp;[" &amp; $C86 &amp; "]"
),0)/1000</f>
        <v>-4144.4264220106006</v>
      </c>
      <c r="AQ86" s="8">
        <f>IFERROR(
GETPIVOTDATA(
"[Base].[Importe]",
TDinamica_R!$A$5,
"[Calendario].[AñoMes]",
"[Calendario].[AñoMes].&amp;[" &amp; TEXT(AQ$6,"yyyymm") &amp; "]",
"[Base].[Metrica]",
"[Base].[Metrica].&amp;[" &amp; $A86 &amp; "]",
"[Base].[SEGMENTO_DESCRIP]",
"[Base].[SEGMENTO_DESCRIP].&amp;[" &amp; $C$6 &amp; "]",
"[Base].[SITUACION]",
"[Base].[SITUACION].&amp;[" &amp; $C86 &amp; "]"
),0)/1000</f>
        <v>-4085.3836547335</v>
      </c>
      <c r="AR86" s="8">
        <f>IFERROR(
GETPIVOTDATA(
"[Base].[Importe]",
TDinamica_R!$A$5,
"[Calendario].[AñoMes]",
"[Calendario].[AñoMes].&amp;[" &amp; TEXT(AR$6,"yyyymm") &amp; "]",
"[Base].[Metrica]",
"[Base].[Metrica].&amp;[" &amp; $A86 &amp; "]",
"[Base].[SEGMENTO_DESCRIP]",
"[Base].[SEGMENTO_DESCRIP].&amp;[" &amp; $C$6 &amp; "]",
"[Base].[SITUACION]",
"[Base].[SITUACION].&amp;[" &amp; $C86 &amp; "]"
),0)/1000</f>
        <v>-5014.142494791301</v>
      </c>
      <c r="AS86" s="8">
        <f>IFERROR(
GETPIVOTDATA(
"[Base].[Importe]",
TDinamica_R!$A$5,
"[Calendario].[AñoMes]",
"[Calendario].[AñoMes].&amp;[" &amp; TEXT(AS$6,"yyyymm") &amp; "]",
"[Base].[Metrica]",
"[Base].[Metrica].&amp;[" &amp; $A86 &amp; "]",
"[Base].[SEGMENTO_DESCRIP]",
"[Base].[SEGMENTO_DESCRIP].&amp;[" &amp; $C$6 &amp; "]",
"[Base].[SITUACION]",
"[Base].[SITUACION].&amp;[" &amp; $C86 &amp; "]"
),0)/1000</f>
        <v>-4217.2680431215995</v>
      </c>
      <c r="AT86" s="8">
        <f>IFERROR(
GETPIVOTDATA(
"[Base].[Importe]",
TDinamica_R!$A$5,
"[Calendario].[AñoMes]",
"[Calendario].[AñoMes].&amp;[" &amp; TEXT(AT$6,"yyyymm")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U86" s="8">
        <f>IFERROR(
GETPIVOTDATA(
"[Base].[Importe]",
TDinamica_R!$A$5,
"[Calendario].[AñoMes]",
"[Calendario].[AñoMes].&amp;[" &amp; TEXT(AU$6,"yyyymm")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V86" s="8">
        <f>IFERROR(
GETPIVOTDATA(
"[Base].[Importe]",
TDinamica_R!$A$5,
"[Calendario].[AñoMes]",
"[Calendario].[AñoMes].&amp;[" &amp; TEXT(AV$6,"yyyymm")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W86" s="8">
        <f>IFERROR(
GETPIVOTDATA(
"[Base].[Importe]",
TDinamica_R!$A$5,
"[Calendario].[AñoMes]",
"[Calendario].[AñoMes].&amp;[" &amp; TEXT(AW$6,"yyyymm")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X86" s="8">
        <f>IFERROR(
GETPIVOTDATA(
"[Base].[Importe]",
TDinamica_R!$A$5,
"[Calendario].[AñoMes]",
"[Calendario].[AñoMes].&amp;[" &amp; TEXT(AX$6,"yyyymm")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Y86" s="8">
        <f>IFERROR(
GETPIVOTDATA(
"[Base].[Importe]",
TDinamica_R!$A$5,
"[Calendario].[AñoMes]",
"[Calendario].[AñoMes].&amp;[" &amp; TEXT(AY$6,"yyyymm")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Z86" s="8">
        <f>IFERROR(
GETPIVOTDATA(
"[BASE_CONVE_PPTO].[Importe]",
TDinamica_P!$A$5,
"[BASE_CONVE_PPTO].[Periodo]",
"[BASE_CONVE_PPTO].[Periodo].&amp;[" &amp; TEXT(AZ$6,"yyyymm")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-3969.9973938285002</v>
      </c>
      <c r="BA86" s="8">
        <f>IFERROR(
GETPIVOTDATA(
"[BASE_CONVE_PPTO].[Importe]",
TDinamica_P!$A$5,
"[BASE_CONVE_PPTO].[Periodo]",
"[BASE_CONVE_PPTO].[Periodo].&amp;[" &amp; TEXT(BA$6,"yyyymm")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-3915.4170939753003</v>
      </c>
      <c r="BB86" s="8">
        <f>IFERROR(
GETPIVOTDATA(
"[BASE_CONVE_PPTO].[Importe]",
TDinamica_P!$A$5,
"[BASE_CONVE_PPTO].[Periodo]",
"[BASE_CONVE_PPTO].[Periodo].&amp;[" &amp; TEXT(BB$6,"yyyymm")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-4074.9702085081999</v>
      </c>
      <c r="BC86" s="8">
        <f>IFERROR(
GETPIVOTDATA(
"[BASE_CONVE_PPTO].[Importe]",
TDinamica_P!$A$5,
"[BASE_CONVE_PPTO].[Periodo]",
"[BASE_CONVE_PPTO].[Periodo].&amp;[" &amp; TEXT(BC$6,"yyyymm")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-3994.8745018183999</v>
      </c>
      <c r="BD86" s="8">
        <f>IFERROR(
GETPIVOTDATA(
"[BASE_CONVE_PPTO].[Importe]",
TDinamica_P!$A$5,
"[BASE_CONVE_PPTO].[Periodo]",
"[BASE_CONVE_PPTO].[Periodo].&amp;[" &amp; TEXT(BD$6,"yyyymm")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-4136.8672683211998</v>
      </c>
      <c r="BE86" s="8">
        <f>IFERROR(
GETPIVOTDATA(
"[BASE_CONVE_PPTO].[Importe]",
TDinamica_P!$A$5,
"[BASE_CONVE_PPTO].[Periodo]",
"[BASE_CONVE_PPTO].[Periodo].&amp;[" &amp; TEXT(BE$6,"yyyymm")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-4193.2426084486997</v>
      </c>
      <c r="BF86" s="8">
        <f>IFERROR(
GETPIVOTDATA(
"[BASE_CONVE_PPTO].[Importe]",
TDinamica_P!$A$5,
"[BASE_CONVE_PPTO].[Periodo]",
"[BASE_CONVE_PPTO].[Periodo].&amp;[" &amp; TEXT(BF$6,"yyyymm")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-4039.7393446243</v>
      </c>
      <c r="BG86" s="8">
        <f>IFERROR(
GETPIVOTDATA(
"[BASE_CONVE_PPTO].[Importe]",
TDinamica_P!$A$5,
"[BASE_CONVE_PPTO].[Periodo]",
"[BASE_CONVE_PPTO].[Periodo].&amp;[" &amp; TEXT(BG$6,"yyyymm")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-4093.4561376294005</v>
      </c>
      <c r="BH86" s="8">
        <f>IFERROR(
GETPIVOTDATA(
"[BASE_CONVE_PPTO].[Importe]",
TDinamica_P!$A$5,
"[BASE_CONVE_PPTO].[Periodo]",
"[BASE_CONVE_PPTO].[Periodo].&amp;[" &amp; TEXT(BH$6,"yyyymm")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-4221.7932336484</v>
      </c>
      <c r="BI86" s="8">
        <f>IFERROR(
GETPIVOTDATA(
"[BASE_CONVE_PPTO].[Importe]",
TDinamica_P!$A$5,
"[BASE_CONVE_PPTO].[Periodo]",
"[BASE_CONVE_PPTO].[Periodo].&amp;[" &amp; TEXT(BI$6,"yyyymm")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-4096.7159785844997</v>
      </c>
      <c r="BJ86" s="8">
        <f>IFERROR(
GETPIVOTDATA(
"[BASE_CONVE_PPTO].[Importe]",
TDinamica_P!$A$5,
"[BASE_CONVE_PPTO].[Periodo]",
"[BASE_CONVE_PPTO].[Periodo].&amp;[" &amp; TEXT(BJ$6,"yyyymm")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-4159.4487997075994</v>
      </c>
      <c r="BK86" s="8">
        <f>IFERROR(
GETPIVOTDATA(
"[BASE_CONVE_PPTO].[Importe]",
TDinamica_P!$A$5,
"[BASE_CONVE_PPTO].[Periodo]",
"[BASE_CONVE_PPTO].[Periodo].&amp;[" &amp; TEXT(BK$6,"yyyymm")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-4231.3961743649998</v>
      </c>
      <c r="BO86" s="24">
        <f t="shared" ref="BO86:BT88" si="54">SUMIFS($D86:$BM86,$D$6:$BM$6,"&gt;="&amp;BO$2,$D$6:$BM$6,"&lt;="&amp;BO$6,$D$5:$BM$5,BO$5)</f>
        <v>-21195.721115289103</v>
      </c>
      <c r="BP86" s="24">
        <f t="shared" si="54"/>
        <v>-20092.126466451602</v>
      </c>
      <c r="BQ86" s="24">
        <f t="shared" si="54"/>
        <v>-16181.578620497801</v>
      </c>
      <c r="BR86" s="24">
        <f t="shared" si="54"/>
        <v>-19670.5890630961</v>
      </c>
      <c r="BS86" s="24">
        <f t="shared" si="54"/>
        <v>-18288.516540820303</v>
      </c>
      <c r="BT86" s="24">
        <f t="shared" si="54"/>
        <v>-20356.454338491603</v>
      </c>
    </row>
    <row r="87" spans="1:72" outlineLevel="1" x14ac:dyDescent="0.25">
      <c r="A87" s="11" t="s">
        <v>75</v>
      </c>
      <c r="C87" s="2" t="s">
        <v>77</v>
      </c>
      <c r="D87" s="8">
        <f>IFERROR(
GETPIVOTDATA(
"[Base].[Importe]",
TDinamica_R!$A$5,
"[Calendario].[AñoMes]",
"[Calendario].[AñoMes].&amp;[" &amp; TEXT(D$6,"yyyymm") &amp; "]",
"[Base].[Metrica]",
"[Base].[Metrica].&amp;[" &amp; $A87 &amp; "]",
"[Base].[SEGMENTO_DESCRIP]",
"[Base].[SEGMENTO_DESCRIP].&amp;[" &amp; $C$6 &amp; "]",
"[Base].[SITUACION]",
"[Base].[SITUACION].&amp;[" &amp; $C87 &amp; "]"
),0)/1000</f>
        <v>-245.58117986190001</v>
      </c>
      <c r="E87" s="8">
        <f>IFERROR(
GETPIVOTDATA(
"[Base].[Importe]",
TDinamica_R!$A$5,
"[Calendario].[AñoMes]",
"[Calendario].[AñoMes].&amp;[" &amp; TEXT(E$6,"yyyymm") &amp; "]",
"[Base].[Metrica]",
"[Base].[Metrica].&amp;[" &amp; $A87 &amp; "]",
"[Base].[SEGMENTO_DESCRIP]",
"[Base].[SEGMENTO_DESCRIP].&amp;[" &amp; $C$6 &amp; "]",
"[Base].[SITUACION]",
"[Base].[SITUACION].&amp;[" &amp; $C87 &amp; "]"
),0)/1000</f>
        <v>-239.16031603350001</v>
      </c>
      <c r="F87" s="8">
        <f>IFERROR(
GETPIVOTDATA(
"[Base].[Importe]",
TDinamica_R!$A$5,
"[Calendario].[AñoMes]",
"[Calendario].[AñoMes].&amp;[" &amp; TEXT(F$6,"yyyymm") &amp; "]",
"[Base].[Metrica]",
"[Base].[Metrica].&amp;[" &amp; $A87 &amp; "]",
"[Base].[SEGMENTO_DESCRIP]",
"[Base].[SEGMENTO_DESCRIP].&amp;[" &amp; $C$6 &amp; "]",
"[Base].[SITUACION]",
"[Base].[SITUACION].&amp;[" &amp; $C87 &amp; "]"
),0)/1000</f>
        <v>-262.21756249470002</v>
      </c>
      <c r="G87" s="8">
        <f>IFERROR(
GETPIVOTDATA(
"[Base].[Importe]",
TDinamica_R!$A$5,
"[Calendario].[AñoMes]",
"[Calendario].[AñoMes].&amp;[" &amp; TEXT(G$6,"yyyymm") &amp; "]",
"[Base].[Metrica]",
"[Base].[Metrica].&amp;[" &amp; $A87 &amp; "]",
"[Base].[SEGMENTO_DESCRIP]",
"[Base].[SEGMENTO_DESCRIP].&amp;[" &amp; $C$6 &amp; "]",
"[Base].[SITUACION]",
"[Base].[SITUACION].&amp;[" &amp; $C87 &amp; "]"
),0)/1000</f>
        <v>-235.12765628699998</v>
      </c>
      <c r="H87" s="8">
        <f>IFERROR(
GETPIVOTDATA(
"[Base].[Importe]",
TDinamica_R!$A$5,
"[Calendario].[AñoMes]",
"[Calendario].[AñoMes].&amp;[" &amp; TEXT(H$6,"yyyymm") &amp; "]",
"[Base].[Metrica]",
"[Base].[Metrica].&amp;[" &amp; $A87 &amp; "]",
"[Base].[SEGMENTO_DESCRIP]",
"[Base].[SEGMENTO_DESCRIP].&amp;[" &amp; $C$6 &amp; "]",
"[Base].[SITUACION]",
"[Base].[SITUACION].&amp;[" &amp; $C87 &amp; "]"
),0)/1000</f>
        <v>-249.8229592157</v>
      </c>
      <c r="I87" s="8">
        <f>IFERROR(
GETPIVOTDATA(
"[Base].[Importe]",
TDinamica_R!$A$5,
"[Calendario].[AñoMes]",
"[Calendario].[AñoMes].&amp;[" &amp; TEXT(I$6,"yyyymm") &amp; "]",
"[Base].[Metrica]",
"[Base].[Metrica].&amp;[" &amp; $A87 &amp; "]",
"[Base].[SEGMENTO_DESCRIP]",
"[Base].[SEGMENTO_DESCRIP].&amp;[" &amp; $C$6 &amp; "]",
"[Base].[SITUACION]",
"[Base].[SITUACION].&amp;[" &amp; $C87 &amp; "]"
),0)/1000</f>
        <v>-241.5123791007</v>
      </c>
      <c r="J87" s="8">
        <f>IFERROR(
GETPIVOTDATA(
"[Base].[Importe]",
TDinamica_R!$A$5,
"[Calendario].[AñoMes]",
"[Calendario].[AñoMes].&amp;[" &amp; TEXT(J$6,"yyyymm") &amp; "]",
"[Base].[Metrica]",
"[Base].[Metrica].&amp;[" &amp; $A87 &amp; "]",
"[Base].[SEGMENTO_DESCRIP]",
"[Base].[SEGMENTO_DESCRIP].&amp;[" &amp; $C$6 &amp; "]",
"[Base].[SITUACION]",
"[Base].[SITUACION].&amp;[" &amp; $C87 &amp; "]"
),0)/1000</f>
        <v>-280.38515177559998</v>
      </c>
      <c r="K87" s="8">
        <f>IFERROR(
GETPIVOTDATA(
"[Base].[Importe]",
TDinamica_R!$A$5,
"[Calendario].[AñoMes]",
"[Calendario].[AñoMes].&amp;[" &amp; TEXT(K$6,"yyyymm") &amp; "]",
"[Base].[Metrica]",
"[Base].[Metrica].&amp;[" &amp; $A87 &amp; "]",
"[Base].[SEGMENTO_DESCRIP]",
"[Base].[SEGMENTO_DESCRIP].&amp;[" &amp; $C$6 &amp; "]",
"[Base].[SITUACION]",
"[Base].[SITUACION].&amp;[" &amp; $C87 &amp; "]"
),0)/1000</f>
        <v>-299.02703929820001</v>
      </c>
      <c r="L87" s="8">
        <f>IFERROR(
GETPIVOTDATA(
"[Base].[Importe]",
TDinamica_R!$A$5,
"[Calendario].[AñoMes]",
"[Calendario].[AñoMes].&amp;[" &amp; TEXT(L$6,"yyyymm") &amp; "]",
"[Base].[Metrica]",
"[Base].[Metrica].&amp;[" &amp; $A87 &amp; "]",
"[Base].[SEGMENTO_DESCRIP]",
"[Base].[SEGMENTO_DESCRIP].&amp;[" &amp; $C$6 &amp; "]",
"[Base].[SITUACION]",
"[Base].[SITUACION].&amp;[" &amp; $C87 &amp; "]"
),0)/1000</f>
        <v>-302.89765643520002</v>
      </c>
      <c r="M87" s="8">
        <f>IFERROR(
GETPIVOTDATA(
"[Base].[Importe]",
TDinamica_R!$A$5,
"[Calendario].[AñoMes]",
"[Calendario].[AñoMes].&amp;[" &amp; TEXT(M$6,"yyyymm") &amp; "]",
"[Base].[Metrica]",
"[Base].[Metrica].&amp;[" &amp; $A87 &amp; "]",
"[Base].[SEGMENTO_DESCRIP]",
"[Base].[SEGMENTO_DESCRIP].&amp;[" &amp; $C$6 &amp; "]",
"[Base].[SITUACION]",
"[Base].[SITUACION].&amp;[" &amp; $C87 &amp; "]"
),0)/1000</f>
        <v>-309.23957927919997</v>
      </c>
      <c r="N87" s="8">
        <f>IFERROR(
GETPIVOTDATA(
"[Base].[Importe]",
TDinamica_R!$A$5,
"[Calendario].[AñoMes]",
"[Calendario].[AñoMes].&amp;[" &amp; TEXT(N$6,"yyyymm") &amp; "]",
"[Base].[Metrica]",
"[Base].[Metrica].&amp;[" &amp; $A87 &amp; "]",
"[Base].[SEGMENTO_DESCRIP]",
"[Base].[SEGMENTO_DESCRIP].&amp;[" &amp; $C$6 &amp; "]",
"[Base].[SITUACION]",
"[Base].[SITUACION].&amp;[" &amp; $C87 &amp; "]"
),0)/1000</f>
        <v>-288.66723983520001</v>
      </c>
      <c r="O87" s="8">
        <f>IFERROR(
GETPIVOTDATA(
"[Base].[Importe]",
TDinamica_R!$A$5,
"[Calendario].[AñoMes]",
"[Calendario].[AñoMes].&amp;[" &amp; TEXT(O$6,"yyyymm") &amp; "]",
"[Base].[Metrica]",
"[Base].[Metrica].&amp;[" &amp; $A87 &amp; "]",
"[Base].[SEGMENTO_DESCRIP]",
"[Base].[SEGMENTO_DESCRIP].&amp;[" &amp; $C$6 &amp; "]",
"[Base].[SITUACION]",
"[Base].[SITUACION].&amp;[" &amp; $C87 &amp; "]"
),0)/1000</f>
        <v>-288.56786487860001</v>
      </c>
      <c r="P87" s="8">
        <f>IFERROR(
GETPIVOTDATA(
"[Base].[Importe]",
TDinamica_R!$A$5,
"[Calendario].[AñoMes]",
"[Calendario].[AñoMes].&amp;[" &amp; TEXT(P$6,"yyyymm") &amp; "]",
"[Base].[Metrica]",
"[Base].[Metrica].&amp;[" &amp; $A87 &amp; "]",
"[Base].[SEGMENTO_DESCRIP]",
"[Base].[SEGMENTO_DESCRIP].&amp;[" &amp; $C$6 &amp; "]",
"[Base].[SITUACION]",
"[Base].[SITUACION].&amp;[" &amp; $C87 &amp; "]"
),0)/1000</f>
        <v>-308.29230122169997</v>
      </c>
      <c r="Q87" s="8">
        <f>IFERROR(
GETPIVOTDATA(
"[Base].[Importe]",
TDinamica_R!$A$5,
"[Calendario].[AñoMes]",
"[Calendario].[AñoMes].&amp;[" &amp; TEXT(Q$6,"yyyymm") &amp; "]",
"[Base].[Metrica]",
"[Base].[Metrica].&amp;[" &amp; $A87 &amp; "]",
"[Base].[SEGMENTO_DESCRIP]",
"[Base].[SEGMENTO_DESCRIP].&amp;[" &amp; $C$6 &amp; "]",
"[Base].[SITUACION]",
"[Base].[SITUACION].&amp;[" &amp; $C87 &amp; "]"
),0)/1000</f>
        <v>-299.16027462170001</v>
      </c>
      <c r="R87" s="8">
        <f>IFERROR(
GETPIVOTDATA(
"[Base].[Importe]",
TDinamica_R!$A$5,
"[Calendario].[AñoMes]",
"[Calendario].[AñoMes].&amp;[" &amp; TEXT(R$6,"yyyymm") &amp; "]",
"[Base].[Metrica]",
"[Base].[Metrica].&amp;[" &amp; $A87 &amp; "]",
"[Base].[SEGMENTO_DESCRIP]",
"[Base].[SEGMENTO_DESCRIP].&amp;[" &amp; $C$6 &amp; "]",
"[Base].[SITUACION]",
"[Base].[SITUACION].&amp;[" &amp; $C87 &amp; "]"
),0)/1000</f>
        <v>-325.77154775829996</v>
      </c>
      <c r="S87" s="8">
        <f>IFERROR(
GETPIVOTDATA(
"[Base].[Importe]",
TDinamica_R!$A$5,
"[Calendario].[AñoMes]",
"[Calendario].[AñoMes].&amp;[" &amp; TEXT(S$6,"yyyymm") &amp; "]",
"[Base].[Metrica]",
"[Base].[Metrica].&amp;[" &amp; $A87 &amp; "]",
"[Base].[SEGMENTO_DESCRIP]",
"[Base].[SEGMENTO_DESCRIP].&amp;[" &amp; $C$6 &amp; "]",
"[Base].[SITUACION]",
"[Base].[SITUACION].&amp;[" &amp; $C87 &amp; "]"
),0)/1000</f>
        <v>-312.50806470520001</v>
      </c>
      <c r="T87" s="8">
        <f>IFERROR(
GETPIVOTDATA(
"[Base].[Importe]",
TDinamica_R!$A$5,
"[Calendario].[AñoMes]",
"[Calendario].[AñoMes].&amp;[" &amp; TEXT(T$6,"yyyymm") &amp; "]",
"[Base].[Metrica]",
"[Base].[Metrica].&amp;[" &amp; $A87 &amp; "]",
"[Base].[SEGMENTO_DESCRIP]",
"[Base].[SEGMENTO_DESCRIP].&amp;[" &amp; $C$6 &amp; "]",
"[Base].[SITUACION]",
"[Base].[SITUACION].&amp;[" &amp; $C87 &amp; "]"
),0)/1000</f>
        <v>-298.14592408980002</v>
      </c>
      <c r="U87" s="8">
        <f>IFERROR(
GETPIVOTDATA(
"[Base].[Importe]",
TDinamica_R!$A$5,
"[Calendario].[AñoMes]",
"[Calendario].[AñoMes].&amp;[" &amp; TEXT(U$6,"yyyymm") &amp; "]",
"[Base].[Metrica]",
"[Base].[Metrica].&amp;[" &amp; $A87 &amp; "]",
"[Base].[SEGMENTO_DESCRIP]",
"[Base].[SEGMENTO_DESCRIP].&amp;[" &amp; $C$6 &amp; "]",
"[Base].[SITUACION]",
"[Base].[SITUACION].&amp;[" &amp; $C87 &amp; "]"
),0)/1000</f>
        <v>-290.10310679370002</v>
      </c>
      <c r="V87" s="8">
        <f>IFERROR(
GETPIVOTDATA(
"[Base].[Importe]",
TDinamica_R!$A$5,
"[Calendario].[AñoMes]",
"[Calendario].[AñoMes].&amp;[" &amp; TEXT(V$6,"yyyymm") &amp; "]",
"[Base].[Metrica]",
"[Base].[Metrica].&amp;[" &amp; $A87 &amp; "]",
"[Base].[SEGMENTO_DESCRIP]",
"[Base].[SEGMENTO_DESCRIP].&amp;[" &amp; $C$6 &amp; "]",
"[Base].[SITUACION]",
"[Base].[SITUACION].&amp;[" &amp; $C87 &amp; "]"
),0)/1000</f>
        <v>-276.62134184820002</v>
      </c>
      <c r="W87" s="8">
        <f>IFERROR(
GETPIVOTDATA(
"[Base].[Importe]",
TDinamica_R!$A$5,
"[Calendario].[AñoMes]",
"[Calendario].[AñoMes].&amp;[" &amp; TEXT(W$6,"yyyymm") &amp; "]",
"[Base].[Metrica]",
"[Base].[Metrica].&amp;[" &amp; $A87 &amp; "]",
"[Base].[SEGMENTO_DESCRIP]",
"[Base].[SEGMENTO_DESCRIP].&amp;[" &amp; $C$6 &amp; "]",
"[Base].[SITUACION]",
"[Base].[SITUACION].&amp;[" &amp; $C87 &amp; "]"
),0)/1000</f>
        <v>-269.96130727660005</v>
      </c>
      <c r="X87" s="8">
        <f>IFERROR(
GETPIVOTDATA(
"[Base].[Importe]",
TDinamica_R!$A$5,
"[Calendario].[AñoMes]",
"[Calendario].[AñoMes].&amp;[" &amp; TEXT(X$6,"yyyymm") &amp; "]",
"[Base].[Metrica]",
"[Base].[Metrica].&amp;[" &amp; $A87 &amp; "]",
"[Base].[SEGMENTO_DESCRIP]",
"[Base].[SEGMENTO_DESCRIP].&amp;[" &amp; $C$6 &amp; "]",
"[Base].[SITUACION]",
"[Base].[SITUACION].&amp;[" &amp; $C87 &amp; "]"
),0)/1000</f>
        <v>-285.20728648360006</v>
      </c>
      <c r="Y87" s="8">
        <f>IFERROR(
GETPIVOTDATA(
"[Base].[Importe]",
TDinamica_R!$A$5,
"[Calendario].[AñoMes]",
"[Calendario].[AñoMes].&amp;[" &amp; TEXT(Y$6,"yyyymm") &amp; "]",
"[Base].[Metrica]",
"[Base].[Metrica].&amp;[" &amp; $A87 &amp; "]",
"[Base].[SEGMENTO_DESCRIP]",
"[Base].[SEGMENTO_DESCRIP].&amp;[" &amp; $C$6 &amp; "]",
"[Base].[SITUACION]",
"[Base].[SITUACION].&amp;[" &amp; $C87 &amp; "]"
),0)/1000</f>
        <v>-265.28648151740003</v>
      </c>
      <c r="Z87" s="8">
        <f>IFERROR(
GETPIVOTDATA(
"[Base].[Importe]",
TDinamica_R!$A$5,
"[Calendario].[AñoMes]",
"[Calendario].[AñoMes].&amp;[" &amp; TEXT(Z$6,"yyyymm") &amp; "]",
"[Base].[Metrica]",
"[Base].[Metrica].&amp;[" &amp; $A87 &amp; "]",
"[Base].[SEGMENTO_DESCRIP]",
"[Base].[SEGMENTO_DESCRIP].&amp;[" &amp; $C$6 &amp; "]",
"[Base].[SITUACION]",
"[Base].[SITUACION].&amp;[" &amp; $C87 &amp; "]"
),0)/1000</f>
        <v>-247.88205543870001</v>
      </c>
      <c r="AA87" s="8">
        <f>IFERROR(
GETPIVOTDATA(
"[Base].[Importe]",
TDinamica_R!$A$5,
"[Calendario].[AñoMes]",
"[Calendario].[AñoMes].&amp;[" &amp; TEXT(AA$6,"yyyymm") &amp; "]",
"[Base].[Metrica]",
"[Base].[Metrica].&amp;[" &amp; $A87 &amp; "]",
"[Base].[SEGMENTO_DESCRIP]",
"[Base].[SEGMENTO_DESCRIP].&amp;[" &amp; $C$6 &amp; "]",
"[Base].[SITUACION]",
"[Base].[SITUACION].&amp;[" &amp; $C87 &amp; "]"
),0)/1000</f>
        <v>-238.95293400120002</v>
      </c>
      <c r="AB87" s="8">
        <f>IFERROR(
GETPIVOTDATA(
"[Base].[Importe]",
TDinamica_R!$A$5,
"[Calendario].[AñoMes]",
"[Calendario].[AñoMes].&amp;[" &amp; TEXT(AB$6,"yyyymm") &amp; "]",
"[Base].[Metrica]",
"[Base].[Metrica].&amp;[" &amp; $A87 &amp; "]",
"[Base].[SEGMENTO_DESCRIP]",
"[Base].[SEGMENTO_DESCRIP].&amp;[" &amp; $C$6 &amp; "]",
"[Base].[SITUACION]",
"[Base].[SITUACION].&amp;[" &amp; $C87 &amp; "]"
),0)/1000</f>
        <v>-270.54211418609998</v>
      </c>
      <c r="AC87" s="8">
        <f>IFERROR(
GETPIVOTDATA(
"[Base].[Importe]",
TDinamica_R!$A$5,
"[Calendario].[AñoMes]",
"[Calendario].[AñoMes].&amp;[" &amp; TEXT(AC$6,"yyyymm") &amp; "]",
"[Base].[Metrica]",
"[Base].[Metrica].&amp;[" &amp; $A87 &amp; "]",
"[Base].[SEGMENTO_DESCRIP]",
"[Base].[SEGMENTO_DESCRIP].&amp;[" &amp; $C$6 &amp; "]",
"[Base].[SITUACION]",
"[Base].[SITUACION].&amp;[" &amp; $C87 &amp; "]"
),0)/1000</f>
        <v>-261.57491721769998</v>
      </c>
      <c r="AD87" s="8">
        <f>IFERROR(
GETPIVOTDATA(
"[Base].[Importe]",
TDinamica_R!$A$5,
"[Calendario].[AñoMes]",
"[Calendario].[AñoMes].&amp;[" &amp; TEXT(AD$6,"yyyymm") &amp; "]",
"[Base].[Metrica]",
"[Base].[Metrica].&amp;[" &amp; $A87 &amp; "]",
"[Base].[SEGMENTO_DESCRIP]",
"[Base].[SEGMENTO_DESCRIP].&amp;[" &amp; $C$6 &amp; "]",
"[Base].[SITUACION]",
"[Base].[SITUACION].&amp;[" &amp; $C87 &amp; "]"
),0)/1000</f>
        <v>-269.94683851709999</v>
      </c>
      <c r="AE87" s="8">
        <f>IFERROR(
GETPIVOTDATA(
"[Base].[Importe]",
TDinamica_R!$A$5,
"[Calendario].[AñoMes]",
"[Calendario].[AñoMes].&amp;[" &amp; TEXT(AE$6,"yyyymm") &amp; "]",
"[Base].[Metrica]",
"[Base].[Metrica].&amp;[" &amp; $A87 &amp; "]",
"[Base].[SEGMENTO_DESCRIP]",
"[Base].[SEGMENTO_DESCRIP].&amp;[" &amp; $C$6 &amp; "]",
"[Base].[SITUACION]",
"[Base].[SITUACION].&amp;[" &amp; $C87 &amp; "]"
),0)/1000</f>
        <v>-254.23003446289997</v>
      </c>
      <c r="AF87" s="8">
        <f>IFERROR(
GETPIVOTDATA(
"[Base].[Importe]",
TDinamica_R!$A$5,
"[Calendario].[AñoMes]",
"[Calendario].[AñoMes].&amp;[" &amp; TEXT(AF$6,"yyyymm") &amp; "]",
"[Base].[Metrica]",
"[Base].[Metrica].&amp;[" &amp; $A87 &amp; "]",
"[Base].[SEGMENTO_DESCRIP]",
"[Base].[SEGMENTO_DESCRIP].&amp;[" &amp; $C$6 &amp; "]",
"[Base].[SITUACION]",
"[Base].[SITUACION].&amp;[" &amp; $C87 &amp; "]"
),0)/1000</f>
        <v>-274.69155537289998</v>
      </c>
      <c r="AG87" s="8">
        <f>IFERROR(
GETPIVOTDATA(
"[Base].[Importe]",
TDinamica_R!$A$5,
"[Calendario].[AñoMes]",
"[Calendario].[AñoMes].&amp;[" &amp; TEXT(AG$6,"yyyymm") &amp; "]",
"[Base].[Metrica]",
"[Base].[Metrica].&amp;[" &amp; $A87 &amp; "]",
"[Base].[SEGMENTO_DESCRIP]",
"[Base].[SEGMENTO_DESCRIP].&amp;[" &amp; $C$6 &amp; "]",
"[Base].[SITUACION]",
"[Base].[SITUACION].&amp;[" &amp; $C87 &amp; "]"
),0)/1000</f>
        <v>-223.30207146699999</v>
      </c>
      <c r="AH87" s="8">
        <f>IFERROR(
GETPIVOTDATA(
"[Base].[Importe]",
TDinamica_R!$A$5,
"[Calendario].[AñoMes]",
"[Calendario].[AñoMes].&amp;[" &amp; TEXT(AH$6,"yyyymm") &amp; "]",
"[Base].[Metrica]",
"[Base].[Metrica].&amp;[" &amp; $A87 &amp; "]",
"[Base].[SEGMENTO_DESCRIP]",
"[Base].[SEGMENTO_DESCRIP].&amp;[" &amp; $C$6 &amp; "]",
"[Base].[SITUACION]",
"[Base].[SITUACION].&amp;[" &amp; $C87 &amp; "]"
),0)/1000</f>
        <v>-221.05309743040002</v>
      </c>
      <c r="AI87" s="8">
        <f>IFERROR(
GETPIVOTDATA(
"[Base].[Importe]",
TDinamica_R!$A$5,
"[Calendario].[AñoMes]",
"[Calendario].[AñoMes].&amp;[" &amp; TEXT(AI$6,"yyyymm") &amp; "]",
"[Base].[Metrica]",
"[Base].[Metrica].&amp;[" &amp; $A87 &amp; "]",
"[Base].[SEGMENTO_DESCRIP]",
"[Base].[SEGMENTO_DESCRIP].&amp;[" &amp; $C$6 &amp; "]",
"[Base].[SITUACION]",
"[Base].[SITUACION].&amp;[" &amp; $C87 &amp; "]"
),0)/1000</f>
        <v>-247.16574338180001</v>
      </c>
      <c r="AJ87" s="8">
        <f>IFERROR(
GETPIVOTDATA(
"[Base].[Importe]",
TDinamica_R!$A$5,
"[Calendario].[AñoMes]",
"[Calendario].[AñoMes].&amp;[" &amp; TEXT(AJ$6,"yyyymm") &amp; "]",
"[Base].[Metrica]",
"[Base].[Metrica].&amp;[" &amp; $A87 &amp; "]",
"[Base].[SEGMENTO_DESCRIP]",
"[Base].[SEGMENTO_DESCRIP].&amp;[" &amp; $C$6 &amp; "]",
"[Base].[SITUACION]",
"[Base].[SITUACION].&amp;[" &amp; $C87 &amp; "]"
),0)/1000</f>
        <v>-226.97989438040003</v>
      </c>
      <c r="AK87" s="8">
        <f>IFERROR(
GETPIVOTDATA(
"[Base].[Importe]",
TDinamica_R!$A$5,
"[Calendario].[AñoMes]",
"[Calendario].[AñoMes].&amp;[" &amp; TEXT(AK$6,"yyyymm") &amp; "]",
"[Base].[Metrica]",
"[Base].[Metrica].&amp;[" &amp; $A87 &amp; "]",
"[Base].[SEGMENTO_DESCRIP]",
"[Base].[SEGMENTO_DESCRIP].&amp;[" &amp; $C$6 &amp; "]",
"[Base].[SITUACION]",
"[Base].[SITUACION].&amp;[" &amp; $C87 &amp; "]"
),0)/1000</f>
        <v>-239.08104392599998</v>
      </c>
      <c r="AL87" s="8">
        <f>IFERROR(
GETPIVOTDATA(
"[Base].[Importe]",
TDinamica_R!$A$5,
"[Calendario].[AñoMes]",
"[Calendario].[AñoMes].&amp;[" &amp; TEXT(AL$6,"yyyymm") &amp; "]",
"[Base].[Metrica]",
"[Base].[Metrica].&amp;[" &amp; $A87 &amp; "]",
"[Base].[SEGMENTO_DESCRIP]",
"[Base].[SEGMENTO_DESCRIP].&amp;[" &amp; $C$6 &amp; "]",
"[Base].[SITUACION]",
"[Base].[SITUACION].&amp;[" &amp; $C87 &amp; "]"
),0)/1000</f>
        <v>-232.84609861329997</v>
      </c>
      <c r="AM87" s="8">
        <f>IFERROR(
GETPIVOTDATA(
"[Base].[Importe]",
TDinamica_R!$A$5,
"[Calendario].[AñoMes]",
"[Calendario].[AñoMes].&amp;[" &amp; TEXT(AM$6,"yyyymm") &amp; "]",
"[Base].[Metrica]",
"[Base].[Metrica].&amp;[" &amp; $A87 &amp; "]",
"[Base].[SEGMENTO_DESCRIP]",
"[Base].[SEGMENTO_DESCRIP].&amp;[" &amp; $C$6 &amp; "]",
"[Base].[SITUACION]",
"[Base].[SITUACION].&amp;[" &amp; $C87 &amp; "]"
),0)/1000</f>
        <v>-222.33363271640002</v>
      </c>
      <c r="AN87" s="8">
        <f>IFERROR(
GETPIVOTDATA(
"[Base].[Importe]",
TDinamica_R!$A$5,
"[Calendario].[AñoMes]",
"[Calendario].[AñoMes].&amp;[" &amp; TEXT(AN$6,"yyyymm") &amp; "]",
"[Base].[Metrica]",
"[Base].[Metrica].&amp;[" &amp; $A87 &amp; "]",
"[Base].[SEGMENTO_DESCRIP]",
"[Base].[SEGMENTO_DESCRIP].&amp;[" &amp; $C$6 &amp; "]",
"[Base].[SITUACION]",
"[Base].[SITUACION].&amp;[" &amp; $C87 &amp; "]"
),0)/1000</f>
        <v>-206.11500164169999</v>
      </c>
      <c r="AO87" s="8">
        <f>IFERROR(
GETPIVOTDATA(
"[Base].[Importe]",
TDinamica_R!$A$5,
"[Calendario].[AñoMes]",
"[Calendario].[AñoMes].&amp;[" &amp; TEXT(AO$6,"yyyymm") &amp; "]",
"[Base].[Metrica]",
"[Base].[Metrica].&amp;[" &amp; $A87 &amp; "]",
"[Base].[SEGMENTO_DESCRIP]",
"[Base].[SEGMENTO_DESCRIP].&amp;[" &amp; $C$6 &amp; "]",
"[Base].[SITUACION]",
"[Base].[SITUACION].&amp;[" &amp; $C87 &amp; "]"
),0)/1000</f>
        <v>-236.33312955299996</v>
      </c>
      <c r="AP87" s="8">
        <f>IFERROR(
GETPIVOTDATA(
"[Base].[Importe]",
TDinamica_R!$A$5,
"[Calendario].[AñoMes]",
"[Calendario].[AñoMes].&amp;[" &amp; TEXT(AP$6,"yyyymm") &amp; "]",
"[Base].[Metrica]",
"[Base].[Metrica].&amp;[" &amp; $A87 &amp; "]",
"[Base].[SEGMENTO_DESCRIP]",
"[Base].[SEGMENTO_DESCRIP].&amp;[" &amp; $C$6 &amp; "]",
"[Base].[SITUACION]",
"[Base].[SITUACION].&amp;[" &amp; $C87 &amp; "]"
),0)/1000</f>
        <v>-250.37821885310004</v>
      </c>
      <c r="AQ87" s="8">
        <f>IFERROR(
GETPIVOTDATA(
"[Base].[Importe]",
TDinamica_R!$A$5,
"[Calendario].[AñoMes]",
"[Calendario].[AñoMes].&amp;[" &amp; TEXT(AQ$6,"yyyymm") &amp; "]",
"[Base].[Metrica]",
"[Base].[Metrica].&amp;[" &amp; $A87 &amp; "]",
"[Base].[SEGMENTO_DESCRIP]",
"[Base].[SEGMENTO_DESCRIP].&amp;[" &amp; $C$6 &amp; "]",
"[Base].[SITUACION]",
"[Base].[SITUACION].&amp;[" &amp; $C87 &amp; "]"
),0)/1000</f>
        <v>-242.87407216619999</v>
      </c>
      <c r="AR87" s="8">
        <f>IFERROR(
GETPIVOTDATA(
"[Base].[Importe]",
TDinamica_R!$A$5,
"[Calendario].[AñoMes]",
"[Calendario].[AñoMes].&amp;[" &amp; TEXT(AR$6,"yyyymm") &amp; "]",
"[Base].[Metrica]",
"[Base].[Metrica].&amp;[" &amp; $A87 &amp; "]",
"[Base].[SEGMENTO_DESCRIP]",
"[Base].[SEGMENTO_DESCRIP].&amp;[" &amp; $C$6 &amp; "]",
"[Base].[SITUACION]",
"[Base].[SITUACION].&amp;[" &amp; $C87 &amp; "]"
),0)/1000</f>
        <v>-242.8467061762</v>
      </c>
      <c r="AS87" s="8">
        <f>IFERROR(
GETPIVOTDATA(
"[Base].[Importe]",
TDinamica_R!$A$5,
"[Calendario].[AñoMes]",
"[Calendario].[AñoMes].&amp;[" &amp; TEXT(AS$6,"yyyymm") &amp; "]",
"[Base].[Metrica]",
"[Base].[Metrica].&amp;[" &amp; $A87 &amp; "]",
"[Base].[SEGMENTO_DESCRIP]",
"[Base].[SEGMENTO_DESCRIP].&amp;[" &amp; $C$6 &amp; "]",
"[Base].[SITUACION]",
"[Base].[SITUACION].&amp;[" &amp; $C87 &amp; "]"
),0)/1000</f>
        <v>-236.30437773200003</v>
      </c>
      <c r="AT87" s="8">
        <f>IFERROR(
GETPIVOTDATA(
"[Base].[Importe]",
TDinamica_R!$A$5,
"[Calendario].[AñoMes]",
"[Calendario].[AñoMes].&amp;[" &amp; TEXT(AT$6,"yyyymm")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U87" s="8">
        <f>IFERROR(
GETPIVOTDATA(
"[Base].[Importe]",
TDinamica_R!$A$5,
"[Calendario].[AñoMes]",
"[Calendario].[AñoMes].&amp;[" &amp; TEXT(AU$6,"yyyymm")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V87" s="8">
        <f>IFERROR(
GETPIVOTDATA(
"[Base].[Importe]",
TDinamica_R!$A$5,
"[Calendario].[AñoMes]",
"[Calendario].[AñoMes].&amp;[" &amp; TEXT(AV$6,"yyyymm")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W87" s="8">
        <f>IFERROR(
GETPIVOTDATA(
"[Base].[Importe]",
TDinamica_R!$A$5,
"[Calendario].[AñoMes]",
"[Calendario].[AñoMes].&amp;[" &amp; TEXT(AW$6,"yyyymm")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X87" s="8">
        <f>IFERROR(
GETPIVOTDATA(
"[Base].[Importe]",
TDinamica_R!$A$5,
"[Calendario].[AñoMes]",
"[Calendario].[AñoMes].&amp;[" &amp; TEXT(AX$6,"yyyymm")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Y87" s="8">
        <f>IFERROR(
GETPIVOTDATA(
"[Base].[Importe]",
TDinamica_R!$A$5,
"[Calendario].[AñoMes]",
"[Calendario].[AñoMes].&amp;[" &amp; TEXT(AY$6,"yyyymm")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Z87" s="8">
        <f>IFERROR(
GETPIVOTDATA(
"[BASE_CONVE_PPTO].[Importe]",
TDinamica_P!$A$5,
"[BASE_CONVE_PPTO].[Periodo]",
"[BASE_CONVE_PPTO].[Periodo].&amp;[" &amp; TEXT(AZ$6,"yyyymm")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-294.84030959270001</v>
      </c>
      <c r="BA87" s="8">
        <f>IFERROR(
GETPIVOTDATA(
"[BASE_CONVE_PPTO].[Importe]",
TDinamica_P!$A$5,
"[BASE_CONVE_PPTO].[Periodo]",
"[BASE_CONVE_PPTO].[Periodo].&amp;[" &amp; TEXT(BA$6,"yyyymm")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-290.7357330621</v>
      </c>
      <c r="BB87" s="8">
        <f>IFERROR(
GETPIVOTDATA(
"[BASE_CONVE_PPTO].[Importe]",
TDinamica_P!$A$5,
"[BASE_CONVE_PPTO].[Periodo]",
"[BASE_CONVE_PPTO].[Periodo].&amp;[" &amp; TEXT(BB$6,"yyyymm")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-312.98560518189998</v>
      </c>
      <c r="BC87" s="8">
        <f>IFERROR(
GETPIVOTDATA(
"[BASE_CONVE_PPTO].[Importe]",
TDinamica_P!$A$5,
"[BASE_CONVE_PPTO].[Periodo]",
"[BASE_CONVE_PPTO].[Periodo].&amp;[" &amp; TEXT(BC$6,"yyyymm")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-304.36401641520001</v>
      </c>
      <c r="BD87" s="8">
        <f>IFERROR(
GETPIVOTDATA(
"[BASE_CONVE_PPTO].[Importe]",
TDinamica_P!$A$5,
"[BASE_CONVE_PPTO].[Periodo]",
"[BASE_CONVE_PPTO].[Periodo].&amp;[" &amp; TEXT(BD$6,"yyyymm")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-302.74167791939999</v>
      </c>
      <c r="BE87" s="8">
        <f>IFERROR(
GETPIVOTDATA(
"[BASE_CONVE_PPTO].[Importe]",
TDinamica_P!$A$5,
"[BASE_CONVE_PPTO].[Periodo]",
"[BASE_CONVE_PPTO].[Periodo].&amp;[" &amp; TEXT(BE$6,"yyyymm")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-288.8746364996</v>
      </c>
      <c r="BF87" s="8">
        <f>IFERROR(
GETPIVOTDATA(
"[BASE_CONVE_PPTO].[Importe]",
TDinamica_P!$A$5,
"[BASE_CONVE_PPTO].[Periodo]",
"[BASE_CONVE_PPTO].[Periodo].&amp;[" &amp; TEXT(BF$6,"yyyymm")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-280.61893374070002</v>
      </c>
      <c r="BG87" s="8">
        <f>IFERROR(
GETPIVOTDATA(
"[BASE_CONVE_PPTO].[Importe]",
TDinamica_P!$A$5,
"[BASE_CONVE_PPTO].[Periodo]",
"[BASE_CONVE_PPTO].[Periodo].&amp;[" &amp; TEXT(BG$6,"yyyymm")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-280.97256514190002</v>
      </c>
      <c r="BH87" s="8">
        <f>IFERROR(
GETPIVOTDATA(
"[BASE_CONVE_PPTO].[Importe]",
TDinamica_P!$A$5,
"[BASE_CONVE_PPTO].[Periodo]",
"[BASE_CONVE_PPTO].[Periodo].&amp;[" &amp; TEXT(BH$6,"yyyymm")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-284.64265181730002</v>
      </c>
      <c r="BI87" s="8">
        <f>IFERROR(
GETPIVOTDATA(
"[BASE_CONVE_PPTO].[Importe]",
TDinamica_P!$A$5,
"[BASE_CONVE_PPTO].[Periodo]",
"[BASE_CONVE_PPTO].[Periodo].&amp;[" &amp; TEXT(BI$6,"yyyymm")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-283.87972601949997</v>
      </c>
      <c r="BJ87" s="8">
        <f>IFERROR(
GETPIVOTDATA(
"[BASE_CONVE_PPTO].[Importe]",
TDinamica_P!$A$5,
"[BASE_CONVE_PPTO].[Periodo]",
"[BASE_CONVE_PPTO].[Periodo].&amp;[" &amp; TEXT(BJ$6,"yyyymm")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-277.74514712409996</v>
      </c>
      <c r="BK87" s="8">
        <f>IFERROR(
GETPIVOTDATA(
"[BASE_CONVE_PPTO].[Importe]",
TDinamica_P!$A$5,
"[BASE_CONVE_PPTO].[Periodo]",
"[BASE_CONVE_PPTO].[Periodo].&amp;[" &amp; TEXT(BK$6,"yyyymm")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-275.85378212260002</v>
      </c>
      <c r="BO87" s="24">
        <f t="shared" si="54"/>
        <v>-1178.5471283902</v>
      </c>
      <c r="BP87" s="24">
        <f t="shared" si="54"/>
        <v>-1505.6673421712999</v>
      </c>
      <c r="BQ87" s="24">
        <f t="shared" si="54"/>
        <v>-935.70042221400001</v>
      </c>
      <c r="BR87" s="24">
        <f t="shared" si="54"/>
        <v>-1330.9854597566998</v>
      </c>
      <c r="BS87" s="24">
        <f t="shared" si="54"/>
        <v>-1543.8781123966999</v>
      </c>
      <c r="BT87" s="24">
        <f t="shared" si="54"/>
        <v>-1231.9096738927999</v>
      </c>
    </row>
    <row r="88" spans="1:72" outlineLevel="1" x14ac:dyDescent="0.25">
      <c r="A88" s="11" t="s">
        <v>75</v>
      </c>
      <c r="C88" s="2" t="s">
        <v>79</v>
      </c>
      <c r="D88" s="8">
        <f>IFERROR(
GETPIVOTDATA(
"[Base].[Importe]",
TDinamica_R!$A$5,
"[Calendario].[AñoMes]",
"[Calendario].[AñoMes].&amp;[" &amp; TEXT(D$6,"yyyymm") &amp; "]",
"[Base].[Metrica]",
"[Base].[Metrica].&amp;[" &amp; $A88 &amp; "]",
"[Base].[SEGMENTO_DESCRIP]",
"[Base].[SEGMENTO_DESCRIP].&amp;[" &amp; $C$6 &amp; "]",
"[Base].[SITUACION]",
"[Base].[SITUACION].&amp;[" &amp; $C88 &amp; "]"
),0)/1000</f>
        <v>-1632.6614098328998</v>
      </c>
      <c r="E88" s="8">
        <f>IFERROR(
GETPIVOTDATA(
"[Base].[Importe]",
TDinamica_R!$A$5,
"[Calendario].[AñoMes]",
"[Calendario].[AñoMes].&amp;[" &amp; TEXT(E$6,"yyyymm") &amp; "]",
"[Base].[Metrica]",
"[Base].[Metrica].&amp;[" &amp; $A88 &amp; "]",
"[Base].[SEGMENTO_DESCRIP]",
"[Base].[SEGMENTO_DESCRIP].&amp;[" &amp; $C$6 &amp; "]",
"[Base].[SITUACION]",
"[Base].[SITUACION].&amp;[" &amp; $C88 &amp; "]"
),0)/1000</f>
        <v>-1677.1765365829999</v>
      </c>
      <c r="F88" s="8">
        <f>IFERROR(
GETPIVOTDATA(
"[Base].[Importe]",
TDinamica_R!$A$5,
"[Calendario].[AñoMes]",
"[Calendario].[AñoMes].&amp;[" &amp; TEXT(F$6,"yyyymm") &amp; "]",
"[Base].[Metrica]",
"[Base].[Metrica].&amp;[" &amp; $A88 &amp; "]",
"[Base].[SEGMENTO_DESCRIP]",
"[Base].[SEGMENTO_DESCRIP].&amp;[" &amp; $C$6 &amp; "]",
"[Base].[SITUACION]",
"[Base].[SITUACION].&amp;[" &amp; $C88 &amp; "]"
),0)/1000</f>
        <v>-1633.0348150305999</v>
      </c>
      <c r="G88" s="8">
        <f>IFERROR(
GETPIVOTDATA(
"[Base].[Importe]",
TDinamica_R!$A$5,
"[Calendario].[AñoMes]",
"[Calendario].[AñoMes].&amp;[" &amp; TEXT(G$6,"yyyymm") &amp; "]",
"[Base].[Metrica]",
"[Base].[Metrica].&amp;[" &amp; $A88 &amp; "]",
"[Base].[SEGMENTO_DESCRIP]",
"[Base].[SEGMENTO_DESCRIP].&amp;[" &amp; $C$6 &amp; "]",
"[Base].[SITUACION]",
"[Base].[SITUACION].&amp;[" &amp; $C88 &amp; "]"
),0)/1000</f>
        <v>-1751.4484614260998</v>
      </c>
      <c r="H88" s="8">
        <f>IFERROR(
GETPIVOTDATA(
"[Base].[Importe]",
TDinamica_R!$A$5,
"[Calendario].[AñoMes]",
"[Calendario].[AñoMes].&amp;[" &amp; TEXT(H$6,"yyyymm") &amp; "]",
"[Base].[Metrica]",
"[Base].[Metrica].&amp;[" &amp; $A88 &amp; "]",
"[Base].[SEGMENTO_DESCRIP]",
"[Base].[SEGMENTO_DESCRIP].&amp;[" &amp; $C$6 &amp; "]",
"[Base].[SITUACION]",
"[Base].[SITUACION].&amp;[" &amp; $C88 &amp; "]"
),0)/1000</f>
        <v>-1629.0864541951</v>
      </c>
      <c r="I88" s="8">
        <f>IFERROR(
GETPIVOTDATA(
"[Base].[Importe]",
TDinamica_R!$A$5,
"[Calendario].[AñoMes]",
"[Calendario].[AñoMes].&amp;[" &amp; TEXT(I$6,"yyyymm") &amp; "]",
"[Base].[Metrica]",
"[Base].[Metrica].&amp;[" &amp; $A88 &amp; "]",
"[Base].[SEGMENTO_DESCRIP]",
"[Base].[SEGMENTO_DESCRIP].&amp;[" &amp; $C$6 &amp; "]",
"[Base].[SITUACION]",
"[Base].[SITUACION].&amp;[" &amp; $C88 &amp; "]"
),0)/1000</f>
        <v>-1542.7813201343999</v>
      </c>
      <c r="J88" s="8">
        <f>IFERROR(
GETPIVOTDATA(
"[Base].[Importe]",
TDinamica_R!$A$5,
"[Calendario].[AñoMes]",
"[Calendario].[AñoMes].&amp;[" &amp; TEXT(J$6,"yyyymm") &amp; "]",
"[Base].[Metrica]",
"[Base].[Metrica].&amp;[" &amp; $A88 &amp; "]",
"[Base].[SEGMENTO_DESCRIP]",
"[Base].[SEGMENTO_DESCRIP].&amp;[" &amp; $C$6 &amp; "]",
"[Base].[SITUACION]",
"[Base].[SITUACION].&amp;[" &amp; $C88 &amp; "]"
),0)/1000</f>
        <v>-1660.5823305785</v>
      </c>
      <c r="K88" s="8">
        <f>IFERROR(
GETPIVOTDATA(
"[Base].[Importe]",
TDinamica_R!$A$5,
"[Calendario].[AñoMes]",
"[Calendario].[AñoMes].&amp;[" &amp; TEXT(K$6,"yyyymm") &amp; "]",
"[Base].[Metrica]",
"[Base].[Metrica].&amp;[" &amp; $A88 &amp; "]",
"[Base].[SEGMENTO_DESCRIP]",
"[Base].[SEGMENTO_DESCRIP].&amp;[" &amp; $C$6 &amp; "]",
"[Base].[SITUACION]",
"[Base].[SITUACION].&amp;[" &amp; $C88 &amp; "]"
),0)/1000</f>
        <v>-1539.3074392841997</v>
      </c>
      <c r="L88" s="8">
        <f>IFERROR(
GETPIVOTDATA(
"[Base].[Importe]",
TDinamica_R!$A$5,
"[Calendario].[AñoMes]",
"[Calendario].[AñoMes].&amp;[" &amp; TEXT(L$6,"yyyymm") &amp; "]",
"[Base].[Metrica]",
"[Base].[Metrica].&amp;[" &amp; $A88 &amp; "]",
"[Base].[SEGMENTO_DESCRIP]",
"[Base].[SEGMENTO_DESCRIP].&amp;[" &amp; $C$6 &amp; "]",
"[Base].[SITUACION]",
"[Base].[SITUACION].&amp;[" &amp; $C88 &amp; "]"
),0)/1000</f>
        <v>-1662.6665106426001</v>
      </c>
      <c r="M88" s="8">
        <f>IFERROR(
GETPIVOTDATA(
"[Base].[Importe]",
TDinamica_R!$A$5,
"[Calendario].[AñoMes]",
"[Calendario].[AñoMes].&amp;[" &amp; TEXT(M$6,"yyyymm") &amp; "]",
"[Base].[Metrica]",
"[Base].[Metrica].&amp;[" &amp; $A88 &amp; "]",
"[Base].[SEGMENTO_DESCRIP]",
"[Base].[SEGMENTO_DESCRIP].&amp;[" &amp; $C$6 &amp; "]",
"[Base].[SITUACION]",
"[Base].[SITUACION].&amp;[" &amp; $C88 &amp; "]"
),0)/1000</f>
        <v>-1612.4328463054999</v>
      </c>
      <c r="N88" s="8">
        <f>IFERROR(
GETPIVOTDATA(
"[Base].[Importe]",
TDinamica_R!$A$5,
"[Calendario].[AñoMes]",
"[Calendario].[AñoMes].&amp;[" &amp; TEXT(N$6,"yyyymm") &amp; "]",
"[Base].[Metrica]",
"[Base].[Metrica].&amp;[" &amp; $A88 &amp; "]",
"[Base].[SEGMENTO_DESCRIP]",
"[Base].[SEGMENTO_DESCRIP].&amp;[" &amp; $C$6 &amp; "]",
"[Base].[SITUACION]",
"[Base].[SITUACION].&amp;[" &amp; $C88 &amp; "]"
),0)/1000</f>
        <v>-1794.6754023027997</v>
      </c>
      <c r="O88" s="8">
        <f>IFERROR(
GETPIVOTDATA(
"[Base].[Importe]",
TDinamica_R!$A$5,
"[Calendario].[AñoMes]",
"[Calendario].[AñoMes].&amp;[" &amp; TEXT(O$6,"yyyymm") &amp; "]",
"[Base].[Metrica]",
"[Base].[Metrica].&amp;[" &amp; $A88 &amp; "]",
"[Base].[SEGMENTO_DESCRIP]",
"[Base].[SEGMENTO_DESCRIP].&amp;[" &amp; $C$6 &amp; "]",
"[Base].[SITUACION]",
"[Base].[SITUACION].&amp;[" &amp; $C88 &amp; "]"
),0)/1000</f>
        <v>-1525.7330539977002</v>
      </c>
      <c r="P88" s="8">
        <f>IFERROR(
GETPIVOTDATA(
"[Base].[Importe]",
TDinamica_R!$A$5,
"[Calendario].[AñoMes]",
"[Calendario].[AñoMes].&amp;[" &amp; TEXT(P$6,"yyyymm") &amp; "]",
"[Base].[Metrica]",
"[Base].[Metrica].&amp;[" &amp; $A88 &amp; "]",
"[Base].[SEGMENTO_DESCRIP]",
"[Base].[SEGMENTO_DESCRIP].&amp;[" &amp; $C$6 &amp; "]",
"[Base].[SITUACION]",
"[Base].[SITUACION].&amp;[" &amp; $C88 &amp; "]"
),0)/1000</f>
        <v>-1715.6065573870999</v>
      </c>
      <c r="Q88" s="8">
        <f>IFERROR(
GETPIVOTDATA(
"[Base].[Importe]",
TDinamica_R!$A$5,
"[Calendario].[AñoMes]",
"[Calendario].[AñoMes].&amp;[" &amp; TEXT(Q$6,"yyyymm") &amp; "]",
"[Base].[Metrica]",
"[Base].[Metrica].&amp;[" &amp; $A88 &amp; "]",
"[Base].[SEGMENTO_DESCRIP]",
"[Base].[SEGMENTO_DESCRIP].&amp;[" &amp; $C$6 &amp; "]",
"[Base].[SITUACION]",
"[Base].[SITUACION].&amp;[" &amp; $C88 &amp; "]"
),0)/1000</f>
        <v>-1833.6356023597</v>
      </c>
      <c r="R88" s="8">
        <f>IFERROR(
GETPIVOTDATA(
"[Base].[Importe]",
TDinamica_R!$A$5,
"[Calendario].[AñoMes]",
"[Calendario].[AñoMes].&amp;[" &amp; TEXT(R$6,"yyyymm") &amp; "]",
"[Base].[Metrica]",
"[Base].[Metrica].&amp;[" &amp; $A88 &amp; "]",
"[Base].[SEGMENTO_DESCRIP]",
"[Base].[SEGMENTO_DESCRIP].&amp;[" &amp; $C$6 &amp; "]",
"[Base].[SITUACION]",
"[Base].[SITUACION].&amp;[" &amp; $C88 &amp; "]"
),0)/1000</f>
        <v>-1625.9657320947999</v>
      </c>
      <c r="S88" s="8">
        <f>IFERROR(
GETPIVOTDATA(
"[Base].[Importe]",
TDinamica_R!$A$5,
"[Calendario].[AñoMes]",
"[Calendario].[AñoMes].&amp;[" &amp; TEXT(S$6,"yyyymm") &amp; "]",
"[Base].[Metrica]",
"[Base].[Metrica].&amp;[" &amp; $A88 &amp; "]",
"[Base].[SEGMENTO_DESCRIP]",
"[Base].[SEGMENTO_DESCRIP].&amp;[" &amp; $C$6 &amp; "]",
"[Base].[SITUACION]",
"[Base].[SITUACION].&amp;[" &amp; $C88 &amp; "]"
),0)/1000</f>
        <v>-1828.7705939090001</v>
      </c>
      <c r="T88" s="8">
        <f>IFERROR(
GETPIVOTDATA(
"[Base].[Importe]",
TDinamica_R!$A$5,
"[Calendario].[AñoMes]",
"[Calendario].[AñoMes].&amp;[" &amp; TEXT(T$6,"yyyymm") &amp; "]",
"[Base].[Metrica]",
"[Base].[Metrica].&amp;[" &amp; $A88 &amp; "]",
"[Base].[SEGMENTO_DESCRIP]",
"[Base].[SEGMENTO_DESCRIP].&amp;[" &amp; $C$6 &amp; "]",
"[Base].[SITUACION]",
"[Base].[SITUACION].&amp;[" &amp; $C88 &amp; "]"
),0)/1000</f>
        <v>-2019.0628382329999</v>
      </c>
      <c r="U88" s="8">
        <f>IFERROR(
GETPIVOTDATA(
"[Base].[Importe]",
TDinamica_R!$A$5,
"[Calendario].[AñoMes]",
"[Calendario].[AñoMes].&amp;[" &amp; TEXT(U$6,"yyyymm") &amp; "]",
"[Base].[Metrica]",
"[Base].[Metrica].&amp;[" &amp; $A88 &amp; "]",
"[Base].[SEGMENTO_DESCRIP]",
"[Base].[SEGMENTO_DESCRIP].&amp;[" &amp; $C$6 &amp; "]",
"[Base].[SITUACION]",
"[Base].[SITUACION].&amp;[" &amp; $C88 &amp; "]"
),0)/1000</f>
        <v>-3113.4052256888003</v>
      </c>
      <c r="V88" s="8">
        <f>IFERROR(
GETPIVOTDATA(
"[Base].[Importe]",
TDinamica_R!$A$5,
"[Calendario].[AñoMes]",
"[Calendario].[AñoMes].&amp;[" &amp; TEXT(V$6,"yyyymm") &amp; "]",
"[Base].[Metrica]",
"[Base].[Metrica].&amp;[" &amp; $A88 &amp; "]",
"[Base].[SEGMENTO_DESCRIP]",
"[Base].[SEGMENTO_DESCRIP].&amp;[" &amp; $C$6 &amp; "]",
"[Base].[SITUACION]",
"[Base].[SITUACION].&amp;[" &amp; $C88 &amp; "]"
),0)/1000</f>
        <v>-2533.7869143202997</v>
      </c>
      <c r="W88" s="8">
        <f>IFERROR(
GETPIVOTDATA(
"[Base].[Importe]",
TDinamica_R!$A$5,
"[Calendario].[AñoMes]",
"[Calendario].[AñoMes].&amp;[" &amp; TEXT(W$6,"yyyymm") &amp; "]",
"[Base].[Metrica]",
"[Base].[Metrica].&amp;[" &amp; $A88 &amp; "]",
"[Base].[SEGMENTO_DESCRIP]",
"[Base].[SEGMENTO_DESCRIP].&amp;[" &amp; $C$6 &amp; "]",
"[Base].[SITUACION]",
"[Base].[SITUACION].&amp;[" &amp; $C88 &amp; "]"
),0)/1000</f>
        <v>-2187.7802435218005</v>
      </c>
      <c r="X88" s="8">
        <f>IFERROR(
GETPIVOTDATA(
"[Base].[Importe]",
TDinamica_R!$A$5,
"[Calendario].[AñoMes]",
"[Calendario].[AñoMes].&amp;[" &amp; TEXT(X$6,"yyyymm") &amp; "]",
"[Base].[Metrica]",
"[Base].[Metrica].&amp;[" &amp; $A88 &amp; "]",
"[Base].[SEGMENTO_DESCRIP]",
"[Base].[SEGMENTO_DESCRIP].&amp;[" &amp; $C$6 &amp; "]",
"[Base].[SITUACION]",
"[Base].[SITUACION].&amp;[" &amp; $C88 &amp; "]"
),0)/1000</f>
        <v>-1996.8601647538999</v>
      </c>
      <c r="Y88" s="8">
        <f>IFERROR(
GETPIVOTDATA(
"[Base].[Importe]",
TDinamica_R!$A$5,
"[Calendario].[AñoMes]",
"[Calendario].[AñoMes].&amp;[" &amp; TEXT(Y$6,"yyyymm") &amp; "]",
"[Base].[Metrica]",
"[Base].[Metrica].&amp;[" &amp; $A88 &amp; "]",
"[Base].[SEGMENTO_DESCRIP]",
"[Base].[SEGMENTO_DESCRIP].&amp;[" &amp; $C$6 &amp; "]",
"[Base].[SITUACION]",
"[Base].[SITUACION].&amp;[" &amp; $C88 &amp; "]"
),0)/1000</f>
        <v>-2008.4447976053</v>
      </c>
      <c r="Z88" s="8">
        <f>IFERROR(
GETPIVOTDATA(
"[Base].[Importe]",
TDinamica_R!$A$5,
"[Calendario].[AñoMes]",
"[Calendario].[AñoMes].&amp;[" &amp; TEXT(Z$6,"yyyymm") &amp; "]",
"[Base].[Metrica]",
"[Base].[Metrica].&amp;[" &amp; $A88 &amp; "]",
"[Base].[SEGMENTO_DESCRIP]",
"[Base].[SEGMENTO_DESCRIP].&amp;[" &amp; $C$6 &amp; "]",
"[Base].[SITUACION]",
"[Base].[SITUACION].&amp;[" &amp; $C88 &amp; "]"
),0)/1000</f>
        <v>-1955.2463189695002</v>
      </c>
      <c r="AA88" s="8">
        <f>IFERROR(
GETPIVOTDATA(
"[Base].[Importe]",
TDinamica_R!$A$5,
"[Calendario].[AñoMes]",
"[Calendario].[AñoMes].&amp;[" &amp; TEXT(AA$6,"yyyymm") &amp; "]",
"[Base].[Metrica]",
"[Base].[Metrica].&amp;[" &amp; $A88 &amp; "]",
"[Base].[SEGMENTO_DESCRIP]",
"[Base].[SEGMENTO_DESCRIP].&amp;[" &amp; $C$6 &amp; "]",
"[Base].[SITUACION]",
"[Base].[SITUACION].&amp;[" &amp; $C88 &amp; "]"
),0)/1000</f>
        <v>-1964.2870573241</v>
      </c>
      <c r="AB88" s="8">
        <f>IFERROR(
GETPIVOTDATA(
"[Base].[Importe]",
TDinamica_R!$A$5,
"[Calendario].[AñoMes]",
"[Calendario].[AñoMes].&amp;[" &amp; TEXT(AB$6,"yyyymm") &amp; "]",
"[Base].[Metrica]",
"[Base].[Metrica].&amp;[" &amp; $A88 &amp; "]",
"[Base].[SEGMENTO_DESCRIP]",
"[Base].[SEGMENTO_DESCRIP].&amp;[" &amp; $C$6 &amp; "]",
"[Base].[SITUACION]",
"[Base].[SITUACION].&amp;[" &amp; $C88 &amp; "]"
),0)/1000</f>
        <v>-2270.8911092407002</v>
      </c>
      <c r="AC88" s="8">
        <f>IFERROR(
GETPIVOTDATA(
"[Base].[Importe]",
TDinamica_R!$A$5,
"[Calendario].[AñoMes]",
"[Calendario].[AñoMes].&amp;[" &amp; TEXT(AC$6,"yyyymm") &amp; "]",
"[Base].[Metrica]",
"[Base].[Metrica].&amp;[" &amp; $A88 &amp; "]",
"[Base].[SEGMENTO_DESCRIP]",
"[Base].[SEGMENTO_DESCRIP].&amp;[" &amp; $C$6 &amp; "]",
"[Base].[SITUACION]",
"[Base].[SITUACION].&amp;[" &amp; $C88 &amp; "]"
),0)/1000</f>
        <v>-1955.7381219469999</v>
      </c>
      <c r="AD88" s="8">
        <f>IFERROR(
GETPIVOTDATA(
"[Base].[Importe]",
TDinamica_R!$A$5,
"[Calendario].[AñoMes]",
"[Calendario].[AñoMes].&amp;[" &amp; TEXT(AD$6,"yyyymm") &amp; "]",
"[Base].[Metrica]",
"[Base].[Metrica].&amp;[" &amp; $A88 &amp; "]",
"[Base].[SEGMENTO_DESCRIP]",
"[Base].[SEGMENTO_DESCRIP].&amp;[" &amp; $C$6 &amp; "]",
"[Base].[SITUACION]",
"[Base].[SITUACION].&amp;[" &amp; $C88 &amp; "]"
),0)/1000</f>
        <v>-1997.8198385725</v>
      </c>
      <c r="AE88" s="8">
        <f>IFERROR(
GETPIVOTDATA(
"[Base].[Importe]",
TDinamica_R!$A$5,
"[Calendario].[AñoMes]",
"[Calendario].[AñoMes].&amp;[" &amp; TEXT(AE$6,"yyyymm") &amp; "]",
"[Base].[Metrica]",
"[Base].[Metrica].&amp;[" &amp; $A88 &amp; "]",
"[Base].[SEGMENTO_DESCRIP]",
"[Base].[SEGMENTO_DESCRIP].&amp;[" &amp; $C$6 &amp; "]",
"[Base].[SITUACION]",
"[Base].[SITUACION].&amp;[" &amp; $C88 &amp; "]"
),0)/1000</f>
        <v>-1883.1638277011002</v>
      </c>
      <c r="AF88" s="8">
        <f>IFERROR(
GETPIVOTDATA(
"[Base].[Importe]",
TDinamica_R!$A$5,
"[Calendario].[AñoMes]",
"[Calendario].[AñoMes].&amp;[" &amp; TEXT(AF$6,"yyyymm") &amp; "]",
"[Base].[Metrica]",
"[Base].[Metrica].&amp;[" &amp; $A88 &amp; "]",
"[Base].[SEGMENTO_DESCRIP]",
"[Base].[SEGMENTO_DESCRIP].&amp;[" &amp; $C$6 &amp; "]",
"[Base].[SITUACION]",
"[Base].[SITUACION].&amp;[" &amp; $C88 &amp; "]"
),0)/1000</f>
        <v>-2151.4641000472002</v>
      </c>
      <c r="AG88" s="8">
        <f>IFERROR(
GETPIVOTDATA(
"[Base].[Importe]",
TDinamica_R!$A$5,
"[Calendario].[AñoMes]",
"[Calendario].[AñoMes].&amp;[" &amp; TEXT(AG$6,"yyyymm") &amp; "]",
"[Base].[Metrica]",
"[Base].[Metrica].&amp;[" &amp; $A88 &amp; "]",
"[Base].[SEGMENTO_DESCRIP]",
"[Base].[SEGMENTO_DESCRIP].&amp;[" &amp; $C$6 &amp; "]",
"[Base].[SITUACION]",
"[Base].[SITUACION].&amp;[" &amp; $C88 &amp; "]"
),0)/1000</f>
        <v>-2191.0818778754997</v>
      </c>
      <c r="AH88" s="8">
        <f>IFERROR(
GETPIVOTDATA(
"[Base].[Importe]",
TDinamica_R!$A$5,
"[Calendario].[AñoMes]",
"[Calendario].[AñoMes].&amp;[" &amp; TEXT(AH$6,"yyyymm") &amp; "]",
"[Base].[Metrica]",
"[Base].[Metrica].&amp;[" &amp; $A88 &amp; "]",
"[Base].[SEGMENTO_DESCRIP]",
"[Base].[SEGMENTO_DESCRIP].&amp;[" &amp; $C$6 &amp; "]",
"[Base].[SITUACION]",
"[Base].[SITUACION].&amp;[" &amp; $C88 &amp; "]"
),0)/1000</f>
        <v>-2088.1730520758001</v>
      </c>
      <c r="AI88" s="8">
        <f>IFERROR(
GETPIVOTDATA(
"[Base].[Importe]",
TDinamica_R!$A$5,
"[Calendario].[AñoMes]",
"[Calendario].[AñoMes].&amp;[" &amp; TEXT(AI$6,"yyyymm") &amp; "]",
"[Base].[Metrica]",
"[Base].[Metrica].&amp;[" &amp; $A88 &amp; "]",
"[Base].[SEGMENTO_DESCRIP]",
"[Base].[SEGMENTO_DESCRIP].&amp;[" &amp; $C$6 &amp; "]",
"[Base].[SITUACION]",
"[Base].[SITUACION].&amp;[" &amp; $C88 &amp; "]"
),0)/1000</f>
        <v>-2078.9754596594998</v>
      </c>
      <c r="AJ88" s="8">
        <f>IFERROR(
GETPIVOTDATA(
"[Base].[Importe]",
TDinamica_R!$A$5,
"[Calendario].[AñoMes]",
"[Calendario].[AñoMes].&amp;[" &amp; TEXT(AJ$6,"yyyymm") &amp; "]",
"[Base].[Metrica]",
"[Base].[Metrica].&amp;[" &amp; $A88 &amp; "]",
"[Base].[SEGMENTO_DESCRIP]",
"[Base].[SEGMENTO_DESCRIP].&amp;[" &amp; $C$6 &amp; "]",
"[Base].[SITUACION]",
"[Base].[SITUACION].&amp;[" &amp; $C88 &amp; "]"
),0)/1000</f>
        <v>-2100.5972063728</v>
      </c>
      <c r="AK88" s="8">
        <f>IFERROR(
GETPIVOTDATA(
"[Base].[Importe]",
TDinamica_R!$A$5,
"[Calendario].[AñoMes]",
"[Calendario].[AñoMes].&amp;[" &amp; TEXT(AK$6,"yyyymm") &amp; "]",
"[Base].[Metrica]",
"[Base].[Metrica].&amp;[" &amp; $A88 &amp; "]",
"[Base].[SEGMENTO_DESCRIP]",
"[Base].[SEGMENTO_DESCRIP].&amp;[" &amp; $C$6 &amp; "]",
"[Base].[SITUACION]",
"[Base].[SITUACION].&amp;[" &amp; $C88 &amp; "]"
),0)/1000</f>
        <v>-1995.1699897636001</v>
      </c>
      <c r="AL88" s="8">
        <f>IFERROR(
GETPIVOTDATA(
"[Base].[Importe]",
TDinamica_R!$A$5,
"[Calendario].[AñoMes]",
"[Calendario].[AñoMes].&amp;[" &amp; TEXT(AL$6,"yyyymm") &amp; "]",
"[Base].[Metrica]",
"[Base].[Metrica].&amp;[" &amp; $A88 &amp; "]",
"[Base].[SEGMENTO_DESCRIP]",
"[Base].[SEGMENTO_DESCRIP].&amp;[" &amp; $C$6 &amp; "]",
"[Base].[SITUACION]",
"[Base].[SITUACION].&amp;[" &amp; $C88 &amp; "]"
),0)/1000</f>
        <v>-2393.3161295671998</v>
      </c>
      <c r="AM88" s="8">
        <f>IFERROR(
GETPIVOTDATA(
"[Base].[Importe]",
TDinamica_R!$A$5,
"[Calendario].[AñoMes]",
"[Calendario].[AñoMes].&amp;[" &amp; TEXT(AM$6,"yyyymm") &amp; "]",
"[Base].[Metrica]",
"[Base].[Metrica].&amp;[" &amp; $A88 &amp; "]",
"[Base].[SEGMENTO_DESCRIP]",
"[Base].[SEGMENTO_DESCRIP].&amp;[" &amp; $C$6 &amp; "]",
"[Base].[SITUACION]",
"[Base].[SITUACION].&amp;[" &amp; $C88 &amp; "]"
),0)/1000</f>
        <v>-2104.2253711482003</v>
      </c>
      <c r="AN88" s="8">
        <f>IFERROR(
GETPIVOTDATA(
"[Base].[Importe]",
TDinamica_R!$A$5,
"[Calendario].[AñoMes]",
"[Calendario].[AñoMes].&amp;[" &amp; TEXT(AN$6,"yyyymm") &amp; "]",
"[Base].[Metrica]",
"[Base].[Metrica].&amp;[" &amp; $A88 &amp; "]",
"[Base].[SEGMENTO_DESCRIP]",
"[Base].[SEGMENTO_DESCRIP].&amp;[" &amp; $C$6 &amp; "]",
"[Base].[SITUACION]",
"[Base].[SITUACION].&amp;[" &amp; $C88 &amp; "]"
),0)/1000</f>
        <v>-2435.2586035029999</v>
      </c>
      <c r="AO88" s="8">
        <f>IFERROR(
GETPIVOTDATA(
"[Base].[Importe]",
TDinamica_R!$A$5,
"[Calendario].[AñoMes]",
"[Calendario].[AñoMes].&amp;[" &amp; TEXT(AO$6,"yyyymm") &amp; "]",
"[Base].[Metrica]",
"[Base].[Metrica].&amp;[" &amp; $A88 &amp; "]",
"[Base].[SEGMENTO_DESCRIP]",
"[Base].[SEGMENTO_DESCRIP].&amp;[" &amp; $C$6 &amp; "]",
"[Base].[SITUACION]",
"[Base].[SITUACION].&amp;[" &amp; $C88 &amp; "]"
),0)/1000</f>
        <v>-2221.3017034860004</v>
      </c>
      <c r="AP88" s="8">
        <f>IFERROR(
GETPIVOTDATA(
"[Base].[Importe]",
TDinamica_R!$A$5,
"[Calendario].[AñoMes]",
"[Calendario].[AñoMes].&amp;[" &amp; TEXT(AP$6,"yyyymm") &amp; "]",
"[Base].[Metrica]",
"[Base].[Metrica].&amp;[" &amp; $A88 &amp; "]",
"[Base].[SEGMENTO_DESCRIP]",
"[Base].[SEGMENTO_DESCRIP].&amp;[" &amp; $C$6 &amp; "]",
"[Base].[SITUACION]",
"[Base].[SITUACION].&amp;[" &amp; $C88 &amp; "]"
),0)/1000</f>
        <v>-2394.4290072774002</v>
      </c>
      <c r="AQ88" s="8">
        <f>IFERROR(
GETPIVOTDATA(
"[Base].[Importe]",
TDinamica_R!$A$5,
"[Calendario].[AñoMes]",
"[Calendario].[AñoMes].&amp;[" &amp; TEXT(AQ$6,"yyyymm") &amp; "]",
"[Base].[Metrica]",
"[Base].[Metrica].&amp;[" &amp; $A88 &amp; "]",
"[Base].[SEGMENTO_DESCRIP]",
"[Base].[SEGMENTO_DESCRIP].&amp;[" &amp; $C$6 &amp; "]",
"[Base].[SITUACION]",
"[Base].[SITUACION].&amp;[" &amp; $C88 &amp; "]"
),0)/1000</f>
        <v>-2447.7175509067001</v>
      </c>
      <c r="AR88" s="8">
        <f>IFERROR(
GETPIVOTDATA(
"[Base].[Importe]",
TDinamica_R!$A$5,
"[Calendario].[AñoMes]",
"[Calendario].[AñoMes].&amp;[" &amp; TEXT(AR$6,"yyyymm") &amp; "]",
"[Base].[Metrica]",
"[Base].[Metrica].&amp;[" &amp; $A88 &amp; "]",
"[Base].[SEGMENTO_DESCRIP]",
"[Base].[SEGMENTO_DESCRIP].&amp;[" &amp; $C$6 &amp; "]",
"[Base].[SITUACION]",
"[Base].[SITUACION].&amp;[" &amp; $C88 &amp; "]"
),0)/1000</f>
        <v>-2220.7060574130996</v>
      </c>
      <c r="AS88" s="8">
        <f>IFERROR(
GETPIVOTDATA(
"[Base].[Importe]",
TDinamica_R!$A$5,
"[Calendario].[AñoMes]",
"[Calendario].[AñoMes].&amp;[" &amp; TEXT(AS$6,"yyyymm") &amp; "]",
"[Base].[Metrica]",
"[Base].[Metrica].&amp;[" &amp; $A88 &amp; "]",
"[Base].[SEGMENTO_DESCRIP]",
"[Base].[SEGMENTO_DESCRIP].&amp;[" &amp; $C$6 &amp; "]",
"[Base].[SITUACION]",
"[Base].[SITUACION].&amp;[" &amp; $C88 &amp; "]"
),0)/1000</f>
        <v>-2366.1827532527</v>
      </c>
      <c r="AT88" s="8">
        <f>IFERROR(
GETPIVOTDATA(
"[Base].[Importe]",
TDinamica_R!$A$5,
"[Calendario].[AñoMes]",
"[Calendario].[AñoMes].&amp;[" &amp; TEXT(AT$6,"yyyymm")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U88" s="8">
        <f>IFERROR(
GETPIVOTDATA(
"[Base].[Importe]",
TDinamica_R!$A$5,
"[Calendario].[AñoMes]",
"[Calendario].[AñoMes].&amp;[" &amp; TEXT(AU$6,"yyyymm")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V88" s="8">
        <f>IFERROR(
GETPIVOTDATA(
"[Base].[Importe]",
TDinamica_R!$A$5,
"[Calendario].[AñoMes]",
"[Calendario].[AñoMes].&amp;[" &amp; TEXT(AV$6,"yyyymm")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W88" s="8">
        <f>IFERROR(
GETPIVOTDATA(
"[Base].[Importe]",
TDinamica_R!$A$5,
"[Calendario].[AñoMes]",
"[Calendario].[AñoMes].&amp;[" &amp; TEXT(AW$6,"yyyymm")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X88" s="8">
        <f>IFERROR(
GETPIVOTDATA(
"[Base].[Importe]",
TDinamica_R!$A$5,
"[Calendario].[AñoMes]",
"[Calendario].[AñoMes].&amp;[" &amp; TEXT(AX$6,"yyyymm")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Y88" s="8">
        <f>IFERROR(
GETPIVOTDATA(
"[Base].[Importe]",
TDinamica_R!$A$5,
"[Calendario].[AñoMes]",
"[Calendario].[AñoMes].&amp;[" &amp; TEXT(AY$6,"yyyymm")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Z88" s="8">
        <f>IFERROR(
GETPIVOTDATA(
"[BASE_CONVE_PPTO].[Importe]",
TDinamica_P!$A$5,
"[BASE_CONVE_PPTO].[Periodo]",
"[BASE_CONVE_PPTO].[Periodo].&amp;[" &amp; TEXT(AZ$6,"yyyymm")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-2162.0732627743</v>
      </c>
      <c r="BA88" s="8">
        <f>IFERROR(
GETPIVOTDATA(
"[BASE_CONVE_PPTO].[Importe]",
TDinamica_P!$A$5,
"[BASE_CONVE_PPTO].[Periodo]",
"[BASE_CONVE_PPTO].[Periodo].&amp;[" &amp; TEXT(BA$6,"yyyymm")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-2293.2639596167</v>
      </c>
      <c r="BB88" s="8">
        <f>IFERROR(
GETPIVOTDATA(
"[BASE_CONVE_PPTO].[Importe]",
TDinamica_P!$A$5,
"[BASE_CONVE_PPTO].[Periodo]",
"[BASE_CONVE_PPTO].[Periodo].&amp;[" &amp; TEXT(BB$6,"yyyymm")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-2183.9333010156001</v>
      </c>
      <c r="BC88" s="8">
        <f>IFERROR(
GETPIVOTDATA(
"[BASE_CONVE_PPTO].[Importe]",
TDinamica_P!$A$5,
"[BASE_CONVE_PPTO].[Periodo]",
"[BASE_CONVE_PPTO].[Periodo].&amp;[" &amp; TEXT(BC$6,"yyyymm")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-2195.6479913628</v>
      </c>
      <c r="BD88" s="8">
        <f>IFERROR(
GETPIVOTDATA(
"[BASE_CONVE_PPTO].[Importe]",
TDinamica_P!$A$5,
"[BASE_CONVE_PPTO].[Periodo]",
"[BASE_CONVE_PPTO].[Periodo].&amp;[" &amp; TEXT(BD$6,"yyyymm")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-2210.5216878261999</v>
      </c>
      <c r="BE88" s="8">
        <f>IFERROR(
GETPIVOTDATA(
"[BASE_CONVE_PPTO].[Importe]",
TDinamica_P!$A$5,
"[BASE_CONVE_PPTO].[Periodo]",
"[BASE_CONVE_PPTO].[Periodo].&amp;[" &amp; TEXT(BE$6,"yyyymm")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-2274.8104732176998</v>
      </c>
      <c r="BF88" s="8">
        <f>IFERROR(
GETPIVOTDATA(
"[BASE_CONVE_PPTO].[Importe]",
TDinamica_P!$A$5,
"[BASE_CONVE_PPTO].[Periodo]",
"[BASE_CONVE_PPTO].[Periodo].&amp;[" &amp; TEXT(BF$6,"yyyymm")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-2211.0773214470996</v>
      </c>
      <c r="BG88" s="8">
        <f>IFERROR(
GETPIVOTDATA(
"[BASE_CONVE_PPTO].[Importe]",
TDinamica_P!$A$5,
"[BASE_CONVE_PPTO].[Periodo]",
"[BASE_CONVE_PPTO].[Periodo].&amp;[" &amp; TEXT(BG$6,"yyyymm")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-2201.547629138</v>
      </c>
      <c r="BH88" s="8">
        <f>IFERROR(
GETPIVOTDATA(
"[BASE_CONVE_PPTO].[Importe]",
TDinamica_P!$A$5,
"[BASE_CONVE_PPTO].[Periodo]",
"[BASE_CONVE_PPTO].[Periodo].&amp;[" &amp; TEXT(BH$6,"yyyymm")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-2323.162300125</v>
      </c>
      <c r="BI88" s="8">
        <f>IFERROR(
GETPIVOTDATA(
"[BASE_CONVE_PPTO].[Importe]",
TDinamica_P!$A$5,
"[BASE_CONVE_PPTO].[Periodo]",
"[BASE_CONVE_PPTO].[Periodo].&amp;[" &amp; TEXT(BI$6,"yyyymm")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-2240.7485865732997</v>
      </c>
      <c r="BJ88" s="8">
        <f>IFERROR(
GETPIVOTDATA(
"[BASE_CONVE_PPTO].[Importe]",
TDinamica_P!$A$5,
"[BASE_CONVE_PPTO].[Periodo]",
"[BASE_CONVE_PPTO].[Periodo].&amp;[" &amp; TEXT(BJ$6,"yyyymm")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-2254.226753983</v>
      </c>
      <c r="BK88" s="8">
        <f>IFERROR(
GETPIVOTDATA(
"[BASE_CONVE_PPTO].[Importe]",
TDinamica_P!$A$5,
"[BASE_CONVE_PPTO].[Periodo]",
"[BASE_CONVE_PPTO].[Periodo].&amp;[" &amp; TEXT(BK$6,"yyyymm")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-2240.2122134005999</v>
      </c>
      <c r="BO88" s="24">
        <f t="shared" si="54"/>
        <v>-11719.4129225862</v>
      </c>
      <c r="BP88" s="24">
        <f t="shared" si="54"/>
        <v>-11045.440202595601</v>
      </c>
      <c r="BQ88" s="24">
        <f t="shared" si="54"/>
        <v>-9498.7068651731006</v>
      </c>
      <c r="BR88" s="24">
        <f t="shared" si="54"/>
        <v>-10259.0769975085</v>
      </c>
      <c r="BS88" s="24">
        <f t="shared" si="54"/>
        <v>-9023.0413239835998</v>
      </c>
      <c r="BT88" s="24">
        <f t="shared" si="54"/>
        <v>-8323.4076770677002</v>
      </c>
    </row>
    <row r="89" spans="1:72" x14ac:dyDescent="0.25">
      <c r="C89" s="3" t="s">
        <v>75</v>
      </c>
      <c r="D89" s="10">
        <f>SUM(D86:D88)</f>
        <v>-5812.1315566652993</v>
      </c>
      <c r="E89" s="10">
        <f t="shared" ref="E89:AY89" si="55">SUM(E86:E88)</f>
        <v>-6144.1331216889002</v>
      </c>
      <c r="F89" s="10">
        <f t="shared" si="55"/>
        <v>-5894.0102408447001</v>
      </c>
      <c r="G89" s="10">
        <f t="shared" si="55"/>
        <v>-6389.2874968643</v>
      </c>
      <c r="H89" s="10">
        <f t="shared" si="55"/>
        <v>-5672.2092733889003</v>
      </c>
      <c r="I89" s="10">
        <f t="shared" si="55"/>
        <v>-5575.1657362641999</v>
      </c>
      <c r="J89" s="10">
        <f t="shared" si="55"/>
        <v>-5837.4992221625998</v>
      </c>
      <c r="K89" s="10">
        <f t="shared" si="55"/>
        <v>-5187.7297169404001</v>
      </c>
      <c r="L89" s="10">
        <f t="shared" si="55"/>
        <v>-5546.4858285766004</v>
      </c>
      <c r="M89" s="10">
        <f t="shared" si="55"/>
        <v>-5467.9925889398</v>
      </c>
      <c r="N89" s="10">
        <f t="shared" si="55"/>
        <v>-5355.9131536406994</v>
      </c>
      <c r="O89" s="10">
        <f t="shared" si="55"/>
        <v>-4875.3913452313</v>
      </c>
      <c r="P89" s="10">
        <f t="shared" si="55"/>
        <v>-5237.6245926165002</v>
      </c>
      <c r="Q89" s="10">
        <f t="shared" si="55"/>
        <v>-6112.2294515648</v>
      </c>
      <c r="R89" s="10">
        <f t="shared" si="55"/>
        <v>-5648.2221717602006</v>
      </c>
      <c r="S89" s="10">
        <f t="shared" si="55"/>
        <v>-5670.3045806455002</v>
      </c>
      <c r="T89" s="10">
        <f t="shared" si="55"/>
        <v>-6187.0551806136</v>
      </c>
      <c r="U89" s="10">
        <f t="shared" si="55"/>
        <v>-6822.7324329470002</v>
      </c>
      <c r="V89" s="10">
        <f t="shared" si="55"/>
        <v>-6586.6882092182996</v>
      </c>
      <c r="W89" s="10">
        <f t="shared" si="55"/>
        <v>-5923.4917073493007</v>
      </c>
      <c r="X89" s="10">
        <f t="shared" si="55"/>
        <v>-5852.9493348909</v>
      </c>
      <c r="Y89" s="10">
        <f t="shared" si="55"/>
        <v>-5829.8463017104996</v>
      </c>
      <c r="Z89" s="10">
        <f t="shared" si="55"/>
        <v>-5722.0548093163006</v>
      </c>
      <c r="AA89" s="10">
        <f t="shared" si="55"/>
        <v>-5589.1277040777004</v>
      </c>
      <c r="AB89" s="10">
        <f t="shared" si="55"/>
        <v>-6257.8937891156002</v>
      </c>
      <c r="AC89" s="10">
        <f t="shared" si="55"/>
        <v>-5932.6863473150997</v>
      </c>
      <c r="AD89" s="10">
        <f t="shared" si="55"/>
        <v>-6214.3457780685003</v>
      </c>
      <c r="AE89" s="10">
        <f t="shared" si="55"/>
        <v>-6284.5991791856995</v>
      </c>
      <c r="AF89" s="10">
        <f t="shared" si="55"/>
        <v>-6571.1264266763992</v>
      </c>
      <c r="AG89" s="10">
        <f t="shared" si="55"/>
        <v>-6569.7238838120993</v>
      </c>
      <c r="AH89" s="10">
        <f t="shared" si="55"/>
        <v>-6487.8305353098003</v>
      </c>
      <c r="AI89" s="10">
        <f t="shared" si="55"/>
        <v>-6861.2406617877987</v>
      </c>
      <c r="AJ89" s="10">
        <f t="shared" si="55"/>
        <v>-6472.162857613499</v>
      </c>
      <c r="AK89" s="10">
        <f t="shared" si="55"/>
        <v>-6246.5377390675003</v>
      </c>
      <c r="AL89" s="10">
        <f t="shared" si="55"/>
        <v>-6735.0571281694993</v>
      </c>
      <c r="AM89" s="10">
        <f t="shared" si="55"/>
        <v>-6863.9422566720004</v>
      </c>
      <c r="AN89" s="10">
        <f t="shared" si="55"/>
        <v>-6694.2032724066994</v>
      </c>
      <c r="AO89" s="10">
        <f t="shared" si="55"/>
        <v>-6356.5737095307004</v>
      </c>
      <c r="AP89" s="10">
        <f t="shared" si="55"/>
        <v>-6789.2336481411012</v>
      </c>
      <c r="AQ89" s="10">
        <f t="shared" si="55"/>
        <v>-6775.9752778064003</v>
      </c>
      <c r="AR89" s="10">
        <f t="shared" si="55"/>
        <v>-7477.6952583806014</v>
      </c>
      <c r="AS89" s="10">
        <f t="shared" si="55"/>
        <v>-6819.7551741062998</v>
      </c>
      <c r="AT89" s="10">
        <f t="shared" si="55"/>
        <v>0</v>
      </c>
      <c r="AU89" s="10">
        <f t="shared" si="55"/>
        <v>0</v>
      </c>
      <c r="AV89" s="10">
        <f t="shared" si="55"/>
        <v>0</v>
      </c>
      <c r="AW89" s="10">
        <f t="shared" si="55"/>
        <v>0</v>
      </c>
      <c r="AX89" s="10">
        <f t="shared" si="55"/>
        <v>0</v>
      </c>
      <c r="AY89" s="10">
        <f t="shared" si="55"/>
        <v>0</v>
      </c>
      <c r="AZ89" s="10">
        <f t="shared" ref="AZ89:BK89" si="56">SUM(AZ86:AZ88)</f>
        <v>-6426.9109661954999</v>
      </c>
      <c r="BA89" s="10">
        <f t="shared" si="56"/>
        <v>-6499.4167866541002</v>
      </c>
      <c r="BB89" s="10">
        <f t="shared" si="56"/>
        <v>-6571.8891147057002</v>
      </c>
      <c r="BC89" s="10">
        <f t="shared" si="56"/>
        <v>-6494.8865095964002</v>
      </c>
      <c r="BD89" s="10">
        <f t="shared" si="56"/>
        <v>-6650.1306340667998</v>
      </c>
      <c r="BE89" s="10">
        <f t="shared" si="56"/>
        <v>-6756.927718166</v>
      </c>
      <c r="BF89" s="10">
        <f t="shared" si="56"/>
        <v>-6531.4355998120991</v>
      </c>
      <c r="BG89" s="10">
        <f t="shared" si="56"/>
        <v>-6575.9763319093008</v>
      </c>
      <c r="BH89" s="10">
        <f t="shared" si="56"/>
        <v>-6829.5981855907003</v>
      </c>
      <c r="BI89" s="10">
        <f t="shared" si="56"/>
        <v>-6621.3442911772991</v>
      </c>
      <c r="BJ89" s="10">
        <f t="shared" si="56"/>
        <v>-6691.4207008146996</v>
      </c>
      <c r="BK89" s="10">
        <f t="shared" si="56"/>
        <v>-6747.4621698882002</v>
      </c>
      <c r="BO89" s="23">
        <f t="shared" ref="BO89:BT89" si="57">SUM(BO86:BO88)</f>
        <v>-34093.681166265502</v>
      </c>
      <c r="BP89" s="23">
        <f t="shared" si="57"/>
        <v>-32643.234011218501</v>
      </c>
      <c r="BQ89" s="23">
        <f t="shared" si="57"/>
        <v>-26615.985907884904</v>
      </c>
      <c r="BR89" s="23">
        <f t="shared" si="57"/>
        <v>-31260.651520361302</v>
      </c>
      <c r="BS89" s="23">
        <f t="shared" si="57"/>
        <v>-28855.435977200599</v>
      </c>
      <c r="BT89" s="23">
        <f t="shared" si="57"/>
        <v>-29911.7716894521</v>
      </c>
    </row>
    <row r="91" spans="1:72" outlineLevel="1" x14ac:dyDescent="0.25">
      <c r="A91" s="11" t="s">
        <v>80</v>
      </c>
      <c r="C91" s="2" t="s">
        <v>84</v>
      </c>
      <c r="D91" s="8">
        <f>IFERROR(
GETPIVOTDATA(
"[Base].[Importe]",
TDinamica_R!$A$5,
"[Calendario].[AñoMes]",
"[Calendario].[AñoMes].&amp;[" &amp; TEXT(D$6,"yyyymm") &amp; "]",
"[Base].[Metrica]",
"[Base].[Metrica].&amp;[" &amp; $A91 &amp; "]",
"[Base].[SEGMENTO_DESCRIP]",
"[Base].[SEGMENTO_DESCRIP].&amp;[" &amp; $C$6 &amp; "]",
"[Base].[SITUACION]",
"[Base].[SITUACION].&amp;[" &amp; $C91 &amp; "]"
),0)/1000</f>
        <v>-159.41160573714097</v>
      </c>
      <c r="E91" s="8">
        <f>IFERROR(
GETPIVOTDATA(
"[Base].[Importe]",
TDinamica_R!$A$5,
"[Calendario].[AñoMes]",
"[Calendario].[AñoMes].&amp;[" &amp; TEXT(E$6,"yyyymm") &amp; "]",
"[Base].[Metrica]",
"[Base].[Metrica].&amp;[" &amp; $A91 &amp; "]",
"[Base].[SEGMENTO_DESCRIP]",
"[Base].[SEGMENTO_DESCRIP].&amp;[" &amp; $C$6 &amp; "]",
"[Base].[SITUACION]",
"[Base].[SITUACION].&amp;[" &amp; $C91 &amp; "]"
),0)/1000</f>
        <v>-159.32798335322627</v>
      </c>
      <c r="F91" s="8">
        <f>IFERROR(
GETPIVOTDATA(
"[Base].[Importe]",
TDinamica_R!$A$5,
"[Calendario].[AñoMes]",
"[Calendario].[AñoMes].&amp;[" &amp; TEXT(F$6,"yyyymm") &amp; "]",
"[Base].[Metrica]",
"[Base].[Metrica].&amp;[" &amp; $A91 &amp; "]",
"[Base].[SEGMENTO_DESCRIP]",
"[Base].[SEGMENTO_DESCRIP].&amp;[" &amp; $C$6 &amp; "]",
"[Base].[SITUACION]",
"[Base].[SITUACION].&amp;[" &amp; $C91 &amp; "]"
),0)/1000</f>
        <v>-205.57683492950213</v>
      </c>
      <c r="G91" s="8">
        <f>IFERROR(
GETPIVOTDATA(
"[Base].[Importe]",
TDinamica_R!$A$5,
"[Calendario].[AñoMes]",
"[Calendario].[AñoMes].&amp;[" &amp; TEXT(G$6,"yyyymm") &amp; "]",
"[Base].[Metrica]",
"[Base].[Metrica].&amp;[" &amp; $A91 &amp; "]",
"[Base].[SEGMENTO_DESCRIP]",
"[Base].[SEGMENTO_DESCRIP].&amp;[" &amp; $C$6 &amp; "]",
"[Base].[SITUACION]",
"[Base].[SITUACION].&amp;[" &amp; $C91 &amp; "]"
),0)/1000</f>
        <v>-177.13577696574541</v>
      </c>
      <c r="H91" s="8">
        <f>IFERROR(
GETPIVOTDATA(
"[Base].[Importe]",
TDinamica_R!$A$5,
"[Calendario].[AñoMes]",
"[Calendario].[AñoMes].&amp;[" &amp; TEXT(H$6,"yyyymm") &amp; "]",
"[Base].[Metrica]",
"[Base].[Metrica].&amp;[" &amp; $A91 &amp; "]",
"[Base].[SEGMENTO_DESCRIP]",
"[Base].[SEGMENTO_DESCRIP].&amp;[" &amp; $C$6 &amp; "]",
"[Base].[SITUACION]",
"[Base].[SITUACION].&amp;[" &amp; $C91 &amp; "]"
),0)/1000</f>
        <v>-245.68455953209869</v>
      </c>
      <c r="I91" s="8">
        <f>IFERROR(
GETPIVOTDATA(
"[Base].[Importe]",
TDinamica_R!$A$5,
"[Calendario].[AñoMes]",
"[Calendario].[AñoMes].&amp;[" &amp; TEXT(I$6,"yyyymm") &amp; "]",
"[Base].[Metrica]",
"[Base].[Metrica].&amp;[" &amp; $A91 &amp; "]",
"[Base].[SEGMENTO_DESCRIP]",
"[Base].[SEGMENTO_DESCRIP].&amp;[" &amp; $C$6 &amp; "]",
"[Base].[SITUACION]",
"[Base].[SITUACION].&amp;[" &amp; $C91 &amp; "]"
),0)/1000</f>
        <v>-169.8237010731934</v>
      </c>
      <c r="J91" s="8">
        <f>IFERROR(
GETPIVOTDATA(
"[Base].[Importe]",
TDinamica_R!$A$5,
"[Calendario].[AñoMes]",
"[Calendario].[AñoMes].&amp;[" &amp; TEXT(J$6,"yyyymm") &amp; "]",
"[Base].[Metrica]",
"[Base].[Metrica].&amp;[" &amp; $A91 &amp; "]",
"[Base].[SEGMENTO_DESCRIP]",
"[Base].[SEGMENTO_DESCRIP].&amp;[" &amp; $C$6 &amp; "]",
"[Base].[SITUACION]",
"[Base].[SITUACION].&amp;[" &amp; $C91 &amp; "]"
),0)/1000</f>
        <v>-199.5833150787075</v>
      </c>
      <c r="K91" s="8">
        <f>IFERROR(
GETPIVOTDATA(
"[Base].[Importe]",
TDinamica_R!$A$5,
"[Calendario].[AñoMes]",
"[Calendario].[AñoMes].&amp;[" &amp; TEXT(K$6,"yyyymm") &amp; "]",
"[Base].[Metrica]",
"[Base].[Metrica].&amp;[" &amp; $A91 &amp; "]",
"[Base].[SEGMENTO_DESCRIP]",
"[Base].[SEGMENTO_DESCRIP].&amp;[" &amp; $C$6 &amp; "]",
"[Base].[SITUACION]",
"[Base].[SITUACION].&amp;[" &amp; $C91 &amp; "]"
),0)/1000</f>
        <v>-172.28335913461294</v>
      </c>
      <c r="L91" s="8">
        <f>IFERROR(
GETPIVOTDATA(
"[Base].[Importe]",
TDinamica_R!$A$5,
"[Calendario].[AñoMes]",
"[Calendario].[AñoMes].&amp;[" &amp; TEXT(L$6,"yyyymm") &amp; "]",
"[Base].[Metrica]",
"[Base].[Metrica].&amp;[" &amp; $A91 &amp; "]",
"[Base].[SEGMENTO_DESCRIP]",
"[Base].[SEGMENTO_DESCRIP].&amp;[" &amp; $C$6 &amp; "]",
"[Base].[SITUACION]",
"[Base].[SITUACION].&amp;[" &amp; $C91 &amp; "]"
),0)/1000</f>
        <v>-159.32704651987422</v>
      </c>
      <c r="M91" s="8">
        <f>IFERROR(
GETPIVOTDATA(
"[Base].[Importe]",
TDinamica_R!$A$5,
"[Calendario].[AñoMes]",
"[Calendario].[AñoMes].&amp;[" &amp; TEXT(M$6,"yyyymm") &amp; "]",
"[Base].[Metrica]",
"[Base].[Metrica].&amp;[" &amp; $A91 &amp; "]",
"[Base].[SEGMENTO_DESCRIP]",
"[Base].[SEGMENTO_DESCRIP].&amp;[" &amp; $C$6 &amp; "]",
"[Base].[SITUACION]",
"[Base].[SITUACION].&amp;[" &amp; $C91 &amp; "]"
),0)/1000</f>
        <v>-217.57681120262961</v>
      </c>
      <c r="N91" s="8">
        <f>IFERROR(
GETPIVOTDATA(
"[Base].[Importe]",
TDinamica_R!$A$5,
"[Calendario].[AñoMes]",
"[Calendario].[AñoMes].&amp;[" &amp; TEXT(N$6,"yyyymm") &amp; "]",
"[Base].[Metrica]",
"[Base].[Metrica].&amp;[" &amp; $A91 &amp; "]",
"[Base].[SEGMENTO_DESCRIP]",
"[Base].[SEGMENTO_DESCRIP].&amp;[" &amp; $C$6 &amp; "]",
"[Base].[SITUACION]",
"[Base].[SITUACION].&amp;[" &amp; $C91 &amp; "]"
),0)/1000</f>
        <v>-225.63865061049438</v>
      </c>
      <c r="O91" s="8">
        <f>IFERROR(
GETPIVOTDATA(
"[Base].[Importe]",
TDinamica_R!$A$5,
"[Calendario].[AñoMes]",
"[Calendario].[AñoMes].&amp;[" &amp; TEXT(O$6,"yyyymm") &amp; "]",
"[Base].[Metrica]",
"[Base].[Metrica].&amp;[" &amp; $A91 &amp; "]",
"[Base].[SEGMENTO_DESCRIP]",
"[Base].[SEGMENTO_DESCRIP].&amp;[" &amp; $C$6 &amp; "]",
"[Base].[SITUACION]",
"[Base].[SITUACION].&amp;[" &amp; $C91 &amp; "]"
),0)/1000</f>
        <v>-177.71673914260163</v>
      </c>
      <c r="P91" s="8">
        <f>IFERROR(
GETPIVOTDATA(
"[Base].[Importe]",
TDinamica_R!$A$5,
"[Calendario].[AñoMes]",
"[Calendario].[AñoMes].&amp;[" &amp; TEXT(P$6,"yyyymm") &amp; "]",
"[Base].[Metrica]",
"[Base].[Metrica].&amp;[" &amp; $A91 &amp; "]",
"[Base].[SEGMENTO_DESCRIP]",
"[Base].[SEGMENTO_DESCRIP].&amp;[" &amp; $C$6 &amp; "]",
"[Base].[SITUACION]",
"[Base].[SITUACION].&amp;[" &amp; $C91 &amp; "]"
),0)/1000</f>
        <v>-159.86919953071728</v>
      </c>
      <c r="Q91" s="8">
        <f>IFERROR(
GETPIVOTDATA(
"[Base].[Importe]",
TDinamica_R!$A$5,
"[Calendario].[AñoMes]",
"[Calendario].[AñoMes].&amp;[" &amp; TEXT(Q$6,"yyyymm") &amp; "]",
"[Base].[Metrica]",
"[Base].[Metrica].&amp;[" &amp; $A91 &amp; "]",
"[Base].[SEGMENTO_DESCRIP]",
"[Base].[SEGMENTO_DESCRIP].&amp;[" &amp; $C$6 &amp; "]",
"[Base].[SITUACION]",
"[Base].[SITUACION].&amp;[" &amp; $C91 &amp; "]"
),0)/1000</f>
        <v>-159.96840103270131</v>
      </c>
      <c r="R91" s="8">
        <f>IFERROR(
GETPIVOTDATA(
"[Base].[Importe]",
TDinamica_R!$A$5,
"[Calendario].[AñoMes]",
"[Calendario].[AñoMes].&amp;[" &amp; TEXT(R$6,"yyyymm") &amp; "]",
"[Base].[Metrica]",
"[Base].[Metrica].&amp;[" &amp; $A91 &amp; "]",
"[Base].[SEGMENTO_DESCRIP]",
"[Base].[SEGMENTO_DESCRIP].&amp;[" &amp; $C$6 &amp; "]",
"[Base].[SITUACION]",
"[Base].[SITUACION].&amp;[" &amp; $C91 &amp; "]"
),0)/1000</f>
        <v>-160.00638620012765</v>
      </c>
      <c r="S91" s="8">
        <f>IFERROR(
GETPIVOTDATA(
"[Base].[Importe]",
TDinamica_R!$A$5,
"[Calendario].[AñoMes]",
"[Calendario].[AñoMes].&amp;[" &amp; TEXT(S$6,"yyyymm") &amp; "]",
"[Base].[Metrica]",
"[Base].[Metrica].&amp;[" &amp; $A91 &amp; "]",
"[Base].[SEGMENTO_DESCRIP]",
"[Base].[SEGMENTO_DESCRIP].&amp;[" &amp; $C$6 &amp; "]",
"[Base].[SITUACION]",
"[Base].[SITUACION].&amp;[" &amp; $C91 &amp; "]"
),0)/1000</f>
        <v>-170.64181967508483</v>
      </c>
      <c r="T91" s="8">
        <f>IFERROR(
GETPIVOTDATA(
"[Base].[Importe]",
TDinamica_R!$A$5,
"[Calendario].[AñoMes]",
"[Calendario].[AñoMes].&amp;[" &amp; TEXT(T$6,"yyyymm") &amp; "]",
"[Base].[Metrica]",
"[Base].[Metrica].&amp;[" &amp; $A91 &amp; "]",
"[Base].[SEGMENTO_DESCRIP]",
"[Base].[SEGMENTO_DESCRIP].&amp;[" &amp; $C$6 &amp; "]",
"[Base].[SITUACION]",
"[Base].[SITUACION].&amp;[" &amp; $C91 &amp; "]"
),0)/1000</f>
        <v>-239.08865441514865</v>
      </c>
      <c r="U91" s="8">
        <f>IFERROR(
GETPIVOTDATA(
"[Base].[Importe]",
TDinamica_R!$A$5,
"[Calendario].[AñoMes]",
"[Calendario].[AñoMes].&amp;[" &amp; TEXT(U$6,"yyyymm") &amp; "]",
"[Base].[Metrica]",
"[Base].[Metrica].&amp;[" &amp; $A91 &amp; "]",
"[Base].[SEGMENTO_DESCRIP]",
"[Base].[SEGMENTO_DESCRIP].&amp;[" &amp; $C$6 &amp; "]",
"[Base].[SITUACION]",
"[Base].[SITUACION].&amp;[" &amp; $C91 &amp; "]"
),0)/1000</f>
        <v>-172.493509165539</v>
      </c>
      <c r="V91" s="8">
        <f>IFERROR(
GETPIVOTDATA(
"[Base].[Importe]",
TDinamica_R!$A$5,
"[Calendario].[AñoMes]",
"[Calendario].[AñoMes].&amp;[" &amp; TEXT(V$6,"yyyymm") &amp; "]",
"[Base].[Metrica]",
"[Base].[Metrica].&amp;[" &amp; $A91 &amp; "]",
"[Base].[SEGMENTO_DESCRIP]",
"[Base].[SEGMENTO_DESCRIP].&amp;[" &amp; $C$6 &amp; "]",
"[Base].[SITUACION]",
"[Base].[SITUACION].&amp;[" &amp; $C91 &amp; "]"
),0)/1000</f>
        <v>-224.81145767496781</v>
      </c>
      <c r="W91" s="8">
        <f>IFERROR(
GETPIVOTDATA(
"[Base].[Importe]",
TDinamica_R!$A$5,
"[Calendario].[AñoMes]",
"[Calendario].[AñoMes].&amp;[" &amp; TEXT(W$6,"yyyymm") &amp; "]",
"[Base].[Metrica]",
"[Base].[Metrica].&amp;[" &amp; $A91 &amp; "]",
"[Base].[SEGMENTO_DESCRIP]",
"[Base].[SEGMENTO_DESCRIP].&amp;[" &amp; $C$6 &amp; "]",
"[Base].[SITUACION]",
"[Base].[SITUACION].&amp;[" &amp; $C91 &amp; "]"
),0)/1000</f>
        <v>-155.18913875641445</v>
      </c>
      <c r="X91" s="8">
        <f>IFERROR(
GETPIVOTDATA(
"[Base].[Importe]",
TDinamica_R!$A$5,
"[Calendario].[AñoMes]",
"[Calendario].[AñoMes].&amp;[" &amp; TEXT(X$6,"yyyymm") &amp; "]",
"[Base].[Metrica]",
"[Base].[Metrica].&amp;[" &amp; $A91 &amp; "]",
"[Base].[SEGMENTO_DESCRIP]",
"[Base].[SEGMENTO_DESCRIP].&amp;[" &amp; $C$6 &amp; "]",
"[Base].[SITUACION]",
"[Base].[SITUACION].&amp;[" &amp; $C91 &amp; "]"
),0)/1000</f>
        <v>-160.48863704310602</v>
      </c>
      <c r="Y91" s="8">
        <f>IFERROR(
GETPIVOTDATA(
"[Base].[Importe]",
TDinamica_R!$A$5,
"[Calendario].[AñoMes]",
"[Calendario].[AñoMes].&amp;[" &amp; TEXT(Y$6,"yyyymm") &amp; "]",
"[Base].[Metrica]",
"[Base].[Metrica].&amp;[" &amp; $A91 &amp; "]",
"[Base].[SEGMENTO_DESCRIP]",
"[Base].[SEGMENTO_DESCRIP].&amp;[" &amp; $C$6 &amp; "]",
"[Base].[SITUACION]",
"[Base].[SITUACION].&amp;[" &amp; $C91 &amp; "]"
),0)/1000</f>
        <v>-163.94293318499936</v>
      </c>
      <c r="Z91" s="8">
        <f>IFERROR(
GETPIVOTDATA(
"[Base].[Importe]",
TDinamica_R!$A$5,
"[Calendario].[AñoMes]",
"[Calendario].[AñoMes].&amp;[" &amp; TEXT(Z$6,"yyyymm") &amp; "]",
"[Base].[Metrica]",
"[Base].[Metrica].&amp;[" &amp; $A91 &amp; "]",
"[Base].[SEGMENTO_DESCRIP]",
"[Base].[SEGMENTO_DESCRIP].&amp;[" &amp; $C$6 &amp; "]",
"[Base].[SITUACION]",
"[Base].[SITUACION].&amp;[" &amp; $C91 &amp; "]"
),0)/1000</f>
        <v>-211.9136802904012</v>
      </c>
      <c r="AA91" s="8">
        <f>IFERROR(
GETPIVOTDATA(
"[Base].[Importe]",
TDinamica_R!$A$5,
"[Calendario].[AñoMes]",
"[Calendario].[AñoMes].&amp;[" &amp; TEXT(AA$6,"yyyymm") &amp; "]",
"[Base].[Metrica]",
"[Base].[Metrica].&amp;[" &amp; $A91 &amp; "]",
"[Base].[SEGMENTO_DESCRIP]",
"[Base].[SEGMENTO_DESCRIP].&amp;[" &amp; $C$6 &amp; "]",
"[Base].[SITUACION]",
"[Base].[SITUACION].&amp;[" &amp; $C91 &amp; "]"
),0)/1000</f>
        <v>-223.31376366331725</v>
      </c>
      <c r="AB91" s="8">
        <f>IFERROR(
GETPIVOTDATA(
"[Base].[Importe]",
TDinamica_R!$A$5,
"[Calendario].[AñoMes]",
"[Calendario].[AñoMes].&amp;[" &amp; TEXT(AB$6,"yyyymm") &amp; "]",
"[Base].[Metrica]",
"[Base].[Metrica].&amp;[" &amp; $A91 &amp; "]",
"[Base].[SEGMENTO_DESCRIP]",
"[Base].[SEGMENTO_DESCRIP].&amp;[" &amp; $C$6 &amp; "]",
"[Base].[SITUACION]",
"[Base].[SITUACION].&amp;[" &amp; $C91 &amp; "]"
),0)/1000</f>
        <v>-160.84799505029324</v>
      </c>
      <c r="AC91" s="8">
        <f>IFERROR(
GETPIVOTDATA(
"[Base].[Importe]",
TDinamica_R!$A$5,
"[Calendario].[AñoMes]",
"[Calendario].[AñoMes].&amp;[" &amp; TEXT(AC$6,"yyyymm") &amp; "]",
"[Base].[Metrica]",
"[Base].[Metrica].&amp;[" &amp; $A91 &amp; "]",
"[Base].[SEGMENTO_DESCRIP]",
"[Base].[SEGMENTO_DESCRIP].&amp;[" &amp; $C$6 &amp; "]",
"[Base].[SITUACION]",
"[Base].[SITUACION].&amp;[" &amp; $C91 &amp; "]"
),0)/1000</f>
        <v>-175.51603658553643</v>
      </c>
      <c r="AD91" s="8">
        <f>IFERROR(
GETPIVOTDATA(
"[Base].[Importe]",
TDinamica_R!$A$5,
"[Calendario].[AñoMes]",
"[Calendario].[AñoMes].&amp;[" &amp; TEXT(AD$6,"yyyymm") &amp; "]",
"[Base].[Metrica]",
"[Base].[Metrica].&amp;[" &amp; $A91 &amp; "]",
"[Base].[SEGMENTO_DESCRIP]",
"[Base].[SEGMENTO_DESCRIP].&amp;[" &amp; $C$6 &amp; "]",
"[Base].[SITUACION]",
"[Base].[SITUACION].&amp;[" &amp; $C91 &amp; "]"
),0)/1000</f>
        <v>-160.89858105130489</v>
      </c>
      <c r="AE91" s="8">
        <f>IFERROR(
GETPIVOTDATA(
"[Base].[Importe]",
TDinamica_R!$A$5,
"[Calendario].[AñoMes]",
"[Calendario].[AñoMes].&amp;[" &amp; TEXT(AE$6,"yyyymm") &amp; "]",
"[Base].[Metrica]",
"[Base].[Metrica].&amp;[" &amp; $A91 &amp; "]",
"[Base].[SEGMENTO_DESCRIP]",
"[Base].[SEGMENTO_DESCRIP].&amp;[" &amp; $C$6 &amp; "]",
"[Base].[SITUACION]",
"[Base].[SITUACION].&amp;[" &amp; $C91 &amp; "]"
),0)/1000</f>
        <v>-160.96698738600637</v>
      </c>
      <c r="AF91" s="8">
        <f>IFERROR(
GETPIVOTDATA(
"[Base].[Importe]",
TDinamica_R!$A$5,
"[Calendario].[AñoMes]",
"[Calendario].[AñoMes].&amp;[" &amp; TEXT(AF$6,"yyyymm") &amp; "]",
"[Base].[Metrica]",
"[Base].[Metrica].&amp;[" &amp; $A91 &amp; "]",
"[Base].[SEGMENTO_DESCRIP]",
"[Base].[SEGMENTO_DESCRIP].&amp;[" &amp; $C$6 &amp; "]",
"[Base].[SITUACION]",
"[Base].[SITUACION].&amp;[" &amp; $C91 &amp; "]"
),0)/1000</f>
        <v>-213.96210562541731</v>
      </c>
      <c r="AG91" s="8">
        <f>IFERROR(
GETPIVOTDATA(
"[Base].[Importe]",
TDinamica_R!$A$5,
"[Calendario].[AñoMes]",
"[Calendario].[AñoMes].&amp;[" &amp; TEXT(AG$6,"yyyymm") &amp; "]",
"[Base].[Metrica]",
"[Base].[Metrica].&amp;[" &amp; $A91 &amp; "]",
"[Base].[SEGMENTO_DESCRIP]",
"[Base].[SEGMENTO_DESCRIP].&amp;[" &amp; $C$6 &amp; "]",
"[Base].[SITUACION]",
"[Base].[SITUACION].&amp;[" &amp; $C91 &amp; "]"
),0)/1000</f>
        <v>-160.92174021843479</v>
      </c>
      <c r="AH91" s="8">
        <f>IFERROR(
GETPIVOTDATA(
"[Base].[Importe]",
TDinamica_R!$A$5,
"[Calendario].[AñoMes]",
"[Calendario].[AñoMes].&amp;[" &amp; TEXT(AH$6,"yyyymm") &amp; "]",
"[Base].[Metrica]",
"[Base].[Metrica].&amp;[" &amp; $A91 &amp; "]",
"[Base].[SEGMENTO_DESCRIP]",
"[Base].[SEGMENTO_DESCRIP].&amp;[" &amp; $C$6 &amp; "]",
"[Base].[SITUACION]",
"[Base].[SITUACION].&amp;[" &amp; $C91 &amp; "]"
),0)/1000</f>
        <v>-204.43261920631269</v>
      </c>
      <c r="AI91" s="8">
        <f>IFERROR(
GETPIVOTDATA(
"[Base].[Importe]",
TDinamica_R!$A$5,
"[Calendario].[AñoMes]",
"[Calendario].[AñoMes].&amp;[" &amp; TEXT(AI$6,"yyyymm") &amp; "]",
"[Base].[Metrica]",
"[Base].[Metrica].&amp;[" &amp; $A91 &amp; "]",
"[Base].[SEGMENTO_DESCRIP]",
"[Base].[SEGMENTO_DESCRIP].&amp;[" &amp; $C$6 &amp; "]",
"[Base].[SITUACION]",
"[Base].[SITUACION].&amp;[" &amp; $C91 &amp; "]"
),0)/1000</f>
        <v>-186.03372731430824</v>
      </c>
      <c r="AJ91" s="8">
        <f>IFERROR(
GETPIVOTDATA(
"[Base].[Importe]",
TDinamica_R!$A$5,
"[Calendario].[AñoMes]",
"[Calendario].[AñoMes].&amp;[" &amp; TEXT(AJ$6,"yyyymm") &amp; "]",
"[Base].[Metrica]",
"[Base].[Metrica].&amp;[" &amp; $A91 &amp; "]",
"[Base].[SEGMENTO_DESCRIP]",
"[Base].[SEGMENTO_DESCRIP].&amp;[" &amp; $C$6 &amp; "]",
"[Base].[SITUACION]",
"[Base].[SITUACION].&amp;[" &amp; $C91 &amp; "]"
),0)/1000</f>
        <v>-155.57699366559174</v>
      </c>
      <c r="AK91" s="8">
        <f>IFERROR(
GETPIVOTDATA(
"[Base].[Importe]",
TDinamica_R!$A$5,
"[Calendario].[AñoMes]",
"[Calendario].[AñoMes].&amp;[" &amp; TEXT(AK$6,"yyyymm") &amp; "]",
"[Base].[Metrica]",
"[Base].[Metrica].&amp;[" &amp; $A91 &amp; "]",
"[Base].[SEGMENTO_DESCRIP]",
"[Base].[SEGMENTO_DESCRIP].&amp;[" &amp; $C$6 &amp; "]",
"[Base].[SITUACION]",
"[Base].[SITUACION].&amp;[" &amp; $C91 &amp; "]"
),0)/1000</f>
        <v>-174.1080489779734</v>
      </c>
      <c r="AL91" s="8">
        <f>IFERROR(
GETPIVOTDATA(
"[Base].[Importe]",
TDinamica_R!$A$5,
"[Calendario].[AñoMes]",
"[Calendario].[AñoMes].&amp;[" &amp; TEXT(AL$6,"yyyymm") &amp; "]",
"[Base].[Metrica]",
"[Base].[Metrica].&amp;[" &amp; $A91 &amp; "]",
"[Base].[SEGMENTO_DESCRIP]",
"[Base].[SEGMENTO_DESCRIP].&amp;[" &amp; $C$6 &amp; "]",
"[Base].[SITUACION]",
"[Base].[SITUACION].&amp;[" &amp; $C91 &amp; "]"
),0)/1000</f>
        <v>-195.18427941223615</v>
      </c>
      <c r="AM91" s="8">
        <f>IFERROR(
GETPIVOTDATA(
"[Base].[Importe]",
TDinamica_R!$A$5,
"[Calendario].[AñoMes]",
"[Calendario].[AñoMes].&amp;[" &amp; TEXT(AM$6,"yyyymm") &amp; "]",
"[Base].[Metrica]",
"[Base].[Metrica].&amp;[" &amp; $A91 &amp; "]",
"[Base].[SEGMENTO_DESCRIP]",
"[Base].[SEGMENTO_DESCRIP].&amp;[" &amp; $C$6 &amp; "]",
"[Base].[SITUACION]",
"[Base].[SITUACION].&amp;[" &amp; $C91 &amp; "]"
),0)/1000</f>
        <v>-329.41644865434841</v>
      </c>
      <c r="AN91" s="8">
        <f>IFERROR(
GETPIVOTDATA(
"[Base].[Importe]",
TDinamica_R!$A$5,
"[Calendario].[AñoMes]",
"[Calendario].[AñoMes].&amp;[" &amp; TEXT(AN$6,"yyyymm") &amp; "]",
"[Base].[Metrica]",
"[Base].[Metrica].&amp;[" &amp; $A91 &amp; "]",
"[Base].[SEGMENTO_DESCRIP]",
"[Base].[SEGMENTO_DESCRIP].&amp;[" &amp; $C$6 &amp; "]",
"[Base].[SITUACION]",
"[Base].[SITUACION].&amp;[" &amp; $C91 &amp; "]"
),0)/1000</f>
        <v>-161.45953439579367</v>
      </c>
      <c r="AO91" s="8">
        <f>IFERROR(
GETPIVOTDATA(
"[Base].[Importe]",
TDinamica_R!$A$5,
"[Calendario].[AñoMes]",
"[Calendario].[AñoMes].&amp;[" &amp; TEXT(AO$6,"yyyymm") &amp; "]",
"[Base].[Metrica]",
"[Base].[Metrica].&amp;[" &amp; $A91 &amp; "]",
"[Base].[SEGMENTO_DESCRIP]",
"[Base].[SEGMENTO_DESCRIP].&amp;[" &amp; $C$6 &amp; "]",
"[Base].[SITUACION]",
"[Base].[SITUACION].&amp;[" &amp; $C91 &amp; "]"
),0)/1000</f>
        <v>-193.87068148483323</v>
      </c>
      <c r="AP91" s="8">
        <f>IFERROR(
GETPIVOTDATA(
"[Base].[Importe]",
TDinamica_R!$A$5,
"[Calendario].[AñoMes]",
"[Calendario].[AñoMes].&amp;[" &amp; TEXT(AP$6,"yyyymm") &amp; "]",
"[Base].[Metrica]",
"[Base].[Metrica].&amp;[" &amp; $A91 &amp; "]",
"[Base].[SEGMENTO_DESCRIP]",
"[Base].[SEGMENTO_DESCRIP].&amp;[" &amp; $C$6 &amp; "]",
"[Base].[SITUACION]",
"[Base].[SITUACION].&amp;[" &amp; $C91 &amp; "]"
),0)/1000</f>
        <v>-193.71494923536656</v>
      </c>
      <c r="AQ91" s="8">
        <f>IFERROR(
GETPIVOTDATA(
"[Base].[Importe]",
TDinamica_R!$A$5,
"[Calendario].[AñoMes]",
"[Calendario].[AñoMes].&amp;[" &amp; TEXT(AQ$6,"yyyymm") &amp; "]",
"[Base].[Metrica]",
"[Base].[Metrica].&amp;[" &amp; $A91 &amp; "]",
"[Base].[SEGMENTO_DESCRIP]",
"[Base].[SEGMENTO_DESCRIP].&amp;[" &amp; $C$6 &amp; "]",
"[Base].[SITUACION]",
"[Base].[SITUACION].&amp;[" &amp; $C91 &amp; "]"
),0)/1000</f>
        <v>-208.1890181572829</v>
      </c>
      <c r="AR91" s="8">
        <f>IFERROR(
GETPIVOTDATA(
"[Base].[Importe]",
TDinamica_R!$A$5,
"[Calendario].[AñoMes]",
"[Calendario].[AñoMes].&amp;[" &amp; TEXT(AR$6,"yyyymm") &amp; "]",
"[Base].[Metrica]",
"[Base].[Metrica].&amp;[" &amp; $A91 &amp; "]",
"[Base].[SEGMENTO_DESCRIP]",
"[Base].[SEGMENTO_DESCRIP].&amp;[" &amp; $C$6 &amp; "]",
"[Base].[SITUACION]",
"[Base].[SITUACION].&amp;[" &amp; $C91 &amp; "]"
),0)/1000</f>
        <v>-199.09817490456322</v>
      </c>
      <c r="AS91" s="8">
        <f>IFERROR(
GETPIVOTDATA(
"[Base].[Importe]",
TDinamica_R!$A$5,
"[Calendario].[AñoMes]",
"[Calendario].[AñoMes].&amp;[" &amp; TEXT(AS$6,"yyyymm") &amp; "]",
"[Base].[Metrica]",
"[Base].[Metrica].&amp;[" &amp; $A91 &amp; "]",
"[Base].[SEGMENTO_DESCRIP]",
"[Base].[SEGMENTO_DESCRIP].&amp;[" &amp; $C$6 &amp; "]",
"[Base].[SITUACION]",
"[Base].[SITUACION].&amp;[" &amp; $C91 &amp; "]"
),0)/1000</f>
        <v>-162.35627287593539</v>
      </c>
      <c r="AT91" s="8">
        <f>IFERROR(
GETPIVOTDATA(
"[Base].[Importe]",
TDinamica_R!$A$5,
"[Calendario].[AñoMes]",
"[Calendario].[AñoMes].&amp;[" &amp; TEXT(AT$6,"yyyymm")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U91" s="8">
        <f>IFERROR(
GETPIVOTDATA(
"[Base].[Importe]",
TDinamica_R!$A$5,
"[Calendario].[AñoMes]",
"[Calendario].[AñoMes].&amp;[" &amp; TEXT(AU$6,"yyyymm")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V91" s="8">
        <f>IFERROR(
GETPIVOTDATA(
"[Base].[Importe]",
TDinamica_R!$A$5,
"[Calendario].[AñoMes]",
"[Calendario].[AñoMes].&amp;[" &amp; TEXT(AV$6,"yyyymm")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W91" s="8">
        <f>IFERROR(
GETPIVOTDATA(
"[Base].[Importe]",
TDinamica_R!$A$5,
"[Calendario].[AñoMes]",
"[Calendario].[AñoMes].&amp;[" &amp; TEXT(AW$6,"yyyymm")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X91" s="8">
        <f>IFERROR(
GETPIVOTDATA(
"[Base].[Importe]",
TDinamica_R!$A$5,
"[Calendario].[AñoMes]",
"[Calendario].[AñoMes].&amp;[" &amp; TEXT(AX$6,"yyyymm")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Y91" s="8">
        <f>IFERROR(
GETPIVOTDATA(
"[Base].[Importe]",
TDinamica_R!$A$5,
"[Calendario].[AñoMes]",
"[Calendario].[AñoMes].&amp;[" &amp; TEXT(AY$6,"yyyymm")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Z91" s="8">
        <f>IFERROR(
GETPIVOTDATA(
"[BASE_CONVE_PPTO].[Importe]",
TDinamica_P!$A$5,
"[BASE_CONVE_PPTO].[Periodo]",
"[BASE_CONVE_PPTO].[Periodo].&amp;[" &amp; TEXT(AZ$6,"yyyymm")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A91" s="8">
        <f>IFERROR(
GETPIVOTDATA(
"[BASE_CONVE_PPTO].[Importe]",
TDinamica_P!$A$5,
"[BASE_CONVE_PPTO].[Periodo]",
"[BASE_CONVE_PPTO].[Periodo].&amp;[" &amp; TEXT(BA$6,"yyyymm")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B91" s="8">
        <f>IFERROR(
GETPIVOTDATA(
"[BASE_CONVE_PPTO].[Importe]",
TDinamica_P!$A$5,
"[BASE_CONVE_PPTO].[Periodo]",
"[BASE_CONVE_PPTO].[Periodo].&amp;[" &amp; TEXT(BB$6,"yyyymm")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C91" s="8">
        <f>IFERROR(
GETPIVOTDATA(
"[BASE_CONVE_PPTO].[Importe]",
TDinamica_P!$A$5,
"[BASE_CONVE_PPTO].[Periodo]",
"[BASE_CONVE_PPTO].[Periodo].&amp;[" &amp; TEXT(BC$6,"yyyymm")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D91" s="8">
        <f>IFERROR(
GETPIVOTDATA(
"[BASE_CONVE_PPTO].[Importe]",
TDinamica_P!$A$5,
"[BASE_CONVE_PPTO].[Periodo]",
"[BASE_CONVE_PPTO].[Periodo].&amp;[" &amp; TEXT(BD$6,"yyyymm")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E91" s="8">
        <f>IFERROR(
GETPIVOTDATA(
"[BASE_CONVE_PPTO].[Importe]",
TDinamica_P!$A$5,
"[BASE_CONVE_PPTO].[Periodo]",
"[BASE_CONVE_PPTO].[Periodo].&amp;[" &amp; TEXT(BE$6,"yyyymm")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F91" s="8">
        <f>IFERROR(
GETPIVOTDATA(
"[BASE_CONVE_PPTO].[Importe]",
TDinamica_P!$A$5,
"[BASE_CONVE_PPTO].[Periodo]",
"[BASE_CONVE_PPTO].[Periodo].&amp;[" &amp; TEXT(BF$6,"yyyymm")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G91" s="8">
        <f>IFERROR(
GETPIVOTDATA(
"[BASE_CONVE_PPTO].[Importe]",
TDinamica_P!$A$5,
"[BASE_CONVE_PPTO].[Periodo]",
"[BASE_CONVE_PPTO].[Periodo].&amp;[" &amp; TEXT(BG$6,"yyyymm")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H91" s="8">
        <f>IFERROR(
GETPIVOTDATA(
"[BASE_CONVE_PPTO].[Importe]",
TDinamica_P!$A$5,
"[BASE_CONVE_PPTO].[Periodo]",
"[BASE_CONVE_PPTO].[Periodo].&amp;[" &amp; TEXT(BH$6,"yyyymm")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I91" s="8">
        <f>IFERROR(
GETPIVOTDATA(
"[BASE_CONVE_PPTO].[Importe]",
TDinamica_P!$A$5,
"[BASE_CONVE_PPTO].[Periodo]",
"[BASE_CONVE_PPTO].[Periodo].&amp;[" &amp; TEXT(BI$6,"yyyymm")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J91" s="8">
        <f>IFERROR(
GETPIVOTDATA(
"[BASE_CONVE_PPTO].[Importe]",
TDinamica_P!$A$5,
"[BASE_CONVE_PPTO].[Periodo]",
"[BASE_CONVE_PPTO].[Periodo].&amp;[" &amp; TEXT(BJ$6,"yyyymm")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K91" s="8">
        <f>IFERROR(
GETPIVOTDATA(
"[BASE_CONVE_PPTO].[Importe]",
TDinamica_P!$A$5,
"[BASE_CONVE_PPTO].[Periodo]",
"[BASE_CONVE_PPTO].[Periodo].&amp;[" &amp; TEXT(BK$6,"yyyymm")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O91" s="24">
        <f t="shared" ref="BO91:BT92" si="58">SUMIFS($D91:$BM91,$D$6:$BM$6,"&gt;="&amp;BO$2,$D$6:$BM$6,"&lt;="&amp;BO$6,$D$5:$BM$5,BO$5)</f>
        <v>-956.33235817783952</v>
      </c>
      <c r="BP91" s="24">
        <f t="shared" si="58"/>
        <v>0</v>
      </c>
      <c r="BQ91" s="24">
        <f t="shared" si="58"/>
        <v>-757.23418327327636</v>
      </c>
      <c r="BR91" s="24">
        <f t="shared" si="58"/>
        <v>-872.19170569855817</v>
      </c>
      <c r="BS91" s="24">
        <f t="shared" si="58"/>
        <v>-889.57446085377967</v>
      </c>
      <c r="BT91" s="24">
        <f t="shared" si="58"/>
        <v>-947.13676051771347</v>
      </c>
    </row>
    <row r="92" spans="1:72" outlineLevel="1" x14ac:dyDescent="0.25">
      <c r="A92" s="11" t="s">
        <v>80</v>
      </c>
      <c r="C92" s="2" t="s">
        <v>48</v>
      </c>
      <c r="D92" s="8">
        <f>IFERROR(
GETPIVOTDATA(
"[Base].[Importe]",
TDinamica_R!$A$5,
"[Calendario].[AñoMes]",
"[Calendario].[AñoMes].&amp;[" &amp; TEXT(D$6,"yyyymm") &amp; "]",
"[Base].[Metrica]",
"[Base].[Metrica].&amp;[" &amp; $A92 &amp; "]",
"[Base].[SEGMENTO_DESCRIP]",
"[Base].[SEGMENTO_DESCRIP].&amp;[" &amp; $C$6 &amp; "]",
"[Base].[SITUACION]",
"[Base].[SITUACION].&amp;[" &amp; $C92 &amp; "]"
),0)/1000</f>
        <v>-115.70621586060001</v>
      </c>
      <c r="E92" s="8">
        <f>IFERROR(
GETPIVOTDATA(
"[Base].[Importe]",
TDinamica_R!$A$5,
"[Calendario].[AñoMes]",
"[Calendario].[AñoMes].&amp;[" &amp; TEXT(E$6,"yyyymm") &amp; "]",
"[Base].[Metrica]",
"[Base].[Metrica].&amp;[" &amp; $A92 &amp; "]",
"[Base].[SEGMENTO_DESCRIP]",
"[Base].[SEGMENTO_DESCRIP].&amp;[" &amp; $C$6 &amp; "]",
"[Base].[SITUACION]",
"[Base].[SITUACION].&amp;[" &amp; $C92 &amp; "]"
),0)/1000</f>
        <v>-144.06718949095574</v>
      </c>
      <c r="F92" s="8">
        <f>IFERROR(
GETPIVOTDATA(
"[Base].[Importe]",
TDinamica_R!$A$5,
"[Calendario].[AñoMes]",
"[Calendario].[AñoMes].&amp;[" &amp; TEXT(F$6,"yyyymm") &amp; "]",
"[Base].[Metrica]",
"[Base].[Metrica].&amp;[" &amp; $A92 &amp; "]",
"[Base].[SEGMENTO_DESCRIP]",
"[Base].[SEGMENTO_DESCRIP].&amp;[" &amp; $C$6 &amp; "]",
"[Base].[SITUACION]",
"[Base].[SITUACION].&amp;[" &amp; $C92 &amp; "]"
),0)/1000</f>
        <v>-233.23468734500608</v>
      </c>
      <c r="G92" s="8">
        <f>IFERROR(
GETPIVOTDATA(
"[Base].[Importe]",
TDinamica_R!$A$5,
"[Calendario].[AñoMes]",
"[Calendario].[AñoMes].&amp;[" &amp; TEXT(G$6,"yyyymm") &amp; "]",
"[Base].[Metrica]",
"[Base].[Metrica].&amp;[" &amp; $A92 &amp; "]",
"[Base].[SEGMENTO_DESCRIP]",
"[Base].[SEGMENTO_DESCRIP].&amp;[" &amp; $C$6 &amp; "]",
"[Base].[SITUACION]",
"[Base].[SITUACION].&amp;[" &amp; $C92 &amp; "]"
),0)/1000</f>
        <v>-153.67728601750395</v>
      </c>
      <c r="H92" s="8">
        <f>IFERROR(
GETPIVOTDATA(
"[Base].[Importe]",
TDinamica_R!$A$5,
"[Calendario].[AñoMes]",
"[Calendario].[AñoMes].&amp;[" &amp; TEXT(H$6,"yyyymm") &amp; "]",
"[Base].[Metrica]",
"[Base].[Metrica].&amp;[" &amp; $A92 &amp; "]",
"[Base].[SEGMENTO_DESCRIP]",
"[Base].[SEGMENTO_DESCRIP].&amp;[" &amp; $C$6 &amp; "]",
"[Base].[SITUACION]",
"[Base].[SITUACION].&amp;[" &amp; $C92 &amp; "]"
),0)/1000</f>
        <v>-136.61276660334738</v>
      </c>
      <c r="I92" s="8">
        <f>IFERROR(
GETPIVOTDATA(
"[Base].[Importe]",
TDinamica_R!$A$5,
"[Calendario].[AñoMes]",
"[Calendario].[AñoMes].&amp;[" &amp; TEXT(I$6,"yyyymm") &amp; "]",
"[Base].[Metrica]",
"[Base].[Metrica].&amp;[" &amp; $A92 &amp; "]",
"[Base].[SEGMENTO_DESCRIP]",
"[Base].[SEGMENTO_DESCRIP].&amp;[" &amp; $C$6 &amp; "]",
"[Base].[SITUACION]",
"[Base].[SITUACION].&amp;[" &amp; $C92 &amp; "]"
),0)/1000</f>
        <v>-171.94425866827126</v>
      </c>
      <c r="J92" s="8">
        <f>IFERROR(
GETPIVOTDATA(
"[Base].[Importe]",
TDinamica_R!$A$5,
"[Calendario].[AñoMes]",
"[Calendario].[AñoMes].&amp;[" &amp; TEXT(J$6,"yyyymm") &amp; "]",
"[Base].[Metrica]",
"[Base].[Metrica].&amp;[" &amp; $A92 &amp; "]",
"[Base].[SEGMENTO_DESCRIP]",
"[Base].[SEGMENTO_DESCRIP].&amp;[" &amp; $C$6 &amp; "]",
"[Base].[SITUACION]",
"[Base].[SITUACION].&amp;[" &amp; $C92 &amp; "]"
),0)/1000</f>
        <v>-263.26411578660532</v>
      </c>
      <c r="K92" s="8">
        <f>IFERROR(
GETPIVOTDATA(
"[Base].[Importe]",
TDinamica_R!$A$5,
"[Calendario].[AñoMes]",
"[Calendario].[AñoMes].&amp;[" &amp; TEXT(K$6,"yyyymm") &amp; "]",
"[Base].[Metrica]",
"[Base].[Metrica].&amp;[" &amp; $A92 &amp; "]",
"[Base].[SEGMENTO_DESCRIP]",
"[Base].[SEGMENTO_DESCRIP].&amp;[" &amp; $C$6 &amp; "]",
"[Base].[SITUACION]",
"[Base].[SITUACION].&amp;[" &amp; $C92 &amp; "]"
),0)/1000</f>
        <v>-94.10212128381508</v>
      </c>
      <c r="L92" s="8">
        <f>IFERROR(
GETPIVOTDATA(
"[Base].[Importe]",
TDinamica_R!$A$5,
"[Calendario].[AñoMes]",
"[Calendario].[AñoMes].&amp;[" &amp; TEXT(L$6,"yyyymm") &amp; "]",
"[Base].[Metrica]",
"[Base].[Metrica].&amp;[" &amp; $A92 &amp; "]",
"[Base].[SEGMENTO_DESCRIP]",
"[Base].[SEGMENTO_DESCRIP].&amp;[" &amp; $C$6 &amp; "]",
"[Base].[SITUACION]",
"[Base].[SITUACION].&amp;[" &amp; $C92 &amp; "]"
),0)/1000</f>
        <v>-173.62393053968154</v>
      </c>
      <c r="M92" s="8">
        <f>IFERROR(
GETPIVOTDATA(
"[Base].[Importe]",
TDinamica_R!$A$5,
"[Calendario].[AñoMes]",
"[Calendario].[AñoMes].&amp;[" &amp; TEXT(M$6,"yyyymm") &amp; "]",
"[Base].[Metrica]",
"[Base].[Metrica].&amp;[" &amp; $A92 &amp; "]",
"[Base].[SEGMENTO_DESCRIP]",
"[Base].[SEGMENTO_DESCRIP].&amp;[" &amp; $C$6 &amp; "]",
"[Base].[SITUACION]",
"[Base].[SITUACION].&amp;[" &amp; $C92 &amp; "]"
),0)/1000</f>
        <v>-160.53455308780275</v>
      </c>
      <c r="N92" s="8">
        <f>IFERROR(
GETPIVOTDATA(
"[Base].[Importe]",
TDinamica_R!$A$5,
"[Calendario].[AñoMes]",
"[Calendario].[AñoMes].&amp;[" &amp; TEXT(N$6,"yyyymm") &amp; "]",
"[Base].[Metrica]",
"[Base].[Metrica].&amp;[" &amp; $A92 &amp; "]",
"[Base].[SEGMENTO_DESCRIP]",
"[Base].[SEGMENTO_DESCRIP].&amp;[" &amp; $C$6 &amp; "]",
"[Base].[SITUACION]",
"[Base].[SITUACION].&amp;[" &amp; $C92 &amp; "]"
),0)/1000</f>
        <v>-136.56817881194976</v>
      </c>
      <c r="O92" s="8">
        <f>IFERROR(
GETPIVOTDATA(
"[Base].[Importe]",
TDinamica_R!$A$5,
"[Calendario].[AñoMes]",
"[Calendario].[AñoMes].&amp;[" &amp; TEXT(O$6,"yyyymm") &amp; "]",
"[Base].[Metrica]",
"[Base].[Metrica].&amp;[" &amp; $A92 &amp; "]",
"[Base].[SEGMENTO_DESCRIP]",
"[Base].[SEGMENTO_DESCRIP].&amp;[" &amp; $C$6 &amp; "]",
"[Base].[SITUACION]",
"[Base].[SITUACION].&amp;[" &amp; $C92 &amp; "]"
),0)/1000</f>
        <v>-384.82682696723123</v>
      </c>
      <c r="P92" s="8">
        <f>IFERROR(
GETPIVOTDATA(
"[Base].[Importe]",
TDinamica_R!$A$5,
"[Calendario].[AñoMes]",
"[Calendario].[AñoMes].&amp;[" &amp; TEXT(P$6,"yyyymm") &amp; "]",
"[Base].[Metrica]",
"[Base].[Metrica].&amp;[" &amp; $A92 &amp; "]",
"[Base].[SEGMENTO_DESCRIP]",
"[Base].[SEGMENTO_DESCRIP].&amp;[" &amp; $C$6 &amp; "]",
"[Base].[SITUACION]",
"[Base].[SITUACION].&amp;[" &amp; $C92 &amp; "]"
),0)/1000</f>
        <v>-321.2255854577092</v>
      </c>
      <c r="Q92" s="8">
        <f>IFERROR(
GETPIVOTDATA(
"[Base].[Importe]",
TDinamica_R!$A$5,
"[Calendario].[AñoMes]",
"[Calendario].[AñoMes].&amp;[" &amp; TEXT(Q$6,"yyyymm") &amp; "]",
"[Base].[Metrica]",
"[Base].[Metrica].&amp;[" &amp; $A92 &amp; "]",
"[Base].[SEGMENTO_DESCRIP]",
"[Base].[SEGMENTO_DESCRIP].&amp;[" &amp; $C$6 &amp; "]",
"[Base].[SITUACION]",
"[Base].[SITUACION].&amp;[" &amp; $C92 &amp; "]"
),0)/1000</f>
        <v>-478.6688997053144</v>
      </c>
      <c r="R92" s="8">
        <f>IFERROR(
GETPIVOTDATA(
"[Base].[Importe]",
TDinamica_R!$A$5,
"[Calendario].[AñoMes]",
"[Calendario].[AñoMes].&amp;[" &amp; TEXT(R$6,"yyyymm") &amp; "]",
"[Base].[Metrica]",
"[Base].[Metrica].&amp;[" &amp; $A92 &amp; "]",
"[Base].[SEGMENTO_DESCRIP]",
"[Base].[SEGMENTO_DESCRIP].&amp;[" &amp; $C$6 &amp; "]",
"[Base].[SITUACION]",
"[Base].[SITUACION].&amp;[" &amp; $C92 &amp; "]"
),0)/1000</f>
        <v>-746.91276236234091</v>
      </c>
      <c r="S92" s="8">
        <f>IFERROR(
GETPIVOTDATA(
"[Base].[Importe]",
TDinamica_R!$A$5,
"[Calendario].[AñoMes]",
"[Calendario].[AñoMes].&amp;[" &amp; TEXT(S$6,"yyyymm") &amp; "]",
"[Base].[Metrica]",
"[Base].[Metrica].&amp;[" &amp; $A92 &amp; "]",
"[Base].[SEGMENTO_DESCRIP]",
"[Base].[SEGMENTO_DESCRIP].&amp;[" &amp; $C$6 &amp; "]",
"[Base].[SITUACION]",
"[Base].[SITUACION].&amp;[" &amp; $C92 &amp; "]"
),0)/1000</f>
        <v>-402.17228538025716</v>
      </c>
      <c r="T92" s="8">
        <f>IFERROR(
GETPIVOTDATA(
"[Base].[Importe]",
TDinamica_R!$A$5,
"[Calendario].[AñoMes]",
"[Calendario].[AñoMes].&amp;[" &amp; TEXT(T$6,"yyyymm") &amp; "]",
"[Base].[Metrica]",
"[Base].[Metrica].&amp;[" &amp; $A92 &amp; "]",
"[Base].[SEGMENTO_DESCRIP]",
"[Base].[SEGMENTO_DESCRIP].&amp;[" &amp; $C$6 &amp; "]",
"[Base].[SITUACION]",
"[Base].[SITUACION].&amp;[" &amp; $C92 &amp; "]"
),0)/1000</f>
        <v>-573.58200938621167</v>
      </c>
      <c r="U92" s="8">
        <f>IFERROR(
GETPIVOTDATA(
"[Base].[Importe]",
TDinamica_R!$A$5,
"[Calendario].[AñoMes]",
"[Calendario].[AñoMes].&amp;[" &amp; TEXT(U$6,"yyyymm") &amp; "]",
"[Base].[Metrica]",
"[Base].[Metrica].&amp;[" &amp; $A92 &amp; "]",
"[Base].[SEGMENTO_DESCRIP]",
"[Base].[SEGMENTO_DESCRIP].&amp;[" &amp; $C$6 &amp; "]",
"[Base].[SITUACION]",
"[Base].[SITUACION].&amp;[" &amp; $C92 &amp; "]"
),0)/1000</f>
        <v>-529.85786942639538</v>
      </c>
      <c r="V92" s="8">
        <f>IFERROR(
GETPIVOTDATA(
"[Base].[Importe]",
TDinamica_R!$A$5,
"[Calendario].[AñoMes]",
"[Calendario].[AñoMes].&amp;[" &amp; TEXT(V$6,"yyyymm") &amp; "]",
"[Base].[Metrica]",
"[Base].[Metrica].&amp;[" &amp; $A92 &amp; "]",
"[Base].[SEGMENTO_DESCRIP]",
"[Base].[SEGMENTO_DESCRIP].&amp;[" &amp; $C$6 &amp; "]",
"[Base].[SITUACION]",
"[Base].[SITUACION].&amp;[" &amp; $C92 &amp; "]"
),0)/1000</f>
        <v>-253.0430990002734</v>
      </c>
      <c r="W92" s="8">
        <f>IFERROR(
GETPIVOTDATA(
"[Base].[Importe]",
TDinamica_R!$A$5,
"[Calendario].[AñoMes]",
"[Calendario].[AñoMes].&amp;[" &amp; TEXT(W$6,"yyyymm") &amp; "]",
"[Base].[Metrica]",
"[Base].[Metrica].&amp;[" &amp; $A92 &amp; "]",
"[Base].[SEGMENTO_DESCRIP]",
"[Base].[SEGMENTO_DESCRIP].&amp;[" &amp; $C$6 &amp; "]",
"[Base].[SITUACION]",
"[Base].[SITUACION].&amp;[" &amp; $C92 &amp; "]"
),0)/1000</f>
        <v>-386.03411102111812</v>
      </c>
      <c r="X92" s="8">
        <f>IFERROR(
GETPIVOTDATA(
"[Base].[Importe]",
TDinamica_R!$A$5,
"[Calendario].[AñoMes]",
"[Calendario].[AñoMes].&amp;[" &amp; TEXT(X$6,"yyyymm") &amp; "]",
"[Base].[Metrica]",
"[Base].[Metrica].&amp;[" &amp; $A92 &amp; "]",
"[Base].[SEGMENTO_DESCRIP]",
"[Base].[SEGMENTO_DESCRIP].&amp;[" &amp; $C$6 &amp; "]",
"[Base].[SITUACION]",
"[Base].[SITUACION].&amp;[" &amp; $C92 &amp; "]"
),0)/1000</f>
        <v>-426.09010119766248</v>
      </c>
      <c r="Y92" s="8">
        <f>IFERROR(
GETPIVOTDATA(
"[Base].[Importe]",
TDinamica_R!$A$5,
"[Calendario].[AñoMes]",
"[Calendario].[AñoMes].&amp;[" &amp; TEXT(Y$6,"yyyymm") &amp; "]",
"[Base].[Metrica]",
"[Base].[Metrica].&amp;[" &amp; $A92 &amp; "]",
"[Base].[SEGMENTO_DESCRIP]",
"[Base].[SEGMENTO_DESCRIP].&amp;[" &amp; $C$6 &amp; "]",
"[Base].[SITUACION]",
"[Base].[SITUACION].&amp;[" &amp; $C92 &amp; "]"
),0)/1000</f>
        <v>-268.95724777311744</v>
      </c>
      <c r="Z92" s="8">
        <f>IFERROR(
GETPIVOTDATA(
"[Base].[Importe]",
TDinamica_R!$A$5,
"[Calendario].[AñoMes]",
"[Calendario].[AñoMes].&amp;[" &amp; TEXT(Z$6,"yyyymm") &amp; "]",
"[Base].[Metrica]",
"[Base].[Metrica].&amp;[" &amp; $A92 &amp; "]",
"[Base].[SEGMENTO_DESCRIP]",
"[Base].[SEGMENTO_DESCRIP].&amp;[" &amp; $C$6 &amp; "]",
"[Base].[SITUACION]",
"[Base].[SITUACION].&amp;[" &amp; $C92 &amp; "]"
),0)/1000</f>
        <v>-487.20576234971315</v>
      </c>
      <c r="AA92" s="8">
        <f>IFERROR(
GETPIVOTDATA(
"[Base].[Importe]",
TDinamica_R!$A$5,
"[Calendario].[AñoMes]",
"[Calendario].[AñoMes].&amp;[" &amp; TEXT(AA$6,"yyyymm") &amp; "]",
"[Base].[Metrica]",
"[Base].[Metrica].&amp;[" &amp; $A92 &amp; "]",
"[Base].[SEGMENTO_DESCRIP]",
"[Base].[SEGMENTO_DESCRIP].&amp;[" &amp; $C$6 &amp; "]",
"[Base].[SITUACION]",
"[Base].[SITUACION].&amp;[" &amp; $C92 &amp; "]"
),0)/1000</f>
        <v>-150.50171821600665</v>
      </c>
      <c r="AB92" s="8">
        <f>IFERROR(
GETPIVOTDATA(
"[Base].[Importe]",
TDinamica_R!$A$5,
"[Calendario].[AñoMes]",
"[Calendario].[AñoMes].&amp;[" &amp; TEXT(AB$6,"yyyymm") &amp; "]",
"[Base].[Metrica]",
"[Base].[Metrica].&amp;[" &amp; $A92 &amp; "]",
"[Base].[SEGMENTO_DESCRIP]",
"[Base].[SEGMENTO_DESCRIP].&amp;[" &amp; $C$6 &amp; "]",
"[Base].[SITUACION]",
"[Base].[SITUACION].&amp;[" &amp; $C92 &amp; "]"
),0)/1000</f>
        <v>-214.7577500878761</v>
      </c>
      <c r="AC92" s="8">
        <f>IFERROR(
GETPIVOTDATA(
"[Base].[Importe]",
TDinamica_R!$A$5,
"[Calendario].[AñoMes]",
"[Calendario].[AñoMes].&amp;[" &amp; TEXT(AC$6,"yyyymm") &amp; "]",
"[Base].[Metrica]",
"[Base].[Metrica].&amp;[" &amp; $A92 &amp; "]",
"[Base].[SEGMENTO_DESCRIP]",
"[Base].[SEGMENTO_DESCRIP].&amp;[" &amp; $C$6 &amp; "]",
"[Base].[SITUACION]",
"[Base].[SITUACION].&amp;[" &amp; $C92 &amp; "]"
),0)/1000</f>
        <v>-301.658616639515</v>
      </c>
      <c r="AD92" s="8">
        <f>IFERROR(
GETPIVOTDATA(
"[Base].[Importe]",
TDinamica_R!$A$5,
"[Calendario].[AñoMes]",
"[Calendario].[AñoMes].&amp;[" &amp; TEXT(AD$6,"yyyymm") &amp; "]",
"[Base].[Metrica]",
"[Base].[Metrica].&amp;[" &amp; $A92 &amp; "]",
"[Base].[SEGMENTO_DESCRIP]",
"[Base].[SEGMENTO_DESCRIP].&amp;[" &amp; $C$6 &amp; "]",
"[Base].[SITUACION]",
"[Base].[SITUACION].&amp;[" &amp; $C92 &amp; "]"
),0)/1000</f>
        <v>-173.92846002748922</v>
      </c>
      <c r="AE92" s="8">
        <f>IFERROR(
GETPIVOTDATA(
"[Base].[Importe]",
TDinamica_R!$A$5,
"[Calendario].[AñoMes]",
"[Calendario].[AñoMes].&amp;[" &amp; TEXT(AE$6,"yyyymm") &amp; "]",
"[Base].[Metrica]",
"[Base].[Metrica].&amp;[" &amp; $A92 &amp; "]",
"[Base].[SEGMENTO_DESCRIP]",
"[Base].[SEGMENTO_DESCRIP].&amp;[" &amp; $C$6 &amp; "]",
"[Base].[SITUACION]",
"[Base].[SITUACION].&amp;[" &amp; $C92 &amp; "]"
),0)/1000</f>
        <v>-218.79076186840177</v>
      </c>
      <c r="AF92" s="8">
        <f>IFERROR(
GETPIVOTDATA(
"[Base].[Importe]",
TDinamica_R!$A$5,
"[Calendario].[AñoMes]",
"[Calendario].[AñoMes].&amp;[" &amp; TEXT(AF$6,"yyyymm") &amp; "]",
"[Base].[Metrica]",
"[Base].[Metrica].&amp;[" &amp; $A92 &amp; "]",
"[Base].[SEGMENTO_DESCRIP]",
"[Base].[SEGMENTO_DESCRIP].&amp;[" &amp; $C$6 &amp; "]",
"[Base].[SITUACION]",
"[Base].[SITUACION].&amp;[" &amp; $C92 &amp; "]"
),0)/1000</f>
        <v>-301.03654990817626</v>
      </c>
      <c r="AG92" s="8">
        <f>IFERROR(
GETPIVOTDATA(
"[Base].[Importe]",
TDinamica_R!$A$5,
"[Calendario].[AñoMes]",
"[Calendario].[AñoMes].&amp;[" &amp; TEXT(AG$6,"yyyymm") &amp; "]",
"[Base].[Metrica]",
"[Base].[Metrica].&amp;[" &amp; $A92 &amp; "]",
"[Base].[SEGMENTO_DESCRIP]",
"[Base].[SEGMENTO_DESCRIP].&amp;[" &amp; $C$6 &amp; "]",
"[Base].[SITUACION]",
"[Base].[SITUACION].&amp;[" &amp; $C92 &amp; "]"
),0)/1000</f>
        <v>-463.9148805674717</v>
      </c>
      <c r="AH92" s="8">
        <f>IFERROR(
GETPIVOTDATA(
"[Base].[Importe]",
TDinamica_R!$A$5,
"[Calendario].[AñoMes]",
"[Calendario].[AñoMes].&amp;[" &amp; TEXT(AH$6,"yyyymm") &amp; "]",
"[Base].[Metrica]",
"[Base].[Metrica].&amp;[" &amp; $A92 &amp; "]",
"[Base].[SEGMENTO_DESCRIP]",
"[Base].[SEGMENTO_DESCRIP].&amp;[" &amp; $C$6 &amp; "]",
"[Base].[SITUACION]",
"[Base].[SITUACION].&amp;[" &amp; $C92 &amp; "]"
),0)/1000</f>
        <v>-363.7748705716221</v>
      </c>
      <c r="AI92" s="8">
        <f>IFERROR(
GETPIVOTDATA(
"[Base].[Importe]",
TDinamica_R!$A$5,
"[Calendario].[AñoMes]",
"[Calendario].[AñoMes].&amp;[" &amp; TEXT(AI$6,"yyyymm") &amp; "]",
"[Base].[Metrica]",
"[Base].[Metrica].&amp;[" &amp; $A92 &amp; "]",
"[Base].[SEGMENTO_DESCRIP]",
"[Base].[SEGMENTO_DESCRIP].&amp;[" &amp; $C$6 &amp; "]",
"[Base].[SITUACION]",
"[Base].[SITUACION].&amp;[" &amp; $C92 &amp; "]"
),0)/1000</f>
        <v>-217.93342012334114</v>
      </c>
      <c r="AJ92" s="8">
        <f>IFERROR(
GETPIVOTDATA(
"[Base].[Importe]",
TDinamica_R!$A$5,
"[Calendario].[AñoMes]",
"[Calendario].[AñoMes].&amp;[" &amp; TEXT(AJ$6,"yyyymm") &amp; "]",
"[Base].[Metrica]",
"[Base].[Metrica].&amp;[" &amp; $A92 &amp; "]",
"[Base].[SEGMENTO_DESCRIP]",
"[Base].[SEGMENTO_DESCRIP].&amp;[" &amp; $C$6 &amp; "]",
"[Base].[SITUACION]",
"[Base].[SITUACION].&amp;[" &amp; $C92 &amp; "]"
),0)/1000</f>
        <v>-219.11022453245138</v>
      </c>
      <c r="AK92" s="8">
        <f>IFERROR(
GETPIVOTDATA(
"[Base].[Importe]",
TDinamica_R!$A$5,
"[Calendario].[AñoMes]",
"[Calendario].[AñoMes].&amp;[" &amp; TEXT(AK$6,"yyyymm") &amp; "]",
"[Base].[Metrica]",
"[Base].[Metrica].&amp;[" &amp; $A92 &amp; "]",
"[Base].[SEGMENTO_DESCRIP]",
"[Base].[SEGMENTO_DESCRIP].&amp;[" &amp; $C$6 &amp; "]",
"[Base].[SITUACION]",
"[Base].[SITUACION].&amp;[" &amp; $C92 &amp; "]"
),0)/1000</f>
        <v>-227.80307315633934</v>
      </c>
      <c r="AL92" s="8">
        <f>IFERROR(
GETPIVOTDATA(
"[Base].[Importe]",
TDinamica_R!$A$5,
"[Calendario].[AñoMes]",
"[Calendario].[AñoMes].&amp;[" &amp; TEXT(AL$6,"yyyymm") &amp; "]",
"[Base].[Metrica]",
"[Base].[Metrica].&amp;[" &amp; $A92 &amp; "]",
"[Base].[SEGMENTO_DESCRIP]",
"[Base].[SEGMENTO_DESCRIP].&amp;[" &amp; $C$6 &amp; "]",
"[Base].[SITUACION]",
"[Base].[SITUACION].&amp;[" &amp; $C92 &amp; "]"
),0)/1000</f>
        <v>-207.2420975602281</v>
      </c>
      <c r="AM92" s="8">
        <f>IFERROR(
GETPIVOTDATA(
"[Base].[Importe]",
TDinamica_R!$A$5,
"[Calendario].[AñoMes]",
"[Calendario].[AñoMes].&amp;[" &amp; TEXT(AM$6,"yyyymm") &amp; "]",
"[Base].[Metrica]",
"[Base].[Metrica].&amp;[" &amp; $A92 &amp; "]",
"[Base].[SEGMENTO_DESCRIP]",
"[Base].[SEGMENTO_DESCRIP].&amp;[" &amp; $C$6 &amp; "]",
"[Base].[SITUACION]",
"[Base].[SITUACION].&amp;[" &amp; $C92 &amp; "]"
),0)/1000</f>
        <v>-503.12250544090006</v>
      </c>
      <c r="AN92" s="8">
        <f>IFERROR(
GETPIVOTDATA(
"[Base].[Importe]",
TDinamica_R!$A$5,
"[Calendario].[AñoMes]",
"[Calendario].[AñoMes].&amp;[" &amp; TEXT(AN$6,"yyyymm") &amp; "]",
"[Base].[Metrica]",
"[Base].[Metrica].&amp;[" &amp; $A92 &amp; "]",
"[Base].[SEGMENTO_DESCRIP]",
"[Base].[SEGMENTO_DESCRIP].&amp;[" &amp; $C$6 &amp; "]",
"[Base].[SITUACION]",
"[Base].[SITUACION].&amp;[" &amp; $C92 &amp; "]"
),0)/1000</f>
        <v>-212.37901793321839</v>
      </c>
      <c r="AO92" s="8">
        <f>IFERROR(
GETPIVOTDATA(
"[Base].[Importe]",
TDinamica_R!$A$5,
"[Calendario].[AñoMes]",
"[Calendario].[AñoMes].&amp;[" &amp; TEXT(AO$6,"yyyymm") &amp; "]",
"[Base].[Metrica]",
"[Base].[Metrica].&amp;[" &amp; $A92 &amp; "]",
"[Base].[SEGMENTO_DESCRIP]",
"[Base].[SEGMENTO_DESCRIP].&amp;[" &amp; $C$6 &amp; "]",
"[Base].[SITUACION]",
"[Base].[SITUACION].&amp;[" &amp; $C92 &amp; "]"
),0)/1000</f>
        <v>-219.27536302451924</v>
      </c>
      <c r="AP92" s="8">
        <f>IFERROR(
GETPIVOTDATA(
"[Base].[Importe]",
TDinamica_R!$A$5,
"[Calendario].[AñoMes]",
"[Calendario].[AñoMes].&amp;[" &amp; TEXT(AP$6,"yyyymm") &amp; "]",
"[Base].[Metrica]",
"[Base].[Metrica].&amp;[" &amp; $A92 &amp; "]",
"[Base].[SEGMENTO_DESCRIP]",
"[Base].[SEGMENTO_DESCRIP].&amp;[" &amp; $C$6 &amp; "]",
"[Base].[SITUACION]",
"[Base].[SITUACION].&amp;[" &amp; $C92 &amp; "]"
),0)/1000</f>
        <v>-147.73111930402771</v>
      </c>
      <c r="AQ92" s="8">
        <f>IFERROR(
GETPIVOTDATA(
"[Base].[Importe]",
TDinamica_R!$A$5,
"[Calendario].[AñoMes]",
"[Calendario].[AñoMes].&amp;[" &amp; TEXT(AQ$6,"yyyymm") &amp; "]",
"[Base].[Metrica]",
"[Base].[Metrica].&amp;[" &amp; $A92 &amp; "]",
"[Base].[SEGMENTO_DESCRIP]",
"[Base].[SEGMENTO_DESCRIP].&amp;[" &amp; $C$6 &amp; "]",
"[Base].[SITUACION]",
"[Base].[SITUACION].&amp;[" &amp; $C92 &amp; "]"
),0)/1000</f>
        <v>-291.02790223936324</v>
      </c>
      <c r="AR92" s="8">
        <f>IFERROR(
GETPIVOTDATA(
"[Base].[Importe]",
TDinamica_R!$A$5,
"[Calendario].[AñoMes]",
"[Calendario].[AñoMes].&amp;[" &amp; TEXT(AR$6,"yyyymm") &amp; "]",
"[Base].[Metrica]",
"[Base].[Metrica].&amp;[" &amp; $A92 &amp; "]",
"[Base].[SEGMENTO_DESCRIP]",
"[Base].[SEGMENTO_DESCRIP].&amp;[" &amp; $C$6 &amp; "]",
"[Base].[SITUACION]",
"[Base].[SITUACION].&amp;[" &amp; $C92 &amp; "]"
),0)/1000</f>
        <v>-218.39461699931601</v>
      </c>
      <c r="AS92" s="8">
        <f>IFERROR(
GETPIVOTDATA(
"[Base].[Importe]",
TDinamica_R!$A$5,
"[Calendario].[AñoMes]",
"[Calendario].[AñoMes].&amp;[" &amp; TEXT(AS$6,"yyyymm") &amp; "]",
"[Base].[Metrica]",
"[Base].[Metrica].&amp;[" &amp; $A92 &amp; "]",
"[Base].[SEGMENTO_DESCRIP]",
"[Base].[SEGMENTO_DESCRIP].&amp;[" &amp; $C$6 &amp; "]",
"[Base].[SITUACION]",
"[Base].[SITUACION].&amp;[" &amp; $C92 &amp; "]"
),0)/1000</f>
        <v>-348.95173857575094</v>
      </c>
      <c r="AT92" s="8">
        <f>IFERROR(
GETPIVOTDATA(
"[Base].[Importe]",
TDinamica_R!$A$5,
"[Calendario].[AñoMes]",
"[Calendario].[AñoMes].&amp;[" &amp; TEXT(AT$6,"yyyymm")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U92" s="8">
        <f>IFERROR(
GETPIVOTDATA(
"[Base].[Importe]",
TDinamica_R!$A$5,
"[Calendario].[AñoMes]",
"[Calendario].[AñoMes].&amp;[" &amp; TEXT(AU$6,"yyyymm")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V92" s="8">
        <f>IFERROR(
GETPIVOTDATA(
"[Base].[Importe]",
TDinamica_R!$A$5,
"[Calendario].[AñoMes]",
"[Calendario].[AñoMes].&amp;[" &amp; TEXT(AV$6,"yyyymm")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W92" s="8">
        <f>IFERROR(
GETPIVOTDATA(
"[Base].[Importe]",
TDinamica_R!$A$5,
"[Calendario].[AñoMes]",
"[Calendario].[AñoMes].&amp;[" &amp; TEXT(AW$6,"yyyymm")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X92" s="8">
        <f>IFERROR(
GETPIVOTDATA(
"[Base].[Importe]",
TDinamica_R!$A$5,
"[Calendario].[AñoMes]",
"[Calendario].[AñoMes].&amp;[" &amp; TEXT(AX$6,"yyyymm")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Y92" s="8">
        <f>IFERROR(
GETPIVOTDATA(
"[Base].[Importe]",
TDinamica_R!$A$5,
"[Calendario].[AñoMes]",
"[Calendario].[AñoMes].&amp;[" &amp; TEXT(AY$6,"yyyymm")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Z92" s="8">
        <f>IFERROR(
GETPIVOTDATA(
"[BASE_CONVE_PPTO].[Importe]",
TDinamica_P!$A$5,
"[BASE_CONVE_PPTO].[Periodo]",
"[BASE_CONVE_PPTO].[Periodo].&amp;[" &amp; TEXT(AZ$6,"yyyymm")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-308.43544394003072</v>
      </c>
      <c r="BA92" s="8">
        <f>IFERROR(
GETPIVOTDATA(
"[BASE_CONVE_PPTO].[Importe]",
TDinamica_P!$A$5,
"[BASE_CONVE_PPTO].[Periodo]",
"[BASE_CONVE_PPTO].[Periodo].&amp;[" &amp; TEXT(BA$6,"yyyymm")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-250.38979752039211</v>
      </c>
      <c r="BB92" s="8">
        <f>IFERROR(
GETPIVOTDATA(
"[BASE_CONVE_PPTO].[Importe]",
TDinamica_P!$A$5,
"[BASE_CONVE_PPTO].[Periodo]",
"[BASE_CONVE_PPTO].[Periodo].&amp;[" &amp; TEXT(BB$6,"yyyymm")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-260.03649516075961</v>
      </c>
      <c r="BC92" s="8">
        <f>IFERROR(
GETPIVOTDATA(
"[BASE_CONVE_PPTO].[Importe]",
TDinamica_P!$A$5,
"[BASE_CONVE_PPTO].[Periodo]",
"[BASE_CONVE_PPTO].[Periodo].&amp;[" &amp; TEXT(BC$6,"yyyymm")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-257.0079841427829</v>
      </c>
      <c r="BD92" s="8">
        <f>IFERROR(
GETPIVOTDATA(
"[BASE_CONVE_PPTO].[Importe]",
TDinamica_P!$A$5,
"[BASE_CONVE_PPTO].[Periodo]",
"[BASE_CONVE_PPTO].[Periodo].&amp;[" &amp; TEXT(BD$6,"yyyymm")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-430.1305538709579</v>
      </c>
      <c r="BE92" s="8">
        <f>IFERROR(
GETPIVOTDATA(
"[BASE_CONVE_PPTO].[Importe]",
TDinamica_P!$A$5,
"[BASE_CONVE_PPTO].[Periodo]",
"[BASE_CONVE_PPTO].[Periodo].&amp;[" &amp; TEXT(BE$6,"yyyymm")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-283.09005684577119</v>
      </c>
      <c r="BF92" s="8">
        <f>IFERROR(
GETPIVOTDATA(
"[BASE_CONVE_PPTO].[Importe]",
TDinamica_P!$A$5,
"[BASE_CONVE_PPTO].[Periodo]",
"[BASE_CONVE_PPTO].[Periodo].&amp;[" &amp; TEXT(BF$6,"yyyymm")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-499.8322859578941</v>
      </c>
      <c r="BG92" s="8">
        <f>IFERROR(
GETPIVOTDATA(
"[BASE_CONVE_PPTO].[Importe]",
TDinamica_P!$A$5,
"[BASE_CONVE_PPTO].[Periodo]",
"[BASE_CONVE_PPTO].[Periodo].&amp;[" &amp; TEXT(BG$6,"yyyymm")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-228.4333771616437</v>
      </c>
      <c r="BH92" s="8">
        <f>IFERROR(
GETPIVOTDATA(
"[BASE_CONVE_PPTO].[Importe]",
TDinamica_P!$A$5,
"[BASE_CONVE_PPTO].[Periodo]",
"[BASE_CONVE_PPTO].[Periodo].&amp;[" &amp; TEXT(BH$6,"yyyymm")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-235.78333557976867</v>
      </c>
      <c r="BI92" s="8">
        <f>IFERROR(
GETPIVOTDATA(
"[BASE_CONVE_PPTO].[Importe]",
TDinamica_P!$A$5,
"[BASE_CONVE_PPTO].[Periodo]",
"[BASE_CONVE_PPTO].[Periodo].&amp;[" &amp; TEXT(BI$6,"yyyymm")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-229.71449883582028</v>
      </c>
      <c r="BJ92" s="8">
        <f>IFERROR(
GETPIVOTDATA(
"[BASE_CONVE_PPTO].[Importe]",
TDinamica_P!$A$5,
"[BASE_CONVE_PPTO].[Periodo]",
"[BASE_CONVE_PPTO].[Periodo].&amp;[" &amp; TEXT(BJ$6,"yyyymm")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-223.8273785550721</v>
      </c>
      <c r="BK92" s="8">
        <f>IFERROR(
GETPIVOTDATA(
"[BASE_CONVE_PPTO].[Importe]",
TDinamica_P!$A$5,
"[BASE_CONVE_PPTO].[Periodo]",
"[BASE_CONVE_PPTO].[Periodo].&amp;[" &amp; TEXT(BK$6,"yyyymm")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-448.74956853614265</v>
      </c>
      <c r="BO92" s="24">
        <f t="shared" si="58"/>
        <v>-1088.8080195004447</v>
      </c>
      <c r="BP92" s="24">
        <f t="shared" si="58"/>
        <v>-1506.0002746349232</v>
      </c>
      <c r="BQ92" s="24">
        <f t="shared" si="58"/>
        <v>-870.41340250112864</v>
      </c>
      <c r="BR92" s="24">
        <f t="shared" si="58"/>
        <v>-1210.1721385314584</v>
      </c>
      <c r="BS92" s="24">
        <f t="shared" si="58"/>
        <v>-2522.5615422918331</v>
      </c>
      <c r="BT92" s="24">
        <f t="shared" si="58"/>
        <v>-783.29814531741317</v>
      </c>
    </row>
    <row r="93" spans="1:72" x14ac:dyDescent="0.25">
      <c r="C93" s="3" t="s">
        <v>80</v>
      </c>
      <c r="D93" s="10">
        <f>SUM(D91:D92)</f>
        <v>-275.117821597741</v>
      </c>
      <c r="E93" s="10">
        <f t="shared" ref="E93:AY93" si="59">SUM(E91:E92)</f>
        <v>-303.39517284418201</v>
      </c>
      <c r="F93" s="10">
        <f t="shared" si="59"/>
        <v>-438.81152227450821</v>
      </c>
      <c r="G93" s="10">
        <f t="shared" si="59"/>
        <v>-330.81306298324932</v>
      </c>
      <c r="H93" s="10">
        <f t="shared" si="59"/>
        <v>-382.29732613544604</v>
      </c>
      <c r="I93" s="10">
        <f t="shared" si="59"/>
        <v>-341.76795974146467</v>
      </c>
      <c r="J93" s="10">
        <f t="shared" si="59"/>
        <v>-462.84743086531284</v>
      </c>
      <c r="K93" s="10">
        <f t="shared" si="59"/>
        <v>-266.38548041842802</v>
      </c>
      <c r="L93" s="10">
        <f t="shared" si="59"/>
        <v>-332.95097705955573</v>
      </c>
      <c r="M93" s="10">
        <f t="shared" si="59"/>
        <v>-378.11136429043233</v>
      </c>
      <c r="N93" s="10">
        <f t="shared" si="59"/>
        <v>-362.20682942244412</v>
      </c>
      <c r="O93" s="10">
        <f t="shared" si="59"/>
        <v>-562.54356610983291</v>
      </c>
      <c r="P93" s="10">
        <f t="shared" si="59"/>
        <v>-481.09478498842645</v>
      </c>
      <c r="Q93" s="10">
        <f t="shared" si="59"/>
        <v>-638.63730073801571</v>
      </c>
      <c r="R93" s="10">
        <f t="shared" si="59"/>
        <v>-906.91914856246854</v>
      </c>
      <c r="S93" s="10">
        <f t="shared" si="59"/>
        <v>-572.814105055342</v>
      </c>
      <c r="T93" s="10">
        <f t="shared" si="59"/>
        <v>-812.67066380136032</v>
      </c>
      <c r="U93" s="10">
        <f t="shared" si="59"/>
        <v>-702.35137859193435</v>
      </c>
      <c r="V93" s="10">
        <f t="shared" si="59"/>
        <v>-477.85455667524121</v>
      </c>
      <c r="W93" s="10">
        <f t="shared" si="59"/>
        <v>-541.2232497775326</v>
      </c>
      <c r="X93" s="10">
        <f t="shared" si="59"/>
        <v>-586.57873824076853</v>
      </c>
      <c r="Y93" s="10">
        <f t="shared" si="59"/>
        <v>-432.90018095811683</v>
      </c>
      <c r="Z93" s="10">
        <f t="shared" si="59"/>
        <v>-699.11944264011436</v>
      </c>
      <c r="AA93" s="10">
        <f t="shared" si="59"/>
        <v>-373.8154818793239</v>
      </c>
      <c r="AB93" s="10">
        <f t="shared" si="59"/>
        <v>-375.60574513816937</v>
      </c>
      <c r="AC93" s="10">
        <f t="shared" si="59"/>
        <v>-477.17465322505143</v>
      </c>
      <c r="AD93" s="10">
        <f t="shared" si="59"/>
        <v>-334.82704107879408</v>
      </c>
      <c r="AE93" s="10">
        <f t="shared" si="59"/>
        <v>-379.75774925440817</v>
      </c>
      <c r="AF93" s="10">
        <f t="shared" si="59"/>
        <v>-514.99865553359359</v>
      </c>
      <c r="AG93" s="10">
        <f t="shared" si="59"/>
        <v>-624.83662078590646</v>
      </c>
      <c r="AH93" s="10">
        <f t="shared" si="59"/>
        <v>-568.20748977793482</v>
      </c>
      <c r="AI93" s="10">
        <f t="shared" si="59"/>
        <v>-403.96714743764937</v>
      </c>
      <c r="AJ93" s="10">
        <f t="shared" si="59"/>
        <v>-374.68721819804313</v>
      </c>
      <c r="AK93" s="10">
        <f t="shared" si="59"/>
        <v>-401.91112213431273</v>
      </c>
      <c r="AL93" s="10">
        <f t="shared" si="59"/>
        <v>-402.42637697246425</v>
      </c>
      <c r="AM93" s="10">
        <f t="shared" si="59"/>
        <v>-832.53895409524853</v>
      </c>
      <c r="AN93" s="10">
        <f t="shared" si="59"/>
        <v>-373.83855232901203</v>
      </c>
      <c r="AO93" s="10">
        <f t="shared" si="59"/>
        <v>-413.14604450935246</v>
      </c>
      <c r="AP93" s="10">
        <f t="shared" si="59"/>
        <v>-341.44606853939428</v>
      </c>
      <c r="AQ93" s="10">
        <f t="shared" si="59"/>
        <v>-499.21692039664617</v>
      </c>
      <c r="AR93" s="10">
        <f t="shared" si="59"/>
        <v>-417.49279190387927</v>
      </c>
      <c r="AS93" s="10">
        <f t="shared" si="59"/>
        <v>-511.3080114516863</v>
      </c>
      <c r="AT93" s="10">
        <f t="shared" si="59"/>
        <v>0</v>
      </c>
      <c r="AU93" s="10">
        <f t="shared" si="59"/>
        <v>0</v>
      </c>
      <c r="AV93" s="10">
        <f t="shared" si="59"/>
        <v>0</v>
      </c>
      <c r="AW93" s="10">
        <f t="shared" si="59"/>
        <v>0</v>
      </c>
      <c r="AX93" s="10">
        <f t="shared" si="59"/>
        <v>0</v>
      </c>
      <c r="AY93" s="10">
        <f t="shared" si="59"/>
        <v>0</v>
      </c>
      <c r="AZ93" s="10">
        <f t="shared" ref="AZ93:BK93" si="60">SUM(AZ91:AZ92)</f>
        <v>-308.43544394003072</v>
      </c>
      <c r="BA93" s="10">
        <f t="shared" si="60"/>
        <v>-250.38979752039211</v>
      </c>
      <c r="BB93" s="10">
        <f t="shared" si="60"/>
        <v>-260.03649516075961</v>
      </c>
      <c r="BC93" s="10">
        <f t="shared" si="60"/>
        <v>-257.0079841427829</v>
      </c>
      <c r="BD93" s="10">
        <f t="shared" si="60"/>
        <v>-430.1305538709579</v>
      </c>
      <c r="BE93" s="10">
        <f t="shared" si="60"/>
        <v>-283.09005684577119</v>
      </c>
      <c r="BF93" s="10">
        <f t="shared" si="60"/>
        <v>-499.8322859578941</v>
      </c>
      <c r="BG93" s="10">
        <f t="shared" si="60"/>
        <v>-228.4333771616437</v>
      </c>
      <c r="BH93" s="10">
        <f t="shared" si="60"/>
        <v>-235.78333557976867</v>
      </c>
      <c r="BI93" s="10">
        <f t="shared" si="60"/>
        <v>-229.71449883582028</v>
      </c>
      <c r="BJ93" s="10">
        <f t="shared" si="60"/>
        <v>-223.8273785550721</v>
      </c>
      <c r="BK93" s="10">
        <f t="shared" si="60"/>
        <v>-448.74956853614265</v>
      </c>
      <c r="BO93" s="23">
        <f t="shared" ref="BO93:BT93" si="61">SUM(BO91:BO92)</f>
        <v>-2045.1403776782843</v>
      </c>
      <c r="BP93" s="23">
        <f t="shared" si="61"/>
        <v>-1506.0002746349232</v>
      </c>
      <c r="BQ93" s="23">
        <f t="shared" si="61"/>
        <v>-1627.6475857744049</v>
      </c>
      <c r="BR93" s="23">
        <f t="shared" si="61"/>
        <v>-2082.3638442300166</v>
      </c>
      <c r="BS93" s="23">
        <f t="shared" si="61"/>
        <v>-3412.1360031456129</v>
      </c>
      <c r="BT93" s="23">
        <f t="shared" si="61"/>
        <v>-1730.4349058351268</v>
      </c>
    </row>
    <row r="95" spans="1:72" outlineLevel="1" x14ac:dyDescent="0.25">
      <c r="A95" s="11" t="s">
        <v>81</v>
      </c>
      <c r="C95" s="2" t="s">
        <v>82</v>
      </c>
      <c r="D95" s="8">
        <f>IFERROR(
GETPIVOTDATA(
"[Base].[Importe]",
TDinamica_R!$A$5,
"[Calendario].[AñoMes]",
"[Calendario].[AñoMes].&amp;[" &amp; TEXT(D$6,"yyyymm")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E95" s="8">
        <f>IFERROR(
GETPIVOTDATA(
"[Base].[Importe]",
TDinamica_R!$A$5,
"[Calendario].[AñoMes]",
"[Calendario].[AñoMes].&amp;[" &amp; TEXT(E$6,"yyyymm")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F95" s="8">
        <f>IFERROR(
GETPIVOTDATA(
"[Base].[Importe]",
TDinamica_R!$A$5,
"[Calendario].[AñoMes]",
"[Calendario].[AñoMes].&amp;[" &amp; TEXT(F$6,"yyyymm")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G95" s="8">
        <f>IFERROR(
GETPIVOTDATA(
"[Base].[Importe]",
TDinamica_R!$A$5,
"[Calendario].[AñoMes]",
"[Calendario].[AñoMes].&amp;[" &amp; TEXT(G$6,"yyyymm")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H95" s="8">
        <f>IFERROR(
GETPIVOTDATA(
"[Base].[Importe]",
TDinamica_R!$A$5,
"[Calendario].[AñoMes]",
"[Calendario].[AñoMes].&amp;[" &amp; TEXT(H$6,"yyyymm")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I95" s="8">
        <f>IFERROR(
GETPIVOTDATA(
"[Base].[Importe]",
TDinamica_R!$A$5,
"[Calendario].[AñoMes]",
"[Calendario].[AñoMes].&amp;[" &amp; TEXT(I$6,"yyyymm")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J95" s="8">
        <f>IFERROR(
GETPIVOTDATA(
"[Base].[Importe]",
TDinamica_R!$A$5,
"[Calendario].[AñoMes]",
"[Calendario].[AñoMes].&amp;[" &amp; TEXT(J$6,"yyyymm")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K95" s="8">
        <f>IFERROR(
GETPIVOTDATA(
"[Base].[Importe]",
TDinamica_R!$A$5,
"[Calendario].[AñoMes]",
"[Calendario].[AñoMes].&amp;[" &amp; TEXT(K$6,"yyyymm")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L95" s="8">
        <f>IFERROR(
GETPIVOTDATA(
"[Base].[Importe]",
TDinamica_R!$A$5,
"[Calendario].[AñoMes]",
"[Calendario].[AñoMes].&amp;[" &amp; TEXT(L$6,"yyyymm")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M95" s="8">
        <f>IFERROR(
GETPIVOTDATA(
"[Base].[Importe]",
TDinamica_R!$A$5,
"[Calendario].[AñoMes]",
"[Calendario].[AñoMes].&amp;[" &amp; TEXT(M$6,"yyyymm")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N95" s="8">
        <f>IFERROR(
GETPIVOTDATA(
"[Base].[Importe]",
TDinamica_R!$A$5,
"[Calendario].[AñoMes]",
"[Calendario].[AñoMes].&amp;[" &amp; TEXT(N$6,"yyyymm")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O95" s="8">
        <f>IFERROR(
GETPIVOTDATA(
"[Base].[Importe]",
TDinamica_R!$A$5,
"[Calendario].[AñoMes]",
"[Calendario].[AñoMes].&amp;[" &amp; TEXT(O$6,"yyyymm")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P95" s="8">
        <f>IFERROR(
GETPIVOTDATA(
"[Base].[Importe]",
TDinamica_R!$A$5,
"[Calendario].[AñoMes]",
"[Calendario].[AñoMes].&amp;[" &amp; TEXT(P$6,"yyyymm")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Q95" s="8">
        <f>IFERROR(
GETPIVOTDATA(
"[Base].[Importe]",
TDinamica_R!$A$5,
"[Calendario].[AñoMes]",
"[Calendario].[AñoMes].&amp;[" &amp; TEXT(Q$6,"yyyymm")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R95" s="8">
        <f>IFERROR(
GETPIVOTDATA(
"[Base].[Importe]",
TDinamica_R!$A$5,
"[Calendario].[AñoMes]",
"[Calendario].[AñoMes].&amp;[" &amp; TEXT(R$6,"yyyymm")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S95" s="8">
        <f>IFERROR(
GETPIVOTDATA(
"[Base].[Importe]",
TDinamica_R!$A$5,
"[Calendario].[AñoMes]",
"[Calendario].[AñoMes].&amp;[" &amp; TEXT(S$6,"yyyymm")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T95" s="8">
        <f>IFERROR(
GETPIVOTDATA(
"[Base].[Importe]",
TDinamica_R!$A$5,
"[Calendario].[AñoMes]",
"[Calendario].[AñoMes].&amp;[" &amp; TEXT(T$6,"yyyymm")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U95" s="8">
        <f>IFERROR(
GETPIVOTDATA(
"[Base].[Importe]",
TDinamica_R!$A$5,
"[Calendario].[AñoMes]",
"[Calendario].[AñoMes].&amp;[" &amp; TEXT(U$6,"yyyymm")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V95" s="8">
        <f>IFERROR(
GETPIVOTDATA(
"[Base].[Importe]",
TDinamica_R!$A$5,
"[Calendario].[AñoMes]",
"[Calendario].[AñoMes].&amp;[" &amp; TEXT(V$6,"yyyymm")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W95" s="8">
        <f>IFERROR(
GETPIVOTDATA(
"[Base].[Importe]",
TDinamica_R!$A$5,
"[Calendario].[AñoMes]",
"[Calendario].[AñoMes].&amp;[" &amp; TEXT(W$6,"yyyymm")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X95" s="8">
        <f>IFERROR(
GETPIVOTDATA(
"[Base].[Importe]",
TDinamica_R!$A$5,
"[Calendario].[AñoMes]",
"[Calendario].[AñoMes].&amp;[" &amp; TEXT(X$6,"yyyymm")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Y95" s="8">
        <f>IFERROR(
GETPIVOTDATA(
"[Base].[Importe]",
TDinamica_R!$A$5,
"[Calendario].[AñoMes]",
"[Calendario].[AñoMes].&amp;[" &amp; TEXT(Y$6,"yyyymm")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Z95" s="8">
        <f>IFERROR(
GETPIVOTDATA(
"[Base].[Importe]",
TDinamica_R!$A$5,
"[Calendario].[AñoMes]",
"[Calendario].[AñoMes].&amp;[" &amp; TEXT(Z$6,"yyyymm")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A95" s="8">
        <f>IFERROR(
GETPIVOTDATA(
"[Base].[Importe]",
TDinamica_R!$A$5,
"[Calendario].[AñoMes]",
"[Calendario].[AñoMes].&amp;[" &amp; TEXT(AA$6,"yyyymm")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B95" s="8">
        <f>IFERROR(
GETPIVOTDATA(
"[Base].[Importe]",
TDinamica_R!$A$5,
"[Calendario].[AñoMes]",
"[Calendario].[AñoMes].&amp;[" &amp; TEXT(AB$6,"yyyymm")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C95" s="8">
        <f>IFERROR(
GETPIVOTDATA(
"[Base].[Importe]",
TDinamica_R!$A$5,
"[Calendario].[AñoMes]",
"[Calendario].[AñoMes].&amp;[" &amp; TEXT(AC$6,"yyyymm")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D95" s="8">
        <f>IFERROR(
GETPIVOTDATA(
"[Base].[Importe]",
TDinamica_R!$A$5,
"[Calendario].[AñoMes]",
"[Calendario].[AñoMes].&amp;[" &amp; TEXT(AD$6,"yyyymm") &amp; "]",
"[Base].[Metrica]",
"[Base].[Metrica].&amp;[" &amp; $A95 &amp; "]",
"[Base].[SEGMENTO_DESCRIP]",
"[Base].[SEGMENTO_DESCRIP].&amp;[" &amp; $C$6 &amp; "]",
"[Base].[SITUACION]",
"[Base].[SITUACION].&amp;[" &amp; $C95 &amp; "]"
),0)/1000</f>
        <v>665.83148358090796</v>
      </c>
      <c r="AE95" s="8">
        <f>IFERROR(
GETPIVOTDATA(
"[Base].[Importe]",
TDinamica_R!$A$5,
"[Calendario].[AñoMes]",
"[Calendario].[AñoMes].&amp;[" &amp; TEXT(AE$6,"yyyymm") &amp; "]",
"[Base].[Metrica]",
"[Base].[Metrica].&amp;[" &amp; $A95 &amp; "]",
"[Base].[SEGMENTO_DESCRIP]",
"[Base].[SEGMENTO_DESCRIP].&amp;[" &amp; $C$6 &amp; "]",
"[Base].[SITUACION]",
"[Base].[SITUACION].&amp;[" &amp; $C95 &amp; "]"
),0)/1000</f>
        <v>-6.2914601047474541</v>
      </c>
      <c r="AF95" s="8">
        <f>IFERROR(
GETPIVOTDATA(
"[Base].[Importe]",
TDinamica_R!$A$5,
"[Calendario].[AñoMes]",
"[Calendario].[AñoMes].&amp;[" &amp; TEXT(AF$6,"yyyymm")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G95" s="8">
        <f>IFERROR(
GETPIVOTDATA(
"[Base].[Importe]",
TDinamica_R!$A$5,
"[Calendario].[AñoMes]",
"[Calendario].[AñoMes].&amp;[" &amp; TEXT(AG$6,"yyyymm")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H95" s="8">
        <f>IFERROR(
GETPIVOTDATA(
"[Base].[Importe]",
TDinamica_R!$A$5,
"[Calendario].[AñoMes]",
"[Calendario].[AñoMes].&amp;[" &amp; TEXT(AH$6,"yyyymm")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I95" s="8">
        <f>IFERROR(
GETPIVOTDATA(
"[Base].[Importe]",
TDinamica_R!$A$5,
"[Calendario].[AñoMes]",
"[Calendario].[AñoMes].&amp;[" &amp; TEXT(AI$6,"yyyymm")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J95" s="8">
        <f>IFERROR(
GETPIVOTDATA(
"[Base].[Importe]",
TDinamica_R!$A$5,
"[Calendario].[AñoMes]",
"[Calendario].[AñoMes].&amp;[" &amp; TEXT(AJ$6,"yyyymm")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K95" s="8">
        <f>IFERROR(
GETPIVOTDATA(
"[Base].[Importe]",
TDinamica_R!$A$5,
"[Calendario].[AñoMes]",
"[Calendario].[AñoMes].&amp;[" &amp; TEXT(AK$6,"yyyymm") &amp; "]",
"[Base].[Metrica]",
"[Base].[Metrica].&amp;[" &amp; $A95 &amp; "]",
"[Base].[SEGMENTO_DESCRIP]",
"[Base].[SEGMENTO_DESCRIP].&amp;[" &amp; $C$6 &amp; "]",
"[Base].[SITUACION]",
"[Base].[SITUACION].&amp;[" &amp; $C95 &amp; "]"
),0)/1000</f>
        <v>736.45583644650344</v>
      </c>
      <c r="AL95" s="8">
        <f>IFERROR(
GETPIVOTDATA(
"[Base].[Importe]",
TDinamica_R!$A$5,
"[Calendario].[AñoMes]",
"[Calendario].[AñoMes].&amp;[" &amp; TEXT(AL$6,"yyyymm")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M95" s="8">
        <f>IFERROR(
GETPIVOTDATA(
"[Base].[Importe]",
TDinamica_R!$A$5,
"[Calendario].[AñoMes]",
"[Calendario].[AñoMes].&amp;[" &amp; TEXT(AM$6,"yyyymm")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N95" s="8">
        <f>IFERROR(
GETPIVOTDATA(
"[Base].[Importe]",
TDinamica_R!$A$5,
"[Calendario].[AñoMes]",
"[Calendario].[AñoMes].&amp;[" &amp; TEXT(AN$6,"yyyymm")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O95" s="8">
        <f>IFERROR(
GETPIVOTDATA(
"[Base].[Importe]",
TDinamica_R!$A$5,
"[Calendario].[AñoMes]",
"[Calendario].[AñoMes].&amp;[" &amp; TEXT(AO$6,"yyyymm")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P95" s="8">
        <f>IFERROR(
GETPIVOTDATA(
"[Base].[Importe]",
TDinamica_R!$A$5,
"[Calendario].[AñoMes]",
"[Calendario].[AñoMes].&amp;[" &amp; TEXT(AP$6,"yyyymm")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Q95" s="8">
        <f>IFERROR(
GETPIVOTDATA(
"[Base].[Importe]",
TDinamica_R!$A$5,
"[Calendario].[AñoMes]",
"[Calendario].[AñoMes].&amp;[" &amp; TEXT(AQ$6,"yyyymm")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R95" s="8">
        <f>IFERROR(
GETPIVOTDATA(
"[Base].[Importe]",
TDinamica_R!$A$5,
"[Calendario].[AñoMes]",
"[Calendario].[AñoMes].&amp;[" &amp; TEXT(AR$6,"yyyymm")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S95" s="8">
        <f>IFERROR(
GETPIVOTDATA(
"[Base].[Importe]",
TDinamica_R!$A$5,
"[Calendario].[AñoMes]",
"[Calendario].[AñoMes].&amp;[" &amp; TEXT(AS$6,"yyyymm")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T95" s="8">
        <f>IFERROR(
GETPIVOTDATA(
"[Base].[Importe]",
TDinamica_R!$A$5,
"[Calendario].[AñoMes]",
"[Calendario].[AñoMes].&amp;[" &amp; TEXT(AT$6,"yyyymm")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U95" s="8">
        <f>IFERROR(
GETPIVOTDATA(
"[Base].[Importe]",
TDinamica_R!$A$5,
"[Calendario].[AñoMes]",
"[Calendario].[AñoMes].&amp;[" &amp; TEXT(AU$6,"yyyymm")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V95" s="8">
        <f>IFERROR(
GETPIVOTDATA(
"[Base].[Importe]",
TDinamica_R!$A$5,
"[Calendario].[AñoMes]",
"[Calendario].[AñoMes].&amp;[" &amp; TEXT(AV$6,"yyyymm")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W95" s="8">
        <f>IFERROR(
GETPIVOTDATA(
"[Base].[Importe]",
TDinamica_R!$A$5,
"[Calendario].[AñoMes]",
"[Calendario].[AñoMes].&amp;[" &amp; TEXT(AW$6,"yyyymm")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X95" s="8">
        <f>IFERROR(
GETPIVOTDATA(
"[Base].[Importe]",
TDinamica_R!$A$5,
"[Calendario].[AñoMes]",
"[Calendario].[AñoMes].&amp;[" &amp; TEXT(AX$6,"yyyymm")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Y95" s="8">
        <f>IFERROR(
GETPIVOTDATA(
"[Base].[Importe]",
TDinamica_R!$A$5,
"[Calendario].[AñoMes]",
"[Calendario].[AñoMes].&amp;[" &amp; TEXT(AY$6,"yyyymm")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Z95" s="8">
        <f>IFERROR(
GETPIVOTDATA(
"[BASE_CONVE_PPTO].[Importe]",
TDinamica_P!$A$5,
"[BASE_CONVE_PPTO].[Periodo]",
"[BASE_CONVE_PPTO].[Periodo].&amp;[" &amp; TEXT(AZ$6,"yyyymm")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A95" s="8">
        <f>IFERROR(
GETPIVOTDATA(
"[BASE_CONVE_PPTO].[Importe]",
TDinamica_P!$A$5,
"[BASE_CONVE_PPTO].[Periodo]",
"[BASE_CONVE_PPTO].[Periodo].&amp;[" &amp; TEXT(BA$6,"yyyymm")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B95" s="8">
        <f>IFERROR(
GETPIVOTDATA(
"[BASE_CONVE_PPTO].[Importe]",
TDinamica_P!$A$5,
"[BASE_CONVE_PPTO].[Periodo]",
"[BASE_CONVE_PPTO].[Periodo].&amp;[" &amp; TEXT(BB$6,"yyyymm")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C95" s="8">
        <f>IFERROR(
GETPIVOTDATA(
"[BASE_CONVE_PPTO].[Importe]",
TDinamica_P!$A$5,
"[BASE_CONVE_PPTO].[Periodo]",
"[BASE_CONVE_PPTO].[Periodo].&amp;[" &amp; TEXT(BC$6,"yyyymm")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D95" s="8">
        <f>IFERROR(
GETPIVOTDATA(
"[BASE_CONVE_PPTO].[Importe]",
TDinamica_P!$A$5,
"[BASE_CONVE_PPTO].[Periodo]",
"[BASE_CONVE_PPTO].[Periodo].&amp;[" &amp; TEXT(BD$6,"yyyymm")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E95" s="8">
        <f>IFERROR(
GETPIVOTDATA(
"[BASE_CONVE_PPTO].[Importe]",
TDinamica_P!$A$5,
"[BASE_CONVE_PPTO].[Periodo]",
"[BASE_CONVE_PPTO].[Periodo].&amp;[" &amp; TEXT(BE$6,"yyyymm")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F95" s="8">
        <f>IFERROR(
GETPIVOTDATA(
"[BASE_CONVE_PPTO].[Importe]",
TDinamica_P!$A$5,
"[BASE_CONVE_PPTO].[Periodo]",
"[BASE_CONVE_PPTO].[Periodo].&amp;[" &amp; TEXT(BF$6,"yyyymm")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G95" s="8">
        <f>IFERROR(
GETPIVOTDATA(
"[BASE_CONVE_PPTO].[Importe]",
TDinamica_P!$A$5,
"[BASE_CONVE_PPTO].[Periodo]",
"[BASE_CONVE_PPTO].[Periodo].&amp;[" &amp; TEXT(BG$6,"yyyymm")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H95" s="8">
        <f>IFERROR(
GETPIVOTDATA(
"[BASE_CONVE_PPTO].[Importe]",
TDinamica_P!$A$5,
"[BASE_CONVE_PPTO].[Periodo]",
"[BASE_CONVE_PPTO].[Periodo].&amp;[" &amp; TEXT(BH$6,"yyyymm")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1221.7312625426093</v>
      </c>
      <c r="BI95" s="8">
        <f>IFERROR(
GETPIVOTDATA(
"[BASE_CONVE_PPTO].[Importe]",
TDinamica_P!$A$5,
"[BASE_CONVE_PPTO].[Periodo]",
"[BASE_CONVE_PPTO].[Periodo].&amp;[" &amp; TEXT(BI$6,"yyyymm")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J95" s="8">
        <f>IFERROR(
GETPIVOTDATA(
"[BASE_CONVE_PPTO].[Importe]",
TDinamica_P!$A$5,
"[BASE_CONVE_PPTO].[Periodo]",
"[BASE_CONVE_PPTO].[Periodo].&amp;[" &amp; TEXT(BJ$6,"yyyymm")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K95" s="8">
        <f>IFERROR(
GETPIVOTDATA(
"[BASE_CONVE_PPTO].[Importe]",
TDinamica_P!$A$5,
"[BASE_CONVE_PPTO].[Periodo]",
"[BASE_CONVE_PPTO].[Periodo].&amp;[" &amp; TEXT(BK$6,"yyyymm")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O95" s="24">
        <f t="shared" ref="BO95:BT95" si="62">SUMIFS($D95:$BM95,$D$6:$BM$6,"&gt;="&amp;BO$2,$D$6:$BM$6,"&lt;="&amp;BO$6,$D$5:$BM$5,BO$5)</f>
        <v>0</v>
      </c>
      <c r="BP95" s="24">
        <f t="shared" si="62"/>
        <v>0</v>
      </c>
      <c r="BQ95" s="24">
        <f t="shared" si="62"/>
        <v>0</v>
      </c>
      <c r="BR95" s="24">
        <f t="shared" si="62"/>
        <v>659.54002347616051</v>
      </c>
      <c r="BS95" s="24">
        <f t="shared" si="62"/>
        <v>0</v>
      </c>
      <c r="BT95" s="24">
        <f t="shared" si="62"/>
        <v>0</v>
      </c>
    </row>
    <row r="96" spans="1:72" x14ac:dyDescent="0.25">
      <c r="C96" s="3" t="s">
        <v>81</v>
      </c>
      <c r="D96" s="10">
        <f>SUM(D95:D95)</f>
        <v>0</v>
      </c>
      <c r="E96" s="10">
        <f t="shared" ref="E96:AY96" si="63">SUM(E95:E95)</f>
        <v>0</v>
      </c>
      <c r="F96" s="10">
        <f t="shared" si="63"/>
        <v>0</v>
      </c>
      <c r="G96" s="10">
        <f t="shared" si="63"/>
        <v>0</v>
      </c>
      <c r="H96" s="10">
        <f t="shared" si="63"/>
        <v>0</v>
      </c>
      <c r="I96" s="10">
        <f t="shared" si="63"/>
        <v>0</v>
      </c>
      <c r="J96" s="10">
        <f t="shared" si="63"/>
        <v>0</v>
      </c>
      <c r="K96" s="10">
        <f t="shared" si="63"/>
        <v>0</v>
      </c>
      <c r="L96" s="10">
        <f t="shared" si="63"/>
        <v>0</v>
      </c>
      <c r="M96" s="10">
        <f t="shared" si="63"/>
        <v>0</v>
      </c>
      <c r="N96" s="10">
        <f t="shared" si="63"/>
        <v>0</v>
      </c>
      <c r="O96" s="10">
        <f t="shared" si="63"/>
        <v>0</v>
      </c>
      <c r="P96" s="10">
        <f t="shared" si="63"/>
        <v>0</v>
      </c>
      <c r="Q96" s="10">
        <f t="shared" si="63"/>
        <v>0</v>
      </c>
      <c r="R96" s="10">
        <f t="shared" si="63"/>
        <v>0</v>
      </c>
      <c r="S96" s="10">
        <f t="shared" si="63"/>
        <v>0</v>
      </c>
      <c r="T96" s="10">
        <f t="shared" si="63"/>
        <v>0</v>
      </c>
      <c r="U96" s="10">
        <f t="shared" si="63"/>
        <v>0</v>
      </c>
      <c r="V96" s="10">
        <f t="shared" si="63"/>
        <v>0</v>
      </c>
      <c r="W96" s="10">
        <f t="shared" si="63"/>
        <v>0</v>
      </c>
      <c r="X96" s="10">
        <f t="shared" si="63"/>
        <v>0</v>
      </c>
      <c r="Y96" s="10">
        <f t="shared" si="63"/>
        <v>0</v>
      </c>
      <c r="Z96" s="10">
        <f t="shared" si="63"/>
        <v>0</v>
      </c>
      <c r="AA96" s="10">
        <f t="shared" si="63"/>
        <v>0</v>
      </c>
      <c r="AB96" s="10">
        <f t="shared" si="63"/>
        <v>0</v>
      </c>
      <c r="AC96" s="10">
        <f t="shared" si="63"/>
        <v>0</v>
      </c>
      <c r="AD96" s="10">
        <f t="shared" si="63"/>
        <v>665.83148358090796</v>
      </c>
      <c r="AE96" s="10">
        <f t="shared" si="63"/>
        <v>-6.2914601047474541</v>
      </c>
      <c r="AF96" s="10">
        <f t="shared" si="63"/>
        <v>0</v>
      </c>
      <c r="AG96" s="10">
        <f t="shared" si="63"/>
        <v>0</v>
      </c>
      <c r="AH96" s="10">
        <f t="shared" si="63"/>
        <v>0</v>
      </c>
      <c r="AI96" s="10">
        <f t="shared" si="63"/>
        <v>0</v>
      </c>
      <c r="AJ96" s="10">
        <f t="shared" si="63"/>
        <v>0</v>
      </c>
      <c r="AK96" s="10">
        <f t="shared" si="63"/>
        <v>736.45583644650344</v>
      </c>
      <c r="AL96" s="10">
        <f t="shared" si="63"/>
        <v>0</v>
      </c>
      <c r="AM96" s="10">
        <f t="shared" si="63"/>
        <v>0</v>
      </c>
      <c r="AN96" s="10">
        <f t="shared" si="63"/>
        <v>0</v>
      </c>
      <c r="AO96" s="10">
        <f t="shared" si="63"/>
        <v>0</v>
      </c>
      <c r="AP96" s="10">
        <f t="shared" si="63"/>
        <v>0</v>
      </c>
      <c r="AQ96" s="10">
        <f t="shared" si="63"/>
        <v>0</v>
      </c>
      <c r="AR96" s="10">
        <f t="shared" si="63"/>
        <v>0</v>
      </c>
      <c r="AS96" s="10">
        <f t="shared" si="63"/>
        <v>0</v>
      </c>
      <c r="AT96" s="10">
        <f t="shared" si="63"/>
        <v>0</v>
      </c>
      <c r="AU96" s="10">
        <f t="shared" si="63"/>
        <v>0</v>
      </c>
      <c r="AV96" s="10">
        <f t="shared" si="63"/>
        <v>0</v>
      </c>
      <c r="AW96" s="10">
        <f t="shared" si="63"/>
        <v>0</v>
      </c>
      <c r="AX96" s="10">
        <f t="shared" si="63"/>
        <v>0</v>
      </c>
      <c r="AY96" s="10">
        <f t="shared" si="63"/>
        <v>0</v>
      </c>
      <c r="AZ96" s="10">
        <f t="shared" ref="AZ96:BK96" si="64">SUM(AZ95)</f>
        <v>0</v>
      </c>
      <c r="BA96" s="10">
        <f t="shared" si="64"/>
        <v>0</v>
      </c>
      <c r="BB96" s="10">
        <f t="shared" si="64"/>
        <v>0</v>
      </c>
      <c r="BC96" s="10">
        <f t="shared" si="64"/>
        <v>0</v>
      </c>
      <c r="BD96" s="10">
        <f t="shared" si="64"/>
        <v>0</v>
      </c>
      <c r="BE96" s="10">
        <f t="shared" si="64"/>
        <v>0</v>
      </c>
      <c r="BF96" s="10">
        <f t="shared" si="64"/>
        <v>0</v>
      </c>
      <c r="BG96" s="10">
        <f t="shared" si="64"/>
        <v>0</v>
      </c>
      <c r="BH96" s="10">
        <f t="shared" si="64"/>
        <v>1221.7312625426093</v>
      </c>
      <c r="BI96" s="10">
        <f t="shared" si="64"/>
        <v>0</v>
      </c>
      <c r="BJ96" s="10">
        <f t="shared" si="64"/>
        <v>0</v>
      </c>
      <c r="BK96" s="10">
        <f t="shared" si="64"/>
        <v>0</v>
      </c>
      <c r="BO96" s="23">
        <f>SUM(BO95)</f>
        <v>0</v>
      </c>
      <c r="BP96" s="23">
        <f t="shared" ref="BP96:BT96" si="65">SUM(BP95)</f>
        <v>0</v>
      </c>
      <c r="BQ96" s="23">
        <f t="shared" si="65"/>
        <v>0</v>
      </c>
      <c r="BR96" s="23">
        <f t="shared" si="65"/>
        <v>659.54002347616051</v>
      </c>
      <c r="BS96" s="23">
        <f t="shared" si="65"/>
        <v>0</v>
      </c>
      <c r="BT96" s="23">
        <f t="shared" si="65"/>
        <v>0</v>
      </c>
    </row>
    <row r="98" spans="3:72" x14ac:dyDescent="0.25">
      <c r="C98" s="3" t="s">
        <v>83</v>
      </c>
      <c r="D98" s="10">
        <f t="shared" ref="D98:BK98" si="66">D60+D83+D89+D93+D96</f>
        <v>6603.5556760536047</v>
      </c>
      <c r="E98" s="10">
        <f t="shared" si="66"/>
        <v>14708.379663392236</v>
      </c>
      <c r="F98" s="10">
        <f t="shared" si="66"/>
        <v>7360.4286037819284</v>
      </c>
      <c r="G98" s="10">
        <f t="shared" si="66"/>
        <v>8028.3092056095256</v>
      </c>
      <c r="H98" s="10">
        <f t="shared" si="66"/>
        <v>7183.581448977543</v>
      </c>
      <c r="I98" s="10">
        <f t="shared" si="66"/>
        <v>8764.5085596467106</v>
      </c>
      <c r="J98" s="10">
        <f t="shared" si="66"/>
        <v>6868.0200516196383</v>
      </c>
      <c r="K98" s="10">
        <f t="shared" si="66"/>
        <v>4806.7050095249297</v>
      </c>
      <c r="L98" s="10">
        <f t="shared" si="66"/>
        <v>8463.6383196993138</v>
      </c>
      <c r="M98" s="10">
        <f t="shared" si="66"/>
        <v>662.487052285304</v>
      </c>
      <c r="N98" s="10">
        <f t="shared" si="66"/>
        <v>6192.7013755404296</v>
      </c>
      <c r="O98" s="10">
        <f t="shared" si="66"/>
        <v>5257.1753111069856</v>
      </c>
      <c r="P98" s="10">
        <f t="shared" si="66"/>
        <v>644.14099792399657</v>
      </c>
      <c r="Q98" s="10">
        <f t="shared" si="66"/>
        <v>7993.8975813163106</v>
      </c>
      <c r="R98" s="10">
        <f t="shared" si="66"/>
        <v>2912.6581387933602</v>
      </c>
      <c r="S98" s="10">
        <f t="shared" si="66"/>
        <v>1999.093809266192</v>
      </c>
      <c r="T98" s="10">
        <f t="shared" si="66"/>
        <v>4062.4345638400237</v>
      </c>
      <c r="U98" s="10">
        <f t="shared" si="66"/>
        <v>3942.4256047638278</v>
      </c>
      <c r="V98" s="10">
        <f t="shared" si="66"/>
        <v>3867.2358804805276</v>
      </c>
      <c r="W98" s="10">
        <f t="shared" si="66"/>
        <v>4842.3727441958927</v>
      </c>
      <c r="X98" s="10">
        <f t="shared" si="66"/>
        <v>7247.6062277873261</v>
      </c>
      <c r="Y98" s="10">
        <f t="shared" si="66"/>
        <v>2236.3814020202872</v>
      </c>
      <c r="Z98" s="10">
        <f t="shared" si="66"/>
        <v>7915.8154116431488</v>
      </c>
      <c r="AA98" s="10">
        <f t="shared" si="66"/>
        <v>7500.3739974893369</v>
      </c>
      <c r="AB98" s="10">
        <f t="shared" si="66"/>
        <v>1846.7453552386141</v>
      </c>
      <c r="AC98" s="10">
        <f t="shared" si="66"/>
        <v>10967.647556450836</v>
      </c>
      <c r="AD98" s="10">
        <f t="shared" si="66"/>
        <v>8888.4703798264818</v>
      </c>
      <c r="AE98" s="10">
        <f t="shared" si="66"/>
        <v>5366.2912712036004</v>
      </c>
      <c r="AF98" s="10">
        <f t="shared" si="66"/>
        <v>6498.9449848915565</v>
      </c>
      <c r="AG98" s="10">
        <f t="shared" si="66"/>
        <v>4989.3744734272486</v>
      </c>
      <c r="AH98" s="10">
        <f t="shared" si="66"/>
        <v>5077.4900762037996</v>
      </c>
      <c r="AI98" s="10">
        <f t="shared" si="66"/>
        <v>3482.6658735844476</v>
      </c>
      <c r="AJ98" s="10">
        <f t="shared" si="66"/>
        <v>7206.2981291889537</v>
      </c>
      <c r="AK98" s="10">
        <f t="shared" si="66"/>
        <v>2795.1148030079908</v>
      </c>
      <c r="AL98" s="10">
        <f t="shared" si="66"/>
        <v>7201.7806089428304</v>
      </c>
      <c r="AM98" s="10">
        <f t="shared" si="66"/>
        <v>4444.9624321822712</v>
      </c>
      <c r="AN98" s="10">
        <f t="shared" si="66"/>
        <v>6333.6351428359167</v>
      </c>
      <c r="AO98" s="10">
        <f t="shared" si="66"/>
        <v>9149.0494297954447</v>
      </c>
      <c r="AP98" s="10">
        <f t="shared" si="66"/>
        <v>6519.3918158701581</v>
      </c>
      <c r="AQ98" s="10">
        <f t="shared" si="66"/>
        <v>6089.6670025169124</v>
      </c>
      <c r="AR98" s="10">
        <f t="shared" si="66"/>
        <v>5121.1288455171207</v>
      </c>
      <c r="AS98" s="10">
        <f t="shared" si="66"/>
        <v>5683.6860713749929</v>
      </c>
      <c r="AT98" s="10">
        <f t="shared" si="66"/>
        <v>0</v>
      </c>
      <c r="AU98" s="10">
        <f t="shared" si="66"/>
        <v>0</v>
      </c>
      <c r="AV98" s="10">
        <f t="shared" si="66"/>
        <v>0</v>
      </c>
      <c r="AW98" s="10">
        <f t="shared" si="66"/>
        <v>0</v>
      </c>
      <c r="AX98" s="10">
        <f t="shared" si="66"/>
        <v>0</v>
      </c>
      <c r="AY98" s="10">
        <f t="shared" si="66"/>
        <v>0</v>
      </c>
      <c r="AZ98" s="10">
        <f t="shared" si="66"/>
        <v>5955.0752128711947</v>
      </c>
      <c r="BA98" s="10">
        <f t="shared" si="66"/>
        <v>9669.8049329271471</v>
      </c>
      <c r="BB98" s="10">
        <f t="shared" si="66"/>
        <v>6241.6844005431458</v>
      </c>
      <c r="BC98" s="10">
        <f t="shared" si="66"/>
        <v>8715.0738175890147</v>
      </c>
      <c r="BD98" s="10">
        <f t="shared" si="66"/>
        <v>7742.8259427867006</v>
      </c>
      <c r="BE98" s="10">
        <f t="shared" si="66"/>
        <v>8605.4012274613415</v>
      </c>
      <c r="BF98" s="10">
        <f t="shared" si="66"/>
        <v>8375.5945565406873</v>
      </c>
      <c r="BG98" s="10">
        <f t="shared" si="66"/>
        <v>6049.9678166827734</v>
      </c>
      <c r="BH98" s="10">
        <f t="shared" si="66"/>
        <v>12165.315945102027</v>
      </c>
      <c r="BI98" s="10">
        <f t="shared" si="66"/>
        <v>10073.424035581051</v>
      </c>
      <c r="BJ98" s="10">
        <f t="shared" si="66"/>
        <v>10487.699419046514</v>
      </c>
      <c r="BK98" s="10">
        <f t="shared" si="66"/>
        <v>10456.788866515984</v>
      </c>
      <c r="BO98" s="23">
        <f>BO60+BO83+BO89+BO93+BO96</f>
        <v>33212.872236535601</v>
      </c>
      <c r="BP98" s="23">
        <f t="shared" ref="BP98:BT98" si="67">BP60+BP83+BP89+BP93+BP96</f>
        <v>38324.464306717244</v>
      </c>
      <c r="BQ98" s="23">
        <f t="shared" si="67"/>
        <v>28091.743391018459</v>
      </c>
      <c r="BR98" s="23">
        <f t="shared" si="67"/>
        <v>33568.099547611091</v>
      </c>
      <c r="BS98" s="23">
        <f t="shared" si="67"/>
        <v>17612.225091139902</v>
      </c>
      <c r="BT98" s="23">
        <f t="shared" si="67"/>
        <v>43884.254597814834</v>
      </c>
    </row>
    <row r="102" spans="3:72" s="48" customFormat="1" x14ac:dyDescent="0.25">
      <c r="C102" s="46" t="s">
        <v>110</v>
      </c>
      <c r="D102" s="47">
        <f>D11</f>
        <v>4569845.5308379987</v>
      </c>
      <c r="E102" s="47">
        <f>IFERROR(AVERAGE(D11:E11),0)</f>
        <v>4602169.6349221291</v>
      </c>
      <c r="F102" s="47">
        <f t="shared" ref="F102:BK102" si="68">IFERROR(AVERAGE(E11:F11),0)</f>
        <v>4672802.1517202388</v>
      </c>
      <c r="G102" s="47">
        <f t="shared" si="68"/>
        <v>4732148.5736371092</v>
      </c>
      <c r="H102" s="47">
        <f t="shared" si="68"/>
        <v>4780616.6615049997</v>
      </c>
      <c r="I102" s="47">
        <f t="shared" si="68"/>
        <v>4836111.9255391993</v>
      </c>
      <c r="J102" s="48">
        <f t="shared" si="68"/>
        <v>4886333.9390146397</v>
      </c>
      <c r="K102" s="48">
        <f t="shared" si="68"/>
        <v>4944333.4386062156</v>
      </c>
      <c r="L102" s="48">
        <f t="shared" si="68"/>
        <v>5003668.2461273745</v>
      </c>
      <c r="M102" s="48">
        <f t="shared" si="68"/>
        <v>5057970.4336309507</v>
      </c>
      <c r="N102" s="48">
        <f t="shared" si="68"/>
        <v>5117443.3952959906</v>
      </c>
      <c r="O102" s="48">
        <f t="shared" si="68"/>
        <v>5157508.012786041</v>
      </c>
      <c r="P102" s="48">
        <f t="shared" si="68"/>
        <v>5197604.8588955794</v>
      </c>
      <c r="Q102" s="48">
        <f t="shared" si="68"/>
        <v>5258789.0157458792</v>
      </c>
      <c r="R102" s="48">
        <f t="shared" si="68"/>
        <v>5325599.8165189493</v>
      </c>
      <c r="S102" s="48">
        <f t="shared" si="68"/>
        <v>5407647.5025916006</v>
      </c>
      <c r="T102" s="48">
        <f t="shared" si="68"/>
        <v>5501760.8991875499</v>
      </c>
      <c r="U102" s="48">
        <f t="shared" si="68"/>
        <v>5584409.6138659492</v>
      </c>
      <c r="V102" s="48">
        <f t="shared" si="68"/>
        <v>5659129.6960889995</v>
      </c>
      <c r="W102" s="47">
        <f t="shared" si="68"/>
        <v>5715300.7599607501</v>
      </c>
      <c r="X102" s="47">
        <f t="shared" si="68"/>
        <v>5735756.0463516507</v>
      </c>
      <c r="Y102" s="47">
        <f t="shared" si="68"/>
        <v>5727853.1113488507</v>
      </c>
      <c r="Z102" s="47">
        <f t="shared" si="68"/>
        <v>5684934.7449088003</v>
      </c>
      <c r="AA102" s="47">
        <f t="shared" si="68"/>
        <v>5623861.2785624508</v>
      </c>
      <c r="AB102" s="47">
        <f t="shared" si="68"/>
        <v>5578775.2712999005</v>
      </c>
      <c r="AC102" s="48">
        <f t="shared" si="68"/>
        <v>5556149.095792301</v>
      </c>
      <c r="AD102" s="48">
        <f t="shared" si="68"/>
        <v>5545721.5582499504</v>
      </c>
      <c r="AE102" s="48">
        <f t="shared" si="68"/>
        <v>5547894.8226851001</v>
      </c>
      <c r="AF102" s="48">
        <f t="shared" si="68"/>
        <v>5559992.1913443003</v>
      </c>
      <c r="AG102" s="48">
        <f t="shared" si="68"/>
        <v>5572188.0149155501</v>
      </c>
      <c r="AH102" s="48">
        <f t="shared" si="68"/>
        <v>5588997.5293948445</v>
      </c>
      <c r="AI102" s="48">
        <f t="shared" si="68"/>
        <v>5615184.8074438451</v>
      </c>
      <c r="AJ102" s="48">
        <f t="shared" si="68"/>
        <v>5636668.7069828995</v>
      </c>
      <c r="AK102" s="48">
        <f t="shared" si="68"/>
        <v>5625177.6354824007</v>
      </c>
      <c r="AL102" s="48">
        <f t="shared" si="68"/>
        <v>5583618.3135858998</v>
      </c>
      <c r="AM102" s="48">
        <f t="shared" si="68"/>
        <v>5532544.5894010002</v>
      </c>
      <c r="AN102" s="48">
        <f t="shared" si="68"/>
        <v>5495171.7200257499</v>
      </c>
      <c r="AO102" s="48">
        <f t="shared" si="68"/>
        <v>5461338.7649999997</v>
      </c>
      <c r="AP102" s="48">
        <f t="shared" si="68"/>
        <v>5443391.6549999993</v>
      </c>
      <c r="AQ102" s="48">
        <f t="shared" si="68"/>
        <v>5459495.8382497001</v>
      </c>
      <c r="AR102" s="48">
        <f t="shared" si="68"/>
        <v>5475442.6529882401</v>
      </c>
      <c r="AS102" s="48">
        <f t="shared" si="68"/>
        <v>5489104.7704889886</v>
      </c>
      <c r="AT102" s="48">
        <f t="shared" si="68"/>
        <v>2748828.8207504489</v>
      </c>
      <c r="AU102" s="48">
        <f t="shared" si="68"/>
        <v>0</v>
      </c>
      <c r="AV102" s="48">
        <f t="shared" si="68"/>
        <v>0</v>
      </c>
      <c r="AW102" s="48">
        <f t="shared" si="68"/>
        <v>0</v>
      </c>
      <c r="AX102" s="48">
        <f t="shared" si="68"/>
        <v>0</v>
      </c>
      <c r="AY102" s="48">
        <f t="shared" si="68"/>
        <v>0</v>
      </c>
      <c r="AZ102" s="48">
        <f>AZ11</f>
        <v>5725820.4819422085</v>
      </c>
      <c r="BA102" s="48">
        <f t="shared" si="68"/>
        <v>5734491.7790553737</v>
      </c>
      <c r="BB102" s="48">
        <f t="shared" si="68"/>
        <v>5760125.0061840173</v>
      </c>
      <c r="BC102" s="48">
        <f t="shared" si="68"/>
        <v>5787621.4958111206</v>
      </c>
      <c r="BD102" s="48">
        <f t="shared" si="68"/>
        <v>5808859.4577273726</v>
      </c>
      <c r="BE102" s="48">
        <f t="shared" si="68"/>
        <v>5833871.5262503</v>
      </c>
      <c r="BF102" s="48">
        <f t="shared" si="68"/>
        <v>5862515.5831579175</v>
      </c>
      <c r="BG102" s="48">
        <f t="shared" si="68"/>
        <v>5890860.6127362717</v>
      </c>
      <c r="BH102" s="48">
        <f t="shared" si="68"/>
        <v>5923905.1562441997</v>
      </c>
      <c r="BI102" s="48">
        <f t="shared" si="68"/>
        <v>5956846.0701737422</v>
      </c>
      <c r="BJ102" s="48">
        <f t="shared" si="68"/>
        <v>5984454.9087047139</v>
      </c>
      <c r="BK102" s="48">
        <f t="shared" si="68"/>
        <v>6008545.496678846</v>
      </c>
      <c r="BO102" s="48">
        <f>IFERROR(AVERAGEIFS($D11:$BM11,$D$6:$BM$6,"&gt;="&amp;EOMONTH(BO$2,-1),$D$6:$BM$6,"&lt;="&amp;BO$6,$D$5:$BM$5,BO$5,$D11:$BM11,"&lt;&gt;0"),0)</f>
        <v>5471335.3426713301</v>
      </c>
      <c r="BP102" s="48">
        <f>IFERROR(AVERAGEIFS($D11:$BM11,$D$6:$BM$6,"&gt;="&amp;EOMONTH(BP$2,-1),$D$6:$BM$6,"&lt;="&amp;BP$6,$D$5:$BM$5,BP$5,$D11:$BM11,"&lt;&gt;0"),0)</f>
        <v>5772757.8819529982</v>
      </c>
      <c r="BQ102" s="48">
        <f>IFERROR(AVERAGEIFS($D11:$BM11,$D$6:$BM$6,"&gt;="&amp;EOMONTH(BQ$2,-1),$D$6:$BM$6,"&lt;="&amp;BQ$6,$D$5:$BM$5,BQ$5,$D11:$BM11,"&lt;&gt;0"),0)</f>
        <v>5469492.0313101802</v>
      </c>
      <c r="BR102" s="48">
        <f>IFERROR(AVERAGEIFS($D11:$BM11,$D$6:$BM$6,"&gt;="&amp;EOMONTH(BR$2,-1),$D$6:$BM$6,"&lt;="&amp;BR$6,$D$5:$BM$5,BR$5,$D11:$BM11,"&lt;&gt;0"),0)</f>
        <v>5561496.3402980501</v>
      </c>
      <c r="BS102" s="48">
        <f t="shared" ref="BS102:BT102" si="69">IFERROR(AVERAGEIFS($D11:$BM11,$D$6:$BM$6,"&gt;="&amp;EOMONTH(BS$2,-1),$D$6:$BM$6,"&lt;="&amp;BS$6,$D$5:$BM$5,BS$5,$D11:$BM11,"&lt;&gt;0"),0)</f>
        <v>5341655.1915340265</v>
      </c>
      <c r="BT102" s="48">
        <f t="shared" si="69"/>
        <v>4695336.6314576957</v>
      </c>
    </row>
  </sheetData>
  <mergeCells count="4">
    <mergeCell ref="BO1:BT1"/>
    <mergeCell ref="BW1:CB1"/>
    <mergeCell ref="D1:AY1"/>
    <mergeCell ref="AZ1:B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7214-1D3D-4857-8F9A-2F14974E1858}">
  <sheetPr codeName="Hoja9"/>
  <dimension ref="A1:CC102"/>
  <sheetViews>
    <sheetView showGridLines="0" zoomScale="80" zoomScaleNormal="80" workbookViewId="0">
      <pane xSplit="3" ySplit="6" topLeftCell="D42" activePane="bottomRight" state="frozen"/>
      <selection activeCell="AO57" sqref="AO57"/>
      <selection pane="topRight" activeCell="AO57" sqref="AO57"/>
      <selection pane="bottomLeft" activeCell="AO57" sqref="AO57"/>
      <selection pane="bottomRight" activeCell="AO57" sqref="AO57"/>
    </sheetView>
  </sheetViews>
  <sheetFormatPr baseColWidth="10" defaultRowHeight="15" outlineLevelRow="1" outlineLevelCol="1" x14ac:dyDescent="0.25"/>
  <cols>
    <col min="1" max="1" width="7.140625" customWidth="1"/>
    <col min="2" max="2" width="6.28515625" customWidth="1"/>
    <col min="3" max="3" width="22.85546875" bestFit="1" customWidth="1"/>
    <col min="4" max="14" width="11.28515625" customWidth="1" outlineLevel="1"/>
    <col min="15" max="15" width="11.28515625" bestFit="1" customWidth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63" width="10.5703125" customWidth="1"/>
    <col min="77" max="77" width="11.28515625" bestFit="1" customWidth="1"/>
  </cols>
  <sheetData>
    <row r="1" spans="1:81" ht="15.75" x14ac:dyDescent="0.25">
      <c r="D1" s="55" t="s">
        <v>92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6" t="s">
        <v>93</v>
      </c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O1" s="54" t="s">
        <v>89</v>
      </c>
      <c r="BP1" s="54"/>
      <c r="BQ1" s="54"/>
      <c r="BR1" s="54"/>
      <c r="BS1" s="54"/>
      <c r="BT1" s="54"/>
      <c r="BW1" s="54" t="s">
        <v>90</v>
      </c>
      <c r="BX1" s="54"/>
      <c r="BY1" s="54"/>
      <c r="BZ1" s="54"/>
      <c r="CA1" s="54"/>
      <c r="CB1" s="54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5">
        <f t="shared" ref="BO2:BT2" si="0">DATE(YEAR(BO6),1,1)</f>
        <v>46023</v>
      </c>
      <c r="BP2" s="25">
        <f t="shared" si="0"/>
        <v>46023</v>
      </c>
      <c r="BQ2" s="25">
        <f t="shared" si="0"/>
        <v>46023</v>
      </c>
      <c r="BR2" s="25">
        <f t="shared" si="0"/>
        <v>45658</v>
      </c>
      <c r="BS2" s="25">
        <f t="shared" si="0"/>
        <v>45292</v>
      </c>
      <c r="BT2" s="25">
        <f t="shared" si="0"/>
        <v>44927</v>
      </c>
    </row>
    <row r="3" spans="1:81" x14ac:dyDescent="0.25">
      <c r="C3" s="13" t="s">
        <v>61</v>
      </c>
      <c r="D3" s="12">
        <v>30</v>
      </c>
      <c r="E3" s="12">
        <v>30</v>
      </c>
      <c r="F3" s="12">
        <v>30</v>
      </c>
      <c r="G3" s="12">
        <v>30</v>
      </c>
      <c r="H3" s="12">
        <v>30</v>
      </c>
      <c r="I3" s="12">
        <v>30</v>
      </c>
      <c r="J3" s="12">
        <v>30</v>
      </c>
      <c r="K3" s="12">
        <v>30</v>
      </c>
      <c r="L3" s="12">
        <v>30</v>
      </c>
      <c r="M3" s="12">
        <v>30</v>
      </c>
      <c r="N3" s="12">
        <v>30</v>
      </c>
      <c r="O3" s="12">
        <v>30</v>
      </c>
      <c r="P3" s="12">
        <v>30</v>
      </c>
      <c r="Q3" s="12">
        <v>30</v>
      </c>
      <c r="R3" s="12">
        <v>30</v>
      </c>
      <c r="S3" s="12">
        <v>30</v>
      </c>
      <c r="T3" s="12">
        <v>30</v>
      </c>
      <c r="U3" s="12">
        <v>30</v>
      </c>
      <c r="V3" s="12">
        <v>30</v>
      </c>
      <c r="W3" s="12">
        <v>30</v>
      </c>
      <c r="X3" s="12">
        <v>30</v>
      </c>
      <c r="Y3" s="12">
        <v>30</v>
      </c>
      <c r="Z3" s="12">
        <v>30</v>
      </c>
      <c r="AA3" s="12">
        <v>30</v>
      </c>
      <c r="AB3" s="12">
        <v>30</v>
      </c>
      <c r="AC3" s="12">
        <v>30</v>
      </c>
      <c r="AD3" s="12">
        <v>30</v>
      </c>
      <c r="AE3" s="12">
        <v>30</v>
      </c>
      <c r="AF3" s="12">
        <v>30</v>
      </c>
      <c r="AG3" s="12">
        <v>30</v>
      </c>
      <c r="AH3" s="12">
        <v>30</v>
      </c>
      <c r="AI3" s="12">
        <v>30</v>
      </c>
      <c r="AJ3" s="12">
        <v>30</v>
      </c>
      <c r="AK3" s="12">
        <v>30</v>
      </c>
      <c r="AL3" s="12">
        <v>30</v>
      </c>
      <c r="AM3" s="12">
        <v>30</v>
      </c>
      <c r="AN3" s="12">
        <v>30</v>
      </c>
      <c r="AO3" s="12">
        <v>30</v>
      </c>
      <c r="AP3" s="12">
        <v>30</v>
      </c>
      <c r="AQ3" s="12">
        <v>30</v>
      </c>
      <c r="AR3" s="12">
        <v>30</v>
      </c>
      <c r="AS3" s="12">
        <v>30</v>
      </c>
      <c r="AT3" s="12">
        <v>30</v>
      </c>
      <c r="AU3" s="12">
        <v>30</v>
      </c>
      <c r="AV3" s="12">
        <v>30</v>
      </c>
      <c r="AW3" s="12">
        <v>30</v>
      </c>
      <c r="AX3" s="12">
        <v>30</v>
      </c>
      <c r="AY3" s="12">
        <v>30</v>
      </c>
      <c r="AZ3" s="12">
        <v>30</v>
      </c>
      <c r="BA3" s="12">
        <v>30</v>
      </c>
      <c r="BB3" s="12">
        <v>30</v>
      </c>
      <c r="BC3" s="12">
        <v>30</v>
      </c>
      <c r="BD3" s="12">
        <v>30</v>
      </c>
      <c r="BE3" s="12">
        <v>30</v>
      </c>
      <c r="BF3" s="12">
        <v>30</v>
      </c>
      <c r="BG3" s="12">
        <v>30</v>
      </c>
      <c r="BH3" s="12">
        <v>30</v>
      </c>
      <c r="BI3" s="12">
        <v>30</v>
      </c>
      <c r="BJ3" s="12">
        <v>30</v>
      </c>
      <c r="BK3" s="12">
        <v>30</v>
      </c>
      <c r="BO3" s="12">
        <f>AVERAGEIFS($D3:$BM3,$D$6:$BM$6,"&gt;="&amp;BO$2,$D$6:$BM$6,"&lt;="&amp;BO$6,$D$5:$BM$5,BO$5)</f>
        <v>30</v>
      </c>
      <c r="BP3" s="12">
        <f t="shared" ref="BP3:BT4" si="1">AVERAGEIFS($D3:$BM3,$D$6:$BM$6,"&gt;="&amp;BP$2,$D$6:$BM$6,"&lt;="&amp;BP$6,$D$5:$BM$5,BP$5)</f>
        <v>30</v>
      </c>
      <c r="BQ3" s="12">
        <f t="shared" si="1"/>
        <v>30</v>
      </c>
      <c r="BR3" s="12">
        <f t="shared" si="1"/>
        <v>30</v>
      </c>
      <c r="BS3" s="12">
        <f t="shared" si="1"/>
        <v>30</v>
      </c>
      <c r="BT3" s="12">
        <f t="shared" si="1"/>
        <v>30</v>
      </c>
    </row>
    <row r="4" spans="1:81" x14ac:dyDescent="0.25">
      <c r="C4" s="13" t="s">
        <v>62</v>
      </c>
      <c r="D4" s="12">
        <f>DAY(D6)</f>
        <v>31</v>
      </c>
      <c r="E4" s="12">
        <f t="shared" ref="E4:BK4" si="2">DAY(E6)</f>
        <v>28</v>
      </c>
      <c r="F4" s="12">
        <f t="shared" si="2"/>
        <v>31</v>
      </c>
      <c r="G4" s="12">
        <f t="shared" si="2"/>
        <v>30</v>
      </c>
      <c r="H4" s="12">
        <f t="shared" si="2"/>
        <v>31</v>
      </c>
      <c r="I4" s="12">
        <f t="shared" si="2"/>
        <v>30</v>
      </c>
      <c r="J4" s="12">
        <f t="shared" si="2"/>
        <v>31</v>
      </c>
      <c r="K4" s="12">
        <f t="shared" si="2"/>
        <v>31</v>
      </c>
      <c r="L4" s="12">
        <f t="shared" si="2"/>
        <v>30</v>
      </c>
      <c r="M4" s="12">
        <f t="shared" si="2"/>
        <v>31</v>
      </c>
      <c r="N4" s="12">
        <f t="shared" si="2"/>
        <v>30</v>
      </c>
      <c r="O4" s="12">
        <f t="shared" si="2"/>
        <v>31</v>
      </c>
      <c r="P4" s="12">
        <f t="shared" si="2"/>
        <v>31</v>
      </c>
      <c r="Q4" s="12">
        <f t="shared" si="2"/>
        <v>29</v>
      </c>
      <c r="R4" s="12">
        <f t="shared" si="2"/>
        <v>31</v>
      </c>
      <c r="S4" s="12">
        <f t="shared" si="2"/>
        <v>30</v>
      </c>
      <c r="T4" s="12">
        <f t="shared" si="2"/>
        <v>31</v>
      </c>
      <c r="U4" s="12">
        <f t="shared" si="2"/>
        <v>30</v>
      </c>
      <c r="V4" s="12">
        <f t="shared" si="2"/>
        <v>31</v>
      </c>
      <c r="W4" s="12">
        <f t="shared" si="2"/>
        <v>31</v>
      </c>
      <c r="X4" s="12">
        <f t="shared" si="2"/>
        <v>30</v>
      </c>
      <c r="Y4" s="12">
        <f t="shared" si="2"/>
        <v>31</v>
      </c>
      <c r="Z4" s="12">
        <f t="shared" si="2"/>
        <v>30</v>
      </c>
      <c r="AA4" s="12">
        <f t="shared" si="2"/>
        <v>31</v>
      </c>
      <c r="AB4" s="12">
        <f t="shared" si="2"/>
        <v>31</v>
      </c>
      <c r="AC4" s="12">
        <f t="shared" si="2"/>
        <v>28</v>
      </c>
      <c r="AD4" s="12">
        <f t="shared" si="2"/>
        <v>31</v>
      </c>
      <c r="AE4" s="12">
        <f t="shared" si="2"/>
        <v>30</v>
      </c>
      <c r="AF4" s="12">
        <f t="shared" si="2"/>
        <v>31</v>
      </c>
      <c r="AG4" s="12">
        <f t="shared" si="2"/>
        <v>30</v>
      </c>
      <c r="AH4" s="12">
        <f t="shared" si="2"/>
        <v>31</v>
      </c>
      <c r="AI4" s="12">
        <f t="shared" si="2"/>
        <v>31</v>
      </c>
      <c r="AJ4" s="12">
        <f t="shared" si="2"/>
        <v>30</v>
      </c>
      <c r="AK4" s="12">
        <f t="shared" si="2"/>
        <v>31</v>
      </c>
      <c r="AL4" s="12">
        <f t="shared" si="2"/>
        <v>30</v>
      </c>
      <c r="AM4" s="12">
        <f t="shared" si="2"/>
        <v>31</v>
      </c>
      <c r="AN4" s="12">
        <f t="shared" si="2"/>
        <v>31</v>
      </c>
      <c r="AO4" s="12">
        <f t="shared" si="2"/>
        <v>28</v>
      </c>
      <c r="AP4" s="12">
        <f t="shared" si="2"/>
        <v>31</v>
      </c>
      <c r="AQ4" s="12">
        <f t="shared" si="2"/>
        <v>30</v>
      </c>
      <c r="AR4" s="12">
        <f t="shared" si="2"/>
        <v>31</v>
      </c>
      <c r="AS4" s="12">
        <f t="shared" si="2"/>
        <v>30</v>
      </c>
      <c r="AT4" s="12">
        <f t="shared" si="2"/>
        <v>31</v>
      </c>
      <c r="AU4" s="12">
        <f t="shared" si="2"/>
        <v>31</v>
      </c>
      <c r="AV4" s="12">
        <f t="shared" si="2"/>
        <v>30</v>
      </c>
      <c r="AW4" s="12">
        <f t="shared" si="2"/>
        <v>31</v>
      </c>
      <c r="AX4" s="12">
        <f t="shared" si="2"/>
        <v>30</v>
      </c>
      <c r="AY4" s="12">
        <f t="shared" si="2"/>
        <v>31</v>
      </c>
      <c r="AZ4" s="12">
        <f t="shared" si="2"/>
        <v>31</v>
      </c>
      <c r="BA4" s="12">
        <f t="shared" si="2"/>
        <v>28</v>
      </c>
      <c r="BB4" s="12">
        <f t="shared" si="2"/>
        <v>31</v>
      </c>
      <c r="BC4" s="12">
        <f t="shared" si="2"/>
        <v>30</v>
      </c>
      <c r="BD4" s="12">
        <f t="shared" si="2"/>
        <v>31</v>
      </c>
      <c r="BE4" s="12">
        <f t="shared" si="2"/>
        <v>30</v>
      </c>
      <c r="BF4" s="12">
        <f t="shared" si="2"/>
        <v>31</v>
      </c>
      <c r="BG4" s="12">
        <f t="shared" si="2"/>
        <v>31</v>
      </c>
      <c r="BH4" s="12">
        <f t="shared" si="2"/>
        <v>30</v>
      </c>
      <c r="BI4" s="12">
        <f t="shared" si="2"/>
        <v>31</v>
      </c>
      <c r="BJ4" s="12">
        <f t="shared" si="2"/>
        <v>30</v>
      </c>
      <c r="BK4" s="12">
        <f t="shared" si="2"/>
        <v>31</v>
      </c>
      <c r="BO4" s="27">
        <f>AVERAGEIFS($D4:$BM4,$D$6:$BM$6,"&gt;="&amp;BO$2,$D$6:$BM$6,"&lt;="&amp;BO$6,$D$5:$BM$5,BO$5)</f>
        <v>30.2</v>
      </c>
      <c r="BP4" s="27">
        <f t="shared" si="1"/>
        <v>30.2</v>
      </c>
      <c r="BQ4" s="27">
        <f t="shared" si="1"/>
        <v>30</v>
      </c>
      <c r="BR4" s="27">
        <f t="shared" si="1"/>
        <v>30.2</v>
      </c>
      <c r="BS4" s="27">
        <f t="shared" si="1"/>
        <v>30.4</v>
      </c>
      <c r="BT4" s="27">
        <f t="shared" si="1"/>
        <v>30.2</v>
      </c>
    </row>
    <row r="5" spans="1:81" ht="15.75" thickBot="1" x14ac:dyDescent="0.3">
      <c r="C5" s="13" t="s">
        <v>85</v>
      </c>
      <c r="D5" s="12" t="s">
        <v>86</v>
      </c>
      <c r="E5" s="12" t="s">
        <v>86</v>
      </c>
      <c r="F5" s="12" t="s">
        <v>86</v>
      </c>
      <c r="G5" s="12" t="s">
        <v>86</v>
      </c>
      <c r="H5" s="12" t="s">
        <v>86</v>
      </c>
      <c r="I5" s="12" t="s">
        <v>86</v>
      </c>
      <c r="J5" s="12" t="s">
        <v>86</v>
      </c>
      <c r="K5" s="12" t="s">
        <v>86</v>
      </c>
      <c r="L5" s="12" t="s">
        <v>86</v>
      </c>
      <c r="M5" s="12" t="s">
        <v>86</v>
      </c>
      <c r="N5" s="12" t="s">
        <v>86</v>
      </c>
      <c r="O5" s="12" t="s">
        <v>86</v>
      </c>
      <c r="P5" s="12" t="s">
        <v>86</v>
      </c>
      <c r="Q5" s="12" t="s">
        <v>86</v>
      </c>
      <c r="R5" s="12" t="s">
        <v>86</v>
      </c>
      <c r="S5" s="12" t="s">
        <v>86</v>
      </c>
      <c r="T5" s="12" t="s">
        <v>86</v>
      </c>
      <c r="U5" s="12" t="s">
        <v>86</v>
      </c>
      <c r="V5" s="12" t="s">
        <v>86</v>
      </c>
      <c r="W5" s="12" t="s">
        <v>86</v>
      </c>
      <c r="X5" s="12" t="s">
        <v>86</v>
      </c>
      <c r="Y5" s="12" t="s">
        <v>86</v>
      </c>
      <c r="Z5" s="12" t="s">
        <v>86</v>
      </c>
      <c r="AA5" s="12" t="s">
        <v>86</v>
      </c>
      <c r="AB5" s="12" t="s">
        <v>86</v>
      </c>
      <c r="AC5" s="12" t="s">
        <v>86</v>
      </c>
      <c r="AD5" s="12" t="s">
        <v>86</v>
      </c>
      <c r="AE5" s="12" t="s">
        <v>86</v>
      </c>
      <c r="AF5" s="12" t="s">
        <v>86</v>
      </c>
      <c r="AG5" s="12" t="s">
        <v>86</v>
      </c>
      <c r="AH5" s="12" t="s">
        <v>86</v>
      </c>
      <c r="AI5" s="12" t="s">
        <v>86</v>
      </c>
      <c r="AJ5" s="12" t="s">
        <v>86</v>
      </c>
      <c r="AK5" s="12" t="s">
        <v>86</v>
      </c>
      <c r="AL5" s="12" t="s">
        <v>86</v>
      </c>
      <c r="AM5" s="12" t="s">
        <v>86</v>
      </c>
      <c r="AN5" s="12" t="s">
        <v>86</v>
      </c>
      <c r="AO5" s="12" t="s">
        <v>86</v>
      </c>
      <c r="AP5" s="12" t="s">
        <v>86</v>
      </c>
      <c r="AQ5" s="12" t="s">
        <v>86</v>
      </c>
      <c r="AR5" s="12" t="s">
        <v>86</v>
      </c>
      <c r="AS5" s="12" t="s">
        <v>86</v>
      </c>
      <c r="AT5" s="12" t="s">
        <v>86</v>
      </c>
      <c r="AU5" s="12" t="s">
        <v>86</v>
      </c>
      <c r="AV5" s="12" t="s">
        <v>86</v>
      </c>
      <c r="AW5" s="12" t="s">
        <v>86</v>
      </c>
      <c r="AX5" s="12" t="s">
        <v>86</v>
      </c>
      <c r="AY5" s="12" t="s">
        <v>86</v>
      </c>
      <c r="AZ5" s="12" t="s">
        <v>87</v>
      </c>
      <c r="BA5" s="12" t="s">
        <v>87</v>
      </c>
      <c r="BB5" s="12" t="s">
        <v>87</v>
      </c>
      <c r="BC5" s="12" t="s">
        <v>87</v>
      </c>
      <c r="BD5" s="12" t="s">
        <v>87</v>
      </c>
      <c r="BE5" s="12" t="s">
        <v>87</v>
      </c>
      <c r="BF5" s="12" t="s">
        <v>87</v>
      </c>
      <c r="BG5" s="12" t="s">
        <v>87</v>
      </c>
      <c r="BH5" s="12" t="s">
        <v>87</v>
      </c>
      <c r="BI5" s="12" t="s">
        <v>87</v>
      </c>
      <c r="BJ5" s="12" t="s">
        <v>87</v>
      </c>
      <c r="BK5" s="12" t="s">
        <v>87</v>
      </c>
      <c r="BO5" s="12" t="s">
        <v>86</v>
      </c>
      <c r="BP5" s="12" t="s">
        <v>87</v>
      </c>
      <c r="BQ5" s="12" t="s">
        <v>86</v>
      </c>
      <c r="BR5" s="12" t="s">
        <v>86</v>
      </c>
      <c r="BS5" s="12" t="s">
        <v>86</v>
      </c>
      <c r="BT5" s="12" t="s">
        <v>86</v>
      </c>
    </row>
    <row r="6" spans="1:81" ht="16.5" thickTop="1" thickBot="1" x14ac:dyDescent="0.3">
      <c r="C6" s="45" t="s">
        <v>46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30">
        <v>46053</v>
      </c>
      <c r="BA6" s="30">
        <v>46081</v>
      </c>
      <c r="BB6" s="30">
        <v>46112</v>
      </c>
      <c r="BC6" s="30">
        <v>46142</v>
      </c>
      <c r="BD6" s="30">
        <v>46173</v>
      </c>
      <c r="BE6" s="30">
        <v>46203</v>
      </c>
      <c r="BF6" s="30">
        <v>46234</v>
      </c>
      <c r="BG6" s="30">
        <v>46265</v>
      </c>
      <c r="BH6" s="30">
        <v>46295</v>
      </c>
      <c r="BI6" s="30">
        <v>46326</v>
      </c>
      <c r="BJ6" s="30">
        <v>46356</v>
      </c>
      <c r="BK6" s="30">
        <v>46387</v>
      </c>
      <c r="BO6" s="1">
        <f>Desempeño_Financiero!$B$1</f>
        <v>46173</v>
      </c>
      <c r="BP6" s="22">
        <f>BO6</f>
        <v>46173</v>
      </c>
      <c r="BQ6" s="1">
        <f>EOMONTH(BO6,-1)</f>
        <v>46142</v>
      </c>
      <c r="BR6" s="1">
        <f>EOMONTH(BO6,-12)</f>
        <v>45808</v>
      </c>
      <c r="BS6" s="1">
        <f>EOMONTH(BO6,-24)</f>
        <v>45443</v>
      </c>
      <c r="BT6" s="1">
        <f>EOMONTH(BO6,-36)</f>
        <v>45077</v>
      </c>
      <c r="BW6" s="1">
        <f>BO6</f>
        <v>46173</v>
      </c>
      <c r="BX6" s="22">
        <f t="shared" ref="BX6:CB6" si="3">BP6</f>
        <v>46173</v>
      </c>
      <c r="BY6" s="1">
        <f t="shared" si="3"/>
        <v>46142</v>
      </c>
      <c r="BZ6" s="1">
        <f t="shared" si="3"/>
        <v>45808</v>
      </c>
      <c r="CA6" s="1">
        <f t="shared" si="3"/>
        <v>45443</v>
      </c>
      <c r="CB6" s="1">
        <f t="shared" si="3"/>
        <v>45077</v>
      </c>
      <c r="CC6" s="26"/>
    </row>
    <row r="7" spans="1:81" ht="15.75" thickTop="1" x14ac:dyDescent="0.25"/>
    <row r="8" spans="1:81" outlineLevel="1" x14ac:dyDescent="0.25">
      <c r="A8" s="11" t="s">
        <v>51</v>
      </c>
      <c r="C8" s="2" t="s">
        <v>0</v>
      </c>
      <c r="D8" s="8">
        <f>IFERROR(
GETPIVOTDATA(
"[Base].[Importe]",
TDinamica_R!$A$5,
"[Calendario].[AñoMes]",
"[Calendario].[AñoMes].&amp;[" &amp; TEXT(D$6,"yyyymm") &amp; "]",
"[Base].[Metrica]",
"[Base].[Metrica].&amp;[" &amp; $A8 &amp; "]",
"[Base].[SEGMENTO_DESCRIP]",
"[Base].[SEGMENTO_DESCRIP].&amp;[" &amp; $C$6 &amp; "]",
"[Base].[SITUACION]",
"[Base].[SITUACION].&amp;[" &amp; $C8 &amp; "]"
),0)/1000</f>
        <v>130733.58233000002</v>
      </c>
      <c r="E8" s="8">
        <f>IFERROR(
GETPIVOTDATA(
"[Base].[Importe]",
TDinamica_R!$A$5,
"[Calendario].[AñoMes]",
"[Calendario].[AñoMes].&amp;[" &amp; TEXT(E$6,"yyyymm") &amp; "]",
"[Base].[Metrica]",
"[Base].[Metrica].&amp;[" &amp; $A8 &amp; "]",
"[Base].[SEGMENTO_DESCRIP]",
"[Base].[SEGMENTO_DESCRIP].&amp;[" &amp; $C$6 &amp; "]",
"[Base].[SITUACION]",
"[Base].[SITUACION].&amp;[" &amp; $C8 &amp; "]"
),0)/1000</f>
        <v>135188.53631</v>
      </c>
      <c r="F8" s="8">
        <f>IFERROR(
GETPIVOTDATA(
"[Base].[Importe]",
TDinamica_R!$A$5,
"[Calendario].[AñoMes]",
"[Calendario].[AñoMes].&amp;[" &amp; TEXT(F$6,"yyyymm") &amp; "]",
"[Base].[Metrica]",
"[Base].[Metrica].&amp;[" &amp; $A8 &amp; "]",
"[Base].[SEGMENTO_DESCRIP]",
"[Base].[SEGMENTO_DESCRIP].&amp;[" &amp; $C$6 &amp; "]",
"[Base].[SITUACION]",
"[Base].[SITUACION].&amp;[" &amp; $C8 &amp; "]"
),0)/1000</f>
        <v>137158.42497999998</v>
      </c>
      <c r="G8" s="8">
        <f>IFERROR(
GETPIVOTDATA(
"[Base].[Importe]",
TDinamica_R!$A$5,
"[Calendario].[AñoMes]",
"[Calendario].[AñoMes].&amp;[" &amp; TEXT(G$6,"yyyymm") &amp; "]",
"[Base].[Metrica]",
"[Base].[Metrica].&amp;[" &amp; $A8 &amp; "]",
"[Base].[SEGMENTO_DESCRIP]",
"[Base].[SEGMENTO_DESCRIP].&amp;[" &amp; $C$6 &amp; "]",
"[Base].[SITUACION]",
"[Base].[SITUACION].&amp;[" &amp; $C8 &amp; "]"
),0)/1000</f>
        <v>140522.62894999998</v>
      </c>
      <c r="H8" s="8">
        <f>IFERROR(
GETPIVOTDATA(
"[Base].[Importe]",
TDinamica_R!$A$5,
"[Calendario].[AñoMes]",
"[Calendario].[AñoMes].&amp;[" &amp; TEXT(H$6,"yyyymm") &amp; "]",
"[Base].[Metrica]",
"[Base].[Metrica].&amp;[" &amp; $A8 &amp; "]",
"[Base].[SEGMENTO_DESCRIP]",
"[Base].[SEGMENTO_DESCRIP].&amp;[" &amp; $C$6 &amp; "]",
"[Base].[SITUACION]",
"[Base].[SITUACION].&amp;[" &amp; $C8 &amp; "]"
),0)/1000</f>
        <v>144482.71768</v>
      </c>
      <c r="I8" s="8">
        <f>IFERROR(
GETPIVOTDATA(
"[Base].[Importe]",
TDinamica_R!$A$5,
"[Calendario].[AñoMes]",
"[Calendario].[AñoMes].&amp;[" &amp; TEXT(I$6,"yyyymm") &amp; "]",
"[Base].[Metrica]",
"[Base].[Metrica].&amp;[" &amp; $A8 &amp; "]",
"[Base].[SEGMENTO_DESCRIP]",
"[Base].[SEGMENTO_DESCRIP].&amp;[" &amp; $C$6 &amp; "]",
"[Base].[SITUACION]",
"[Base].[SITUACION].&amp;[" &amp; $C8 &amp; "]"
),0)/1000</f>
        <v>146236.70382999998</v>
      </c>
      <c r="J8" s="8">
        <f>IFERROR(
GETPIVOTDATA(
"[Base].[Importe]",
TDinamica_R!$A$5,
"[Calendario].[AñoMes]",
"[Calendario].[AñoMes].&amp;[" &amp; TEXT(J$6,"yyyymm") &amp; "]",
"[Base].[Metrica]",
"[Base].[Metrica].&amp;[" &amp; $A8 &amp; "]",
"[Base].[SEGMENTO_DESCRIP]",
"[Base].[SEGMENTO_DESCRIP].&amp;[" &amp; $C$6 &amp; "]",
"[Base].[SITUACION]",
"[Base].[SITUACION].&amp;[" &amp; $C8 &amp; "]"
),0)/1000</f>
        <v>147394.47928</v>
      </c>
      <c r="K8" s="8">
        <f>IFERROR(
GETPIVOTDATA(
"[Base].[Importe]",
TDinamica_R!$A$5,
"[Calendario].[AñoMes]",
"[Calendario].[AñoMes].&amp;[" &amp; TEXT(K$6,"yyyymm") &amp; "]",
"[Base].[Metrica]",
"[Base].[Metrica].&amp;[" &amp; $A8 &amp; "]",
"[Base].[SEGMENTO_DESCRIP]",
"[Base].[SEGMENTO_DESCRIP].&amp;[" &amp; $C$6 &amp; "]",
"[Base].[SITUACION]",
"[Base].[SITUACION].&amp;[" &amp; $C8 &amp; "]"
),0)/1000</f>
        <v>148321.2353</v>
      </c>
      <c r="L8" s="8">
        <f>IFERROR(
GETPIVOTDATA(
"[Base].[Importe]",
TDinamica_R!$A$5,
"[Calendario].[AñoMes]",
"[Calendario].[AñoMes].&amp;[" &amp; TEXT(L$6,"yyyymm") &amp; "]",
"[Base].[Metrica]",
"[Base].[Metrica].&amp;[" &amp; $A8 &amp; "]",
"[Base].[SEGMENTO_DESCRIP]",
"[Base].[SEGMENTO_DESCRIP].&amp;[" &amp; $C$6 &amp; "]",
"[Base].[SITUACION]",
"[Base].[SITUACION].&amp;[" &amp; $C8 &amp; "]"
),0)/1000</f>
        <v>147954.55889000001</v>
      </c>
      <c r="M8" s="8">
        <f>IFERROR(
GETPIVOTDATA(
"[Base].[Importe]",
TDinamica_R!$A$5,
"[Calendario].[AñoMes]",
"[Calendario].[AñoMes].&amp;[" &amp; TEXT(M$6,"yyyymm") &amp; "]",
"[Base].[Metrica]",
"[Base].[Metrica].&amp;[" &amp; $A8 &amp; "]",
"[Base].[SEGMENTO_DESCRIP]",
"[Base].[SEGMENTO_DESCRIP].&amp;[" &amp; $C$6 &amp; "]",
"[Base].[SITUACION]",
"[Base].[SITUACION].&amp;[" &amp; $C8 &amp; "]"
),0)/1000</f>
        <v>146665.11220999999</v>
      </c>
      <c r="N8" s="8">
        <f>IFERROR(
GETPIVOTDATA(
"[Base].[Importe]",
TDinamica_R!$A$5,
"[Calendario].[AñoMes]",
"[Calendario].[AñoMes].&amp;[" &amp; TEXT(N$6,"yyyymm") &amp; "]",
"[Base].[Metrica]",
"[Base].[Metrica].&amp;[" &amp; $A8 &amp; "]",
"[Base].[SEGMENTO_DESCRIP]",
"[Base].[SEGMENTO_DESCRIP].&amp;[" &amp; $C$6 &amp; "]",
"[Base].[SITUACION]",
"[Base].[SITUACION].&amp;[" &amp; $C8 &amp; "]"
),0)/1000</f>
        <v>145353.65042999998</v>
      </c>
      <c r="O8" s="8">
        <f>IFERROR(
GETPIVOTDATA(
"[Base].[Importe]",
TDinamica_R!$A$5,
"[Calendario].[AñoMes]",
"[Calendario].[AñoMes].&amp;[" &amp; TEXT(O$6,"yyyymm") &amp; "]",
"[Base].[Metrica]",
"[Base].[Metrica].&amp;[" &amp; $A8 &amp; "]",
"[Base].[SEGMENTO_DESCRIP]",
"[Base].[SEGMENTO_DESCRIP].&amp;[" &amp; $C$6 &amp; "]",
"[Base].[SITUACION]",
"[Base].[SITUACION].&amp;[" &amp; $C8 &amp; "]"
),0)/1000</f>
        <v>142616.59868</v>
      </c>
      <c r="P8" s="8">
        <f>IFERROR(
GETPIVOTDATA(
"[Base].[Importe]",
TDinamica_R!$A$5,
"[Calendario].[AñoMes]",
"[Calendario].[AñoMes].&amp;[" &amp; TEXT(P$6,"yyyymm") &amp; "]",
"[Base].[Metrica]",
"[Base].[Metrica].&amp;[" &amp; $A8 &amp; "]",
"[Base].[SEGMENTO_DESCRIP]",
"[Base].[SEGMENTO_DESCRIP].&amp;[" &amp; $C$6 &amp; "]",
"[Base].[SITUACION]",
"[Base].[SITUACION].&amp;[" &amp; $C8 &amp; "]"
),0)/1000</f>
        <v>138353.17409000001</v>
      </c>
      <c r="Q8" s="8">
        <f>IFERROR(
GETPIVOTDATA(
"[Base].[Importe]",
TDinamica_R!$A$5,
"[Calendario].[AñoMes]",
"[Calendario].[AñoMes].&amp;[" &amp; TEXT(Q$6,"yyyymm") &amp; "]",
"[Base].[Metrica]",
"[Base].[Metrica].&amp;[" &amp; $A8 &amp; "]",
"[Base].[SEGMENTO_DESCRIP]",
"[Base].[SEGMENTO_DESCRIP].&amp;[" &amp; $C$6 &amp; "]",
"[Base].[SITUACION]",
"[Base].[SITUACION].&amp;[" &amp; $C8 &amp; "]"
),0)/1000</f>
        <v>138267.71755999999</v>
      </c>
      <c r="R8" s="8">
        <f>IFERROR(
GETPIVOTDATA(
"[Base].[Importe]",
TDinamica_R!$A$5,
"[Calendario].[AñoMes]",
"[Calendario].[AñoMes].&amp;[" &amp; TEXT(R$6,"yyyymm") &amp; "]",
"[Base].[Metrica]",
"[Base].[Metrica].&amp;[" &amp; $A8 &amp; "]",
"[Base].[SEGMENTO_DESCRIP]",
"[Base].[SEGMENTO_DESCRIP].&amp;[" &amp; $C$6 &amp; "]",
"[Base].[SITUACION]",
"[Base].[SITUACION].&amp;[" &amp; $C8 &amp; "]"
),0)/1000</f>
        <v>140313.32413000002</v>
      </c>
      <c r="S8" s="8">
        <f>IFERROR(
GETPIVOTDATA(
"[Base].[Importe]",
TDinamica_R!$A$5,
"[Calendario].[AñoMes]",
"[Calendario].[AñoMes].&amp;[" &amp; TEXT(S$6,"yyyymm") &amp; "]",
"[Base].[Metrica]",
"[Base].[Metrica].&amp;[" &amp; $A8 &amp; "]",
"[Base].[SEGMENTO_DESCRIP]",
"[Base].[SEGMENTO_DESCRIP].&amp;[" &amp; $C$6 &amp; "]",
"[Base].[SITUACION]",
"[Base].[SITUACION].&amp;[" &amp; $C8 &amp; "]"
),0)/1000</f>
        <v>142256.18180000002</v>
      </c>
      <c r="T8" s="8">
        <f>IFERROR(
GETPIVOTDATA(
"[Base].[Importe]",
TDinamica_R!$A$5,
"[Calendario].[AñoMes]",
"[Calendario].[AñoMes].&amp;[" &amp; TEXT(T$6,"yyyymm") &amp; "]",
"[Base].[Metrica]",
"[Base].[Metrica].&amp;[" &amp; $A8 &amp; "]",
"[Base].[SEGMENTO_DESCRIP]",
"[Base].[SEGMENTO_DESCRIP].&amp;[" &amp; $C$6 &amp; "]",
"[Base].[SITUACION]",
"[Base].[SITUACION].&amp;[" &amp; $C8 &amp; "]"
),0)/1000</f>
        <v>141667.73942000003</v>
      </c>
      <c r="U8" s="8">
        <f>IFERROR(
GETPIVOTDATA(
"[Base].[Importe]",
TDinamica_R!$A$5,
"[Calendario].[AñoMes]",
"[Calendario].[AñoMes].&amp;[" &amp; TEXT(U$6,"yyyymm") &amp; "]",
"[Base].[Metrica]",
"[Base].[Metrica].&amp;[" &amp; $A8 &amp; "]",
"[Base].[SEGMENTO_DESCRIP]",
"[Base].[SEGMENTO_DESCRIP].&amp;[" &amp; $C$6 &amp; "]",
"[Base].[SITUACION]",
"[Base].[SITUACION].&amp;[" &amp; $C8 &amp; "]"
),0)/1000</f>
        <v>139015.75868999999</v>
      </c>
      <c r="V8" s="8">
        <f>IFERROR(
GETPIVOTDATA(
"[Base].[Importe]",
TDinamica_R!$A$5,
"[Calendario].[AñoMes]",
"[Calendario].[AñoMes].&amp;[" &amp; TEXT(V$6,"yyyymm") &amp; "]",
"[Base].[Metrica]",
"[Base].[Metrica].&amp;[" &amp; $A8 &amp; "]",
"[Base].[SEGMENTO_DESCRIP]",
"[Base].[SEGMENTO_DESCRIP].&amp;[" &amp; $C$6 &amp; "]",
"[Base].[SITUACION]",
"[Base].[SITUACION].&amp;[" &amp; $C8 &amp; "]"
),0)/1000</f>
        <v>138211.74137999999</v>
      </c>
      <c r="W8" s="8">
        <f>IFERROR(
GETPIVOTDATA(
"[Base].[Importe]",
TDinamica_R!$A$5,
"[Calendario].[AñoMes]",
"[Calendario].[AñoMes].&amp;[" &amp; TEXT(W$6,"yyyymm") &amp; "]",
"[Base].[Metrica]",
"[Base].[Metrica].&amp;[" &amp; $A8 &amp; "]",
"[Base].[SEGMENTO_DESCRIP]",
"[Base].[SEGMENTO_DESCRIP].&amp;[" &amp; $C$6 &amp; "]",
"[Base].[SITUACION]",
"[Base].[SITUACION].&amp;[" &amp; $C8 &amp; "]"
),0)/1000</f>
        <v>135569.42624599999</v>
      </c>
      <c r="X8" s="8">
        <f>IFERROR(
GETPIVOTDATA(
"[Base].[Importe]",
TDinamica_R!$A$5,
"[Calendario].[AñoMes]",
"[Calendario].[AñoMes].&amp;[" &amp; TEXT(X$6,"yyyymm") &amp; "]",
"[Base].[Metrica]",
"[Base].[Metrica].&amp;[" &amp; $A8 &amp; "]",
"[Base].[SEGMENTO_DESCRIP]",
"[Base].[SEGMENTO_DESCRIP].&amp;[" &amp; $C$6 &amp; "]",
"[Base].[SITUACION]",
"[Base].[SITUACION].&amp;[" &amp; $C8 &amp; "]"
),0)/1000</f>
        <v>134060.48746</v>
      </c>
      <c r="Y8" s="8">
        <f>IFERROR(
GETPIVOTDATA(
"[Base].[Importe]",
TDinamica_R!$A$5,
"[Calendario].[AñoMes]",
"[Calendario].[AñoMes].&amp;[" &amp; TEXT(Y$6,"yyyymm") &amp; "]",
"[Base].[Metrica]",
"[Base].[Metrica].&amp;[" &amp; $A8 &amp; "]",
"[Base].[SEGMENTO_DESCRIP]",
"[Base].[SEGMENTO_DESCRIP].&amp;[" &amp; $C$6 &amp; "]",
"[Base].[SITUACION]",
"[Base].[SITUACION].&amp;[" &amp; $C8 &amp; "]"
),0)/1000</f>
        <v>130455.20354999999</v>
      </c>
      <c r="Z8" s="8">
        <f>IFERROR(
GETPIVOTDATA(
"[Base].[Importe]",
TDinamica_R!$A$5,
"[Calendario].[AñoMes]",
"[Calendario].[AñoMes].&amp;[" &amp; TEXT(Z$6,"yyyymm") &amp; "]",
"[Base].[Metrica]",
"[Base].[Metrica].&amp;[" &amp; $A8 &amp; "]",
"[Base].[SEGMENTO_DESCRIP]",
"[Base].[SEGMENTO_DESCRIP].&amp;[" &amp; $C$6 &amp; "]",
"[Base].[SITUACION]",
"[Base].[SITUACION].&amp;[" &amp; $C8 &amp; "]"
),0)/1000</f>
        <v>125176.42824423101</v>
      </c>
      <c r="AA8" s="8">
        <f>IFERROR(
GETPIVOTDATA(
"[Base].[Importe]",
TDinamica_R!$A$5,
"[Calendario].[AñoMes]",
"[Calendario].[AñoMes].&amp;[" &amp; TEXT(AA$6,"yyyymm") &amp; "]",
"[Base].[Metrica]",
"[Base].[Metrica].&amp;[" &amp; $A8 &amp; "]",
"[Base].[SEGMENTO_DESCRIP]",
"[Base].[SEGMENTO_DESCRIP].&amp;[" &amp; $C$6 &amp; "]",
"[Base].[SITUACION]",
"[Base].[SITUACION].&amp;[" &amp; $C8 &amp; "]"
),0)/1000</f>
        <v>118790.13043</v>
      </c>
      <c r="AB8" s="8">
        <f>IFERROR(
GETPIVOTDATA(
"[Base].[Importe]",
TDinamica_R!$A$5,
"[Calendario].[AñoMes]",
"[Calendario].[AñoMes].&amp;[" &amp; TEXT(AB$6,"yyyymm") &amp; "]",
"[Base].[Metrica]",
"[Base].[Metrica].&amp;[" &amp; $A8 &amp; "]",
"[Base].[SEGMENTO_DESCRIP]",
"[Base].[SEGMENTO_DESCRIP].&amp;[" &amp; $C$6 &amp; "]",
"[Base].[SITUACION]",
"[Base].[SITUACION].&amp;[" &amp; $C8 &amp; "]"
),0)/1000</f>
        <v>114730.71859</v>
      </c>
      <c r="AC8" s="8">
        <f>IFERROR(
GETPIVOTDATA(
"[Base].[Importe]",
TDinamica_R!$A$5,
"[Calendario].[AñoMes]",
"[Calendario].[AñoMes].&amp;[" &amp; TEXT(AC$6,"yyyymm") &amp; "]",
"[Base].[Metrica]",
"[Base].[Metrica].&amp;[" &amp; $A8 &amp; "]",
"[Base].[SEGMENTO_DESCRIP]",
"[Base].[SEGMENTO_DESCRIP].&amp;[" &amp; $C$6 &amp; "]",
"[Base].[SITUACION]",
"[Base].[SITUACION].&amp;[" &amp; $C8 &amp; "]"
),0)/1000</f>
        <v>112997.81387</v>
      </c>
      <c r="AD8" s="8">
        <f>IFERROR(
GETPIVOTDATA(
"[Base].[Importe]",
TDinamica_R!$A$5,
"[Calendario].[AñoMes]",
"[Calendario].[AñoMes].&amp;[" &amp; TEXT(AD$6,"yyyymm") &amp; "]",
"[Base].[Metrica]",
"[Base].[Metrica].&amp;[" &amp; $A8 &amp; "]",
"[Base].[SEGMENTO_DESCRIP]",
"[Base].[SEGMENTO_DESCRIP].&amp;[" &amp; $C$6 &amp; "]",
"[Base].[SITUACION]",
"[Base].[SITUACION].&amp;[" &amp; $C8 &amp; "]"
),0)/1000</f>
        <v>109617.63812999999</v>
      </c>
      <c r="AE8" s="8">
        <f>IFERROR(
GETPIVOTDATA(
"[Base].[Importe]",
TDinamica_R!$A$5,
"[Calendario].[AñoMes]",
"[Calendario].[AñoMes].&amp;[" &amp; TEXT(AE$6,"yyyymm") &amp; "]",
"[Base].[Metrica]",
"[Base].[Metrica].&amp;[" &amp; $A8 &amp; "]",
"[Base].[SEGMENTO_DESCRIP]",
"[Base].[SEGMENTO_DESCRIP].&amp;[" &amp; $C$6 &amp; "]",
"[Base].[SITUACION]",
"[Base].[SITUACION].&amp;[" &amp; $C8 &amp; "]"
),0)/1000</f>
        <v>109744.21822</v>
      </c>
      <c r="AF8" s="8">
        <f>IFERROR(
GETPIVOTDATA(
"[Base].[Importe]",
TDinamica_R!$A$5,
"[Calendario].[AñoMes]",
"[Calendario].[AñoMes].&amp;[" &amp; TEXT(AF$6,"yyyymm") &amp; "]",
"[Base].[Metrica]",
"[Base].[Metrica].&amp;[" &amp; $A8 &amp; "]",
"[Base].[SEGMENTO_DESCRIP]",
"[Base].[SEGMENTO_DESCRIP].&amp;[" &amp; $C$6 &amp; "]",
"[Base].[SITUACION]",
"[Base].[SITUACION].&amp;[" &amp; $C8 &amp; "]"
),0)/1000</f>
        <v>110487.85981000001</v>
      </c>
      <c r="AG8" s="8">
        <f>IFERROR(
GETPIVOTDATA(
"[Base].[Importe]",
TDinamica_R!$A$5,
"[Calendario].[AñoMes]",
"[Calendario].[AñoMes].&amp;[" &amp; TEXT(AG$6,"yyyymm") &amp; "]",
"[Base].[Metrica]",
"[Base].[Metrica].&amp;[" &amp; $A8 &amp; "]",
"[Base].[SEGMENTO_DESCRIP]",
"[Base].[SEGMENTO_DESCRIP].&amp;[" &amp; $C$6 &amp; "]",
"[Base].[SITUACION]",
"[Base].[SITUACION].&amp;[" &amp; $C8 &amp; "]"
),0)/1000</f>
        <v>113723.82459999999</v>
      </c>
      <c r="AH8" s="8">
        <f>IFERROR(
GETPIVOTDATA(
"[Base].[Importe]",
TDinamica_R!$A$5,
"[Calendario].[AñoMes]",
"[Calendario].[AñoMes].&amp;[" &amp; TEXT(AH$6,"yyyymm") &amp; "]",
"[Base].[Metrica]",
"[Base].[Metrica].&amp;[" &amp; $A8 &amp; "]",
"[Base].[SEGMENTO_DESCRIP]",
"[Base].[SEGMENTO_DESCRIP].&amp;[" &amp; $C$6 &amp; "]",
"[Base].[SITUACION]",
"[Base].[SITUACION].&amp;[" &amp; $C8 &amp; "]"
),0)/1000</f>
        <v>121005.78533999999</v>
      </c>
      <c r="AI8" s="8">
        <f>IFERROR(
GETPIVOTDATA(
"[Base].[Importe]",
TDinamica_R!$A$5,
"[Calendario].[AñoMes]",
"[Calendario].[AñoMes].&amp;[" &amp; TEXT(AI$6,"yyyymm") &amp; "]",
"[Base].[Metrica]",
"[Base].[Metrica].&amp;[" &amp; $A8 &amp; "]",
"[Base].[SEGMENTO_DESCRIP]",
"[Base].[SEGMENTO_DESCRIP].&amp;[" &amp; $C$6 &amp; "]",
"[Base].[SITUACION]",
"[Base].[SITUACION].&amp;[" &amp; $C8 &amp; "]"
),0)/1000</f>
        <v>128000.423</v>
      </c>
      <c r="AJ8" s="8">
        <f>IFERROR(
GETPIVOTDATA(
"[Base].[Importe]",
TDinamica_R!$A$5,
"[Calendario].[AñoMes]",
"[Calendario].[AñoMes].&amp;[" &amp; TEXT(AJ$6,"yyyymm") &amp; "]",
"[Base].[Metrica]",
"[Base].[Metrica].&amp;[" &amp; $A8 &amp; "]",
"[Base].[SEGMENTO_DESCRIP]",
"[Base].[SEGMENTO_DESCRIP].&amp;[" &amp; $C$6 &amp; "]",
"[Base].[SITUACION]",
"[Base].[SITUACION].&amp;[" &amp; $C8 &amp; "]"
),0)/1000</f>
        <v>131775.62547</v>
      </c>
      <c r="AK8" s="8">
        <f>IFERROR(
GETPIVOTDATA(
"[Base].[Importe]",
TDinamica_R!$A$5,
"[Calendario].[AñoMes]",
"[Calendario].[AñoMes].&amp;[" &amp; TEXT(AK$6,"yyyymm") &amp; "]",
"[Base].[Metrica]",
"[Base].[Metrica].&amp;[" &amp; $A8 &amp; "]",
"[Base].[SEGMENTO_DESCRIP]",
"[Base].[SEGMENTO_DESCRIP].&amp;[" &amp; $C$6 &amp; "]",
"[Base].[SITUACION]",
"[Base].[SITUACION].&amp;[" &amp; $C8 &amp; "]"
),0)/1000</f>
        <v>132573.70179000002</v>
      </c>
      <c r="AL8" s="8">
        <f>IFERROR(
GETPIVOTDATA(
"[Base].[Importe]",
TDinamica_R!$A$5,
"[Calendario].[AñoMes]",
"[Calendario].[AñoMes].&amp;[" &amp; TEXT(AL$6,"yyyymm") &amp; "]",
"[Base].[Metrica]",
"[Base].[Metrica].&amp;[" &amp; $A8 &amp; "]",
"[Base].[SEGMENTO_DESCRIP]",
"[Base].[SEGMENTO_DESCRIP].&amp;[" &amp; $C$6 &amp; "]",
"[Base].[SITUACION]",
"[Base].[SITUACION].&amp;[" &amp; $C8 &amp; "]"
),0)/1000</f>
        <v>132964.08710999999</v>
      </c>
      <c r="AM8" s="8">
        <f>IFERROR(
GETPIVOTDATA(
"[Base].[Importe]",
TDinamica_R!$A$5,
"[Calendario].[AñoMes]",
"[Calendario].[AñoMes].&amp;[" &amp; TEXT(AM$6,"yyyymm") &amp; "]",
"[Base].[Metrica]",
"[Base].[Metrica].&amp;[" &amp; $A8 &amp; "]",
"[Base].[SEGMENTO_DESCRIP]",
"[Base].[SEGMENTO_DESCRIP].&amp;[" &amp; $C$6 &amp; "]",
"[Base].[SITUACION]",
"[Base].[SITUACION].&amp;[" &amp; $C8 &amp; "]"
),0)/1000</f>
        <v>132549.27262</v>
      </c>
      <c r="AN8" s="8">
        <f>IFERROR(
GETPIVOTDATA(
"[Base].[Importe]",
TDinamica_R!$A$5,
"[Calendario].[AñoMes]",
"[Calendario].[AñoMes].&amp;[" &amp; TEXT(AN$6,"yyyymm") &amp; "]",
"[Base].[Metrica]",
"[Base].[Metrica].&amp;[" &amp; $A8 &amp; "]",
"[Base].[SEGMENTO_DESCRIP]",
"[Base].[SEGMENTO_DESCRIP].&amp;[" &amp; $C$6 &amp; "]",
"[Base].[SITUACION]",
"[Base].[SITUACION].&amp;[" &amp; $C8 &amp; "]"
),0)/1000</f>
        <v>132786.32</v>
      </c>
      <c r="AO8" s="8">
        <f>IFERROR(
GETPIVOTDATA(
"[Base].[Importe]",
TDinamica_R!$A$5,
"[Calendario].[AñoMes]",
"[Calendario].[AñoMes].&amp;[" &amp; TEXT(AO$6,"yyyymm") &amp; "]",
"[Base].[Metrica]",
"[Base].[Metrica].&amp;[" &amp; $A8 &amp; "]",
"[Base].[SEGMENTO_DESCRIP]",
"[Base].[SEGMENTO_DESCRIP].&amp;[" &amp; $C$6 &amp; "]",
"[Base].[SITUACION]",
"[Base].[SITUACION].&amp;[" &amp; $C8 &amp; "]"
),0)/1000</f>
        <v>132503.79999999999</v>
      </c>
      <c r="AP8" s="8">
        <f>IFERROR(
GETPIVOTDATA(
"[Base].[Importe]",
TDinamica_R!$A$5,
"[Calendario].[AñoMes]",
"[Calendario].[AñoMes].&amp;[" &amp; TEXT(AP$6,"yyyymm") &amp; "]",
"[Base].[Metrica]",
"[Base].[Metrica].&amp;[" &amp; $A8 &amp; "]",
"[Base].[SEGMENTO_DESCRIP]",
"[Base].[SEGMENTO_DESCRIP].&amp;[" &amp; $C$6 &amp; "]",
"[Base].[SITUACION]",
"[Base].[SITUACION].&amp;[" &amp; $C8 &amp; "]"
),0)/1000</f>
        <v>135647.29</v>
      </c>
      <c r="AQ8" s="8">
        <f>IFERROR(
GETPIVOTDATA(
"[Base].[Importe]",
TDinamica_R!$A$5,
"[Calendario].[AñoMes]",
"[Calendario].[AñoMes].&amp;[" &amp; TEXT(AQ$6,"yyyymm") &amp; "]",
"[Base].[Metrica]",
"[Base].[Metrica].&amp;[" &amp; $A8 &amp; "]",
"[Base].[SEGMENTO_DESCRIP]",
"[Base].[SEGMENTO_DESCRIP].&amp;[" &amp; $C$6 &amp; "]",
"[Base].[SITUACION]",
"[Base].[SITUACION].&amp;[" &amp; $C8 &amp; "]"
),0)/1000</f>
        <v>135891.24484999996</v>
      </c>
      <c r="AR8" s="8">
        <f>IFERROR(
GETPIVOTDATA(
"[Base].[Importe]",
TDinamica_R!$A$5,
"[Calendario].[AñoMes]",
"[Calendario].[AñoMes].&amp;[" &amp; TEXT(AR$6,"yyyymm") &amp; "]",
"[Base].[Metrica]",
"[Base].[Metrica].&amp;[" &amp; $A8 &amp; "]",
"[Base].[SEGMENTO_DESCRIP]",
"[Base].[SEGMENTO_DESCRIP].&amp;[" &amp; $C$6 &amp; "]",
"[Base].[SITUACION]",
"[Base].[SITUACION].&amp;[" &amp; $C8 &amp; "]"
),0)/1000</f>
        <v>137072.82415000006</v>
      </c>
      <c r="AS8" s="8">
        <f>IFERROR(
GETPIVOTDATA(
"[Base].[Importe]",
TDinamica_R!$A$5,
"[Calendario].[AñoMes]",
"[Calendario].[AñoMes].&amp;[" &amp; TEXT(AS$6,"yyyymm") &amp; "]",
"[Base].[Metrica]",
"[Base].[Metrica].&amp;[" &amp; $A8 &amp; "]",
"[Base].[SEGMENTO_DESCRIP]",
"[Base].[SEGMENTO_DESCRIP].&amp;[" &amp; $C$6 &amp; "]",
"[Base].[SITUACION]",
"[Base].[SITUACION].&amp;[" &amp; $C8 &amp; "]"
),0)/1000</f>
        <v>137963.57123</v>
      </c>
      <c r="AT8" s="8">
        <f>IFERROR(
GETPIVOTDATA(
"[Base].[Importe]",
TDinamica_R!$A$5,
"[Calendario].[AñoMes]",
"[Calendario].[AñoMes].&amp;[" &amp; TEXT(AT$6,"yyyymm")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U8" s="8">
        <f>IFERROR(
GETPIVOTDATA(
"[Base].[Importe]",
TDinamica_R!$A$5,
"[Calendario].[AñoMes]",
"[Calendario].[AñoMes].&amp;[" &amp; TEXT(AU$6,"yyyymm")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V8" s="8">
        <f>IFERROR(
GETPIVOTDATA(
"[Base].[Importe]",
TDinamica_R!$A$5,
"[Calendario].[AñoMes]",
"[Calendario].[AñoMes].&amp;[" &amp; TEXT(AV$6,"yyyymm")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W8" s="8">
        <f>IFERROR(
GETPIVOTDATA(
"[Base].[Importe]",
TDinamica_R!$A$5,
"[Calendario].[AñoMes]",
"[Calendario].[AñoMes].&amp;[" &amp; TEXT(AW$6,"yyyymm")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X8" s="8">
        <f>IFERROR(
GETPIVOTDATA(
"[Base].[Importe]",
TDinamica_R!$A$5,
"[Calendario].[AñoMes]",
"[Calendario].[AñoMes].&amp;[" &amp; TEXT(AX$6,"yyyymm")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Y8" s="8">
        <f>IFERROR(
GETPIVOTDATA(
"[Base].[Importe]",
TDinamica_R!$A$5,
"[Calendario].[AñoMes]",
"[Calendario].[AñoMes].&amp;[" &amp; TEXT(AY$6,"yyyymm")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Z8" s="8">
        <f>IFERROR(
GETPIVOTDATA(
"[BASE_CONVE_PPTO].[Importe]",
TDinamica_P!$A$5,
"[BASE_CONVE_PPTO].[Periodo]",
"[BASE_CONVE_PPTO].[Periodo].&amp;[" &amp; TEXT(AZ$6,"yyyymm")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128052.89006770695</v>
      </c>
      <c r="BA8" s="8">
        <f>IFERROR(
GETPIVOTDATA(
"[BASE_CONVE_PPTO].[Importe]",
TDinamica_P!$A$5,
"[BASE_CONVE_PPTO].[Periodo]",
"[BASE_CONVE_PPTO].[Periodo].&amp;[" &amp; TEXT(BA$6,"yyyymm")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127224.54422747812</v>
      </c>
      <c r="BB8" s="8">
        <f>IFERROR(
GETPIVOTDATA(
"[BASE_CONVE_PPTO].[Importe]",
TDinamica_P!$A$5,
"[BASE_CONVE_PPTO].[Periodo]",
"[BASE_CONVE_PPTO].[Periodo].&amp;[" &amp; TEXT(BB$6,"yyyymm")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126555.5455775775</v>
      </c>
      <c r="BC8" s="8">
        <f>IFERROR(
GETPIVOTDATA(
"[BASE_CONVE_PPTO].[Importe]",
TDinamica_P!$A$5,
"[BASE_CONVE_PPTO].[Periodo]",
"[BASE_CONVE_PPTO].[Periodo].&amp;[" &amp; TEXT(BC$6,"yyyymm")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125892.17864366244</v>
      </c>
      <c r="BD8" s="8">
        <f>IFERROR(
GETPIVOTDATA(
"[BASE_CONVE_PPTO].[Importe]",
TDinamica_P!$A$5,
"[BASE_CONVE_PPTO].[Periodo]",
"[BASE_CONVE_PPTO].[Periodo].&amp;[" &amp; TEXT(BD$6,"yyyymm")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124285.2835504502</v>
      </c>
      <c r="BE8" s="8">
        <f>IFERROR(
GETPIVOTDATA(
"[BASE_CONVE_PPTO].[Importe]",
TDinamica_P!$A$5,
"[BASE_CONVE_PPTO].[Periodo]",
"[BASE_CONVE_PPTO].[Periodo].&amp;[" &amp; TEXT(BE$6,"yyyymm")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122810.59370734268</v>
      </c>
      <c r="BF8" s="8">
        <f>IFERROR(
GETPIVOTDATA(
"[BASE_CONVE_PPTO].[Importe]",
TDinamica_P!$A$5,
"[BASE_CONVE_PPTO].[Periodo]",
"[BASE_CONVE_PPTO].[Periodo].&amp;[" &amp; TEXT(BF$6,"yyyymm")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121350.11083433057</v>
      </c>
      <c r="BG8" s="8">
        <f>IFERROR(
GETPIVOTDATA(
"[BASE_CONVE_PPTO].[Importe]",
TDinamica_P!$A$5,
"[BASE_CONVE_PPTO].[Periodo]",
"[BASE_CONVE_PPTO].[Periodo].&amp;[" &amp; TEXT(BG$6,"yyyymm")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119813.15897860055</v>
      </c>
      <c r="BH8" s="8">
        <f>IFERROR(
GETPIVOTDATA(
"[BASE_CONVE_PPTO].[Importe]",
TDinamica_P!$A$5,
"[BASE_CONVE_PPTO].[Periodo]",
"[BASE_CONVE_PPTO].[Periodo].&amp;[" &amp; TEXT(BH$6,"yyyymm")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116039.51678760689</v>
      </c>
      <c r="BI8" s="8">
        <f>IFERROR(
GETPIVOTDATA(
"[BASE_CONVE_PPTO].[Importe]",
TDinamica_P!$A$5,
"[BASE_CONVE_PPTO].[Periodo]",
"[BASE_CONVE_PPTO].[Periodo].&amp;[" &amp; TEXT(BI$6,"yyyymm")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112307.50050769534</v>
      </c>
      <c r="BJ8" s="8">
        <f>IFERROR(
GETPIVOTDATA(
"[BASE_CONVE_PPTO].[Importe]",
TDinamica_P!$A$5,
"[BASE_CONVE_PPTO].[Periodo]",
"[BASE_CONVE_PPTO].[Periodo].&amp;[" &amp; TEXT(BJ$6,"yyyymm")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108528.58069409172</v>
      </c>
      <c r="BK8" s="8">
        <f>IFERROR(
GETPIVOTDATA(
"[BASE_CONVE_PPTO].[Importe]",
TDinamica_P!$A$5,
"[BASE_CONVE_PPTO].[Periodo]",
"[BASE_CONVE_PPTO].[Periodo].&amp;[" &amp; TEXT(BK$6,"yyyymm") &amp; "]",
"[BASE_CONVE_PPTO].[Metrica]",
"[BASE_CONVE_PPTO].[Metrica].&amp;[" &amp; $A8 &amp; "]",
"[BASE_CONVE_PPTO].[SEGMENTO_DESCRIP]",
"[BASE_CONVE_PPTO].[SEGMENTO_DESCRIP].&amp;[" &amp; $C$6 &amp; "]",
"[BASE_CONVE_PPTO].[SITUACION]",
"[BASE_CONVE_PPTO].[SITUACION].&amp;[" &amp; $C8 &amp; "]"),
0)</f>
        <v>105108.17814696013</v>
      </c>
      <c r="BO8" s="24">
        <f t="shared" ref="BO8:BO10" si="4">_xlfn.XLOOKUP(BO$6,$D$6:$BM$6,$D8:$BM8,,0,1)</f>
        <v>137072.82415000006</v>
      </c>
      <c r="BP8" s="24">
        <f>_xlfn.XLOOKUP(BP$6,$D$6:$BM$6,$D8:$BM8,,0,-1)</f>
        <v>124285.2835504502</v>
      </c>
      <c r="BQ8" s="24">
        <f t="shared" ref="BQ8:BT10" si="5">_xlfn.XLOOKUP(BQ$6,$D$6:$BM$6,$D8:$BM8,,0,1)</f>
        <v>135891.24484999996</v>
      </c>
      <c r="BR8" s="24">
        <f t="shared" si="5"/>
        <v>110487.85981000001</v>
      </c>
      <c r="BS8" s="24">
        <f t="shared" si="5"/>
        <v>141667.73942000003</v>
      </c>
      <c r="BT8" s="24">
        <f t="shared" si="5"/>
        <v>144482.71768</v>
      </c>
    </row>
    <row r="9" spans="1:81" outlineLevel="1" x14ac:dyDescent="0.25">
      <c r="A9" s="11" t="s">
        <v>51</v>
      </c>
      <c r="C9" s="2" t="s">
        <v>1</v>
      </c>
      <c r="D9" s="8">
        <f>IFERROR(
GETPIVOTDATA(
"[Base].[Importe]",
TDinamica_R!$A$5,
"[Calendario].[AñoMes]",
"[Calendario].[AñoMes].&amp;[" &amp; TEXT(D$6,"yyyymm") &amp; "]",
"[Base].[Metrica]",
"[Base].[Metrica].&amp;[" &amp; $A9 &amp; "]",
"[Base].[SEGMENTO_DESCRIP]",
"[Base].[SEGMENTO_DESCRIP].&amp;[" &amp; $C$6 &amp; "]",
"[Base].[SITUACION]",
"[Base].[SITUACION].&amp;[" &amp; $C9 &amp; "]"
),0)/1000</f>
        <v>1377.6452899999999</v>
      </c>
      <c r="E9" s="8">
        <f>IFERROR(
GETPIVOTDATA(
"[Base].[Importe]",
TDinamica_R!$A$5,
"[Calendario].[AñoMes]",
"[Calendario].[AñoMes].&amp;[" &amp; TEXT(E$6,"yyyymm") &amp; "]",
"[Base].[Metrica]",
"[Base].[Metrica].&amp;[" &amp; $A9 &amp; "]",
"[Base].[SEGMENTO_DESCRIP]",
"[Base].[SEGMENTO_DESCRIP].&amp;[" &amp; $C$6 &amp; "]",
"[Base].[SITUACION]",
"[Base].[SITUACION].&amp;[" &amp; $C9 &amp; "]"
),0)/1000</f>
        <v>1326.1967099999999</v>
      </c>
      <c r="F9" s="8">
        <f>IFERROR(
GETPIVOTDATA(
"[Base].[Importe]",
TDinamica_R!$A$5,
"[Calendario].[AñoMes]",
"[Calendario].[AñoMes].&amp;[" &amp; TEXT(F$6,"yyyymm") &amp; "]",
"[Base].[Metrica]",
"[Base].[Metrica].&amp;[" &amp; $A9 &amp; "]",
"[Base].[SEGMENTO_DESCRIP]",
"[Base].[SEGMENTO_DESCRIP].&amp;[" &amp; $C$6 &amp; "]",
"[Base].[SITUACION]",
"[Base].[SITUACION].&amp;[" &amp; $C9 &amp; "]"
),0)/1000</f>
        <v>1480.4721000000002</v>
      </c>
      <c r="G9" s="8">
        <f>IFERROR(
GETPIVOTDATA(
"[Base].[Importe]",
TDinamica_R!$A$5,
"[Calendario].[AñoMes]",
"[Calendario].[AñoMes].&amp;[" &amp; TEXT(G$6,"yyyymm") &amp; "]",
"[Base].[Metrica]",
"[Base].[Metrica].&amp;[" &amp; $A9 &amp; "]",
"[Base].[SEGMENTO_DESCRIP]",
"[Base].[SEGMENTO_DESCRIP].&amp;[" &amp; $C$6 &amp; "]",
"[Base].[SITUACION]",
"[Base].[SITUACION].&amp;[" &amp; $C9 &amp; "]"
),0)/1000</f>
        <v>1550.8988700000002</v>
      </c>
      <c r="H9" s="8">
        <f>IFERROR(
GETPIVOTDATA(
"[Base].[Importe]",
TDinamica_R!$A$5,
"[Calendario].[AñoMes]",
"[Calendario].[AñoMes].&amp;[" &amp; TEXT(H$6,"yyyymm") &amp; "]",
"[Base].[Metrica]",
"[Base].[Metrica].&amp;[" &amp; $A9 &amp; "]",
"[Base].[SEGMENTO_DESCRIP]",
"[Base].[SEGMENTO_DESCRIP].&amp;[" &amp; $C$6 &amp; "]",
"[Base].[SITUACION]",
"[Base].[SITUACION].&amp;[" &amp; $C9 &amp; "]"
),0)/1000</f>
        <v>1491.5006100000001</v>
      </c>
      <c r="I9" s="8">
        <f>IFERROR(
GETPIVOTDATA(
"[Base].[Importe]",
TDinamica_R!$A$5,
"[Calendario].[AñoMes]",
"[Calendario].[AñoMes].&amp;[" &amp; TEXT(I$6,"yyyymm") &amp; "]",
"[Base].[Metrica]",
"[Base].[Metrica].&amp;[" &amp; $A9 &amp; "]",
"[Base].[SEGMENTO_DESCRIP]",
"[Base].[SEGMENTO_DESCRIP].&amp;[" &amp; $C$6 &amp; "]",
"[Base].[SITUACION]",
"[Base].[SITUACION].&amp;[" &amp; $C9 &amp; "]"
),0)/1000</f>
        <v>1525.2713899999999</v>
      </c>
      <c r="J9" s="8">
        <f>IFERROR(
GETPIVOTDATA(
"[Base].[Importe]",
TDinamica_R!$A$5,
"[Calendario].[AñoMes]",
"[Calendario].[AñoMes].&amp;[" &amp; TEXT(J$6,"yyyymm") &amp; "]",
"[Base].[Metrica]",
"[Base].[Metrica].&amp;[" &amp; $A9 &amp; "]",
"[Base].[SEGMENTO_DESCRIP]",
"[Base].[SEGMENTO_DESCRIP].&amp;[" &amp; $C$6 &amp; "]",
"[Base].[SITUACION]",
"[Base].[SITUACION].&amp;[" &amp; $C9 &amp; "]"
),0)/1000</f>
        <v>1457.35322</v>
      </c>
      <c r="K9" s="8">
        <f>IFERROR(
GETPIVOTDATA(
"[Base].[Importe]",
TDinamica_R!$A$5,
"[Calendario].[AñoMes]",
"[Calendario].[AñoMes].&amp;[" &amp; TEXT(K$6,"yyyymm") &amp; "]",
"[Base].[Metrica]",
"[Base].[Metrica].&amp;[" &amp; $A9 &amp; "]",
"[Base].[SEGMENTO_DESCRIP]",
"[Base].[SEGMENTO_DESCRIP].&amp;[" &amp; $C$6 &amp; "]",
"[Base].[SITUACION]",
"[Base].[SITUACION].&amp;[" &amp; $C9 &amp; "]"
),0)/1000</f>
        <v>1406.9832799999999</v>
      </c>
      <c r="L9" s="8">
        <f>IFERROR(
GETPIVOTDATA(
"[Base].[Importe]",
TDinamica_R!$A$5,
"[Calendario].[AñoMes]",
"[Calendario].[AñoMes].&amp;[" &amp; TEXT(L$6,"yyyymm") &amp; "]",
"[Base].[Metrica]",
"[Base].[Metrica].&amp;[" &amp; $A9 &amp; "]",
"[Base].[SEGMENTO_DESCRIP]",
"[Base].[SEGMENTO_DESCRIP].&amp;[" &amp; $C$6 &amp; "]",
"[Base].[SITUACION]",
"[Base].[SITUACION].&amp;[" &amp; $C9 &amp; "]"
),0)/1000</f>
        <v>1383.3276000000001</v>
      </c>
      <c r="M9" s="8">
        <f>IFERROR(
GETPIVOTDATA(
"[Base].[Importe]",
TDinamica_R!$A$5,
"[Calendario].[AñoMes]",
"[Calendario].[AñoMes].&amp;[" &amp; TEXT(M$6,"yyyymm") &amp; "]",
"[Base].[Metrica]",
"[Base].[Metrica].&amp;[" &amp; $A9 &amp; "]",
"[Base].[SEGMENTO_DESCRIP]",
"[Base].[SEGMENTO_DESCRIP].&amp;[" &amp; $C$6 &amp; "]",
"[Base].[SITUACION]",
"[Base].[SITUACION].&amp;[" &amp; $C9 &amp; "]"
),0)/1000</f>
        <v>1374.5483999999999</v>
      </c>
      <c r="N9" s="8">
        <f>IFERROR(
GETPIVOTDATA(
"[Base].[Importe]",
TDinamica_R!$A$5,
"[Calendario].[AñoMes]",
"[Calendario].[AñoMes].&amp;[" &amp; TEXT(N$6,"yyyymm") &amp; "]",
"[Base].[Metrica]",
"[Base].[Metrica].&amp;[" &amp; $A9 &amp; "]",
"[Base].[SEGMENTO_DESCRIP]",
"[Base].[SEGMENTO_DESCRIP].&amp;[" &amp; $C$6 &amp; "]",
"[Base].[SITUACION]",
"[Base].[SITUACION].&amp;[" &amp; $C9 &amp; "]"
),0)/1000</f>
        <v>1379.4534900000001</v>
      </c>
      <c r="O9" s="8">
        <f>IFERROR(
GETPIVOTDATA(
"[Base].[Importe]",
TDinamica_R!$A$5,
"[Calendario].[AñoMes]",
"[Calendario].[AñoMes].&amp;[" &amp; TEXT(O$6,"yyyymm") &amp; "]",
"[Base].[Metrica]",
"[Base].[Metrica].&amp;[" &amp; $A9 &amp; "]",
"[Base].[SEGMENTO_DESCRIP]",
"[Base].[SEGMENTO_DESCRIP].&amp;[" &amp; $C$6 &amp; "]",
"[Base].[SITUACION]",
"[Base].[SITUACION].&amp;[" &amp; $C9 &amp; "]"
),0)/1000</f>
        <v>1400.0149299999998</v>
      </c>
      <c r="P9" s="8">
        <f>IFERROR(
GETPIVOTDATA(
"[Base].[Importe]",
TDinamica_R!$A$5,
"[Calendario].[AñoMes]",
"[Calendario].[AñoMes].&amp;[" &amp; TEXT(P$6,"yyyymm") &amp; "]",
"[Base].[Metrica]",
"[Base].[Metrica].&amp;[" &amp; $A9 &amp; "]",
"[Base].[SEGMENTO_DESCRIP]",
"[Base].[SEGMENTO_DESCRIP].&amp;[" &amp; $C$6 &amp; "]",
"[Base].[SITUACION]",
"[Base].[SITUACION].&amp;[" &amp; $C9 &amp; "]"
),0)/1000</f>
        <v>1373.7739799999999</v>
      </c>
      <c r="Q9" s="8">
        <f>IFERROR(
GETPIVOTDATA(
"[Base].[Importe]",
TDinamica_R!$A$5,
"[Calendario].[AñoMes]",
"[Calendario].[AñoMes].&amp;[" &amp; TEXT(Q$6,"yyyymm") &amp; "]",
"[Base].[Metrica]",
"[Base].[Metrica].&amp;[" &amp; $A9 &amp; "]",
"[Base].[SEGMENTO_DESCRIP]",
"[Base].[SEGMENTO_DESCRIP].&amp;[" &amp; $C$6 &amp; "]",
"[Base].[SITUACION]",
"[Base].[SITUACION].&amp;[" &amp; $C9 &amp; "]"
),0)/1000</f>
        <v>1362.6102599999999</v>
      </c>
      <c r="R9" s="8">
        <f>IFERROR(
GETPIVOTDATA(
"[Base].[Importe]",
TDinamica_R!$A$5,
"[Calendario].[AñoMes]",
"[Calendario].[AñoMes].&amp;[" &amp; TEXT(R$6,"yyyymm") &amp; "]",
"[Base].[Metrica]",
"[Base].[Metrica].&amp;[" &amp; $A9 &amp; "]",
"[Base].[SEGMENTO_DESCRIP]",
"[Base].[SEGMENTO_DESCRIP].&amp;[" &amp; $C$6 &amp; "]",
"[Base].[SITUACION]",
"[Base].[SITUACION].&amp;[" &amp; $C9 &amp; "]"
),0)/1000</f>
        <v>1243.80321</v>
      </c>
      <c r="S9" s="8">
        <f>IFERROR(
GETPIVOTDATA(
"[Base].[Importe]",
TDinamica_R!$A$5,
"[Calendario].[AñoMes]",
"[Calendario].[AñoMes].&amp;[" &amp; TEXT(S$6,"yyyymm") &amp; "]",
"[Base].[Metrica]",
"[Base].[Metrica].&amp;[" &amp; $A9 &amp; "]",
"[Base].[SEGMENTO_DESCRIP]",
"[Base].[SEGMENTO_DESCRIP].&amp;[" &amp; $C$6 &amp; "]",
"[Base].[SITUACION]",
"[Base].[SITUACION].&amp;[" &amp; $C9 &amp; "]"
),0)/1000</f>
        <v>1223.0981499999998</v>
      </c>
      <c r="T9" s="8">
        <f>IFERROR(
GETPIVOTDATA(
"[Base].[Importe]",
TDinamica_R!$A$5,
"[Calendario].[AñoMes]",
"[Calendario].[AñoMes].&amp;[" &amp; TEXT(T$6,"yyyymm") &amp; "]",
"[Base].[Metrica]",
"[Base].[Metrica].&amp;[" &amp; $A9 &amp; "]",
"[Base].[SEGMENTO_DESCRIP]",
"[Base].[SEGMENTO_DESCRIP].&amp;[" &amp; $C$6 &amp; "]",
"[Base].[SITUACION]",
"[Base].[SITUACION].&amp;[" &amp; $C9 &amp; "]"
),0)/1000</f>
        <v>1175.4190100000001</v>
      </c>
      <c r="U9" s="8">
        <f>IFERROR(
GETPIVOTDATA(
"[Base].[Importe]",
TDinamica_R!$A$5,
"[Calendario].[AñoMes]",
"[Calendario].[AñoMes].&amp;[" &amp; TEXT(U$6,"yyyymm") &amp; "]",
"[Base].[Metrica]",
"[Base].[Metrica].&amp;[" &amp; $A9 &amp; "]",
"[Base].[SEGMENTO_DESCRIP]",
"[Base].[SEGMENTO_DESCRIP].&amp;[" &amp; $C$6 &amp; "]",
"[Base].[SITUACION]",
"[Base].[SITUACION].&amp;[" &amp; $C9 &amp; "]"
),0)/1000</f>
        <v>1153.8721699999999</v>
      </c>
      <c r="V9" s="8">
        <f>IFERROR(
GETPIVOTDATA(
"[Base].[Importe]",
TDinamica_R!$A$5,
"[Calendario].[AñoMes]",
"[Calendario].[AñoMes].&amp;[" &amp; TEXT(V$6,"yyyymm") &amp; "]",
"[Base].[Metrica]",
"[Base].[Metrica].&amp;[" &amp; $A9 &amp; "]",
"[Base].[SEGMENTO_DESCRIP]",
"[Base].[SEGMENTO_DESCRIP].&amp;[" &amp; $C$6 &amp; "]",
"[Base].[SITUACION]",
"[Base].[SITUACION].&amp;[" &amp; $C9 &amp; "]"
),0)/1000</f>
        <v>1118.9075800000001</v>
      </c>
      <c r="W9" s="8">
        <f>IFERROR(
GETPIVOTDATA(
"[Base].[Importe]",
TDinamica_R!$A$5,
"[Calendario].[AñoMes]",
"[Calendario].[AñoMes].&amp;[" &amp; TEXT(W$6,"yyyymm") &amp; "]",
"[Base].[Metrica]",
"[Base].[Metrica].&amp;[" &amp; $A9 &amp; "]",
"[Base].[SEGMENTO_DESCRIP]",
"[Base].[SEGMENTO_DESCRIP].&amp;[" &amp; $C$6 &amp; "]",
"[Base].[SITUACION]",
"[Base].[SITUACION].&amp;[" &amp; $C9 &amp; "]"
),0)/1000</f>
        <v>1102.6042399999999</v>
      </c>
      <c r="X9" s="8">
        <f>IFERROR(
GETPIVOTDATA(
"[Base].[Importe]",
TDinamica_R!$A$5,
"[Calendario].[AñoMes]",
"[Calendario].[AñoMes].&amp;[" &amp; TEXT(X$6,"yyyymm") &amp; "]",
"[Base].[Metrica]",
"[Base].[Metrica].&amp;[" &amp; $A9 &amp; "]",
"[Base].[SEGMENTO_DESCRIP]",
"[Base].[SEGMENTO_DESCRIP].&amp;[" &amp; $C$6 &amp; "]",
"[Base].[SITUACION]",
"[Base].[SITUACION].&amp;[" &amp; $C9 &amp; "]"
),0)/1000</f>
        <v>983.95407999999998</v>
      </c>
      <c r="Y9" s="8">
        <f>IFERROR(
GETPIVOTDATA(
"[Base].[Importe]",
TDinamica_R!$A$5,
"[Calendario].[AñoMes]",
"[Calendario].[AñoMes].&amp;[" &amp; TEXT(Y$6,"yyyymm") &amp; "]",
"[Base].[Metrica]",
"[Base].[Metrica].&amp;[" &amp; $A9 &amp; "]",
"[Base].[SEGMENTO_DESCRIP]",
"[Base].[SEGMENTO_DESCRIP].&amp;[" &amp; $C$6 &amp; "]",
"[Base].[SITUACION]",
"[Base].[SITUACION].&amp;[" &amp; $C9 &amp; "]"
),0)/1000</f>
        <v>1032.211</v>
      </c>
      <c r="Z9" s="8">
        <f>IFERROR(
GETPIVOTDATA(
"[Base].[Importe]",
TDinamica_R!$A$5,
"[Calendario].[AñoMes]",
"[Calendario].[AñoMes].&amp;[" &amp; TEXT(Z$6,"yyyymm") &amp; "]",
"[Base].[Metrica]",
"[Base].[Metrica].&amp;[" &amp; $A9 &amp; "]",
"[Base].[SEGMENTO_DESCRIP]",
"[Base].[SEGMENTO_DESCRIP].&amp;[" &amp; $C$6 &amp; "]",
"[Base].[SITUACION]",
"[Base].[SITUACION].&amp;[" &amp; $C9 &amp; "]"
),0)/1000</f>
        <v>1213.1755800000001</v>
      </c>
      <c r="AA9" s="8">
        <f>IFERROR(
GETPIVOTDATA(
"[Base].[Importe]",
TDinamica_R!$A$5,
"[Calendario].[AñoMes]",
"[Calendario].[AñoMes].&amp;[" &amp; TEXT(AA$6,"yyyymm") &amp; "]",
"[Base].[Metrica]",
"[Base].[Metrica].&amp;[" &amp; $A9 &amp; "]",
"[Base].[SEGMENTO_DESCRIP]",
"[Base].[SEGMENTO_DESCRIP].&amp;[" &amp; $C$6 &amp; "]",
"[Base].[SITUACION]",
"[Base].[SITUACION].&amp;[" &amp; $C9 &amp; "]"
),0)/1000</f>
        <v>1364.33421</v>
      </c>
      <c r="AB9" s="8">
        <f>IFERROR(
GETPIVOTDATA(
"[Base].[Importe]",
TDinamica_R!$A$5,
"[Calendario].[AñoMes]",
"[Calendario].[AñoMes].&amp;[" &amp; TEXT(AB$6,"yyyymm") &amp; "]",
"[Base].[Metrica]",
"[Base].[Metrica].&amp;[" &amp; $A9 &amp; "]",
"[Base].[SEGMENTO_DESCRIP]",
"[Base].[SEGMENTO_DESCRIP].&amp;[" &amp; $C$6 &amp; "]",
"[Base].[SITUACION]",
"[Base].[SITUACION].&amp;[" &amp; $C9 &amp; "]"
),0)/1000</f>
        <v>1392.8320000000001</v>
      </c>
      <c r="AC9" s="8">
        <f>IFERROR(
GETPIVOTDATA(
"[Base].[Importe]",
TDinamica_R!$A$5,
"[Calendario].[AñoMes]",
"[Calendario].[AñoMes].&amp;[" &amp; TEXT(AC$6,"yyyymm") &amp; "]",
"[Base].[Metrica]",
"[Base].[Metrica].&amp;[" &amp; $A9 &amp; "]",
"[Base].[SEGMENTO_DESCRIP]",
"[Base].[SEGMENTO_DESCRIP].&amp;[" &amp; $C$6 &amp; "]",
"[Base].[SITUACION]",
"[Base].[SITUACION].&amp;[" &amp; $C9 &amp; "]"
),0)/1000</f>
        <v>1585.5087599999999</v>
      </c>
      <c r="AD9" s="8">
        <f>IFERROR(
GETPIVOTDATA(
"[Base].[Importe]",
TDinamica_R!$A$5,
"[Calendario].[AñoMes]",
"[Calendario].[AñoMes].&amp;[" &amp; TEXT(AD$6,"yyyymm") &amp; "]",
"[Base].[Metrica]",
"[Base].[Metrica].&amp;[" &amp; $A9 &amp; "]",
"[Base].[SEGMENTO_DESCRIP]",
"[Base].[SEGMENTO_DESCRIP].&amp;[" &amp; $C$6 &amp; "]",
"[Base].[SITUACION]",
"[Base].[SITUACION].&amp;[" &amp; $C9 &amp; "]"
),0)/1000</f>
        <v>1583.73723</v>
      </c>
      <c r="AE9" s="8">
        <f>IFERROR(
GETPIVOTDATA(
"[Base].[Importe]",
TDinamica_R!$A$5,
"[Calendario].[AñoMes]",
"[Calendario].[AñoMes].&amp;[" &amp; TEXT(AE$6,"yyyymm") &amp; "]",
"[Base].[Metrica]",
"[Base].[Metrica].&amp;[" &amp; $A9 &amp; "]",
"[Base].[SEGMENTO_DESCRIP]",
"[Base].[SEGMENTO_DESCRIP].&amp;[" &amp; $C$6 &amp; "]",
"[Base].[SITUACION]",
"[Base].[SITUACION].&amp;[" &amp; $C9 &amp; "]"
),0)/1000</f>
        <v>1594.2417</v>
      </c>
      <c r="AF9" s="8">
        <f>IFERROR(
GETPIVOTDATA(
"[Base].[Importe]",
TDinamica_R!$A$5,
"[Calendario].[AñoMes]",
"[Calendario].[AñoMes].&amp;[" &amp; TEXT(AF$6,"yyyymm") &amp; "]",
"[Base].[Metrica]",
"[Base].[Metrica].&amp;[" &amp; $A9 &amp; "]",
"[Base].[SEGMENTO_DESCRIP]",
"[Base].[SEGMENTO_DESCRIP].&amp;[" &amp; $C$6 &amp; "]",
"[Base].[SITUACION]",
"[Base].[SITUACION].&amp;[" &amp; $C9 &amp; "]"
),0)/1000</f>
        <v>1648.2232900000001</v>
      </c>
      <c r="AG9" s="8">
        <f>IFERROR(
GETPIVOTDATA(
"[Base].[Importe]",
TDinamica_R!$A$5,
"[Calendario].[AñoMes]",
"[Calendario].[AñoMes].&amp;[" &amp; TEXT(AG$6,"yyyymm") &amp; "]",
"[Base].[Metrica]",
"[Base].[Metrica].&amp;[" &amp; $A9 &amp; "]",
"[Base].[SEGMENTO_DESCRIP]",
"[Base].[SEGMENTO_DESCRIP].&amp;[" &amp; $C$6 &amp; "]",
"[Base].[SITUACION]",
"[Base].[SITUACION].&amp;[" &amp; $C9 &amp; "]"
),0)/1000</f>
        <v>1713.1458400000001</v>
      </c>
      <c r="AH9" s="8">
        <f>IFERROR(
GETPIVOTDATA(
"[Base].[Importe]",
TDinamica_R!$A$5,
"[Calendario].[AñoMes]",
"[Calendario].[AñoMes].&amp;[" &amp; TEXT(AH$6,"yyyymm") &amp; "]",
"[Base].[Metrica]",
"[Base].[Metrica].&amp;[" &amp; $A9 &amp; "]",
"[Base].[SEGMENTO_DESCRIP]",
"[Base].[SEGMENTO_DESCRIP].&amp;[" &amp; $C$6 &amp; "]",
"[Base].[SITUACION]",
"[Base].[SITUACION].&amp;[" &amp; $C9 &amp; "]"
),0)/1000</f>
        <v>1739.3394900000001</v>
      </c>
      <c r="AI9" s="8">
        <f>IFERROR(
GETPIVOTDATA(
"[Base].[Importe]",
TDinamica_R!$A$5,
"[Calendario].[AñoMes]",
"[Calendario].[AñoMes].&amp;[" &amp; TEXT(AI$6,"yyyymm") &amp; "]",
"[Base].[Metrica]",
"[Base].[Metrica].&amp;[" &amp; $A9 &amp; "]",
"[Base].[SEGMENTO_DESCRIP]",
"[Base].[SEGMENTO_DESCRIP].&amp;[" &amp; $C$6 &amp; "]",
"[Base].[SITUACION]",
"[Base].[SITUACION].&amp;[" &amp; $C9 &amp; "]"
),0)/1000</f>
        <v>1753.7774899999999</v>
      </c>
      <c r="AJ9" s="8">
        <f>IFERROR(
GETPIVOTDATA(
"[Base].[Importe]",
TDinamica_R!$A$5,
"[Calendario].[AñoMes]",
"[Calendario].[AñoMes].&amp;[" &amp; TEXT(AJ$6,"yyyymm") &amp; "]",
"[Base].[Metrica]",
"[Base].[Metrica].&amp;[" &amp; $A9 &amp; "]",
"[Base].[SEGMENTO_DESCRIP]",
"[Base].[SEGMENTO_DESCRIP].&amp;[" &amp; $C$6 &amp; "]",
"[Base].[SITUACION]",
"[Base].[SITUACION].&amp;[" &amp; $C9 &amp; "]"
),0)/1000</f>
        <v>1833.5724</v>
      </c>
      <c r="AK9" s="8">
        <f>IFERROR(
GETPIVOTDATA(
"[Base].[Importe]",
TDinamica_R!$A$5,
"[Calendario].[AñoMes]",
"[Calendario].[AñoMes].&amp;[" &amp; TEXT(AK$6,"yyyymm") &amp; "]",
"[Base].[Metrica]",
"[Base].[Metrica].&amp;[" &amp; $A9 &amp; "]",
"[Base].[SEGMENTO_DESCRIP]",
"[Base].[SEGMENTO_DESCRIP].&amp;[" &amp; $C$6 &amp; "]",
"[Base].[SITUACION]",
"[Base].[SITUACION].&amp;[" &amp; $C9 &amp; "]"
),0)/1000</f>
        <v>1724.4211</v>
      </c>
      <c r="AL9" s="8">
        <f>IFERROR(
GETPIVOTDATA(
"[Base].[Importe]",
TDinamica_R!$A$5,
"[Calendario].[AñoMes]",
"[Calendario].[AñoMes].&amp;[" &amp; TEXT(AL$6,"yyyymm") &amp; "]",
"[Base].[Metrica]",
"[Base].[Metrica].&amp;[" &amp; $A9 &amp; "]",
"[Base].[SEGMENTO_DESCRIP]",
"[Base].[SEGMENTO_DESCRIP].&amp;[" &amp; $C$6 &amp; "]",
"[Base].[SITUACION]",
"[Base].[SITUACION].&amp;[" &amp; $C9 &amp; "]"
),0)/1000</f>
        <v>1882.60293</v>
      </c>
      <c r="AM9" s="8">
        <f>IFERROR(
GETPIVOTDATA(
"[Base].[Importe]",
TDinamica_R!$A$5,
"[Calendario].[AñoMes]",
"[Calendario].[AñoMes].&amp;[" &amp; TEXT(AM$6,"yyyymm") &amp; "]",
"[Base].[Metrica]",
"[Base].[Metrica].&amp;[" &amp; $A9 &amp; "]",
"[Base].[SEGMENTO_DESCRIP]",
"[Base].[SEGMENTO_DESCRIP].&amp;[" &amp; $C$6 &amp; "]",
"[Base].[SITUACION]",
"[Base].[SITUACION].&amp;[" &amp; $C9 &amp; "]"
),0)/1000</f>
        <v>1995.71245</v>
      </c>
      <c r="AN9" s="8">
        <f>IFERROR(
GETPIVOTDATA(
"[Base].[Importe]",
TDinamica_R!$A$5,
"[Calendario].[AñoMes]",
"[Calendario].[AñoMes].&amp;[" &amp; TEXT(AN$6,"yyyymm") &amp; "]",
"[Base].[Metrica]",
"[Base].[Metrica].&amp;[" &amp; $A9 &amp; "]",
"[Base].[SEGMENTO_DESCRIP]",
"[Base].[SEGMENTO_DESCRIP].&amp;[" &amp; $C$6 &amp; "]",
"[Base].[SITUACION]",
"[Base].[SITUACION].&amp;[" &amp; $C9 &amp; "]"
),0)/1000</f>
        <v>2027.09</v>
      </c>
      <c r="AO9" s="8">
        <f>IFERROR(
GETPIVOTDATA(
"[Base].[Importe]",
TDinamica_R!$A$5,
"[Calendario].[AñoMes]",
"[Calendario].[AñoMes].&amp;[" &amp; TEXT(AO$6,"yyyymm") &amp; "]",
"[Base].[Metrica]",
"[Base].[Metrica].&amp;[" &amp; $A9 &amp; "]",
"[Base].[SEGMENTO_DESCRIP]",
"[Base].[SEGMENTO_DESCRIP].&amp;[" &amp; $C$6 &amp; "]",
"[Base].[SITUACION]",
"[Base].[SITUACION].&amp;[" &amp; $C9 &amp; "]"
),0)/1000</f>
        <v>1967.18</v>
      </c>
      <c r="AP9" s="8">
        <f>IFERROR(
GETPIVOTDATA(
"[Base].[Importe]",
TDinamica_R!$A$5,
"[Calendario].[AñoMes]",
"[Calendario].[AñoMes].&amp;[" &amp; TEXT(AP$6,"yyyymm") &amp; "]",
"[Base].[Metrica]",
"[Base].[Metrica].&amp;[" &amp; $A9 &amp; "]",
"[Base].[SEGMENTO_DESCRIP]",
"[Base].[SEGMENTO_DESCRIP].&amp;[" &amp; $C$6 &amp; "]",
"[Base].[SITUACION]",
"[Base].[SITUACION].&amp;[" &amp; $C9 &amp; "]"
),0)/1000</f>
        <v>1924.67</v>
      </c>
      <c r="AQ9" s="8">
        <f>IFERROR(
GETPIVOTDATA(
"[Base].[Importe]",
TDinamica_R!$A$5,
"[Calendario].[AñoMes]",
"[Calendario].[AñoMes].&amp;[" &amp; TEXT(AQ$6,"yyyymm") &amp; "]",
"[Base].[Metrica]",
"[Base].[Metrica].&amp;[" &amp; $A9 &amp; "]",
"[Base].[SEGMENTO_DESCRIP]",
"[Base].[SEGMENTO_DESCRIP].&amp;[" &amp; $C$6 &amp; "]",
"[Base].[SITUACION]",
"[Base].[SITUACION].&amp;[" &amp; $C9 &amp; "]"
),0)/1000</f>
        <v>1878.7488300000002</v>
      </c>
      <c r="AR9" s="8">
        <f>IFERROR(
GETPIVOTDATA(
"[Base].[Importe]",
TDinamica_R!$A$5,
"[Calendario].[AñoMes]",
"[Calendario].[AñoMes].&amp;[" &amp; TEXT(AR$6,"yyyymm") &amp; "]",
"[Base].[Metrica]",
"[Base].[Metrica].&amp;[" &amp; $A9 &amp; "]",
"[Base].[SEGMENTO_DESCRIP]",
"[Base].[SEGMENTO_DESCRIP].&amp;[" &amp; $C$6 &amp; "]",
"[Base].[SITUACION]",
"[Base].[SITUACION].&amp;[" &amp; $C9 &amp; "]"
),0)/1000</f>
        <v>1766.1238300000005</v>
      </c>
      <c r="AS9" s="8">
        <f>IFERROR(
GETPIVOTDATA(
"[Base].[Importe]",
TDinamica_R!$A$5,
"[Calendario].[AñoMes]",
"[Calendario].[AñoMes].&amp;[" &amp; TEXT(AS$6,"yyyymm") &amp; "]",
"[Base].[Metrica]",
"[Base].[Metrica].&amp;[" &amp; $A9 &amp; "]",
"[Base].[SEGMENTO_DESCRIP]",
"[Base].[SEGMENTO_DESCRIP].&amp;[" &amp; $C$6 &amp; "]",
"[Base].[SITUACION]",
"[Base].[SITUACION].&amp;[" &amp; $C9 &amp; "]"
),0)/1000</f>
        <v>1746.7849899999999</v>
      </c>
      <c r="AT9" s="8">
        <f>IFERROR(
GETPIVOTDATA(
"[Base].[Importe]",
TDinamica_R!$A$5,
"[Calendario].[AñoMes]",
"[Calendario].[AñoMes].&amp;[" &amp; TEXT(AT$6,"yyyymm")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U9" s="8">
        <f>IFERROR(
GETPIVOTDATA(
"[Base].[Importe]",
TDinamica_R!$A$5,
"[Calendario].[AñoMes]",
"[Calendario].[AñoMes].&amp;[" &amp; TEXT(AU$6,"yyyymm")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V9" s="8">
        <f>IFERROR(
GETPIVOTDATA(
"[Base].[Importe]",
TDinamica_R!$A$5,
"[Calendario].[AñoMes]",
"[Calendario].[AñoMes].&amp;[" &amp; TEXT(AV$6,"yyyymm")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W9" s="8">
        <f>IFERROR(
GETPIVOTDATA(
"[Base].[Importe]",
TDinamica_R!$A$5,
"[Calendario].[AñoMes]",
"[Calendario].[AñoMes].&amp;[" &amp; TEXT(AW$6,"yyyymm")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X9" s="8">
        <f>IFERROR(
GETPIVOTDATA(
"[Base].[Importe]",
TDinamica_R!$A$5,
"[Calendario].[AñoMes]",
"[Calendario].[AñoMes].&amp;[" &amp; TEXT(AX$6,"yyyymm")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Y9" s="8">
        <f>IFERROR(
GETPIVOTDATA(
"[Base].[Importe]",
TDinamica_R!$A$5,
"[Calendario].[AñoMes]",
"[Calendario].[AñoMes].&amp;[" &amp; TEXT(AY$6,"yyyymm")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Z9" s="8">
        <f>IFERROR(
GETPIVOTDATA(
"[BASE_CONVE_PPTO].[Importe]",
TDinamica_P!$A$5,
"[BASE_CONVE_PPTO].[Periodo]",
"[BASE_CONVE_PPTO].[Periodo].&amp;[" &amp; TEXT(AZ$6,"yyyymm")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1725.5623300231296</v>
      </c>
      <c r="BA9" s="8">
        <f>IFERROR(
GETPIVOTDATA(
"[BASE_CONVE_PPTO].[Importe]",
TDinamica_P!$A$5,
"[BASE_CONVE_PPTO].[Periodo]",
"[BASE_CONVE_PPTO].[Periodo].&amp;[" &amp; TEXT(BA$6,"yyyymm")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1732.8486020666262</v>
      </c>
      <c r="BB9" s="8">
        <f>IFERROR(
GETPIVOTDATA(
"[BASE_CONVE_PPTO].[Importe]",
TDinamica_P!$A$5,
"[BASE_CONVE_PPTO].[Periodo]",
"[BASE_CONVE_PPTO].[Periodo].&amp;[" &amp; TEXT(BB$6,"yyyymm")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1741.8324985780982</v>
      </c>
      <c r="BC9" s="8">
        <f>IFERROR(
GETPIVOTDATA(
"[BASE_CONVE_PPTO].[Importe]",
TDinamica_P!$A$5,
"[BASE_CONVE_PPTO].[Periodo]",
"[BASE_CONVE_PPTO].[Periodo].&amp;[" &amp; TEXT(BC$6,"yyyymm")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1781.6319508613424</v>
      </c>
      <c r="BD9" s="8">
        <f>IFERROR(
GETPIVOTDATA(
"[BASE_CONVE_PPTO].[Importe]",
TDinamica_P!$A$5,
"[BASE_CONVE_PPTO].[Periodo]",
"[BASE_CONVE_PPTO].[Periodo].&amp;[" &amp; TEXT(BD$6,"yyyymm")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1801.3914836200568</v>
      </c>
      <c r="BE9" s="8">
        <f>IFERROR(
GETPIVOTDATA(
"[BASE_CONVE_PPTO].[Importe]",
TDinamica_P!$A$5,
"[BASE_CONVE_PPTO].[Periodo]",
"[BASE_CONVE_PPTO].[Periodo].&amp;[" &amp; TEXT(BE$6,"yyyymm")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1828.7536760605876</v>
      </c>
      <c r="BF9" s="8">
        <f>IFERROR(
GETPIVOTDATA(
"[BASE_CONVE_PPTO].[Importe]",
TDinamica_P!$A$5,
"[BASE_CONVE_PPTO].[Periodo]",
"[BASE_CONVE_PPTO].[Periodo].&amp;[" &amp; TEXT(BF$6,"yyyymm")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1839.7767424427436</v>
      </c>
      <c r="BG9" s="8">
        <f>IFERROR(
GETPIVOTDATA(
"[BASE_CONVE_PPTO].[Importe]",
TDinamica_P!$A$5,
"[BASE_CONVE_PPTO].[Periodo]",
"[BASE_CONVE_PPTO].[Periodo].&amp;[" &amp; TEXT(BG$6,"yyyymm")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1853.8119790894068</v>
      </c>
      <c r="BH9" s="8">
        <f>IFERROR(
GETPIVOTDATA(
"[BASE_CONVE_PPTO].[Importe]",
TDinamica_P!$A$5,
"[BASE_CONVE_PPTO].[Periodo]",
"[BASE_CONVE_PPTO].[Periodo].&amp;[" &amp; TEXT(BH$6,"yyyymm")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1862.9569049329766</v>
      </c>
      <c r="BI9" s="8">
        <f>IFERROR(
GETPIVOTDATA(
"[BASE_CONVE_PPTO].[Importe]",
TDinamica_P!$A$5,
"[BASE_CONVE_PPTO].[Periodo]",
"[BASE_CONVE_PPTO].[Periodo].&amp;[" &amp; TEXT(BI$6,"yyyymm")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1875.8805434913759</v>
      </c>
      <c r="BJ9" s="8">
        <f>IFERROR(
GETPIVOTDATA(
"[BASE_CONVE_PPTO].[Importe]",
TDinamica_P!$A$5,
"[BASE_CONVE_PPTO].[Periodo]",
"[BASE_CONVE_PPTO].[Periodo].&amp;[" &amp; TEXT(BJ$6,"yyyymm")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1884.6126030591095</v>
      </c>
      <c r="BK9" s="8">
        <f>IFERROR(
GETPIVOTDATA(
"[BASE_CONVE_PPTO].[Importe]",
TDinamica_P!$A$5,
"[BASE_CONVE_PPTO].[Periodo]",
"[BASE_CONVE_PPTO].[Periodo].&amp;[" &amp; TEXT(BK$6,"yyyymm") &amp; "]",
"[BASE_CONVE_PPTO].[Metrica]",
"[BASE_CONVE_PPTO].[Metrica].&amp;[" &amp; $A9 &amp; "]",
"[BASE_CONVE_PPTO].[SEGMENTO_DESCRIP]",
"[BASE_CONVE_PPTO].[SEGMENTO_DESCRIP].&amp;[" &amp; $C$6 &amp; "]",
"[BASE_CONVE_PPTO].[SITUACION]",
"[BASE_CONVE_PPTO].[SITUACION].&amp;[" &amp; $C9 &amp; "]"),
0)</f>
        <v>1891.985487626047</v>
      </c>
      <c r="BO9" s="24">
        <f t="shared" si="4"/>
        <v>1766.1238300000005</v>
      </c>
      <c r="BP9" s="24">
        <f t="shared" ref="BP9:BP10" si="6">_xlfn.XLOOKUP(BP$6,$D$6:$BM$6,$D9:$BM9,,0,-1)</f>
        <v>1801.3914836200568</v>
      </c>
      <c r="BQ9" s="24">
        <f t="shared" si="5"/>
        <v>1878.7488300000002</v>
      </c>
      <c r="BR9" s="24">
        <f t="shared" si="5"/>
        <v>1648.2232900000001</v>
      </c>
      <c r="BS9" s="24">
        <f t="shared" si="5"/>
        <v>1175.4190100000001</v>
      </c>
      <c r="BT9" s="24">
        <f t="shared" si="5"/>
        <v>1491.5006100000001</v>
      </c>
    </row>
    <row r="10" spans="1:81" ht="14.45" customHeight="1" outlineLevel="1" x14ac:dyDescent="0.25">
      <c r="A10" s="11" t="s">
        <v>51</v>
      </c>
      <c r="C10" s="2" t="s">
        <v>45</v>
      </c>
      <c r="D10" s="8">
        <f>IFERROR(
GETPIVOTDATA(
"[Base].[Importe]",
TDinamica_R!$A$5,
"[Calendario].[AñoMes]",
"[Calendario].[AñoMes].&amp;[" &amp; TEXT(D$6,"yyyymm") &amp; "]",
"[Base].[Metrica]",
"[Base].[Metrica].&amp;[" &amp; $A10 &amp; "]",
"[Base].[SEGMENTO_DESCRIP]",
"[Base].[SEGMENTO_DESCRIP].&amp;[" &amp; $C$6 &amp; "]",
"[Base].[SITUACION]",
"[Base].[SITUACION].&amp;[" &amp; $C10 &amp; "]"
),0)/1000</f>
        <v>3934.0057400000001</v>
      </c>
      <c r="E10" s="8">
        <f>IFERROR(
GETPIVOTDATA(
"[Base].[Importe]",
TDinamica_R!$A$5,
"[Calendario].[AñoMes]",
"[Calendario].[AñoMes].&amp;[" &amp; TEXT(E$6,"yyyymm") &amp; "]",
"[Base].[Metrica]",
"[Base].[Metrica].&amp;[" &amp; $A10 &amp; "]",
"[Base].[SEGMENTO_DESCRIP]",
"[Base].[SEGMENTO_DESCRIP].&amp;[" &amp; $C$6 &amp; "]",
"[Base].[SITUACION]",
"[Base].[SITUACION].&amp;[" &amp; $C10 &amp; "]"
),0)/1000</f>
        <v>4511.7438000000002</v>
      </c>
      <c r="F10" s="8">
        <f>IFERROR(
GETPIVOTDATA(
"[Base].[Importe]",
TDinamica_R!$A$5,
"[Calendario].[AñoMes]",
"[Calendario].[AñoMes].&amp;[" &amp; TEXT(F$6,"yyyymm") &amp; "]",
"[Base].[Metrica]",
"[Base].[Metrica].&amp;[" &amp; $A10 &amp; "]",
"[Base].[SEGMENTO_DESCRIP]",
"[Base].[SEGMENTO_DESCRIP].&amp;[" &amp; $C$6 &amp; "]",
"[Base].[SITUACION]",
"[Base].[SITUACION].&amp;[" &amp; $C10 &amp; "]"
),0)/1000</f>
        <v>4849.5432499999997</v>
      </c>
      <c r="G10" s="8">
        <f>IFERROR(
GETPIVOTDATA(
"[Base].[Importe]",
TDinamica_R!$A$5,
"[Calendario].[AñoMes]",
"[Calendario].[AñoMes].&amp;[" &amp; TEXT(G$6,"yyyymm") &amp; "]",
"[Base].[Metrica]",
"[Base].[Metrica].&amp;[" &amp; $A10 &amp; "]",
"[Base].[SEGMENTO_DESCRIP]",
"[Base].[SEGMENTO_DESCRIP].&amp;[" &amp; $C$6 &amp; "]",
"[Base].[SITUACION]",
"[Base].[SITUACION].&amp;[" &amp; $C10 &amp; "]"
),0)/1000</f>
        <v>4479.7268800000002</v>
      </c>
      <c r="H10" s="8">
        <f>IFERROR(
GETPIVOTDATA(
"[Base].[Importe]",
TDinamica_R!$A$5,
"[Calendario].[AñoMes]",
"[Calendario].[AñoMes].&amp;[" &amp; TEXT(H$6,"yyyymm") &amp; "]",
"[Base].[Metrica]",
"[Base].[Metrica].&amp;[" &amp; $A10 &amp; "]",
"[Base].[SEGMENTO_DESCRIP]",
"[Base].[SEGMENTO_DESCRIP].&amp;[" &amp; $C$6 &amp; "]",
"[Base].[SITUACION]",
"[Base].[SITUACION].&amp;[" &amp; $C10 &amp; "]"
),0)/1000</f>
        <v>4385.4851400000007</v>
      </c>
      <c r="I10" s="8">
        <f>IFERROR(
GETPIVOTDATA(
"[Base].[Importe]",
TDinamica_R!$A$5,
"[Calendario].[AñoMes]",
"[Calendario].[AñoMes].&amp;[" &amp; TEXT(I$6,"yyyymm") &amp; "]",
"[Base].[Metrica]",
"[Base].[Metrica].&amp;[" &amp; $A10 &amp; "]",
"[Base].[SEGMENTO_DESCRIP]",
"[Base].[SEGMENTO_DESCRIP].&amp;[" &amp; $C$6 &amp; "]",
"[Base].[SITUACION]",
"[Base].[SITUACION].&amp;[" &amp; $C10 &amp; "]"
),0)/1000</f>
        <v>3738.7739400000005</v>
      </c>
      <c r="J10" s="8">
        <f>IFERROR(
GETPIVOTDATA(
"[Base].[Importe]",
TDinamica_R!$A$5,
"[Calendario].[AñoMes]",
"[Calendario].[AñoMes].&amp;[" &amp; TEXT(J$6,"yyyymm") &amp; "]",
"[Base].[Metrica]",
"[Base].[Metrica].&amp;[" &amp; $A10 &amp; "]",
"[Base].[SEGMENTO_DESCRIP]",
"[Base].[SEGMENTO_DESCRIP].&amp;[" &amp; $C$6 &amp; "]",
"[Base].[SITUACION]",
"[Base].[SITUACION].&amp;[" &amp; $C10 &amp; "]"
),0)/1000</f>
        <v>3665.4293000000002</v>
      </c>
      <c r="K10" s="8">
        <f>IFERROR(
GETPIVOTDATA(
"[Base].[Importe]",
TDinamica_R!$A$5,
"[Calendario].[AñoMes]",
"[Calendario].[AñoMes].&amp;[" &amp; TEXT(K$6,"yyyymm") &amp; "]",
"[Base].[Metrica]",
"[Base].[Metrica].&amp;[" &amp; $A10 &amp; "]",
"[Base].[SEGMENTO_DESCRIP]",
"[Base].[SEGMENTO_DESCRIP].&amp;[" &amp; $C$6 &amp; "]",
"[Base].[SITUACION]",
"[Base].[SITUACION].&amp;[" &amp; $C10 &amp; "]"
),0)/1000</f>
        <v>3109.0357899999995</v>
      </c>
      <c r="L10" s="8">
        <f>IFERROR(
GETPIVOTDATA(
"[Base].[Importe]",
TDinamica_R!$A$5,
"[Calendario].[AñoMes]",
"[Calendario].[AñoMes].&amp;[" &amp; TEXT(L$6,"yyyymm") &amp; "]",
"[Base].[Metrica]",
"[Base].[Metrica].&amp;[" &amp; $A10 &amp; "]",
"[Base].[SEGMENTO_DESCRIP]",
"[Base].[SEGMENTO_DESCRIP].&amp;[" &amp; $C$6 &amp; "]",
"[Base].[SITUACION]",
"[Base].[SITUACION].&amp;[" &amp; $C10 &amp; "]"
),0)/1000</f>
        <v>3031.0759399999997</v>
      </c>
      <c r="M10" s="8">
        <f>IFERROR(
GETPIVOTDATA(
"[Base].[Importe]",
TDinamica_R!$A$5,
"[Calendario].[AñoMes]",
"[Calendario].[AñoMes].&amp;[" &amp; TEXT(M$6,"yyyymm") &amp; "]",
"[Base].[Metrica]",
"[Base].[Metrica].&amp;[" &amp; $A10 &amp; "]",
"[Base].[SEGMENTO_DESCRIP]",
"[Base].[SEGMENTO_DESCRIP].&amp;[" &amp; $C$6 &amp; "]",
"[Base].[SITUACION]",
"[Base].[SITUACION].&amp;[" &amp; $C10 &amp; "]"
),0)/1000</f>
        <v>2875.5796399999995</v>
      </c>
      <c r="N10" s="8">
        <f>IFERROR(
GETPIVOTDATA(
"[Base].[Importe]",
TDinamica_R!$A$5,
"[Calendario].[AñoMes]",
"[Calendario].[AñoMes].&amp;[" &amp; TEXT(N$6,"yyyymm") &amp; "]",
"[Base].[Metrica]",
"[Base].[Metrica].&amp;[" &amp; $A10 &amp; "]",
"[Base].[SEGMENTO_DESCRIP]",
"[Base].[SEGMENTO_DESCRIP].&amp;[" &amp; $C$6 &amp; "]",
"[Base].[SITUACION]",
"[Base].[SITUACION].&amp;[" &amp; $C10 &amp; "]"
),0)/1000</f>
        <v>2767.2677199999998</v>
      </c>
      <c r="O10" s="8">
        <f>IFERROR(
GETPIVOTDATA(
"[Base].[Importe]",
TDinamica_R!$A$5,
"[Calendario].[AñoMes]",
"[Calendario].[AñoMes].&amp;[" &amp; TEXT(O$6,"yyyymm") &amp; "]",
"[Base].[Metrica]",
"[Base].[Metrica].&amp;[" &amp; $A10 &amp; "]",
"[Base].[SEGMENTO_DESCRIP]",
"[Base].[SEGMENTO_DESCRIP].&amp;[" &amp; $C$6 &amp; "]",
"[Base].[SITUACION]",
"[Base].[SITUACION].&amp;[" &amp; $C10 &amp; "]"
),0)/1000</f>
        <v>2704.6686199999999</v>
      </c>
      <c r="P10" s="8">
        <f>IFERROR(
GETPIVOTDATA(
"[Base].[Importe]",
TDinamica_R!$A$5,
"[Calendario].[AñoMes]",
"[Calendario].[AñoMes].&amp;[" &amp; TEXT(P$6,"yyyymm") &amp; "]",
"[Base].[Metrica]",
"[Base].[Metrica].&amp;[" &amp; $A10 &amp; "]",
"[Base].[SEGMENTO_DESCRIP]",
"[Base].[SEGMENTO_DESCRIP].&amp;[" &amp; $C$6 &amp; "]",
"[Base].[SITUACION]",
"[Base].[SITUACION].&amp;[" &amp; $C10 &amp; "]"
),0)/1000</f>
        <v>2978.46922</v>
      </c>
      <c r="Q10" s="8">
        <f>IFERROR(
GETPIVOTDATA(
"[Base].[Importe]",
TDinamica_R!$A$5,
"[Calendario].[AñoMes]",
"[Calendario].[AñoMes].&amp;[" &amp; TEXT(Q$6,"yyyymm") &amp; "]",
"[Base].[Metrica]",
"[Base].[Metrica].&amp;[" &amp; $A10 &amp; "]",
"[Base].[SEGMENTO_DESCRIP]",
"[Base].[SEGMENTO_DESCRIP].&amp;[" &amp; $C$6 &amp; "]",
"[Base].[SITUACION]",
"[Base].[SITUACION].&amp;[" &amp; $C10 &amp; "]"
),0)/1000</f>
        <v>2789.8271800000002</v>
      </c>
      <c r="R10" s="8">
        <f>IFERROR(
GETPIVOTDATA(
"[Base].[Importe]",
TDinamica_R!$A$5,
"[Calendario].[AñoMes]",
"[Calendario].[AñoMes].&amp;[" &amp; TEXT(R$6,"yyyymm") &amp; "]",
"[Base].[Metrica]",
"[Base].[Metrica].&amp;[" &amp; $A10 &amp; "]",
"[Base].[SEGMENTO_DESCRIP]",
"[Base].[SEGMENTO_DESCRIP].&amp;[" &amp; $C$6 &amp; "]",
"[Base].[SITUACION]",
"[Base].[SITUACION].&amp;[" &amp; $C10 &amp; "]"
),0)/1000</f>
        <v>2040.2908500000001</v>
      </c>
      <c r="S10" s="8">
        <f>IFERROR(
GETPIVOTDATA(
"[Base].[Importe]",
TDinamica_R!$A$5,
"[Calendario].[AñoMes]",
"[Calendario].[AñoMes].&amp;[" &amp; TEXT(S$6,"yyyymm") &amp; "]",
"[Base].[Metrica]",
"[Base].[Metrica].&amp;[" &amp; $A10 &amp; "]",
"[Base].[SEGMENTO_DESCRIP]",
"[Base].[SEGMENTO_DESCRIP].&amp;[" &amp; $C$6 &amp; "]",
"[Base].[SITUACION]",
"[Base].[SITUACION].&amp;[" &amp; $C10 &amp; "]"
),0)/1000</f>
        <v>1927.19463</v>
      </c>
      <c r="T10" s="8">
        <f>IFERROR(
GETPIVOTDATA(
"[Base].[Importe]",
TDinamica_R!$A$5,
"[Calendario].[AñoMes]",
"[Calendario].[AñoMes].&amp;[" &amp; TEXT(T$6,"yyyymm") &amp; "]",
"[Base].[Metrica]",
"[Base].[Metrica].&amp;[" &amp; $A10 &amp; "]",
"[Base].[SEGMENTO_DESCRIP]",
"[Base].[SEGMENTO_DESCRIP].&amp;[" &amp; $C$6 &amp; "]",
"[Base].[SITUACION]",
"[Base].[SITUACION].&amp;[" &amp; $C10 &amp; "]"
),0)/1000</f>
        <v>1656.4915000000001</v>
      </c>
      <c r="U10" s="8">
        <f>IFERROR(
GETPIVOTDATA(
"[Base].[Importe]",
TDinamica_R!$A$5,
"[Calendario].[AñoMes]",
"[Calendario].[AñoMes].&amp;[" &amp; TEXT(U$6,"yyyymm") &amp; "]",
"[Base].[Metrica]",
"[Base].[Metrica].&amp;[" &amp; $A10 &amp; "]",
"[Base].[SEGMENTO_DESCRIP]",
"[Base].[SEGMENTO_DESCRIP].&amp;[" &amp; $C$6 &amp; "]",
"[Base].[SITUACION]",
"[Base].[SITUACION].&amp;[" &amp; $C10 &amp; "]"
),0)/1000</f>
        <v>1622.98018</v>
      </c>
      <c r="V10" s="8">
        <f>IFERROR(
GETPIVOTDATA(
"[Base].[Importe]",
TDinamica_R!$A$5,
"[Calendario].[AñoMes]",
"[Calendario].[AñoMes].&amp;[" &amp; TEXT(V$6,"yyyymm") &amp; "]",
"[Base].[Metrica]",
"[Base].[Metrica].&amp;[" &amp; $A10 &amp; "]",
"[Base].[SEGMENTO_DESCRIP]",
"[Base].[SEGMENTO_DESCRIP].&amp;[" &amp; $C$6 &amp; "]",
"[Base].[SITUACION]",
"[Base].[SITUACION].&amp;[" &amp; $C10 &amp; "]"
),0)/1000</f>
        <v>1700.17311</v>
      </c>
      <c r="W10" s="8">
        <f>IFERROR(
GETPIVOTDATA(
"[Base].[Importe]",
TDinamica_R!$A$5,
"[Calendario].[AñoMes]",
"[Calendario].[AñoMes].&amp;[" &amp; TEXT(W$6,"yyyymm") &amp; "]",
"[Base].[Metrica]",
"[Base].[Metrica].&amp;[" &amp; $A10 &amp; "]",
"[Base].[SEGMENTO_DESCRIP]",
"[Base].[SEGMENTO_DESCRIP].&amp;[" &amp; $C$6 &amp; "]",
"[Base].[SITUACION]",
"[Base].[SITUACION].&amp;[" &amp; $C10 &amp; "]"
),0)/1000</f>
        <v>2024.0256600000002</v>
      </c>
      <c r="X10" s="8">
        <f>IFERROR(
GETPIVOTDATA(
"[Base].[Importe]",
TDinamica_R!$A$5,
"[Calendario].[AñoMes]",
"[Calendario].[AñoMes].&amp;[" &amp; TEXT(X$6,"yyyymm") &amp; "]",
"[Base].[Metrica]",
"[Base].[Metrica].&amp;[" &amp; $A10 &amp; "]",
"[Base].[SEGMENTO_DESCRIP]",
"[Base].[SEGMENTO_DESCRIP].&amp;[" &amp; $C$6 &amp; "]",
"[Base].[SITUACION]",
"[Base].[SITUACION].&amp;[" &amp; $C10 &amp; "]"
),0)/1000</f>
        <v>2131.6023100000002</v>
      </c>
      <c r="Y10" s="8">
        <f>IFERROR(
GETPIVOTDATA(
"[Base].[Importe]",
TDinamica_R!$A$5,
"[Calendario].[AñoMes]",
"[Calendario].[AñoMes].&amp;[" &amp; TEXT(Y$6,"yyyymm") &amp; "]",
"[Base].[Metrica]",
"[Base].[Metrica].&amp;[" &amp; $A10 &amp; "]",
"[Base].[SEGMENTO_DESCRIP]",
"[Base].[SEGMENTO_DESCRIP].&amp;[" &amp; $C$6 &amp; "]",
"[Base].[SITUACION]",
"[Base].[SITUACION].&amp;[" &amp; $C10 &amp; "]"
),0)/1000</f>
        <v>1884.9837200000002</v>
      </c>
      <c r="Z10" s="8">
        <f>IFERROR(
GETPIVOTDATA(
"[Base].[Importe]",
TDinamica_R!$A$5,
"[Calendario].[AñoMes]",
"[Calendario].[AñoMes].&amp;[" &amp; TEXT(Z$6,"yyyymm") &amp; "]",
"[Base].[Metrica]",
"[Base].[Metrica].&amp;[" &amp; $A10 &amp; "]",
"[Base].[SEGMENTO_DESCRIP]",
"[Base].[SEGMENTO_DESCRIP].&amp;[" &amp; $C$6 &amp; "]",
"[Base].[SITUACION]",
"[Base].[SITUACION].&amp;[" &amp; $C10 &amp; "]"
),0)/1000</f>
        <v>1993.1219599999999</v>
      </c>
      <c r="AA10" s="8">
        <f>IFERROR(
GETPIVOTDATA(
"[Base].[Importe]",
TDinamica_R!$A$5,
"[Calendario].[AñoMes]",
"[Calendario].[AñoMes].&amp;[" &amp; TEXT(AA$6,"yyyymm") &amp; "]",
"[Base].[Metrica]",
"[Base].[Metrica].&amp;[" &amp; $A10 &amp; "]",
"[Base].[SEGMENTO_DESCRIP]",
"[Base].[SEGMENTO_DESCRIP].&amp;[" &amp; $C$6 &amp; "]",
"[Base].[SITUACION]",
"[Base].[SITUACION].&amp;[" &amp; $C10 &amp; "]"
),0)/1000</f>
        <v>2003.9342200000001</v>
      </c>
      <c r="AB10" s="8">
        <f>IFERROR(
GETPIVOTDATA(
"[Base].[Importe]",
TDinamica_R!$A$5,
"[Calendario].[AñoMes]",
"[Calendario].[AñoMes].&amp;[" &amp; TEXT(AB$6,"yyyymm") &amp; "]",
"[Base].[Metrica]",
"[Base].[Metrica].&amp;[" &amp; $A10 &amp; "]",
"[Base].[SEGMENTO_DESCRIP]",
"[Base].[SEGMENTO_DESCRIP].&amp;[" &amp; $C$6 &amp; "]",
"[Base].[SITUACION]",
"[Base].[SITUACION].&amp;[" &amp; $C10 &amp; "]"
),0)/1000</f>
        <v>2217.9252200000001</v>
      </c>
      <c r="AC10" s="8">
        <f>IFERROR(
GETPIVOTDATA(
"[Base].[Importe]",
TDinamica_R!$A$5,
"[Calendario].[AñoMes]",
"[Calendario].[AñoMes].&amp;[" &amp; TEXT(AC$6,"yyyymm") &amp; "]",
"[Base].[Metrica]",
"[Base].[Metrica].&amp;[" &amp; $A10 &amp; "]",
"[Base].[SEGMENTO_DESCRIP]",
"[Base].[SEGMENTO_DESCRIP].&amp;[" &amp; $C$6 &amp; "]",
"[Base].[SITUACION]",
"[Base].[SITUACION].&amp;[" &amp; $C10 &amp; "]"
),0)/1000</f>
        <v>2409.0172900000002</v>
      </c>
      <c r="AD10" s="8">
        <f>IFERROR(
GETPIVOTDATA(
"[Base].[Importe]",
TDinamica_R!$A$5,
"[Calendario].[AñoMes]",
"[Calendario].[AñoMes].&amp;[" &amp; TEXT(AD$6,"yyyymm") &amp; "]",
"[Base].[Metrica]",
"[Base].[Metrica].&amp;[" &amp; $A10 &amp; "]",
"[Base].[SEGMENTO_DESCRIP]",
"[Base].[SEGMENTO_DESCRIP].&amp;[" &amp; $C$6 &amp; "]",
"[Base].[SITUACION]",
"[Base].[SITUACION].&amp;[" &amp; $C10 &amp; "]"
),0)/1000</f>
        <v>2569.5111400000001</v>
      </c>
      <c r="AE10" s="8">
        <f>IFERROR(
GETPIVOTDATA(
"[Base].[Importe]",
TDinamica_R!$A$5,
"[Calendario].[AñoMes]",
"[Calendario].[AñoMes].&amp;[" &amp; TEXT(AE$6,"yyyymm") &amp; "]",
"[Base].[Metrica]",
"[Base].[Metrica].&amp;[" &amp; $A10 &amp; "]",
"[Base].[SEGMENTO_DESCRIP]",
"[Base].[SEGMENTO_DESCRIP].&amp;[" &amp; $C$6 &amp; "]",
"[Base].[SITUACION]",
"[Base].[SITUACION].&amp;[" &amp; $C10 &amp; "]"
),0)/1000</f>
        <v>2638.2565299999997</v>
      </c>
      <c r="AF10" s="8">
        <f>IFERROR(
GETPIVOTDATA(
"[Base].[Importe]",
TDinamica_R!$A$5,
"[Calendario].[AñoMes]",
"[Calendario].[AñoMes].&amp;[" &amp; TEXT(AF$6,"yyyymm") &amp; "]",
"[Base].[Metrica]",
"[Base].[Metrica].&amp;[" &amp; $A10 &amp; "]",
"[Base].[SEGMENTO_DESCRIP]",
"[Base].[SEGMENTO_DESCRIP].&amp;[" &amp; $C$6 &amp; "]",
"[Base].[SITUACION]",
"[Base].[SITUACION].&amp;[" &amp; $C10 &amp; "]"
),0)/1000</f>
        <v>2416.4425799999999</v>
      </c>
      <c r="AG10" s="8">
        <f>IFERROR(
GETPIVOTDATA(
"[Base].[Importe]",
TDinamica_R!$A$5,
"[Calendario].[AñoMes]",
"[Calendario].[AñoMes].&amp;[" &amp; TEXT(AG$6,"yyyymm") &amp; "]",
"[Base].[Metrica]",
"[Base].[Metrica].&amp;[" &amp; $A10 &amp; "]",
"[Base].[SEGMENTO_DESCRIP]",
"[Base].[SEGMENTO_DESCRIP].&amp;[" &amp; $C$6 &amp; "]",
"[Base].[SITUACION]",
"[Base].[SITUACION].&amp;[" &amp; $C10 &amp; "]"
),0)/1000</f>
        <v>2716.99289</v>
      </c>
      <c r="AH10" s="8">
        <f>IFERROR(
GETPIVOTDATA(
"[Base].[Importe]",
TDinamica_R!$A$5,
"[Calendario].[AñoMes]",
"[Calendario].[AñoMes].&amp;[" &amp; TEXT(AH$6,"yyyymm") &amp; "]",
"[Base].[Metrica]",
"[Base].[Metrica].&amp;[" &amp; $A10 &amp; "]",
"[Base].[SEGMENTO_DESCRIP]",
"[Base].[SEGMENTO_DESCRIP].&amp;[" &amp; $C$6 &amp; "]",
"[Base].[SITUACION]",
"[Base].[SITUACION].&amp;[" &amp; $C10 &amp; "]"
),0)/1000</f>
        <v>2433.1583699999996</v>
      </c>
      <c r="AI10" s="8">
        <f>IFERROR(
GETPIVOTDATA(
"[Base].[Importe]",
TDinamica_R!$A$5,
"[Calendario].[AñoMes]",
"[Calendario].[AñoMes].&amp;[" &amp; TEXT(AI$6,"yyyymm") &amp; "]",
"[Base].[Metrica]",
"[Base].[Metrica].&amp;[" &amp; $A10 &amp; "]",
"[Base].[SEGMENTO_DESCRIP]",
"[Base].[SEGMENTO_DESCRIP].&amp;[" &amp; $C$6 &amp; "]",
"[Base].[SITUACION]",
"[Base].[SITUACION].&amp;[" &amp; $C10 &amp; "]"
),0)/1000</f>
        <v>2637.9878599999997</v>
      </c>
      <c r="AJ10" s="8">
        <f>IFERROR(
GETPIVOTDATA(
"[Base].[Importe]",
TDinamica_R!$A$5,
"[Calendario].[AñoMes]",
"[Calendario].[AñoMes].&amp;[" &amp; TEXT(AJ$6,"yyyymm") &amp; "]",
"[Base].[Metrica]",
"[Base].[Metrica].&amp;[" &amp; $A10 &amp; "]",
"[Base].[SEGMENTO_DESCRIP]",
"[Base].[SEGMENTO_DESCRIP].&amp;[" &amp; $C$6 &amp; "]",
"[Base].[SITUACION]",
"[Base].[SITUACION].&amp;[" &amp; $C10 &amp; "]"
),0)/1000</f>
        <v>2526.9493600000005</v>
      </c>
      <c r="AK10" s="8">
        <f>IFERROR(
GETPIVOTDATA(
"[Base].[Importe]",
TDinamica_R!$A$5,
"[Calendario].[AñoMes]",
"[Calendario].[AñoMes].&amp;[" &amp; TEXT(AK$6,"yyyymm") &amp; "]",
"[Base].[Metrica]",
"[Base].[Metrica].&amp;[" &amp; $A10 &amp; "]",
"[Base].[SEGMENTO_DESCRIP]",
"[Base].[SEGMENTO_DESCRIP].&amp;[" &amp; $C$6 &amp; "]",
"[Base].[SITUACION]",
"[Base].[SITUACION].&amp;[" &amp; $C10 &amp; "]"
),0)/1000</f>
        <v>2778.7220899999998</v>
      </c>
      <c r="AL10" s="8">
        <f>IFERROR(
GETPIVOTDATA(
"[Base].[Importe]",
TDinamica_R!$A$5,
"[Calendario].[AñoMes]",
"[Calendario].[AñoMes].&amp;[" &amp; TEXT(AL$6,"yyyymm") &amp; "]",
"[Base].[Metrica]",
"[Base].[Metrica].&amp;[" &amp; $A10 &amp; "]",
"[Base].[SEGMENTO_DESCRIP]",
"[Base].[SEGMENTO_DESCRIP].&amp;[" &amp; $C$6 &amp; "]",
"[Base].[SITUACION]",
"[Base].[SITUACION].&amp;[" &amp; $C10 &amp; "]"
),0)/1000</f>
        <v>3241.7255499999997</v>
      </c>
      <c r="AM10" s="8">
        <f>IFERROR(
GETPIVOTDATA(
"[Base].[Importe]",
TDinamica_R!$A$5,
"[Calendario].[AñoMes]",
"[Calendario].[AñoMes].&amp;[" &amp; TEXT(AM$6,"yyyymm") &amp; "]",
"[Base].[Metrica]",
"[Base].[Metrica].&amp;[" &amp; $A10 &amp; "]",
"[Base].[SEGMENTO_DESCRIP]",
"[Base].[SEGMENTO_DESCRIP].&amp;[" &amp; $C$6 &amp; "]",
"[Base].[SITUACION]",
"[Base].[SITUACION].&amp;[" &amp; $C10 &amp; "]"
),0)/1000</f>
        <v>3426.9623199999996</v>
      </c>
      <c r="AN10" s="8">
        <f>IFERROR(
GETPIVOTDATA(
"[Base].[Importe]",
TDinamica_R!$A$5,
"[Calendario].[AñoMes]",
"[Calendario].[AñoMes].&amp;[" &amp; TEXT(AN$6,"yyyymm") &amp; "]",
"[Base].[Metrica]",
"[Base].[Metrica].&amp;[" &amp; $A10 &amp; "]",
"[Base].[SEGMENTO_DESCRIP]",
"[Base].[SEGMENTO_DESCRIP].&amp;[" &amp; $C$6 &amp; "]",
"[Base].[SITUACION]",
"[Base].[SITUACION].&amp;[" &amp; $C10 &amp; "]"
),0)/1000</f>
        <v>3549.41</v>
      </c>
      <c r="AO10" s="8">
        <f>IFERROR(
GETPIVOTDATA(
"[Base].[Importe]",
TDinamica_R!$A$5,
"[Calendario].[AñoMes]",
"[Calendario].[AñoMes].&amp;[" &amp; TEXT(AO$6,"yyyymm") &amp; "]",
"[Base].[Metrica]",
"[Base].[Metrica].&amp;[" &amp; $A10 &amp; "]",
"[Base].[SEGMENTO_DESCRIP]",
"[Base].[SEGMENTO_DESCRIP].&amp;[" &amp; $C$6 &amp; "]",
"[Base].[SITUACION]",
"[Base].[SITUACION].&amp;[" &amp; $C10 &amp; "]"
),0)/1000</f>
        <v>3876.9</v>
      </c>
      <c r="AP10" s="8">
        <f>IFERROR(
GETPIVOTDATA(
"[Base].[Importe]",
TDinamica_R!$A$5,
"[Calendario].[AñoMes]",
"[Calendario].[AñoMes].&amp;[" &amp; TEXT(AP$6,"yyyymm") &amp; "]",
"[Base].[Metrica]",
"[Base].[Metrica].&amp;[" &amp; $A10 &amp; "]",
"[Base].[SEGMENTO_DESCRIP]",
"[Base].[SEGMENTO_DESCRIP].&amp;[" &amp; $C$6 &amp; "]",
"[Base].[SITUACION]",
"[Base].[SITUACION].&amp;[" &amp; $C10 &amp; "]"
),0)/1000</f>
        <v>3793.37</v>
      </c>
      <c r="AQ10" s="8">
        <f>IFERROR(
GETPIVOTDATA(
"[Base].[Importe]",
TDinamica_R!$A$5,
"[Calendario].[AñoMes]",
"[Calendario].[AñoMes].&amp;[" &amp; TEXT(AQ$6,"yyyymm") &amp; "]",
"[Base].[Metrica]",
"[Base].[Metrica].&amp;[" &amp; $A10 &amp; "]",
"[Base].[SEGMENTO_DESCRIP]",
"[Base].[SEGMENTO_DESCRIP].&amp;[" &amp; $C$6 &amp; "]",
"[Base].[SITUACION]",
"[Base].[SITUACION].&amp;[" &amp; $C10 &amp; "]"
),0)/1000</f>
        <v>3756.4012000000007</v>
      </c>
      <c r="AR10" s="8">
        <f>IFERROR(
GETPIVOTDATA(
"[Base].[Importe]",
TDinamica_R!$A$5,
"[Calendario].[AñoMes]",
"[Calendario].[AñoMes].&amp;[" &amp; TEXT(AR$6,"yyyymm") &amp; "]",
"[Base].[Metrica]",
"[Base].[Metrica].&amp;[" &amp; $A10 &amp; "]",
"[Base].[SEGMENTO_DESCRIP]",
"[Base].[SEGMENTO_DESCRIP].&amp;[" &amp; $C$6 &amp; "]",
"[Base].[SITUACION]",
"[Base].[SITUACION].&amp;[" &amp; $C10 &amp; "]"
),0)/1000</f>
        <v>3487.2461099999991</v>
      </c>
      <c r="AS10" s="8">
        <f>IFERROR(
GETPIVOTDATA(
"[Base].[Importe]",
TDinamica_R!$A$5,
"[Calendario].[AñoMes]",
"[Calendario].[AñoMes].&amp;[" &amp; TEXT(AS$6,"yyyymm") &amp; "]",
"[Base].[Metrica]",
"[Base].[Metrica].&amp;[" &amp; $A10 &amp; "]",
"[Base].[SEGMENTO_DESCRIP]",
"[Base].[SEGMENTO_DESCRIP].&amp;[" &amp; $C$6 &amp; "]",
"[Base].[SITUACION]",
"[Base].[SITUACION].&amp;[" &amp; $C10 &amp; "]"
),0)/1000</f>
        <v>3411.1276000000003</v>
      </c>
      <c r="AT10" s="8">
        <f>IFERROR(
GETPIVOTDATA(
"[Base].[Importe]",
TDinamica_R!$A$5,
"[Calendario].[AñoMes]",
"[Calendario].[AñoMes].&amp;[" &amp; TEXT(AT$6,"yyyymm")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U10" s="8">
        <f>IFERROR(
GETPIVOTDATA(
"[Base].[Importe]",
TDinamica_R!$A$5,
"[Calendario].[AñoMes]",
"[Calendario].[AñoMes].&amp;[" &amp; TEXT(AU$6,"yyyymm")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V10" s="8">
        <f>IFERROR(
GETPIVOTDATA(
"[Base].[Importe]",
TDinamica_R!$A$5,
"[Calendario].[AñoMes]",
"[Calendario].[AñoMes].&amp;[" &amp; TEXT(AV$6,"yyyymm")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W10" s="8">
        <f>IFERROR(
GETPIVOTDATA(
"[Base].[Importe]",
TDinamica_R!$A$5,
"[Calendario].[AñoMes]",
"[Calendario].[AñoMes].&amp;[" &amp; TEXT(AW$6,"yyyymm")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X10" s="8">
        <f>IFERROR(
GETPIVOTDATA(
"[Base].[Importe]",
TDinamica_R!$A$5,
"[Calendario].[AñoMes]",
"[Calendario].[AñoMes].&amp;[" &amp; TEXT(AX$6,"yyyymm")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Y10" s="8">
        <f>IFERROR(
GETPIVOTDATA(
"[Base].[Importe]",
TDinamica_R!$A$5,
"[Calendario].[AñoMes]",
"[Calendario].[AñoMes].&amp;[" &amp; TEXT(AY$6,"yyyymm")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Z10" s="8">
        <f>IFERROR(
GETPIVOTDATA(
"[BASE_CONVE_PPTO].[Importe]",
TDinamica_P!$A$5,
"[BASE_CONVE_PPTO].[Periodo]",
"[BASE_CONVE_PPTO].[Periodo].&amp;[" &amp; TEXT(AZ$6,"yyyymm")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3202.9647086728687</v>
      </c>
      <c r="BA10" s="8">
        <f>IFERROR(
GETPIVOTDATA(
"[BASE_CONVE_PPTO].[Importe]",
TDinamica_P!$A$5,
"[BASE_CONVE_PPTO].[Periodo]",
"[BASE_CONVE_PPTO].[Periodo].&amp;[" &amp; TEXT(BA$6,"yyyymm")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3139.3505279810506</v>
      </c>
      <c r="BB10" s="8">
        <f>IFERROR(
GETPIVOTDATA(
"[BASE_CONVE_PPTO].[Importe]",
TDinamica_P!$A$5,
"[BASE_CONVE_PPTO].[Periodo]",
"[BASE_CONVE_PPTO].[Periodo].&amp;[" &amp; TEXT(BB$6,"yyyymm")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3087.1994389775687</v>
      </c>
      <c r="BC10" s="8">
        <f>IFERROR(
GETPIVOTDATA(
"[BASE_CONVE_PPTO].[Importe]",
TDinamica_P!$A$5,
"[BASE_CONVE_PPTO].[Periodo]",
"[BASE_CONVE_PPTO].[Periodo].&amp;[" &amp; TEXT(BC$6,"yyyymm")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3013.1395579392852</v>
      </c>
      <c r="BD10" s="8">
        <f>IFERROR(
GETPIVOTDATA(
"[BASE_CONVE_PPTO].[Importe]",
TDinamica_P!$A$5,
"[BASE_CONVE_PPTO].[Periodo]",
"[BASE_CONVE_PPTO].[Periodo].&amp;[" &amp; TEXT(BD$6,"yyyymm")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2991.103517949964</v>
      </c>
      <c r="BE10" s="8">
        <f>IFERROR(
GETPIVOTDATA(
"[BASE_CONVE_PPTO].[Importe]",
TDinamica_P!$A$5,
"[BASE_CONVE_PPTO].[Periodo]",
"[BASE_CONVE_PPTO].[Periodo].&amp;[" &amp; TEXT(BE$6,"yyyymm")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2970.418782303288</v>
      </c>
      <c r="BF10" s="8">
        <f>IFERROR(
GETPIVOTDATA(
"[BASE_CONVE_PPTO].[Importe]",
TDinamica_P!$A$5,
"[BASE_CONVE_PPTO].[Periodo]",
"[BASE_CONVE_PPTO].[Periodo].&amp;[" &amp; TEXT(BF$6,"yyyymm")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2937.4593583498645</v>
      </c>
      <c r="BG10" s="8">
        <f>IFERROR(
GETPIVOTDATA(
"[BASE_CONVE_PPTO].[Importe]",
TDinamica_P!$A$5,
"[BASE_CONVE_PPTO].[Periodo]",
"[BASE_CONVE_PPTO].[Periodo].&amp;[" &amp; TEXT(BG$6,"yyyymm")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2953.4666257344138</v>
      </c>
      <c r="BH10" s="8">
        <f>IFERROR(
GETPIVOTDATA(
"[BASE_CONVE_PPTO].[Importe]",
TDinamica_P!$A$5,
"[BASE_CONVE_PPTO].[Periodo]",
"[BASE_CONVE_PPTO].[Periodo].&amp;[" &amp; TEXT(BH$6,"yyyymm")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2928.0768401140735</v>
      </c>
      <c r="BI10" s="8">
        <f>IFERROR(
GETPIVOTDATA(
"[BASE_CONVE_PPTO].[Importe]",
TDinamica_P!$A$5,
"[BASE_CONVE_PPTO].[Periodo]",
"[BASE_CONVE_PPTO].[Periodo].&amp;[" &amp; TEXT(BI$6,"yyyymm")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2920.50924640525</v>
      </c>
      <c r="BJ10" s="8">
        <f>IFERROR(
GETPIVOTDATA(
"[BASE_CONVE_PPTO].[Importe]",
TDinamica_P!$A$5,
"[BASE_CONVE_PPTO].[Periodo]",
"[BASE_CONVE_PPTO].[Periodo].&amp;[" &amp; TEXT(BJ$6,"yyyymm")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2920.7104625531388</v>
      </c>
      <c r="BK10" s="8">
        <f>IFERROR(
GETPIVOTDATA(
"[BASE_CONVE_PPTO].[Importe]",
TDinamica_P!$A$5,
"[BASE_CONVE_PPTO].[Periodo]",
"[BASE_CONVE_PPTO].[Periodo].&amp;[" &amp; TEXT(BK$6,"yyyymm") &amp; "]",
"[BASE_CONVE_PPTO].[Metrica]",
"[BASE_CONVE_PPTO].[Metrica].&amp;[" &amp; $A10 &amp; "]",
"[BASE_CONVE_PPTO].[SEGMENTO_DESCRIP]",
"[BASE_CONVE_PPTO].[SEGMENTO_DESCRIP].&amp;[" &amp; $C$6 &amp; "]",
"[BASE_CONVE_PPTO].[SITUACION]",
"[BASE_CONVE_PPTO].[SITUACION].&amp;[" &amp; $C10 &amp; "]"),
0)</f>
        <v>2925.4913897083461</v>
      </c>
      <c r="BO10" s="24">
        <f t="shared" si="4"/>
        <v>3487.2461099999991</v>
      </c>
      <c r="BP10" s="24">
        <f t="shared" si="6"/>
        <v>2991.103517949964</v>
      </c>
      <c r="BQ10" s="24">
        <f t="shared" si="5"/>
        <v>3756.4012000000007</v>
      </c>
      <c r="BR10" s="24">
        <f t="shared" si="5"/>
        <v>2416.4425799999999</v>
      </c>
      <c r="BS10" s="24">
        <f t="shared" si="5"/>
        <v>1656.4915000000001</v>
      </c>
      <c r="BT10" s="24">
        <f t="shared" si="5"/>
        <v>4385.4851400000007</v>
      </c>
    </row>
    <row r="11" spans="1:81" x14ac:dyDescent="0.25">
      <c r="C11" s="3" t="s">
        <v>2</v>
      </c>
      <c r="D11" s="10">
        <f>SUM(D8:D10)</f>
        <v>136045.23336000001</v>
      </c>
      <c r="E11" s="10">
        <f t="shared" ref="E11:AY11" si="7">SUM(E8:E10)</f>
        <v>141026.47681999998</v>
      </c>
      <c r="F11" s="10">
        <f t="shared" si="7"/>
        <v>143488.44032999998</v>
      </c>
      <c r="G11" s="10">
        <f t="shared" si="7"/>
        <v>146553.25469999999</v>
      </c>
      <c r="H11" s="10">
        <f t="shared" si="7"/>
        <v>150359.70342999999</v>
      </c>
      <c r="I11" s="10">
        <f t="shared" si="7"/>
        <v>151500.74916000001</v>
      </c>
      <c r="J11" s="10">
        <f t="shared" si="7"/>
        <v>152517.26179999998</v>
      </c>
      <c r="K11" s="10">
        <f t="shared" si="7"/>
        <v>152837.25436999998</v>
      </c>
      <c r="L11" s="10">
        <f t="shared" si="7"/>
        <v>152368.96243000001</v>
      </c>
      <c r="M11" s="10">
        <f t="shared" si="7"/>
        <v>150915.24025</v>
      </c>
      <c r="N11" s="10">
        <f t="shared" si="7"/>
        <v>149500.37164</v>
      </c>
      <c r="O11" s="10">
        <f t="shared" si="7"/>
        <v>146721.28223000001</v>
      </c>
      <c r="P11" s="10">
        <f t="shared" si="7"/>
        <v>142705.41729000001</v>
      </c>
      <c r="Q11" s="10">
        <f t="shared" si="7"/>
        <v>142420.15499999997</v>
      </c>
      <c r="R11" s="10">
        <f t="shared" si="7"/>
        <v>143597.41819000003</v>
      </c>
      <c r="S11" s="10">
        <f t="shared" si="7"/>
        <v>145406.47458000004</v>
      </c>
      <c r="T11" s="10">
        <f t="shared" si="7"/>
        <v>144499.64993000004</v>
      </c>
      <c r="U11" s="10">
        <f t="shared" si="7"/>
        <v>141792.61103999999</v>
      </c>
      <c r="V11" s="10">
        <f t="shared" si="7"/>
        <v>141030.82206999999</v>
      </c>
      <c r="W11" s="10">
        <f t="shared" si="7"/>
        <v>138696.05614599999</v>
      </c>
      <c r="X11" s="10">
        <f t="shared" si="7"/>
        <v>137176.04384999999</v>
      </c>
      <c r="Y11" s="10">
        <f t="shared" si="7"/>
        <v>133372.39826999998</v>
      </c>
      <c r="Z11" s="10">
        <f t="shared" si="7"/>
        <v>128382.72578423101</v>
      </c>
      <c r="AA11" s="10">
        <f t="shared" si="7"/>
        <v>122158.39886</v>
      </c>
      <c r="AB11" s="10">
        <f t="shared" si="7"/>
        <v>118341.47581</v>
      </c>
      <c r="AC11" s="10">
        <f t="shared" si="7"/>
        <v>116992.33992</v>
      </c>
      <c r="AD11" s="10">
        <f t="shared" si="7"/>
        <v>113770.88649999999</v>
      </c>
      <c r="AE11" s="10">
        <f t="shared" si="7"/>
        <v>113976.71644999999</v>
      </c>
      <c r="AF11" s="10">
        <f t="shared" si="7"/>
        <v>114552.52568000001</v>
      </c>
      <c r="AG11" s="10">
        <f t="shared" si="7"/>
        <v>118153.96332999998</v>
      </c>
      <c r="AH11" s="10">
        <f t="shared" si="7"/>
        <v>125178.28319999999</v>
      </c>
      <c r="AI11" s="10">
        <f t="shared" si="7"/>
        <v>132392.18834999998</v>
      </c>
      <c r="AJ11" s="10">
        <f t="shared" si="7"/>
        <v>136136.14723</v>
      </c>
      <c r="AK11" s="10">
        <f t="shared" si="7"/>
        <v>137076.84498000002</v>
      </c>
      <c r="AL11" s="10">
        <f t="shared" si="7"/>
        <v>138088.41558999999</v>
      </c>
      <c r="AM11" s="10">
        <f t="shared" si="7"/>
        <v>137971.94738999999</v>
      </c>
      <c r="AN11" s="10">
        <f t="shared" si="7"/>
        <v>138362.82</v>
      </c>
      <c r="AO11" s="10">
        <f t="shared" si="7"/>
        <v>138347.87999999998</v>
      </c>
      <c r="AP11" s="10">
        <f t="shared" si="7"/>
        <v>141365.33000000002</v>
      </c>
      <c r="AQ11" s="10">
        <f t="shared" si="7"/>
        <v>141526.39487999995</v>
      </c>
      <c r="AR11" s="10">
        <f t="shared" si="7"/>
        <v>142326.19409000006</v>
      </c>
      <c r="AS11" s="10">
        <f t="shared" si="7"/>
        <v>143121.48381999999</v>
      </c>
      <c r="AT11" s="10">
        <f t="shared" si="7"/>
        <v>0</v>
      </c>
      <c r="AU11" s="10">
        <f t="shared" si="7"/>
        <v>0</v>
      </c>
      <c r="AV11" s="10">
        <f t="shared" si="7"/>
        <v>0</v>
      </c>
      <c r="AW11" s="10">
        <f t="shared" si="7"/>
        <v>0</v>
      </c>
      <c r="AX11" s="10">
        <f t="shared" si="7"/>
        <v>0</v>
      </c>
      <c r="AY11" s="10">
        <f t="shared" si="7"/>
        <v>0</v>
      </c>
      <c r="AZ11" s="10">
        <f>SUM(AZ8:AZ10)</f>
        <v>132981.41710640295</v>
      </c>
      <c r="BA11" s="10">
        <f t="shared" ref="BA11:BK11" si="8">SUM(BA8:BA10)</f>
        <v>132096.74335752582</v>
      </c>
      <c r="BB11" s="10">
        <f t="shared" si="8"/>
        <v>131384.57751513316</v>
      </c>
      <c r="BC11" s="10">
        <f t="shared" si="8"/>
        <v>130686.95015246306</v>
      </c>
      <c r="BD11" s="10">
        <f t="shared" si="8"/>
        <v>129077.77855202022</v>
      </c>
      <c r="BE11" s="10">
        <f t="shared" si="8"/>
        <v>127609.76616570655</v>
      </c>
      <c r="BF11" s="10">
        <f t="shared" si="8"/>
        <v>126127.34693512318</v>
      </c>
      <c r="BG11" s="10">
        <f t="shared" si="8"/>
        <v>124620.43758342437</v>
      </c>
      <c r="BH11" s="10">
        <f t="shared" si="8"/>
        <v>120830.55053265393</v>
      </c>
      <c r="BI11" s="10">
        <f t="shared" si="8"/>
        <v>117103.89029759196</v>
      </c>
      <c r="BJ11" s="10">
        <f t="shared" si="8"/>
        <v>113333.90375970397</v>
      </c>
      <c r="BK11" s="10">
        <f t="shared" si="8"/>
        <v>109925.65502429452</v>
      </c>
      <c r="BO11" s="23">
        <f>SUM(BO8:BO10)</f>
        <v>142326.19409000006</v>
      </c>
      <c r="BP11" s="23">
        <f>SUM(BP8:BP10)</f>
        <v>129077.77855202022</v>
      </c>
      <c r="BQ11" s="23">
        <f t="shared" ref="BQ11:BT11" si="9">SUM(BQ8:BQ10)</f>
        <v>141526.39487999995</v>
      </c>
      <c r="BR11" s="23">
        <f t="shared" si="9"/>
        <v>114552.52568000001</v>
      </c>
      <c r="BS11" s="23">
        <f t="shared" si="9"/>
        <v>144499.64993000004</v>
      </c>
      <c r="BT11" s="23">
        <f t="shared" si="9"/>
        <v>150359.70342999999</v>
      </c>
    </row>
    <row r="14" spans="1:81" outlineLevel="1" x14ac:dyDescent="0.25">
      <c r="A14" s="11" t="s">
        <v>52</v>
      </c>
      <c r="C14" s="2" t="s">
        <v>0</v>
      </c>
      <c r="D14" s="8">
        <f>IFERROR(
GETPIVOTDATA(
"[Base].[Importe]",
TDinamica_R!$A$5,
"[Calendario].[AñoMes]",
"[Calendario].[AñoMes].&amp;[" &amp; TEXT(D$6,"yyyymm") &amp; "]",
"[Base].[Metrica]",
"[Base].[Metrica].&amp;[" &amp; $A14 &amp; "]",
"[Base].[SEGMENTO_DESCRIP]",
"[Base].[SEGMENTO_DESCRIP].&amp;[" &amp; $C$6 &amp; "]",
"[Base].[SITUACION]",
"[Base].[SITUACION].&amp;[" &amp; $C14 &amp; "]"
),0)/1000</f>
        <v>125639.04807999999</v>
      </c>
      <c r="E14" s="8">
        <f>IFERROR(
GETPIVOTDATA(
"[Base].[Importe]",
TDinamica_R!$A$5,
"[Calendario].[AñoMes]",
"[Calendario].[AñoMes].&amp;[" &amp; TEXT(E$6,"yyyymm") &amp; "]",
"[Base].[Metrica]",
"[Base].[Metrica].&amp;[" &amp; $A14 &amp; "]",
"[Base].[SEGMENTO_DESCRIP]",
"[Base].[SEGMENTO_DESCRIP].&amp;[" &amp; $C$6 &amp; "]",
"[Base].[SITUACION]",
"[Base].[SITUACION].&amp;[" &amp; $C14 &amp; "]"
),0)/1000</f>
        <v>130110.62468000001</v>
      </c>
      <c r="F14" s="8">
        <f>IFERROR(
GETPIVOTDATA(
"[Base].[Importe]",
TDinamica_R!$A$5,
"[Calendario].[AñoMes]",
"[Calendario].[AñoMes].&amp;[" &amp; TEXT(F$6,"yyyymm") &amp; "]",
"[Base].[Metrica]",
"[Base].[Metrica].&amp;[" &amp; $A14 &amp; "]",
"[Base].[SEGMENTO_DESCRIP]",
"[Base].[SEGMENTO_DESCRIP].&amp;[" &amp; $C$6 &amp; "]",
"[Base].[SITUACION]",
"[Base].[SITUACION].&amp;[" &amp; $C14 &amp; "]"
),0)/1000</f>
        <v>133184.61552000002</v>
      </c>
      <c r="G14" s="8">
        <f>IFERROR(
GETPIVOTDATA(
"[Base].[Importe]",
TDinamica_R!$A$5,
"[Calendario].[AñoMes]",
"[Calendario].[AñoMes].&amp;[" &amp; TEXT(G$6,"yyyymm") &amp; "]",
"[Base].[Metrica]",
"[Base].[Metrica].&amp;[" &amp; $A14 &amp; "]",
"[Base].[SEGMENTO_DESCRIP]",
"[Base].[SEGMENTO_DESCRIP].&amp;[" &amp; $C$6 &amp; "]",
"[Base].[SITUACION]",
"[Base].[SITUACION].&amp;[" &amp; $C14 &amp; "]"
),0)/1000</f>
        <v>135882.15412999998</v>
      </c>
      <c r="H14" s="8">
        <f>IFERROR(
GETPIVOTDATA(
"[Base].[Importe]",
TDinamica_R!$A$5,
"[Calendario].[AñoMes]",
"[Calendario].[AñoMes].&amp;[" &amp; TEXT(H$6,"yyyymm") &amp; "]",
"[Base].[Metrica]",
"[Base].[Metrica].&amp;[" &amp; $A14 &amp; "]",
"[Base].[SEGMENTO_DESCRIP]",
"[Base].[SEGMENTO_DESCRIP].&amp;[" &amp; $C$6 &amp; "]",
"[Base].[SITUACION]",
"[Base].[SITUACION].&amp;[" &amp; $C14 &amp; "]"
),0)/1000</f>
        <v>138989.8603</v>
      </c>
      <c r="I14" s="8">
        <f>IFERROR(
GETPIVOTDATA(
"[Base].[Importe]",
TDinamica_R!$A$5,
"[Calendario].[AñoMes]",
"[Calendario].[AñoMes].&amp;[" &amp; TEXT(I$6,"yyyymm") &amp; "]",
"[Base].[Metrica]",
"[Base].[Metrica].&amp;[" &amp; $A14 &amp; "]",
"[Base].[SEGMENTO_DESCRIP]",
"[Base].[SEGMENTO_DESCRIP].&amp;[" &amp; $C$6 &amp; "]",
"[Base].[SITUACION]",
"[Base].[SITUACION].&amp;[" &amp; $C14 &amp; "]"
),0)/1000</f>
        <v>141066.34434000001</v>
      </c>
      <c r="J14" s="8">
        <f>IFERROR(
GETPIVOTDATA(
"[Base].[Importe]",
TDinamica_R!$A$5,
"[Calendario].[AñoMes]",
"[Calendario].[AñoMes].&amp;[" &amp; TEXT(J$6,"yyyymm") &amp; "]",
"[Base].[Metrica]",
"[Base].[Metrica].&amp;[" &amp; $A14 &amp; "]",
"[Base].[SEGMENTO_DESCRIP]",
"[Base].[SEGMENTO_DESCRIP].&amp;[" &amp; $C$6 &amp; "]",
"[Base].[SITUACION]",
"[Base].[SITUACION].&amp;[" &amp; $C14 &amp; "]"
),0)/1000</f>
        <v>142983.48408000002</v>
      </c>
      <c r="K14" s="8">
        <f>IFERROR(
GETPIVOTDATA(
"[Base].[Importe]",
TDinamica_R!$A$5,
"[Calendario].[AñoMes]",
"[Calendario].[AñoMes].&amp;[" &amp; TEXT(K$6,"yyyymm") &amp; "]",
"[Base].[Metrica]",
"[Base].[Metrica].&amp;[" &amp; $A14 &amp; "]",
"[Base].[SEGMENTO_DESCRIP]",
"[Base].[SEGMENTO_DESCRIP].&amp;[" &amp; $C$6 &amp; "]",
"[Base].[SITUACION]",
"[Base].[SITUACION].&amp;[" &amp; $C14 &amp; "]"
),0)/1000</f>
        <v>143818.23582999999</v>
      </c>
      <c r="L14" s="8">
        <f>IFERROR(
GETPIVOTDATA(
"[Base].[Importe]",
TDinamica_R!$A$5,
"[Calendario].[AñoMes]",
"[Calendario].[AñoMes].&amp;[" &amp; TEXT(L$6,"yyyymm") &amp; "]",
"[Base].[Metrica]",
"[Base].[Metrica].&amp;[" &amp; $A14 &amp; "]",
"[Base].[SEGMENTO_DESCRIP]",
"[Base].[SEGMENTO_DESCRIP].&amp;[" &amp; $C$6 &amp; "]",
"[Base].[SITUACION]",
"[Base].[SITUACION].&amp;[" &amp; $C14 &amp; "]"
),0)/1000</f>
        <v>143727.20437999998</v>
      </c>
      <c r="M14" s="8">
        <f>IFERROR(
GETPIVOTDATA(
"[Base].[Importe]",
TDinamica_R!$A$5,
"[Calendario].[AñoMes]",
"[Calendario].[AñoMes].&amp;[" &amp; TEXT(M$6,"yyyymm") &amp; "]",
"[Base].[Metrica]",
"[Base].[Metrica].&amp;[" &amp; $A14 &amp; "]",
"[Base].[SEGMENTO_DESCRIP]",
"[Base].[SEGMENTO_DESCRIP].&amp;[" &amp; $C$6 &amp; "]",
"[Base].[SITUACION]",
"[Base].[SITUACION].&amp;[" &amp; $C14 &amp; "]"
),0)/1000</f>
        <v>142767.61852000002</v>
      </c>
      <c r="N14" s="8">
        <f>IFERROR(
GETPIVOTDATA(
"[Base].[Importe]",
TDinamica_R!$A$5,
"[Calendario].[AñoMes]",
"[Calendario].[AñoMes].&amp;[" &amp; TEXT(N$6,"yyyymm") &amp; "]",
"[Base].[Metrica]",
"[Base].[Metrica].&amp;[" &amp; $A14 &amp; "]",
"[Base].[SEGMENTO_DESCRIP]",
"[Base].[SEGMENTO_DESCRIP].&amp;[" &amp; $C$6 &amp; "]",
"[Base].[SITUACION]",
"[Base].[SITUACION].&amp;[" &amp; $C14 &amp; "]"
),0)/1000</f>
        <v>141955.22553</v>
      </c>
      <c r="O14" s="8">
        <f>IFERROR(
GETPIVOTDATA(
"[Base].[Importe]",
TDinamica_R!$A$5,
"[Calendario].[AñoMes]",
"[Calendario].[AñoMes].&amp;[" &amp; TEXT(O$6,"yyyymm") &amp; "]",
"[Base].[Metrica]",
"[Base].[Metrica].&amp;[" &amp; $A14 &amp; "]",
"[Base].[SEGMENTO_DESCRIP]",
"[Base].[SEGMENTO_DESCRIP].&amp;[" &amp; $C$6 &amp; "]",
"[Base].[SITUACION]",
"[Base].[SITUACION].&amp;[" &amp; $C14 &amp; "]"
),0)/1000</f>
        <v>139738.35108000002</v>
      </c>
      <c r="P14" s="8">
        <f>IFERROR(
GETPIVOTDATA(
"[Base].[Importe]",
TDinamica_R!$A$5,
"[Calendario].[AñoMes]",
"[Calendario].[AñoMes].&amp;[" &amp; TEXT(P$6,"yyyymm") &amp; "]",
"[Base].[Metrica]",
"[Base].[Metrica].&amp;[" &amp; $A14 &amp; "]",
"[Base].[SEGMENTO_DESCRIP]",
"[Base].[SEGMENTO_DESCRIP].&amp;[" &amp; $C$6 &amp; "]",
"[Base].[SITUACION]",
"[Base].[SITUACION].&amp;[" &amp; $C14 &amp; "]"
),0)/1000</f>
        <v>136399.67356999998</v>
      </c>
      <c r="Q14" s="8">
        <f>IFERROR(
GETPIVOTDATA(
"[Base].[Importe]",
TDinamica_R!$A$5,
"[Calendario].[AñoMes]",
"[Calendario].[AñoMes].&amp;[" &amp; TEXT(Q$6,"yyyymm") &amp; "]",
"[Base].[Metrica]",
"[Base].[Metrica].&amp;[" &amp; $A14 &amp; "]",
"[Base].[SEGMENTO_DESCRIP]",
"[Base].[SEGMENTO_DESCRIP].&amp;[" &amp; $C$6 &amp; "]",
"[Base].[SITUACION]",
"[Base].[SITUACION].&amp;[" &amp; $C14 &amp; "]"
),0)/1000</f>
        <v>134646.20415000001</v>
      </c>
      <c r="R14" s="8">
        <f>IFERROR(
GETPIVOTDATA(
"[Base].[Importe]",
TDinamica_R!$A$5,
"[Calendario].[AñoMes]",
"[Calendario].[AñoMes].&amp;[" &amp; TEXT(R$6,"yyyymm") &amp; "]",
"[Base].[Metrica]",
"[Base].[Metrica].&amp;[" &amp; $A14 &amp; "]",
"[Base].[SEGMENTO_DESCRIP]",
"[Base].[SEGMENTO_DESCRIP].&amp;[" &amp; $C$6 &amp; "]",
"[Base].[SITUACION]",
"[Base].[SITUACION].&amp;[" &amp; $C14 &amp; "]"
),0)/1000</f>
        <v>136340.06213099998</v>
      </c>
      <c r="S14" s="8">
        <f>IFERROR(
GETPIVOTDATA(
"[Base].[Importe]",
TDinamica_R!$A$5,
"[Calendario].[AñoMes]",
"[Calendario].[AñoMes].&amp;[" &amp; TEXT(S$6,"yyyymm") &amp; "]",
"[Base].[Metrica]",
"[Base].[Metrica].&amp;[" &amp; $A14 &amp; "]",
"[Base].[SEGMENTO_DESCRIP]",
"[Base].[SEGMENTO_DESCRIP].&amp;[" &amp; $C$6 &amp; "]",
"[Base].[SITUACION]",
"[Base].[SITUACION].&amp;[" &amp; $C14 &amp; "]"
),0)/1000</f>
        <v>139154.40349999999</v>
      </c>
      <c r="T14" s="8">
        <f>IFERROR(
GETPIVOTDATA(
"[Base].[Importe]",
TDinamica_R!$A$5,
"[Calendario].[AñoMes]",
"[Calendario].[AñoMes].&amp;[" &amp; TEXT(T$6,"yyyymm") &amp; "]",
"[Base].[Metrica]",
"[Base].[Metrica].&amp;[" &amp; $A14 &amp; "]",
"[Base].[SEGMENTO_DESCRIP]",
"[Base].[SEGMENTO_DESCRIP].&amp;[" &amp; $C$6 &amp; "]",
"[Base].[SITUACION]",
"[Base].[SITUACION].&amp;[" &amp; $C14 &amp; "]"
),0)/1000</f>
        <v>138951.73099000001</v>
      </c>
      <c r="U14" s="8">
        <f>IFERROR(
GETPIVOTDATA(
"[Base].[Importe]",
TDinamica_R!$A$5,
"[Calendario].[AñoMes]",
"[Calendario].[AñoMes].&amp;[" &amp; TEXT(U$6,"yyyymm") &amp; "]",
"[Base].[Metrica]",
"[Base].[Metrica].&amp;[" &amp; $A14 &amp; "]",
"[Base].[SEGMENTO_DESCRIP]",
"[Base].[SEGMENTO_DESCRIP].&amp;[" &amp; $C$6 &amp; "]",
"[Base].[SITUACION]",
"[Base].[SITUACION].&amp;[" &amp; $C14 &amp; "]"
),0)/1000</f>
        <v>137202.83029999997</v>
      </c>
      <c r="V14" s="8">
        <f>IFERROR(
GETPIVOTDATA(
"[Base].[Importe]",
TDinamica_R!$A$5,
"[Calendario].[AñoMes]",
"[Calendario].[AñoMes].&amp;[" &amp; TEXT(V$6,"yyyymm") &amp; "]",
"[Base].[Metrica]",
"[Base].[Metrica].&amp;[" &amp; $A14 &amp; "]",
"[Base].[SEGMENTO_DESCRIP]",
"[Base].[SEGMENTO_DESCRIP].&amp;[" &amp; $C$6 &amp; "]",
"[Base].[SITUACION]",
"[Base].[SITUACION].&amp;[" &amp; $C14 &amp; "]"
),0)/1000</f>
        <v>136302.87056000001</v>
      </c>
      <c r="W14" s="8">
        <f>IFERROR(
GETPIVOTDATA(
"[Base].[Importe]",
TDinamica_R!$A$5,
"[Calendario].[AñoMes]",
"[Calendario].[AñoMes].&amp;[" &amp; TEXT(W$6,"yyyymm") &amp; "]",
"[Base].[Metrica]",
"[Base].[Metrica].&amp;[" &amp; $A14 &amp; "]",
"[Base].[SEGMENTO_DESCRIP]",
"[Base].[SEGMENTO_DESCRIP].&amp;[" &amp; $C$6 &amp; "]",
"[Base].[SITUACION]",
"[Base].[SITUACION].&amp;[" &amp; $C14 &amp; "]"
),0)/1000</f>
        <v>132968.804878</v>
      </c>
      <c r="X14" s="8">
        <f>IFERROR(
GETPIVOTDATA(
"[Base].[Importe]",
TDinamica_R!$A$5,
"[Calendario].[AñoMes]",
"[Calendario].[AñoMes].&amp;[" &amp; TEXT(X$6,"yyyymm") &amp; "]",
"[Base].[Metrica]",
"[Base].[Metrica].&amp;[" &amp; $A14 &amp; "]",
"[Base].[SEGMENTO_DESCRIP]",
"[Base].[SEGMENTO_DESCRIP].&amp;[" &amp; $C$6 &amp; "]",
"[Base].[SITUACION]",
"[Base].[SITUACION].&amp;[" &amp; $C14 &amp; "]"
),0)/1000</f>
        <v>132532.28252000001</v>
      </c>
      <c r="Y14" s="8">
        <f>IFERROR(
GETPIVOTDATA(
"[Base].[Importe]",
TDinamica_R!$A$5,
"[Calendario].[AñoMes]",
"[Calendario].[AñoMes].&amp;[" &amp; TEXT(Y$6,"yyyymm") &amp; "]",
"[Base].[Metrica]",
"[Base].[Metrica].&amp;[" &amp; $A14 &amp; "]",
"[Base].[SEGMENTO_DESCRIP]",
"[Base].[SEGMENTO_DESCRIP].&amp;[" &amp; $C$6 &amp; "]",
"[Base].[SITUACION]",
"[Base].[SITUACION].&amp;[" &amp; $C14 &amp; "]"
),0)/1000</f>
        <v>125770.635478</v>
      </c>
      <c r="Z14" s="8">
        <f>IFERROR(
GETPIVOTDATA(
"[Base].[Importe]",
TDinamica_R!$A$5,
"[Calendario].[AñoMes]",
"[Calendario].[AñoMes].&amp;[" &amp; TEXT(Z$6,"yyyymm") &amp; "]",
"[Base].[Metrica]",
"[Base].[Metrica].&amp;[" &amp; $A14 &amp; "]",
"[Base].[SEGMENTO_DESCRIP]",
"[Base].[SEGMENTO_DESCRIP].&amp;[" &amp; $C$6 &amp; "]",
"[Base].[SITUACION]",
"[Base].[SITUACION].&amp;[" &amp; $C14 &amp; "]"
),0)/1000</f>
        <v>125046.51109</v>
      </c>
      <c r="AA14" s="8">
        <f>IFERROR(
GETPIVOTDATA(
"[Base].[Importe]",
TDinamica_R!$A$5,
"[Calendario].[AñoMes]",
"[Calendario].[AñoMes].&amp;[" &amp; TEXT(AA$6,"yyyymm") &amp; "]",
"[Base].[Metrica]",
"[Base].[Metrica].&amp;[" &amp; $A14 &amp; "]",
"[Base].[SEGMENTO_DESCRIP]",
"[Base].[SEGMENTO_DESCRIP].&amp;[" &amp; $C$6 &amp; "]",
"[Base].[SITUACION]",
"[Base].[SITUACION].&amp;[" &amp; $C14 &amp; "]"
),0)/1000</f>
        <v>119462.03332999999</v>
      </c>
      <c r="AB14" s="8">
        <f>IFERROR(
GETPIVOTDATA(
"[Base].[Importe]",
TDinamica_R!$A$5,
"[Calendario].[AñoMes]",
"[Calendario].[AñoMes].&amp;[" &amp; TEXT(AB$6,"yyyymm") &amp; "]",
"[Base].[Metrica]",
"[Base].[Metrica].&amp;[" &amp; $A14 &amp; "]",
"[Base].[SEGMENTO_DESCRIP]",
"[Base].[SEGMENTO_DESCRIP].&amp;[" &amp; $C$6 &amp; "]",
"[Base].[SITUACION]",
"[Base].[SITUACION].&amp;[" &amp; $C14 &amp; "]"
),0)/1000</f>
        <v>114237.22983999999</v>
      </c>
      <c r="AC14" s="8">
        <f>IFERROR(
GETPIVOTDATA(
"[Base].[Importe]",
TDinamica_R!$A$5,
"[Calendario].[AñoMes]",
"[Calendario].[AñoMes].&amp;[" &amp; TEXT(AC$6,"yyyymm") &amp; "]",
"[Base].[Metrica]",
"[Base].[Metrica].&amp;[" &amp; $A14 &amp; "]",
"[Base].[SEGMENTO_DESCRIP]",
"[Base].[SEGMENTO_DESCRIP].&amp;[" &amp; $C$6 &amp; "]",
"[Base].[SITUACION]",
"[Base].[SITUACION].&amp;[" &amp; $C14 &amp; "]"
),0)/1000</f>
        <v>111047.11015000001</v>
      </c>
      <c r="AD14" s="8">
        <f>IFERROR(
GETPIVOTDATA(
"[Base].[Importe]",
TDinamica_R!$A$5,
"[Calendario].[AñoMes]",
"[Calendario].[AñoMes].&amp;[" &amp; TEXT(AD$6,"yyyymm") &amp; "]",
"[Base].[Metrica]",
"[Base].[Metrica].&amp;[" &amp; $A14 &amp; "]",
"[Base].[SEGMENTO_DESCRIP]",
"[Base].[SEGMENTO_DESCRIP].&amp;[" &amp; $C$6 &amp; "]",
"[Base].[SITUACION]",
"[Base].[SITUACION].&amp;[" &amp; $C14 &amp; "]"
),0)/1000</f>
        <v>109381.22096999999</v>
      </c>
      <c r="AE14" s="8">
        <f>IFERROR(
GETPIVOTDATA(
"[Base].[Importe]",
TDinamica_R!$A$5,
"[Calendario].[AñoMes]",
"[Calendario].[AñoMes].&amp;[" &amp; TEXT(AE$6,"yyyymm") &amp; "]",
"[Base].[Metrica]",
"[Base].[Metrica].&amp;[" &amp; $A14 &amp; "]",
"[Base].[SEGMENTO_DESCRIP]",
"[Base].[SEGMENTO_DESCRIP].&amp;[" &amp; $C$6 &amp; "]",
"[Base].[SITUACION]",
"[Base].[SITUACION].&amp;[" &amp; $C14 &amp; "]"
),0)/1000</f>
        <v>107070.51448</v>
      </c>
      <c r="AF14" s="8">
        <f>IFERROR(
GETPIVOTDATA(
"[Base].[Importe]",
TDinamica_R!$A$5,
"[Calendario].[AñoMes]",
"[Calendario].[AñoMes].&amp;[" &amp; TEXT(AF$6,"yyyymm") &amp; "]",
"[Base].[Metrica]",
"[Base].[Metrica].&amp;[" &amp; $A14 &amp; "]",
"[Base].[SEGMENTO_DESCRIP]",
"[Base].[SEGMENTO_DESCRIP].&amp;[" &amp; $C$6 &amp; "]",
"[Base].[SITUACION]",
"[Base].[SITUACION].&amp;[" &amp; $C14 &amp; "]"
),0)/1000</f>
        <v>106754.55720000001</v>
      </c>
      <c r="AG14" s="8">
        <f>IFERROR(
GETPIVOTDATA(
"[Base].[Importe]",
TDinamica_R!$A$5,
"[Calendario].[AñoMes]",
"[Calendario].[AñoMes].&amp;[" &amp; TEXT(AG$6,"yyyymm") &amp; "]",
"[Base].[Metrica]",
"[Base].[Metrica].&amp;[" &amp; $A14 &amp; "]",
"[Base].[SEGMENTO_DESCRIP]",
"[Base].[SEGMENTO_DESCRIP].&amp;[" &amp; $C$6 &amp; "]",
"[Base].[SITUACION]",
"[Base].[SITUACION].&amp;[" &amp; $C14 &amp; "]"
),0)/1000</f>
        <v>109083.59745999999</v>
      </c>
      <c r="AH14" s="8">
        <f>IFERROR(
GETPIVOTDATA(
"[Base].[Importe]",
TDinamica_R!$A$5,
"[Calendario].[AñoMes]",
"[Calendario].[AñoMes].&amp;[" &amp; TEXT(AH$6,"yyyymm") &amp; "]",
"[Base].[Metrica]",
"[Base].[Metrica].&amp;[" &amp; $A14 &amp; "]",
"[Base].[SEGMENTO_DESCRIP]",
"[Base].[SEGMENTO_DESCRIP].&amp;[" &amp; $C$6 &amp; "]",
"[Base].[SITUACION]",
"[Base].[SITUACION].&amp;[" &amp; $C14 &amp; "]"
),0)/1000</f>
        <v>116023.66953</v>
      </c>
      <c r="AI14" s="8">
        <f>IFERROR(
GETPIVOTDATA(
"[Base].[Importe]",
TDinamica_R!$A$5,
"[Calendario].[AñoMes]",
"[Calendario].[AñoMes].&amp;[" &amp; TEXT(AI$6,"yyyymm") &amp; "]",
"[Base].[Metrica]",
"[Base].[Metrica].&amp;[" &amp; $A14 &amp; "]",
"[Base].[SEGMENTO_DESCRIP]",
"[Base].[SEGMENTO_DESCRIP].&amp;[" &amp; $C$6 &amp; "]",
"[Base].[SITUACION]",
"[Base].[SITUACION].&amp;[" &amp; $C14 &amp; "]"
),0)/1000</f>
        <v>123279.63909</v>
      </c>
      <c r="AJ14" s="8">
        <f>IFERROR(
GETPIVOTDATA(
"[Base].[Importe]",
TDinamica_R!$A$5,
"[Calendario].[AñoMes]",
"[Calendario].[AñoMes].&amp;[" &amp; TEXT(AJ$6,"yyyymm") &amp; "]",
"[Base].[Metrica]",
"[Base].[Metrica].&amp;[" &amp; $A14 &amp; "]",
"[Base].[SEGMENTO_DESCRIP]",
"[Base].[SEGMENTO_DESCRIP].&amp;[" &amp; $C$6 &amp; "]",
"[Base].[SITUACION]",
"[Base].[SITUACION].&amp;[" &amp; $C14 &amp; "]"
),0)/1000</f>
        <v>128793.51435</v>
      </c>
      <c r="AK14" s="8">
        <f>IFERROR(
GETPIVOTDATA(
"[Base].[Importe]",
TDinamica_R!$A$5,
"[Calendario].[AñoMes]",
"[Calendario].[AñoMes].&amp;[" &amp; TEXT(AK$6,"yyyymm") &amp; "]",
"[Base].[Metrica]",
"[Base].[Metrica].&amp;[" &amp; $A14 &amp; "]",
"[Base].[SEGMENTO_DESCRIP]",
"[Base].[SEGMENTO_DESCRIP].&amp;[" &amp; $C$6 &amp; "]",
"[Base].[SITUACION]",
"[Base].[SITUACION].&amp;[" &amp; $C14 &amp; "]"
),0)/1000</f>
        <v>130937.98506000001</v>
      </c>
      <c r="AL14" s="8">
        <f>IFERROR(
GETPIVOTDATA(
"[Base].[Importe]",
TDinamica_R!$A$5,
"[Calendario].[AñoMes]",
"[Calendario].[AñoMes].&amp;[" &amp; TEXT(AL$6,"yyyymm") &amp; "]",
"[Base].[Metrica]",
"[Base].[Metrica].&amp;[" &amp; $A14 &amp; "]",
"[Base].[SEGMENTO_DESCRIP]",
"[Base].[SEGMENTO_DESCRIP].&amp;[" &amp; $C$6 &amp; "]",
"[Base].[SITUACION]",
"[Base].[SITUACION].&amp;[" &amp; $C14 &amp; "]"
),0)/1000</f>
        <v>131640.24329000001</v>
      </c>
      <c r="AM14" s="8">
        <f>IFERROR(
GETPIVOTDATA(
"[Base].[Importe]",
TDinamica_R!$A$5,
"[Calendario].[AñoMes]",
"[Calendario].[AñoMes].&amp;[" &amp; TEXT(AM$6,"yyyymm") &amp; "]",
"[Base].[Metrica]",
"[Base].[Metrica].&amp;[" &amp; $A14 &amp; "]",
"[Base].[SEGMENTO_DESCRIP]",
"[Base].[SEGMENTO_DESCRIP].&amp;[" &amp; $C$6 &amp; "]",
"[Base].[SITUACION]",
"[Base].[SITUACION].&amp;[" &amp; $C14 &amp; "]"
),0)/1000</f>
        <v>131429.50415999998</v>
      </c>
      <c r="AN14" s="8">
        <f>IFERROR(
GETPIVOTDATA(
"[Base].[Importe]",
TDinamica_R!$A$5,
"[Calendario].[AñoMes]",
"[Calendario].[AñoMes].&amp;[" &amp; TEXT(AN$6,"yyyymm") &amp; "]",
"[Base].[Metrica]",
"[Base].[Metrica].&amp;[" &amp; $A14 &amp; "]",
"[Base].[SEGMENTO_DESCRIP]",
"[Base].[SEGMENTO_DESCRIP].&amp;[" &amp; $C$6 &amp; "]",
"[Base].[SITUACION]",
"[Base].[SITUACION].&amp;[" &amp; $C14 &amp; "]"
),0)/1000</f>
        <v>131275.17000000001</v>
      </c>
      <c r="AO14" s="8">
        <f>IFERROR(
GETPIVOTDATA(
"[Base].[Importe]",
TDinamica_R!$A$5,
"[Calendario].[AñoMes]",
"[Calendario].[AñoMes].&amp;[" &amp; TEXT(AO$6,"yyyymm") &amp; "]",
"[Base].[Metrica]",
"[Base].[Metrica].&amp;[" &amp; $A14 &amp; "]",
"[Base].[SEGMENTO_DESCRIP]",
"[Base].[SEGMENTO_DESCRIP].&amp;[" &amp; $C$6 &amp; "]",
"[Base].[SITUACION]",
"[Base].[SITUACION].&amp;[" &amp; $C14 &amp; "]"
),0)/1000</f>
        <v>130692.65</v>
      </c>
      <c r="AP14" s="8">
        <f>IFERROR(
GETPIVOTDATA(
"[Base].[Importe]",
TDinamica_R!$A$5,
"[Calendario].[AñoMes]",
"[Calendario].[AñoMes].&amp;[" &amp; TEXT(AP$6,"yyyymm") &amp; "]",
"[Base].[Metrica]",
"[Base].[Metrica].&amp;[" &amp; $A14 &amp; "]",
"[Base].[SEGMENTO_DESCRIP]",
"[Base].[SEGMENTO_DESCRIP].&amp;[" &amp; $C$6 &amp; "]",
"[Base].[SITUACION]",
"[Base].[SITUACION].&amp;[" &amp; $C14 &amp; "]"
),0)/1000</f>
        <v>133528.32000000001</v>
      </c>
      <c r="AQ14" s="8">
        <f>IFERROR(
GETPIVOTDATA(
"[Base].[Importe]",
TDinamica_R!$A$5,
"[Calendario].[AñoMes]",
"[Calendario].[AñoMes].&amp;[" &amp; TEXT(AQ$6,"yyyymm") &amp; "]",
"[Base].[Metrica]",
"[Base].[Metrica].&amp;[" &amp; $A14 &amp; "]",
"[Base].[SEGMENTO_DESCRIP]",
"[Base].[SEGMENTO_DESCRIP].&amp;[" &amp; $C$6 &amp; "]",
"[Base].[SITUACION]",
"[Base].[SITUACION].&amp;[" &amp; $C14 &amp; "]"
),0)/1000</f>
        <v>134402.78078000003</v>
      </c>
      <c r="AR14" s="8">
        <f>IFERROR(
GETPIVOTDATA(
"[Base].[Importe]",
TDinamica_R!$A$5,
"[Calendario].[AñoMes]",
"[Calendario].[AñoMes].&amp;[" &amp; TEXT(AR$6,"yyyymm") &amp; "]",
"[Base].[Metrica]",
"[Base].[Metrica].&amp;[" &amp; $A14 &amp; "]",
"[Base].[SEGMENTO_DESCRIP]",
"[Base].[SEGMENTO_DESCRIP].&amp;[" &amp; $C$6 &amp; "]",
"[Base].[SITUACION]",
"[Base].[SITUACION].&amp;[" &amp; $C14 &amp; "]"
),0)/1000</f>
        <v>135244.95513999998</v>
      </c>
      <c r="AS14" s="8">
        <f>IFERROR(
GETPIVOTDATA(
"[Base].[Importe]",
TDinamica_R!$A$5,
"[Calendario].[AñoMes]",
"[Calendario].[AñoMes].&amp;[" &amp; TEXT(AS$6,"yyyymm") &amp; "]",
"[Base].[Metrica]",
"[Base].[Metrica].&amp;[" &amp; $A14 &amp; "]",
"[Base].[SEGMENTO_DESCRIP]",
"[Base].[SEGMENTO_DESCRIP].&amp;[" &amp; $C$6 &amp; "]",
"[Base].[SITUACION]",
"[Base].[SITUACION].&amp;[" &amp; $C14 &amp; "]"
),0)/1000</f>
        <v>136560.2513</v>
      </c>
      <c r="AT14" s="8">
        <f>IFERROR(
GETPIVOTDATA(
"[Base].[Importe]",
TDinamica_R!$A$5,
"[Calendario].[AñoMes]",
"[Calendario].[AñoMes].&amp;[" &amp; TEXT(AT$6,"yyyymm")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U14" s="8">
        <f>IFERROR(
GETPIVOTDATA(
"[Base].[Importe]",
TDinamica_R!$A$5,
"[Calendario].[AñoMes]",
"[Calendario].[AñoMes].&amp;[" &amp; TEXT(AU$6,"yyyymm")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V14" s="8">
        <f>IFERROR(
GETPIVOTDATA(
"[Base].[Importe]",
TDinamica_R!$A$5,
"[Calendario].[AñoMes]",
"[Calendario].[AñoMes].&amp;[" &amp; TEXT(AV$6,"yyyymm")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W14" s="8">
        <f>IFERROR(
GETPIVOTDATA(
"[Base].[Importe]",
TDinamica_R!$A$5,
"[Calendario].[AñoMes]",
"[Calendario].[AñoMes].&amp;[" &amp; TEXT(AW$6,"yyyymm")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X14" s="8">
        <f>IFERROR(
GETPIVOTDATA(
"[Base].[Importe]",
TDinamica_R!$A$5,
"[Calendario].[AñoMes]",
"[Calendario].[AñoMes].&amp;[" &amp; TEXT(AX$6,"yyyymm")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Y14" s="8">
        <f>IFERROR(
GETPIVOTDATA(
"[Base].[Importe]",
TDinamica_R!$A$5,
"[Calendario].[AñoMes]",
"[Calendario].[AñoMes].&amp;[" &amp; TEXT(AY$6,"yyyymm")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Z14" s="8">
        <f>IFERROR(
GETPIVOTDATA(
"[BASE_CONVE_PPTO].[Importe]",
TDinamica_P!$A$5,
"[BASE_CONVE_PPTO].[Periodo]",
"[BASE_CONVE_PPTO].[Periodo].&amp;[" &amp; TEXT(AZ$6,"yyyymm")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127092.49339219916</v>
      </c>
      <c r="BA14" s="8">
        <f>IFERROR(
GETPIVOTDATA(
"[BASE_CONVE_PPTO].[Importe]",
TDinamica_P!$A$5,
"[BASE_CONVE_PPTO].[Periodo]",
"[BASE_CONVE_PPTO].[Periodo].&amp;[" &amp; TEXT(BA$6,"yyyymm")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126270.36014577202</v>
      </c>
      <c r="BB14" s="8">
        <f>IFERROR(
GETPIVOTDATA(
"[BASE_CONVE_PPTO].[Importe]",
TDinamica_P!$A$5,
"[BASE_CONVE_PPTO].[Periodo]",
"[BASE_CONVE_PPTO].[Periodo].&amp;[" &amp; TEXT(BB$6,"yyyymm")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125581.06787663016</v>
      </c>
      <c r="BC14" s="8">
        <f>IFERROR(
GETPIVOTDATA(
"[BASE_CONVE_PPTO].[Importe]",
TDinamica_P!$A$5,
"[BASE_CONVE_PPTO].[Periodo]",
"[BASE_CONVE_PPTO].[Periodo].&amp;[" &amp; TEXT(BC$6,"yyyymm")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124947.98730383498</v>
      </c>
      <c r="BD14" s="8">
        <f>IFERROR(
GETPIVOTDATA(
"[BASE_CONVE_PPTO].[Importe]",
TDinamica_P!$A$5,
"[BASE_CONVE_PPTO].[Periodo]",
"[BASE_CONVE_PPTO].[Periodo].&amp;[" &amp; TEXT(BD$6,"yyyymm")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123353.14392382183</v>
      </c>
      <c r="BE14" s="8">
        <f>IFERROR(
GETPIVOTDATA(
"[BASE_CONVE_PPTO].[Importe]",
TDinamica_P!$A$5,
"[BASE_CONVE_PPTO].[Periodo]",
"[BASE_CONVE_PPTO].[Periodo].&amp;[" &amp; TEXT(BE$6,"yyyymm")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121864.95213579613</v>
      </c>
      <c r="BF14" s="8">
        <f>IFERROR(
GETPIVOTDATA(
"[BASE_CONVE_PPTO].[Importe]",
TDinamica_P!$A$5,
"[BASE_CONVE_PPTO].[Periodo]",
"[BASE_CONVE_PPTO].[Periodo].&amp;[" &amp; TEXT(BF$6,"yyyymm")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120415.71498090622</v>
      </c>
      <c r="BG14" s="8">
        <f>IFERROR(
GETPIVOTDATA(
"[BASE_CONVE_PPTO].[Importe]",
TDinamica_P!$A$5,
"[BASE_CONVE_PPTO].[Periodo]",
"[BASE_CONVE_PPTO].[Periodo].&amp;[" &amp; TEXT(BG$6,"yyyymm")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118914.56028626107</v>
      </c>
      <c r="BH14" s="8">
        <f>IFERROR(
GETPIVOTDATA(
"[BASE_CONVE_PPTO].[Importe]",
TDinamica_P!$A$5,
"[BASE_CONVE_PPTO].[Periodo]",
"[BASE_CONVE_PPTO].[Periodo].&amp;[" &amp; TEXT(BH$6,"yyyymm")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115146.0125083423</v>
      </c>
      <c r="BI14" s="8">
        <f>IFERROR(
GETPIVOTDATA(
"[BASE_CONVE_PPTO].[Importe]",
TDinamica_P!$A$5,
"[BASE_CONVE_PPTO].[Periodo]",
"[BASE_CONVE_PPTO].[Periodo].&amp;[" &amp; TEXT(BI$6,"yyyymm")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111465.19425388763</v>
      </c>
      <c r="BJ14" s="8">
        <f>IFERROR(
GETPIVOTDATA(
"[BASE_CONVE_PPTO].[Importe]",
TDinamica_P!$A$5,
"[BASE_CONVE_PPTO].[Periodo]",
"[BASE_CONVE_PPTO].[Periodo].&amp;[" &amp; TEXT(BJ$6,"yyyymm")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107714.61633888603</v>
      </c>
      <c r="BK14" s="8">
        <f>IFERROR(
GETPIVOTDATA(
"[BASE_CONVE_PPTO].[Importe]",
TDinamica_P!$A$5,
"[BASE_CONVE_PPTO].[Periodo]",
"[BASE_CONVE_PPTO].[Periodo].&amp;[" &amp; TEXT(BK$6,"yyyymm") &amp; "]",
"[BASE_CONVE_PPTO].[Metrica]",
"[BASE_CONVE_PPTO].[Metrica].&amp;[" &amp; $A14 &amp; "]",
"[BASE_CONVE_PPTO].[SEGMENTO_DESCRIP]",
"[BASE_CONVE_PPTO].[SEGMENTO_DESCRIP].&amp;[" &amp; $C$6 &amp; "]",
"[BASE_CONVE_PPTO].[SITUACION]",
"[BASE_CONVE_PPTO].[SITUACION].&amp;[" &amp; $C14 &amp; "]"),
0)</f>
        <v>104319.86681085793</v>
      </c>
      <c r="BO14" s="24">
        <f t="shared" ref="BO14:BT16" si="10">IFERROR(AVERAGEIFS($D14:$BM14,$D$6:$BM$6,"&gt;="&amp;BO$2,$D$6:$BM$6,"&lt;="&amp;BO$6,$D$5:$BM$5,BO$5,$D14:$BM14,"&lt;&gt;0"),0)</f>
        <v>133028.775184</v>
      </c>
      <c r="BP14" s="24">
        <f t="shared" si="10"/>
        <v>125449.01052845162</v>
      </c>
      <c r="BQ14" s="24">
        <f t="shared" si="10"/>
        <v>132474.73019500001</v>
      </c>
      <c r="BR14" s="24">
        <f t="shared" si="10"/>
        <v>109698.12652800002</v>
      </c>
      <c r="BS14" s="24">
        <f t="shared" si="10"/>
        <v>137098.41486820002</v>
      </c>
      <c r="BT14" s="24">
        <f t="shared" si="10"/>
        <v>132761.260542</v>
      </c>
      <c r="BW14" s="24">
        <f t="shared" ref="BW14:CB16" si="11">SUMIFS($D14:$BM14,$D$6:$BM$6,"&gt;="&amp;BO$2,$D$6:$BM$6,"&lt;="&amp;BO$6,$D$5:$BM$5,BO$5)</f>
        <v>665143.87592000002</v>
      </c>
      <c r="BX14" s="24">
        <f t="shared" si="11"/>
        <v>627245.05264225812</v>
      </c>
      <c r="BY14" s="24">
        <f t="shared" si="11"/>
        <v>529898.92078000004</v>
      </c>
      <c r="BZ14" s="24">
        <f t="shared" si="11"/>
        <v>548490.63264000008</v>
      </c>
      <c r="CA14" s="24">
        <f t="shared" si="11"/>
        <v>685492.07434100006</v>
      </c>
      <c r="CB14" s="24">
        <f t="shared" si="11"/>
        <v>663806.30270999996</v>
      </c>
    </row>
    <row r="15" spans="1:81" outlineLevel="1" x14ac:dyDescent="0.25">
      <c r="A15" s="11" t="s">
        <v>52</v>
      </c>
      <c r="C15" s="2" t="s">
        <v>1</v>
      </c>
      <c r="D15" s="8">
        <f>IFERROR(
GETPIVOTDATA(
"[Base].[Importe]",
TDinamica_R!$A$5,
"[Calendario].[AñoMes]",
"[Calendario].[AñoMes].&amp;[" &amp; TEXT(D$6,"yyyymm") &amp; "]",
"[Base].[Metrica]",
"[Base].[Metrica].&amp;[" &amp; $A15 &amp; "]",
"[Base].[SEGMENTO_DESCRIP]",
"[Base].[SEGMENTO_DESCRIP].&amp;[" &amp; $C$6 &amp; "]",
"[Base].[SITUACION]",
"[Base].[SITUACION].&amp;[" &amp; $C15 &amp; "]"
),0)/1000</f>
        <v>1371.17544</v>
      </c>
      <c r="E15" s="8">
        <f>IFERROR(
GETPIVOTDATA(
"[Base].[Importe]",
TDinamica_R!$A$5,
"[Calendario].[AñoMes]",
"[Calendario].[AñoMes].&amp;[" &amp; TEXT(E$6,"yyyymm") &amp; "]",
"[Base].[Metrica]",
"[Base].[Metrica].&amp;[" &amp; $A15 &amp; "]",
"[Base].[SEGMENTO_DESCRIP]",
"[Base].[SEGMENTO_DESCRIP].&amp;[" &amp; $C$6 &amp; "]",
"[Base].[SITUACION]",
"[Base].[SITUACION].&amp;[" &amp; $C15 &amp; "]"
),0)/1000</f>
        <v>1343.9111699999999</v>
      </c>
      <c r="F15" s="8">
        <f>IFERROR(
GETPIVOTDATA(
"[Base].[Importe]",
TDinamica_R!$A$5,
"[Calendario].[AñoMes]",
"[Calendario].[AñoMes].&amp;[" &amp; TEXT(F$6,"yyyymm") &amp; "]",
"[Base].[Metrica]",
"[Base].[Metrica].&amp;[" &amp; $A15 &amp; "]",
"[Base].[SEGMENTO_DESCRIP]",
"[Base].[SEGMENTO_DESCRIP].&amp;[" &amp; $C$6 &amp; "]",
"[Base].[SITUACION]",
"[Base].[SITUACION].&amp;[" &amp; $C15 &amp; "]"
),0)/1000</f>
        <v>1361.9553700000001</v>
      </c>
      <c r="G15" s="8">
        <f>IFERROR(
GETPIVOTDATA(
"[Base].[Importe]",
TDinamica_R!$A$5,
"[Calendario].[AñoMes]",
"[Calendario].[AñoMes].&amp;[" &amp; TEXT(G$6,"yyyymm") &amp; "]",
"[Base].[Metrica]",
"[Base].[Metrica].&amp;[" &amp; $A15 &amp; "]",
"[Base].[SEGMENTO_DESCRIP]",
"[Base].[SEGMENTO_DESCRIP].&amp;[" &amp; $C$6 &amp; "]",
"[Base].[SITUACION]",
"[Base].[SITUACION].&amp;[" &amp; $C15 &amp; "]"
),0)/1000</f>
        <v>1523.5761200000002</v>
      </c>
      <c r="H15" s="8">
        <f>IFERROR(
GETPIVOTDATA(
"[Base].[Importe]",
TDinamica_R!$A$5,
"[Calendario].[AñoMes]",
"[Calendario].[AñoMes].&amp;[" &amp; TEXT(H$6,"yyyymm") &amp; "]",
"[Base].[Metrica]",
"[Base].[Metrica].&amp;[" &amp; $A15 &amp; "]",
"[Base].[SEGMENTO_DESCRIP]",
"[Base].[SEGMENTO_DESCRIP].&amp;[" &amp; $C$6 &amp; "]",
"[Base].[SITUACION]",
"[Base].[SITUACION].&amp;[" &amp; $C15 &amp; "]"
),0)/1000</f>
        <v>1460.55405</v>
      </c>
      <c r="I15" s="8">
        <f>IFERROR(
GETPIVOTDATA(
"[Base].[Importe]",
TDinamica_R!$A$5,
"[Calendario].[AñoMes]",
"[Calendario].[AñoMes].&amp;[" &amp; TEXT(I$6,"yyyymm") &amp; "]",
"[Base].[Metrica]",
"[Base].[Metrica].&amp;[" &amp; $A15 &amp; "]",
"[Base].[SEGMENTO_DESCRIP]",
"[Base].[SEGMENTO_DESCRIP].&amp;[" &amp; $C$6 &amp; "]",
"[Base].[SITUACION]",
"[Base].[SITUACION].&amp;[" &amp; $C15 &amp; "]"
),0)/1000</f>
        <v>1524.3628100000001</v>
      </c>
      <c r="J15" s="8">
        <f>IFERROR(
GETPIVOTDATA(
"[Base].[Importe]",
TDinamica_R!$A$5,
"[Calendario].[AñoMes]",
"[Calendario].[AñoMes].&amp;[" &amp; TEXT(J$6,"yyyymm") &amp; "]",
"[Base].[Metrica]",
"[Base].[Metrica].&amp;[" &amp; $A15 &amp; "]",
"[Base].[SEGMENTO_DESCRIP]",
"[Base].[SEGMENTO_DESCRIP].&amp;[" &amp; $C$6 &amp; "]",
"[Base].[SITUACION]",
"[Base].[SITUACION].&amp;[" &amp; $C15 &amp; "]"
),0)/1000</f>
        <v>1468.1955500000001</v>
      </c>
      <c r="K15" s="8">
        <f>IFERROR(
GETPIVOTDATA(
"[Base].[Importe]",
TDinamica_R!$A$5,
"[Calendario].[AñoMes]",
"[Calendario].[AñoMes].&amp;[" &amp; TEXT(K$6,"yyyymm") &amp; "]",
"[Base].[Metrica]",
"[Base].[Metrica].&amp;[" &amp; $A15 &amp; "]",
"[Base].[SEGMENTO_DESCRIP]",
"[Base].[SEGMENTO_DESCRIP].&amp;[" &amp; $C$6 &amp; "]",
"[Base].[SITUACION]",
"[Base].[SITUACION].&amp;[" &amp; $C15 &amp; "]"
),0)/1000</f>
        <v>1414.1749199999999</v>
      </c>
      <c r="L15" s="8">
        <f>IFERROR(
GETPIVOTDATA(
"[Base].[Importe]",
TDinamica_R!$A$5,
"[Calendario].[AñoMes]",
"[Calendario].[AñoMes].&amp;[" &amp; TEXT(L$6,"yyyymm") &amp; "]",
"[Base].[Metrica]",
"[Base].[Metrica].&amp;[" &amp; $A15 &amp; "]",
"[Base].[SEGMENTO_DESCRIP]",
"[Base].[SEGMENTO_DESCRIP].&amp;[" &amp; $C$6 &amp; "]",
"[Base].[SITUACION]",
"[Base].[SITUACION].&amp;[" &amp; $C15 &amp; "]"
),0)/1000</f>
        <v>1390.58052</v>
      </c>
      <c r="M15" s="8">
        <f>IFERROR(
GETPIVOTDATA(
"[Base].[Importe]",
TDinamica_R!$A$5,
"[Calendario].[AñoMes]",
"[Calendario].[AñoMes].&amp;[" &amp; TEXT(M$6,"yyyymm") &amp; "]",
"[Base].[Metrica]",
"[Base].[Metrica].&amp;[" &amp; $A15 &amp; "]",
"[Base].[SEGMENTO_DESCRIP]",
"[Base].[SEGMENTO_DESCRIP].&amp;[" &amp; $C$6 &amp; "]",
"[Base].[SITUACION]",
"[Base].[SITUACION].&amp;[" &amp; $C15 &amp; "]"
),0)/1000</f>
        <v>1382.6075499999999</v>
      </c>
      <c r="N15" s="8">
        <f>IFERROR(
GETPIVOTDATA(
"[Base].[Importe]",
TDinamica_R!$A$5,
"[Calendario].[AñoMes]",
"[Calendario].[AñoMes].&amp;[" &amp; TEXT(N$6,"yyyymm") &amp; "]",
"[Base].[Metrica]",
"[Base].[Metrica].&amp;[" &amp; $A15 &amp; "]",
"[Base].[SEGMENTO_DESCRIP]",
"[Base].[SEGMENTO_DESCRIP].&amp;[" &amp; $C$6 &amp; "]",
"[Base].[SITUACION]",
"[Base].[SITUACION].&amp;[" &amp; $C15 &amp; "]"
),0)/1000</f>
        <v>1361.78081</v>
      </c>
      <c r="O15" s="8">
        <f>IFERROR(
GETPIVOTDATA(
"[Base].[Importe]",
TDinamica_R!$A$5,
"[Calendario].[AñoMes]",
"[Calendario].[AñoMes].&amp;[" &amp; TEXT(O$6,"yyyymm") &amp; "]",
"[Base].[Metrica]",
"[Base].[Metrica].&amp;[" &amp; $A15 &amp; "]",
"[Base].[SEGMENTO_DESCRIP]",
"[Base].[SEGMENTO_DESCRIP].&amp;[" &amp; $C$6 &amp; "]",
"[Base].[SITUACION]",
"[Base].[SITUACION].&amp;[" &amp; $C15 &amp; "]"
),0)/1000</f>
        <v>1372.5403700000002</v>
      </c>
      <c r="P15" s="8">
        <f>IFERROR(
GETPIVOTDATA(
"[Base].[Importe]",
TDinamica_R!$A$5,
"[Calendario].[AñoMes]",
"[Calendario].[AñoMes].&amp;[" &amp; TEXT(P$6,"yyyymm") &amp; "]",
"[Base].[Metrica]",
"[Base].[Metrica].&amp;[" &amp; $A15 &amp; "]",
"[Base].[SEGMENTO_DESCRIP]",
"[Base].[SEGMENTO_DESCRIP].&amp;[" &amp; $C$6 &amp; "]",
"[Base].[SITUACION]",
"[Base].[SITUACION].&amp;[" &amp; $C15 &amp; "]"
),0)/1000</f>
        <v>1381.30609</v>
      </c>
      <c r="Q15" s="8">
        <f>IFERROR(
GETPIVOTDATA(
"[Base].[Importe]",
TDinamica_R!$A$5,
"[Calendario].[AñoMes]",
"[Calendario].[AñoMes].&amp;[" &amp; TEXT(Q$6,"yyyymm") &amp; "]",
"[Base].[Metrica]",
"[Base].[Metrica].&amp;[" &amp; $A15 &amp; "]",
"[Base].[SEGMENTO_DESCRIP]",
"[Base].[SEGMENTO_DESCRIP].&amp;[" &amp; $C$6 &amp; "]",
"[Base].[SITUACION]",
"[Base].[SITUACION].&amp;[" &amp; $C15 &amp; "]"
),0)/1000</f>
        <v>1359.4719499999999</v>
      </c>
      <c r="R15" s="8">
        <f>IFERROR(
GETPIVOTDATA(
"[Base].[Importe]",
TDinamica_R!$A$5,
"[Calendario].[AñoMes]",
"[Calendario].[AñoMes].&amp;[" &amp; TEXT(R$6,"yyyymm") &amp; "]",
"[Base].[Metrica]",
"[Base].[Metrica].&amp;[" &amp; $A15 &amp; "]",
"[Base].[SEGMENTO_DESCRIP]",
"[Base].[SEGMENTO_DESCRIP].&amp;[" &amp; $C$6 &amp; "]",
"[Base].[SITUACION]",
"[Base].[SITUACION].&amp;[" &amp; $C15 &amp; "]"
),0)/1000</f>
        <v>1256.74217</v>
      </c>
      <c r="S15" s="8">
        <f>IFERROR(
GETPIVOTDATA(
"[Base].[Importe]",
TDinamica_R!$A$5,
"[Calendario].[AñoMes]",
"[Calendario].[AñoMes].&amp;[" &amp; TEXT(S$6,"yyyymm") &amp; "]",
"[Base].[Metrica]",
"[Base].[Metrica].&amp;[" &amp; $A15 &amp; "]",
"[Base].[SEGMENTO_DESCRIP]",
"[Base].[SEGMENTO_DESCRIP].&amp;[" &amp; $C$6 &amp; "]",
"[Base].[SITUACION]",
"[Base].[SITUACION].&amp;[" &amp; $C15 &amp; "]"
),0)/1000</f>
        <v>1221.28495</v>
      </c>
      <c r="T15" s="8">
        <f>IFERROR(
GETPIVOTDATA(
"[Base].[Importe]",
TDinamica_R!$A$5,
"[Calendario].[AñoMes]",
"[Calendario].[AñoMes].&amp;[" &amp; TEXT(T$6,"yyyymm") &amp; "]",
"[Base].[Metrica]",
"[Base].[Metrica].&amp;[" &amp; $A15 &amp; "]",
"[Base].[SEGMENTO_DESCRIP]",
"[Base].[SEGMENTO_DESCRIP].&amp;[" &amp; $C$6 &amp; "]",
"[Base].[SITUACION]",
"[Base].[SITUACION].&amp;[" &amp; $C15 &amp; "]"
),0)/1000</f>
        <v>1200.9622400000001</v>
      </c>
      <c r="U15" s="8">
        <f>IFERROR(
GETPIVOTDATA(
"[Base].[Importe]",
TDinamica_R!$A$5,
"[Calendario].[AñoMes]",
"[Calendario].[AñoMes].&amp;[" &amp; TEXT(U$6,"yyyymm") &amp; "]",
"[Base].[Metrica]",
"[Base].[Metrica].&amp;[" &amp; $A15 &amp; "]",
"[Base].[SEGMENTO_DESCRIP]",
"[Base].[SEGMENTO_DESCRIP].&amp;[" &amp; $C$6 &amp; "]",
"[Base].[SITUACION]",
"[Base].[SITUACION].&amp;[" &amp; $C15 &amp; "]"
),0)/1000</f>
        <v>1160.07808</v>
      </c>
      <c r="V15" s="8">
        <f>IFERROR(
GETPIVOTDATA(
"[Base].[Importe]",
TDinamica_R!$A$5,
"[Calendario].[AñoMes]",
"[Calendario].[AñoMes].&amp;[" &amp; TEXT(V$6,"yyyymm") &amp; "]",
"[Base].[Metrica]",
"[Base].[Metrica].&amp;[" &amp; $A15 &amp; "]",
"[Base].[SEGMENTO_DESCRIP]",
"[Base].[SEGMENTO_DESCRIP].&amp;[" &amp; $C$6 &amp; "]",
"[Base].[SITUACION]",
"[Base].[SITUACION].&amp;[" &amp; $C15 &amp; "]"
),0)/1000</f>
        <v>1112.4102600000001</v>
      </c>
      <c r="W15" s="8">
        <f>IFERROR(
GETPIVOTDATA(
"[Base].[Importe]",
TDinamica_R!$A$5,
"[Calendario].[AñoMes]",
"[Calendario].[AñoMes].&amp;[" &amp; TEXT(W$6,"yyyymm") &amp; "]",
"[Base].[Metrica]",
"[Base].[Metrica].&amp;[" &amp; $A15 &amp; "]",
"[Base].[SEGMENTO_DESCRIP]",
"[Base].[SEGMENTO_DESCRIP].&amp;[" &amp; $C$6 &amp; "]",
"[Base].[SITUACION]",
"[Base].[SITUACION].&amp;[" &amp; $C15 &amp; "]"
),0)/1000</f>
        <v>1093.78756</v>
      </c>
      <c r="X15" s="8">
        <f>IFERROR(
GETPIVOTDATA(
"[Base].[Importe]",
TDinamica_R!$A$5,
"[Calendario].[AñoMes]",
"[Calendario].[AñoMes].&amp;[" &amp; TEXT(X$6,"yyyymm") &amp; "]",
"[Base].[Metrica]",
"[Base].[Metrica].&amp;[" &amp; $A15 &amp; "]",
"[Base].[SEGMENTO_DESCRIP]",
"[Base].[SEGMENTO_DESCRIP].&amp;[" &amp; $C$6 &amp; "]",
"[Base].[SITUACION]",
"[Base].[SITUACION].&amp;[" &amp; $C15 &amp; "]"
),0)/1000</f>
        <v>1008.21013</v>
      </c>
      <c r="Y15" s="8">
        <f>IFERROR(
GETPIVOTDATA(
"[Base].[Importe]",
TDinamica_R!$A$5,
"[Calendario].[AñoMes]",
"[Calendario].[AñoMes].&amp;[" &amp; TEXT(Y$6,"yyyymm") &amp; "]",
"[Base].[Metrica]",
"[Base].[Metrica].&amp;[" &amp; $A15 &amp; "]",
"[Base].[SEGMENTO_DESCRIP]",
"[Base].[SEGMENTO_DESCRIP].&amp;[" &amp; $C$6 &amp; "]",
"[Base].[SITUACION]",
"[Base].[SITUACION].&amp;[" &amp; $C15 &amp; "]"
),0)/1000</f>
        <v>970.47498999999993</v>
      </c>
      <c r="Z15" s="8">
        <f>IFERROR(
GETPIVOTDATA(
"[Base].[Importe]",
TDinamica_R!$A$5,
"[Calendario].[AñoMes]",
"[Calendario].[AñoMes].&amp;[" &amp; TEXT(Z$6,"yyyymm") &amp; "]",
"[Base].[Metrica]",
"[Base].[Metrica].&amp;[" &amp; $A15 &amp; "]",
"[Base].[SEGMENTO_DESCRIP]",
"[Base].[SEGMENTO_DESCRIP].&amp;[" &amp; $C$6 &amp; "]",
"[Base].[SITUACION]",
"[Base].[SITUACION].&amp;[" &amp; $C15 &amp; "]"
),0)/1000</f>
        <v>1078.8332600000001</v>
      </c>
      <c r="AA15" s="8">
        <f>IFERROR(
GETPIVOTDATA(
"[Base].[Importe]",
TDinamica_R!$A$5,
"[Calendario].[AñoMes]",
"[Calendario].[AñoMes].&amp;[" &amp; TEXT(AA$6,"yyyymm") &amp; "]",
"[Base].[Metrica]",
"[Base].[Metrica].&amp;[" &amp; $A15 &amp; "]",
"[Base].[SEGMENTO_DESCRIP]",
"[Base].[SEGMENTO_DESCRIP].&amp;[" &amp; $C$6 &amp; "]",
"[Base].[SITUACION]",
"[Base].[SITUACION].&amp;[" &amp; $C15 &amp; "]"
),0)/1000</f>
        <v>1207.1459600000001</v>
      </c>
      <c r="AB15" s="8">
        <f>IFERROR(
GETPIVOTDATA(
"[Base].[Importe]",
TDinamica_R!$A$5,
"[Calendario].[AñoMes]",
"[Calendario].[AñoMes].&amp;[" &amp; TEXT(AB$6,"yyyymm") &amp; "]",
"[Base].[Metrica]",
"[Base].[Metrica].&amp;[" &amp; $A15 &amp; "]",
"[Base].[SEGMENTO_DESCRIP]",
"[Base].[SEGMENTO_DESCRIP].&amp;[" &amp; $C$6 &amp; "]",
"[Base].[SITUACION]",
"[Base].[SITUACION].&amp;[" &amp; $C15 &amp; "]"
),0)/1000</f>
        <v>1274.40868</v>
      </c>
      <c r="AC15" s="8">
        <f>IFERROR(
GETPIVOTDATA(
"[Base].[Importe]",
TDinamica_R!$A$5,
"[Calendario].[AñoMes]",
"[Calendario].[AñoMes].&amp;[" &amp; TEXT(AC$6,"yyyymm") &amp; "]",
"[Base].[Metrica]",
"[Base].[Metrica].&amp;[" &amp; $A15 &amp; "]",
"[Base].[SEGMENTO_DESCRIP]",
"[Base].[SEGMENTO_DESCRIP].&amp;[" &amp; $C$6 &amp; "]",
"[Base].[SITUACION]",
"[Base].[SITUACION].&amp;[" &amp; $C15 &amp; "]"
),0)/1000</f>
        <v>1460.8362099999999</v>
      </c>
      <c r="AD15" s="8">
        <f>IFERROR(
GETPIVOTDATA(
"[Base].[Importe]",
TDinamica_R!$A$5,
"[Calendario].[AñoMes]",
"[Calendario].[AñoMes].&amp;[" &amp; TEXT(AD$6,"yyyymm") &amp; "]",
"[Base].[Metrica]",
"[Base].[Metrica].&amp;[" &amp; $A15 &amp; "]",
"[Base].[SEGMENTO_DESCRIP]",
"[Base].[SEGMENTO_DESCRIP].&amp;[" &amp; $C$6 &amp; "]",
"[Base].[SITUACION]",
"[Base].[SITUACION].&amp;[" &amp; $C15 &amp; "]"
),0)/1000</f>
        <v>1557.8895600000001</v>
      </c>
      <c r="AE15" s="8">
        <f>IFERROR(
GETPIVOTDATA(
"[Base].[Importe]",
TDinamica_R!$A$5,
"[Calendario].[AñoMes]",
"[Calendario].[AñoMes].&amp;[" &amp; TEXT(AE$6,"yyyymm") &amp; "]",
"[Base].[Metrica]",
"[Base].[Metrica].&amp;[" &amp; $A15 &amp; "]",
"[Base].[SEGMENTO_DESCRIP]",
"[Base].[SEGMENTO_DESCRIP].&amp;[" &amp; $C$6 &amp; "]",
"[Base].[SITUACION]",
"[Base].[SITUACION].&amp;[" &amp; $C15 &amp; "]"
),0)/1000</f>
        <v>1596.73549</v>
      </c>
      <c r="AF15" s="8">
        <f>IFERROR(
GETPIVOTDATA(
"[Base].[Importe]",
TDinamica_R!$A$5,
"[Calendario].[AñoMes]",
"[Calendario].[AñoMes].&amp;[" &amp; TEXT(AF$6,"yyyymm") &amp; "]",
"[Base].[Metrica]",
"[Base].[Metrica].&amp;[" &amp; $A15 &amp; "]",
"[Base].[SEGMENTO_DESCRIP]",
"[Base].[SEGMENTO_DESCRIP].&amp;[" &amp; $C$6 &amp; "]",
"[Base].[SITUACION]",
"[Base].[SITUACION].&amp;[" &amp; $C15 &amp; "]"
),0)/1000</f>
        <v>1585.3926200000001</v>
      </c>
      <c r="AG15" s="8">
        <f>IFERROR(
GETPIVOTDATA(
"[Base].[Importe]",
TDinamica_R!$A$5,
"[Calendario].[AñoMes]",
"[Calendario].[AñoMes].&amp;[" &amp; TEXT(AG$6,"yyyymm") &amp; "]",
"[Base].[Metrica]",
"[Base].[Metrica].&amp;[" &amp; $A15 &amp; "]",
"[Base].[SEGMENTO_DESCRIP]",
"[Base].[SEGMENTO_DESCRIP].&amp;[" &amp; $C$6 &amp; "]",
"[Base].[SITUACION]",
"[Base].[SITUACION].&amp;[" &amp; $C15 &amp; "]"
),0)/1000</f>
        <v>1658.0939499999999</v>
      </c>
      <c r="AH15" s="8">
        <f>IFERROR(
GETPIVOTDATA(
"[Base].[Importe]",
TDinamica_R!$A$5,
"[Calendario].[AñoMes]",
"[Calendario].[AñoMes].&amp;[" &amp; TEXT(AH$6,"yyyymm") &amp; "]",
"[Base].[Metrica]",
"[Base].[Metrica].&amp;[" &amp; $A15 &amp; "]",
"[Base].[SEGMENTO_DESCRIP]",
"[Base].[SEGMENTO_DESCRIP].&amp;[" &amp; $C$6 &amp; "]",
"[Base].[SITUACION]",
"[Base].[SITUACION].&amp;[" &amp; $C15 &amp; "]"
),0)/1000</f>
        <v>1712.9642099999999</v>
      </c>
      <c r="AI15" s="8">
        <f>IFERROR(
GETPIVOTDATA(
"[Base].[Importe]",
TDinamica_R!$A$5,
"[Calendario].[AñoMes]",
"[Calendario].[AñoMes].&amp;[" &amp; TEXT(AI$6,"yyyymm") &amp; "]",
"[Base].[Metrica]",
"[Base].[Metrica].&amp;[" &amp; $A15 &amp; "]",
"[Base].[SEGMENTO_DESCRIP]",
"[Base].[SEGMENTO_DESCRIP].&amp;[" &amp; $C$6 &amp; "]",
"[Base].[SITUACION]",
"[Base].[SITUACION].&amp;[" &amp; $C15 &amp; "]"
),0)/1000</f>
        <v>1690.0892200000001</v>
      </c>
      <c r="AJ15" s="8">
        <f>IFERROR(
GETPIVOTDATA(
"[Base].[Importe]",
TDinamica_R!$A$5,
"[Calendario].[AñoMes]",
"[Calendario].[AñoMes].&amp;[" &amp; TEXT(AJ$6,"yyyymm") &amp; "]",
"[Base].[Metrica]",
"[Base].[Metrica].&amp;[" &amp; $A15 &amp; "]",
"[Base].[SEGMENTO_DESCRIP]",
"[Base].[SEGMENTO_DESCRIP].&amp;[" &amp; $C$6 &amp; "]",
"[Base].[SITUACION]",
"[Base].[SITUACION].&amp;[" &amp; $C15 &amp; "]"
),0)/1000</f>
        <v>1750.5243700000001</v>
      </c>
      <c r="AK15" s="8">
        <f>IFERROR(
GETPIVOTDATA(
"[Base].[Importe]",
TDinamica_R!$A$5,
"[Calendario].[AñoMes]",
"[Calendario].[AñoMes].&amp;[" &amp; TEXT(AK$6,"yyyymm") &amp; "]",
"[Base].[Metrica]",
"[Base].[Metrica].&amp;[" &amp; $A15 &amp; "]",
"[Base].[SEGMENTO_DESCRIP]",
"[Base].[SEGMENTO_DESCRIP].&amp;[" &amp; $C$6 &amp; "]",
"[Base].[SITUACION]",
"[Base].[SITUACION].&amp;[" &amp; $C15 &amp; "]"
),0)/1000</f>
        <v>1727.8171200000002</v>
      </c>
      <c r="AL15" s="8">
        <f>IFERROR(
GETPIVOTDATA(
"[Base].[Importe]",
TDinamica_R!$A$5,
"[Calendario].[AñoMes]",
"[Calendario].[AñoMes].&amp;[" &amp; TEXT(AL$6,"yyyymm") &amp; "]",
"[Base].[Metrica]",
"[Base].[Metrica].&amp;[" &amp; $A15 &amp; "]",
"[Base].[SEGMENTO_DESCRIP]",
"[Base].[SEGMENTO_DESCRIP].&amp;[" &amp; $C$6 &amp; "]",
"[Base].[SITUACION]",
"[Base].[SITUACION].&amp;[" &amp; $C15 &amp; "]"
),0)/1000</f>
        <v>1750.7765200000001</v>
      </c>
      <c r="AM15" s="8">
        <f>IFERROR(
GETPIVOTDATA(
"[Base].[Importe]",
TDinamica_R!$A$5,
"[Calendario].[AñoMes]",
"[Calendario].[AñoMes].&amp;[" &amp; TEXT(AM$6,"yyyymm") &amp; "]",
"[Base].[Metrica]",
"[Base].[Metrica].&amp;[" &amp; $A15 &amp; "]",
"[Base].[SEGMENTO_DESCRIP]",
"[Base].[SEGMENTO_DESCRIP].&amp;[" &amp; $C$6 &amp; "]",
"[Base].[SITUACION]",
"[Base].[SITUACION].&amp;[" &amp; $C15 &amp; "]"
),0)/1000</f>
        <v>1902.3873000000001</v>
      </c>
      <c r="AN15" s="8">
        <f>IFERROR(
GETPIVOTDATA(
"[Base].[Importe]",
TDinamica_R!$A$5,
"[Calendario].[AñoMes]",
"[Calendario].[AñoMes].&amp;[" &amp; TEXT(AN$6,"yyyymm") &amp; "]",
"[Base].[Metrica]",
"[Base].[Metrica].&amp;[" &amp; $A15 &amp; "]",
"[Base].[SEGMENTO_DESCRIP]",
"[Base].[SEGMENTO_DESCRIP].&amp;[" &amp; $C$6 &amp; "]",
"[Base].[SITUACION]",
"[Base].[SITUACION].&amp;[" &amp; $C15 &amp; "]"
),0)/1000</f>
        <v>1994.6</v>
      </c>
      <c r="AO15" s="8">
        <f>IFERROR(
GETPIVOTDATA(
"[Base].[Importe]",
TDinamica_R!$A$5,
"[Calendario].[AñoMes]",
"[Calendario].[AñoMes].&amp;[" &amp; TEXT(AO$6,"yyyymm") &amp; "]",
"[Base].[Metrica]",
"[Base].[Metrica].&amp;[" &amp; $A15 &amp; "]",
"[Base].[SEGMENTO_DESCRIP]",
"[Base].[SEGMENTO_DESCRIP].&amp;[" &amp; $C$6 &amp; "]",
"[Base].[SITUACION]",
"[Base].[SITUACION].&amp;[" &amp; $C15 &amp; "]"
),0)/1000</f>
        <v>1972.57</v>
      </c>
      <c r="AP15" s="8">
        <f>IFERROR(
GETPIVOTDATA(
"[Base].[Importe]",
TDinamica_R!$A$5,
"[Calendario].[AñoMes]",
"[Calendario].[AñoMes].&amp;[" &amp; TEXT(AP$6,"yyyymm") &amp; "]",
"[Base].[Metrica]",
"[Base].[Metrica].&amp;[" &amp; $A15 &amp; "]",
"[Base].[SEGMENTO_DESCRIP]",
"[Base].[SEGMENTO_DESCRIP].&amp;[" &amp; $C$6 &amp; "]",
"[Base].[SITUACION]",
"[Base].[SITUACION].&amp;[" &amp; $C15 &amp; "]"
),0)/1000</f>
        <v>1889.21</v>
      </c>
      <c r="AQ15" s="8">
        <f>IFERROR(
GETPIVOTDATA(
"[Base].[Importe]",
TDinamica_R!$A$5,
"[Calendario].[AñoMes]",
"[Calendario].[AñoMes].&amp;[" &amp; TEXT(AQ$6,"yyyymm") &amp; "]",
"[Base].[Metrica]",
"[Base].[Metrica].&amp;[" &amp; $A15 &amp; "]",
"[Base].[SEGMENTO_DESCRIP]",
"[Base].[SEGMENTO_DESCRIP].&amp;[" &amp; $C$6 &amp; "]",
"[Base].[SITUACION]",
"[Base].[SITUACION].&amp;[" &amp; $C15 &amp; "]"
),0)/1000</f>
        <v>1894.3533900000002</v>
      </c>
      <c r="AR15" s="8">
        <f>IFERROR(
GETPIVOTDATA(
"[Base].[Importe]",
TDinamica_R!$A$5,
"[Calendario].[AñoMes]",
"[Calendario].[AñoMes].&amp;[" &amp; TEXT(AR$6,"yyyymm") &amp; "]",
"[Base].[Metrica]",
"[Base].[Metrica].&amp;[" &amp; $A15 &amp; "]",
"[Base].[SEGMENTO_DESCRIP]",
"[Base].[SEGMENTO_DESCRIP].&amp;[" &amp; $C$6 &amp; "]",
"[Base].[SITUACION]",
"[Base].[SITUACION].&amp;[" &amp; $C15 &amp; "]"
),0)/1000</f>
        <v>1803.5749300000002</v>
      </c>
      <c r="AS15" s="8">
        <f>IFERROR(
GETPIVOTDATA(
"[Base].[Importe]",
TDinamica_R!$A$5,
"[Calendario].[AñoMes]",
"[Calendario].[AñoMes].&amp;[" &amp; TEXT(AS$6,"yyyymm") &amp; "]",
"[Base].[Metrica]",
"[Base].[Metrica].&amp;[" &amp; $A15 &amp; "]",
"[Base].[SEGMENTO_DESCRIP]",
"[Base].[SEGMENTO_DESCRIP].&amp;[" &amp; $C$6 &amp; "]",
"[Base].[SITUACION]",
"[Base].[SITUACION].&amp;[" &amp; $C15 &amp; "]"
),0)/1000</f>
        <v>1746.9901000000004</v>
      </c>
      <c r="AT15" s="8">
        <f>IFERROR(
GETPIVOTDATA(
"[Base].[Importe]",
TDinamica_R!$A$5,
"[Calendario].[AñoMes]",
"[Calendario].[AñoMes].&amp;[" &amp; TEXT(AT$6,"yyyymm")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U15" s="8">
        <f>IFERROR(
GETPIVOTDATA(
"[Base].[Importe]",
TDinamica_R!$A$5,
"[Calendario].[AñoMes]",
"[Calendario].[AñoMes].&amp;[" &amp; TEXT(AU$6,"yyyymm")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V15" s="8">
        <f>IFERROR(
GETPIVOTDATA(
"[Base].[Importe]",
TDinamica_R!$A$5,
"[Calendario].[AñoMes]",
"[Calendario].[AñoMes].&amp;[" &amp; TEXT(AV$6,"yyyymm")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W15" s="8">
        <f>IFERROR(
GETPIVOTDATA(
"[Base].[Importe]",
TDinamica_R!$A$5,
"[Calendario].[AñoMes]",
"[Calendario].[AñoMes].&amp;[" &amp; TEXT(AW$6,"yyyymm")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X15" s="8">
        <f>IFERROR(
GETPIVOTDATA(
"[Base].[Importe]",
TDinamica_R!$A$5,
"[Calendario].[AñoMes]",
"[Calendario].[AñoMes].&amp;[" &amp; TEXT(AX$6,"yyyymm")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Y15" s="8">
        <f>IFERROR(
GETPIVOTDATA(
"[Base].[Importe]",
TDinamica_R!$A$5,
"[Calendario].[AñoMes]",
"[Calendario].[AñoMes].&amp;[" &amp; TEXT(AY$6,"yyyymm")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Z15" s="8">
        <f>IFERROR(
GETPIVOTDATA(
"[BASE_CONVE_PPTO].[Importe]",
TDinamica_P!$A$5,
"[BASE_CONVE_PPTO].[Periodo]",
"[BASE_CONVE_PPTO].[Periodo].&amp;[" &amp; TEXT(AZ$6,"yyyymm")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1712.6206125479562</v>
      </c>
      <c r="BA15" s="8">
        <f>IFERROR(
GETPIVOTDATA(
"[BASE_CONVE_PPTO].[Importe]",
TDinamica_P!$A$5,
"[BASE_CONVE_PPTO].[Periodo]",
"[BASE_CONVE_PPTO].[Periodo].&amp;[" &amp; TEXT(BA$6,"yyyymm")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1719.8522375511266</v>
      </c>
      <c r="BB15" s="8">
        <f>IFERROR(
GETPIVOTDATA(
"[BASE_CONVE_PPTO].[Importe]",
TDinamica_P!$A$5,
"[BASE_CONVE_PPTO].[Periodo]",
"[BASE_CONVE_PPTO].[Periodo].&amp;[" &amp; TEXT(BB$6,"yyyymm")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1728.4203883390469</v>
      </c>
      <c r="BC15" s="8">
        <f>IFERROR(
GETPIVOTDATA(
"[BASE_CONVE_PPTO].[Importe]",
TDinamica_P!$A$5,
"[BASE_CONVE_PPTO].[Periodo]",
"[BASE_CONVE_PPTO].[Periodo].&amp;[" &amp; TEXT(BC$6,"yyyymm")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1768.2697112298824</v>
      </c>
      <c r="BD15" s="8">
        <f>IFERROR(
GETPIVOTDATA(
"[BASE_CONVE_PPTO].[Importe]",
TDinamica_P!$A$5,
"[BASE_CONVE_PPTO].[Periodo]",
"[BASE_CONVE_PPTO].[Periodo].&amp;[" &amp; TEXT(BD$6,"yyyymm")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1787.8810474929064</v>
      </c>
      <c r="BE15" s="8">
        <f>IFERROR(
GETPIVOTDATA(
"[BASE_CONVE_PPTO].[Importe]",
TDinamica_P!$A$5,
"[BASE_CONVE_PPTO].[Periodo]",
"[BASE_CONVE_PPTO].[Periodo].&amp;[" &amp; TEXT(BE$6,"yyyymm")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1814.6722727549211</v>
      </c>
      <c r="BF15" s="8">
        <f>IFERROR(
GETPIVOTDATA(
"[BASE_CONVE_PPTO].[Importe]",
TDinamica_P!$A$5,
"[BASE_CONVE_PPTO].[Periodo]",
"[BASE_CONVE_PPTO].[Periodo].&amp;[" &amp; TEXT(BF$6,"yyyymm")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1825.6104615259346</v>
      </c>
      <c r="BG15" s="8">
        <f>IFERROR(
GETPIVOTDATA(
"[BASE_CONVE_PPTO].[Importe]",
TDinamica_P!$A$5,
"[BASE_CONVE_PPTO].[Periodo]",
"[BASE_CONVE_PPTO].[Periodo].&amp;[" &amp; TEXT(BG$6,"yyyymm")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1839.9083892462363</v>
      </c>
      <c r="BH15" s="8">
        <f>IFERROR(
GETPIVOTDATA(
"[BASE_CONVE_PPTO].[Importe]",
TDinamica_P!$A$5,
"[BASE_CONVE_PPTO].[Periodo]",
"[BASE_CONVE_PPTO].[Periodo].&amp;[" &amp; TEXT(BH$6,"yyyymm")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1848.6121367649926</v>
      </c>
      <c r="BI15" s="8">
        <f>IFERROR(
GETPIVOTDATA(
"[BASE_CONVE_PPTO].[Importe]",
TDinamica_P!$A$5,
"[BASE_CONVE_PPTO].[Periodo]",
"[BASE_CONVE_PPTO].[Periodo].&amp;[" &amp; TEXT(BI$6,"yyyymm")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1861.8114394151908</v>
      </c>
      <c r="BJ15" s="8">
        <f>IFERROR(
GETPIVOTDATA(
"[BASE_CONVE_PPTO].[Importe]",
TDinamica_P!$A$5,
"[BASE_CONVE_PPTO].[Periodo]",
"[BASE_CONVE_PPTO].[Periodo].&amp;[" &amp; TEXT(BJ$6,"yyyymm")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1870.478008536166</v>
      </c>
      <c r="BK15" s="8">
        <f>IFERROR(
GETPIVOTDATA(
"[BASE_CONVE_PPTO].[Importe]",
TDinamica_P!$A$5,
"[BASE_CONVE_PPTO].[Periodo]",
"[BASE_CONVE_PPTO].[Periodo].&amp;[" &amp; TEXT(BK$6,"yyyymm") &amp; "]",
"[BASE_CONVE_PPTO].[Metrica]",
"[BASE_CONVE_PPTO].[Metrica].&amp;[" &amp; $A15 &amp; "]",
"[BASE_CONVE_PPTO].[SEGMENTO_DESCRIP]",
"[BASE_CONVE_PPTO].[SEGMENTO_DESCRIP].&amp;[" &amp; $C$6 &amp; "]",
"[BASE_CONVE_PPTO].[SITUACION]",
"[BASE_CONVE_PPTO].[SITUACION].&amp;[" &amp; $C15 &amp; "]"),
0)</f>
        <v>1877.7955964688517</v>
      </c>
      <c r="BO15" s="24">
        <f t="shared" si="10"/>
        <v>1910.861664</v>
      </c>
      <c r="BP15" s="24">
        <f t="shared" si="10"/>
        <v>1743.408799432184</v>
      </c>
      <c r="BQ15" s="24">
        <f t="shared" si="10"/>
        <v>1937.6833475000001</v>
      </c>
      <c r="BR15" s="24">
        <f t="shared" si="10"/>
        <v>1495.0525119999998</v>
      </c>
      <c r="BS15" s="24">
        <f t="shared" si="10"/>
        <v>1283.9534799999999</v>
      </c>
      <c r="BT15" s="24">
        <f t="shared" si="10"/>
        <v>1412.23443</v>
      </c>
      <c r="BW15" s="24">
        <f t="shared" si="11"/>
        <v>9554.3083200000001</v>
      </c>
      <c r="BX15" s="24">
        <f t="shared" si="11"/>
        <v>8717.0439971609194</v>
      </c>
      <c r="BY15" s="24">
        <f t="shared" si="11"/>
        <v>7750.7333900000003</v>
      </c>
      <c r="BZ15" s="24">
        <f t="shared" si="11"/>
        <v>7475.2625599999992</v>
      </c>
      <c r="CA15" s="24">
        <f t="shared" si="11"/>
        <v>6419.7673999999997</v>
      </c>
      <c r="CB15" s="24">
        <f t="shared" si="11"/>
        <v>7061.1721499999994</v>
      </c>
    </row>
    <row r="16" spans="1:81" outlineLevel="1" x14ac:dyDescent="0.25">
      <c r="A16" s="11" t="s">
        <v>52</v>
      </c>
      <c r="C16" s="2" t="s">
        <v>45</v>
      </c>
      <c r="D16" s="8">
        <f>IFERROR(
GETPIVOTDATA(
"[Base].[Importe]",
TDinamica_R!$A$5,
"[Calendario].[AñoMes]",
"[Calendario].[AñoMes].&amp;[" &amp; TEXT(D$6,"yyyymm") &amp; "]",
"[Base].[Metrica]",
"[Base].[Metrica].&amp;[" &amp; $A16 &amp; "]",
"[Base].[SEGMENTO_DESCRIP]",
"[Base].[SEGMENTO_DESCRIP].&amp;[" &amp; $C$6 &amp; "]",
"[Base].[SITUACION]",
"[Base].[SITUACION].&amp;[" &amp; $C16 &amp; "]"
),0)/1000</f>
        <v>4894.1740500000005</v>
      </c>
      <c r="E16" s="8">
        <f>IFERROR(
GETPIVOTDATA(
"[Base].[Importe]",
TDinamica_R!$A$5,
"[Calendario].[AñoMes]",
"[Calendario].[AñoMes].&amp;[" &amp; TEXT(E$6,"yyyymm") &amp; "]",
"[Base].[Metrica]",
"[Base].[Metrica].&amp;[" &amp; $A16 &amp; "]",
"[Base].[SEGMENTO_DESCRIP]",
"[Base].[SEGMENTO_DESCRIP].&amp;[" &amp; $C$6 &amp; "]",
"[Base].[SITUACION]",
"[Base].[SITUACION].&amp;[" &amp; $C16 &amp; "]"
),0)/1000</f>
        <v>4861.3742499999998</v>
      </c>
      <c r="F16" s="8">
        <f>IFERROR(
GETPIVOTDATA(
"[Base].[Importe]",
TDinamica_R!$A$5,
"[Calendario].[AñoMes]",
"[Calendario].[AñoMes].&amp;[" &amp; TEXT(F$6,"yyyymm") &amp; "]",
"[Base].[Metrica]",
"[Base].[Metrica].&amp;[" &amp; $A16 &amp; "]",
"[Base].[SEGMENTO_DESCRIP]",
"[Base].[SEGMENTO_DESCRIP].&amp;[" &amp; $C$6 &amp; "]",
"[Base].[SITUACION]",
"[Base].[SITUACION].&amp;[" &amp; $C16 &amp; "]"
),0)/1000</f>
        <v>5425.2867600000009</v>
      </c>
      <c r="G16" s="8">
        <f>IFERROR(
GETPIVOTDATA(
"[Base].[Importe]",
TDinamica_R!$A$5,
"[Calendario].[AñoMes]",
"[Calendario].[AñoMes].&amp;[" &amp; TEXT(G$6,"yyyymm") &amp; "]",
"[Base].[Metrica]",
"[Base].[Metrica].&amp;[" &amp; $A16 &amp; "]",
"[Base].[SEGMENTO_DESCRIP]",
"[Base].[SEGMENTO_DESCRIP].&amp;[" &amp; $C$6 &amp; "]",
"[Base].[SITUACION]",
"[Base].[SITUACION].&amp;[" &amp; $C16 &amp; "]"
),0)/1000</f>
        <v>5082.3937699999997</v>
      </c>
      <c r="H16" s="8">
        <f>IFERROR(
GETPIVOTDATA(
"[Base].[Importe]",
TDinamica_R!$A$5,
"[Calendario].[AñoMes]",
"[Calendario].[AñoMes].&amp;[" &amp; TEXT(H$6,"yyyymm") &amp; "]",
"[Base].[Metrica]",
"[Base].[Metrica].&amp;[" &amp; $A16 &amp; "]",
"[Base].[SEGMENTO_DESCRIP]",
"[Base].[SEGMENTO_DESCRIP].&amp;[" &amp; $C$6 &amp; "]",
"[Base].[SITUACION]",
"[Base].[SITUACION].&amp;[" &amp; $C16 &amp; "]"
),0)/1000</f>
        <v>4949.1347599999999</v>
      </c>
      <c r="I16" s="8">
        <f>IFERROR(
GETPIVOTDATA(
"[Base].[Importe]",
TDinamica_R!$A$5,
"[Calendario].[AñoMes]",
"[Calendario].[AñoMes].&amp;[" &amp; TEXT(I$6,"yyyymm") &amp; "]",
"[Base].[Metrica]",
"[Base].[Metrica].&amp;[" &amp; $A16 &amp; "]",
"[Base].[SEGMENTO_DESCRIP]",
"[Base].[SEGMENTO_DESCRIP].&amp;[" &amp; $C$6 &amp; "]",
"[Base].[SITUACION]",
"[Base].[SITUACION].&amp;[" &amp; $C16 &amp; "]"
),0)/1000</f>
        <v>4490.131260000001</v>
      </c>
      <c r="J16" s="8">
        <f>IFERROR(
GETPIVOTDATA(
"[Base].[Importe]",
TDinamica_R!$A$5,
"[Calendario].[AñoMes]",
"[Calendario].[AñoMes].&amp;[" &amp; TEXT(J$6,"yyyymm") &amp; "]",
"[Base].[Metrica]",
"[Base].[Metrica].&amp;[" &amp; $A16 &amp; "]",
"[Base].[SEGMENTO_DESCRIP]",
"[Base].[SEGMENTO_DESCRIP].&amp;[" &amp; $C$6 &amp; "]",
"[Base].[SITUACION]",
"[Base].[SITUACION].&amp;[" &amp; $C16 &amp; "]"
),0)/1000</f>
        <v>3896.5443300000002</v>
      </c>
      <c r="K16" s="8">
        <f>IFERROR(
GETPIVOTDATA(
"[Base].[Importe]",
TDinamica_R!$A$5,
"[Calendario].[AñoMes]",
"[Calendario].[AñoMes].&amp;[" &amp; TEXT(K$6,"yyyymm") &amp; "]",
"[Base].[Metrica]",
"[Base].[Metrica].&amp;[" &amp; $A16 &amp; "]",
"[Base].[SEGMENTO_DESCRIP]",
"[Base].[SEGMENTO_DESCRIP].&amp;[" &amp; $C$6 &amp; "]",
"[Base].[SITUACION]",
"[Base].[SITUACION].&amp;[" &amp; $C16 &amp; "]"
),0)/1000</f>
        <v>3717.0137500000001</v>
      </c>
      <c r="L16" s="8">
        <f>IFERROR(
GETPIVOTDATA(
"[Base].[Importe]",
TDinamica_R!$A$5,
"[Calendario].[AñoMes]",
"[Calendario].[AñoMes].&amp;[" &amp; TEXT(L$6,"yyyymm") &amp; "]",
"[Base].[Metrica]",
"[Base].[Metrica].&amp;[" &amp; $A16 &amp; "]",
"[Base].[SEGMENTO_DESCRIP]",
"[Base].[SEGMENTO_DESCRIP].&amp;[" &amp; $C$6 &amp; "]",
"[Base].[SITUACION]",
"[Base].[SITUACION].&amp;[" &amp; $C16 &amp; "]"
),0)/1000</f>
        <v>3560.6676499999999</v>
      </c>
      <c r="M16" s="8">
        <f>IFERROR(
GETPIVOTDATA(
"[Base].[Importe]",
TDinamica_R!$A$5,
"[Calendario].[AñoMes]",
"[Calendario].[AñoMes].&amp;[" &amp; TEXT(M$6,"yyyymm") &amp; "]",
"[Base].[Metrica]",
"[Base].[Metrica].&amp;[" &amp; $A16 &amp; "]",
"[Base].[SEGMENTO_DESCRIP]",
"[Base].[SEGMENTO_DESCRIP].&amp;[" &amp; $C$6 &amp; "]",
"[Base].[SITUACION]",
"[Base].[SITUACION].&amp;[" &amp; $C16 &amp; "]"
),0)/1000</f>
        <v>3310.4810300000004</v>
      </c>
      <c r="N16" s="8">
        <f>IFERROR(
GETPIVOTDATA(
"[Base].[Importe]",
TDinamica_R!$A$5,
"[Calendario].[AñoMes]",
"[Calendario].[AñoMes].&amp;[" &amp; TEXT(N$6,"yyyymm") &amp; "]",
"[Base].[Metrica]",
"[Base].[Metrica].&amp;[" &amp; $A16 &amp; "]",
"[Base].[SEGMENTO_DESCRIP]",
"[Base].[SEGMENTO_DESCRIP].&amp;[" &amp; $C$6 &amp; "]",
"[Base].[SITUACION]",
"[Base].[SITUACION].&amp;[" &amp; $C16 &amp; "]"
),0)/1000</f>
        <v>2950.42902</v>
      </c>
      <c r="O16" s="8">
        <f>IFERROR(
GETPIVOTDATA(
"[Base].[Importe]",
TDinamica_R!$A$5,
"[Calendario].[AñoMes]",
"[Calendario].[AñoMes].&amp;[" &amp; TEXT(O$6,"yyyymm") &amp; "]",
"[Base].[Metrica]",
"[Base].[Metrica].&amp;[" &amp; $A16 &amp; "]",
"[Base].[SEGMENTO_DESCRIP]",
"[Base].[SEGMENTO_DESCRIP].&amp;[" &amp; $C$6 &amp; "]",
"[Base].[SITUACION]",
"[Base].[SITUACION].&amp;[" &amp; $C16 &amp; "]"
),0)/1000</f>
        <v>2802.0077999999999</v>
      </c>
      <c r="P16" s="8">
        <f>IFERROR(
GETPIVOTDATA(
"[Base].[Importe]",
TDinamica_R!$A$5,
"[Calendario].[AñoMes]",
"[Calendario].[AñoMes].&amp;[" &amp; TEXT(P$6,"yyyymm") &amp; "]",
"[Base].[Metrica]",
"[Base].[Metrica].&amp;[" &amp; $A16 &amp; "]",
"[Base].[SEGMENTO_DESCRIP]",
"[Base].[SEGMENTO_DESCRIP].&amp;[" &amp; $C$6 &amp; "]",
"[Base].[SITUACION]",
"[Base].[SITUACION].&amp;[" &amp; $C16 &amp; "]"
),0)/1000</f>
        <v>3354.4587700000002</v>
      </c>
      <c r="Q16" s="8">
        <f>IFERROR(
GETPIVOTDATA(
"[Base].[Importe]",
TDinamica_R!$A$5,
"[Calendario].[AñoMes]",
"[Calendario].[AñoMes].&amp;[" &amp; TEXT(Q$6,"yyyymm") &amp; "]",
"[Base].[Metrica]",
"[Base].[Metrica].&amp;[" &amp; $A16 &amp; "]",
"[Base].[SEGMENTO_DESCRIP]",
"[Base].[SEGMENTO_DESCRIP].&amp;[" &amp; $C$6 &amp; "]",
"[Base].[SITUACION]",
"[Base].[SITUACION].&amp;[" &amp; $C16 &amp; "]"
),0)/1000</f>
        <v>3242.9014899999997</v>
      </c>
      <c r="R16" s="8">
        <f>IFERROR(
GETPIVOTDATA(
"[Base].[Importe]",
TDinamica_R!$A$5,
"[Calendario].[AñoMes]",
"[Calendario].[AñoMes].&amp;[" &amp; TEXT(R$6,"yyyymm") &amp; "]",
"[Base].[Metrica]",
"[Base].[Metrica].&amp;[" &amp; $A16 &amp; "]",
"[Base].[SEGMENTO_DESCRIP]",
"[Base].[SEGMENTO_DESCRIP].&amp;[" &amp; $C$6 &amp; "]",
"[Base].[SITUACION]",
"[Base].[SITUACION].&amp;[" &amp; $C16 &amp; "]"
),0)/1000</f>
        <v>2652.3138699999995</v>
      </c>
      <c r="S16" s="8">
        <f>IFERROR(
GETPIVOTDATA(
"[Base].[Importe]",
TDinamica_R!$A$5,
"[Calendario].[AñoMes]",
"[Calendario].[AñoMes].&amp;[" &amp; TEXT(S$6,"yyyymm") &amp; "]",
"[Base].[Metrica]",
"[Base].[Metrica].&amp;[" &amp; $A16 &amp; "]",
"[Base].[SEGMENTO_DESCRIP]",
"[Base].[SEGMENTO_DESCRIP].&amp;[" &amp; $C$6 &amp; "]",
"[Base].[SITUACION]",
"[Base].[SITUACION].&amp;[" &amp; $C16 &amp; "]"
),0)/1000</f>
        <v>2202.9070999999999</v>
      </c>
      <c r="T16" s="8">
        <f>IFERROR(
GETPIVOTDATA(
"[Base].[Importe]",
TDinamica_R!$A$5,
"[Calendario].[AñoMes]",
"[Calendario].[AñoMes].&amp;[" &amp; TEXT(T$6,"yyyymm") &amp; "]",
"[Base].[Metrica]",
"[Base].[Metrica].&amp;[" &amp; $A16 &amp; "]",
"[Base].[SEGMENTO_DESCRIP]",
"[Base].[SEGMENTO_DESCRIP].&amp;[" &amp; $C$6 &amp; "]",
"[Base].[SITUACION]",
"[Base].[SITUACION].&amp;[" &amp; $C16 &amp; "]"
),0)/1000</f>
        <v>2045.6722599999998</v>
      </c>
      <c r="U16" s="8">
        <f>IFERROR(
GETPIVOTDATA(
"[Base].[Importe]",
TDinamica_R!$A$5,
"[Calendario].[AñoMes]",
"[Calendario].[AñoMes].&amp;[" &amp; TEXT(U$6,"yyyymm") &amp; "]",
"[Base].[Metrica]",
"[Base].[Metrica].&amp;[" &amp; $A16 &amp; "]",
"[Base].[SEGMENTO_DESCRIP]",
"[Base].[SEGMENTO_DESCRIP].&amp;[" &amp; $C$6 &amp; "]",
"[Base].[SITUACION]",
"[Base].[SITUACION].&amp;[" &amp; $C16 &amp; "]"
),0)/1000</f>
        <v>1840.1008700000002</v>
      </c>
      <c r="V16" s="8">
        <f>IFERROR(
GETPIVOTDATA(
"[Base].[Importe]",
TDinamica_R!$A$5,
"[Calendario].[AñoMes]",
"[Calendario].[AñoMes].&amp;[" &amp; TEXT(V$6,"yyyymm") &amp; "]",
"[Base].[Metrica]",
"[Base].[Metrica].&amp;[" &amp; $A16 &amp; "]",
"[Base].[SEGMENTO_DESCRIP]",
"[Base].[SEGMENTO_DESCRIP].&amp;[" &amp; $C$6 &amp; "]",
"[Base].[SITUACION]",
"[Base].[SITUACION].&amp;[" &amp; $C16 &amp; "]"
),0)/1000</f>
        <v>1726.0395800000001</v>
      </c>
      <c r="W16" s="8">
        <f>IFERROR(
GETPIVOTDATA(
"[Base].[Importe]",
TDinamica_R!$A$5,
"[Calendario].[AñoMes]",
"[Calendario].[AñoMes].&amp;[" &amp; TEXT(W$6,"yyyymm") &amp; "]",
"[Base].[Metrica]",
"[Base].[Metrica].&amp;[" &amp; $A16 &amp; "]",
"[Base].[SEGMENTO_DESCRIP]",
"[Base].[SEGMENTO_DESCRIP].&amp;[" &amp; $C$6 &amp; "]",
"[Base].[SITUACION]",
"[Base].[SITUACION].&amp;[" &amp; $C16 &amp; "]"
),0)/1000</f>
        <v>2205.3583900000003</v>
      </c>
      <c r="X16" s="8">
        <f>IFERROR(
GETPIVOTDATA(
"[Base].[Importe]",
TDinamica_R!$A$5,
"[Calendario].[AñoMes]",
"[Calendario].[AñoMes].&amp;[" &amp; TEXT(X$6,"yyyymm") &amp; "]",
"[Base].[Metrica]",
"[Base].[Metrica].&amp;[" &amp; $A16 &amp; "]",
"[Base].[SEGMENTO_DESCRIP]",
"[Base].[SEGMENTO_DESCRIP].&amp;[" &amp; $C$6 &amp; "]",
"[Base].[SITUACION]",
"[Base].[SITUACION].&amp;[" &amp; $C16 &amp; "]"
),0)/1000</f>
        <v>2263.18642</v>
      </c>
      <c r="Y16" s="8">
        <f>IFERROR(
GETPIVOTDATA(
"[Base].[Importe]",
TDinamica_R!$A$5,
"[Calendario].[AñoMes]",
"[Calendario].[AñoMes].&amp;[" &amp; TEXT(Y$6,"yyyymm") &amp; "]",
"[Base].[Metrica]",
"[Base].[Metrica].&amp;[" &amp; $A16 &amp; "]",
"[Base].[SEGMENTO_DESCRIP]",
"[Base].[SEGMENTO_DESCRIP].&amp;[" &amp; $C$6 &amp; "]",
"[Base].[SITUACION]",
"[Base].[SITUACION].&amp;[" &amp; $C16 &amp; "]"
),0)/1000</f>
        <v>2245.9861700000001</v>
      </c>
      <c r="Z16" s="8">
        <f>IFERROR(
GETPIVOTDATA(
"[Base].[Importe]",
TDinamica_R!$A$5,
"[Calendario].[AñoMes]",
"[Calendario].[AñoMes].&amp;[" &amp; TEXT(Z$6,"yyyymm") &amp; "]",
"[Base].[Metrica]",
"[Base].[Metrica].&amp;[" &amp; $A16 &amp; "]",
"[Base].[SEGMENTO_DESCRIP]",
"[Base].[SEGMENTO_DESCRIP].&amp;[" &amp; $C$6 &amp; "]",
"[Base].[SITUACION]",
"[Base].[SITUACION].&amp;[" &amp; $C16 &amp; "]"
),0)/1000</f>
        <v>2078.0382999999997</v>
      </c>
      <c r="AA16" s="8">
        <f>IFERROR(
GETPIVOTDATA(
"[Base].[Importe]",
TDinamica_R!$A$5,
"[Calendario].[AñoMes]",
"[Calendario].[AñoMes].&amp;[" &amp; TEXT(AA$6,"yyyymm") &amp; "]",
"[Base].[Metrica]",
"[Base].[Metrica].&amp;[" &amp; $A16 &amp; "]",
"[Base].[SEGMENTO_DESCRIP]",
"[Base].[SEGMENTO_DESCRIP].&amp;[" &amp; $C$6 &amp; "]",
"[Base].[SITUACION]",
"[Base].[SITUACION].&amp;[" &amp; $C16 &amp; "]"
),0)/1000</f>
        <v>2163.3937599999999</v>
      </c>
      <c r="AB16" s="8">
        <f>IFERROR(
GETPIVOTDATA(
"[Base].[Importe]",
TDinamica_R!$A$5,
"[Calendario].[AñoMes]",
"[Calendario].[AñoMes].&amp;[" &amp; TEXT(AB$6,"yyyymm") &amp; "]",
"[Base].[Metrica]",
"[Base].[Metrica].&amp;[" &amp; $A16 &amp; "]",
"[Base].[SEGMENTO_DESCRIP]",
"[Base].[SEGMENTO_DESCRIP].&amp;[" &amp; $C$6 &amp; "]",
"[Base].[SITUACION]",
"[Base].[SITUACION].&amp;[" &amp; $C16 &amp; "]"
),0)/1000</f>
        <v>2486.0293099999999</v>
      </c>
      <c r="AC16" s="8">
        <f>IFERROR(
GETPIVOTDATA(
"[Base].[Importe]",
TDinamica_R!$A$5,
"[Calendario].[AñoMes]",
"[Calendario].[AñoMes].&amp;[" &amp; TEXT(AC$6,"yyyymm") &amp; "]",
"[Base].[Metrica]",
"[Base].[Metrica].&amp;[" &amp; $A16 &amp; "]",
"[Base].[SEGMENTO_DESCRIP]",
"[Base].[SEGMENTO_DESCRIP].&amp;[" &amp; $C$6 &amp; "]",
"[Base].[SITUACION]",
"[Base].[SITUACION].&amp;[" &amp; $C16 &amp; "]"
),0)/1000</f>
        <v>2493.7849999999999</v>
      </c>
      <c r="AD16" s="8">
        <f>IFERROR(
GETPIVOTDATA(
"[Base].[Importe]",
TDinamica_R!$A$5,
"[Calendario].[AñoMes]",
"[Calendario].[AñoMes].&amp;[" &amp; TEXT(AD$6,"yyyymm") &amp; "]",
"[Base].[Metrica]",
"[Base].[Metrica].&amp;[" &amp; $A16 &amp; "]",
"[Base].[SEGMENTO_DESCRIP]",
"[Base].[SEGMENTO_DESCRIP].&amp;[" &amp; $C$6 &amp; "]",
"[Base].[SITUACION]",
"[Base].[SITUACION].&amp;[" &amp; $C16 &amp; "]"
),0)/1000</f>
        <v>2834.5028399999997</v>
      </c>
      <c r="AE16" s="8">
        <f>IFERROR(
GETPIVOTDATA(
"[Base].[Importe]",
TDinamica_R!$A$5,
"[Calendario].[AñoMes]",
"[Calendario].[AñoMes].&amp;[" &amp; TEXT(AE$6,"yyyymm") &amp; "]",
"[Base].[Metrica]",
"[Base].[Metrica].&amp;[" &amp; $A16 &amp; "]",
"[Base].[SEGMENTO_DESCRIP]",
"[Base].[SEGMENTO_DESCRIP].&amp;[" &amp; $C$6 &amp; "]",
"[Base].[SITUACION]",
"[Base].[SITUACION].&amp;[" &amp; $C16 &amp; "]"
),0)/1000</f>
        <v>2872.9110699999997</v>
      </c>
      <c r="AF16" s="8">
        <f>IFERROR(
GETPIVOTDATA(
"[Base].[Importe]",
TDinamica_R!$A$5,
"[Calendario].[AñoMes]",
"[Calendario].[AñoMes].&amp;[" &amp; TEXT(AF$6,"yyyymm") &amp; "]",
"[Base].[Metrica]",
"[Base].[Metrica].&amp;[" &amp; $A16 &amp; "]",
"[Base].[SEGMENTO_DESCRIP]",
"[Base].[SEGMENTO_DESCRIP].&amp;[" &amp; $C$6 &amp; "]",
"[Base].[SITUACION]",
"[Base].[SITUACION].&amp;[" &amp; $C16 &amp; "]"
),0)/1000</f>
        <v>2692.0162600000003</v>
      </c>
      <c r="AG16" s="8">
        <f>IFERROR(
GETPIVOTDATA(
"[Base].[Importe]",
TDinamica_R!$A$5,
"[Calendario].[AñoMes]",
"[Calendario].[AñoMes].&amp;[" &amp; TEXT(AG$6,"yyyymm") &amp; "]",
"[Base].[Metrica]",
"[Base].[Metrica].&amp;[" &amp; $A16 &amp; "]",
"[Base].[SEGMENTO_DESCRIP]",
"[Base].[SEGMENTO_DESCRIP].&amp;[" &amp; $C$6 &amp; "]",
"[Base].[SITUACION]",
"[Base].[SITUACION].&amp;[" &amp; $C16 &amp; "]"
),0)/1000</f>
        <v>2949.0526599999998</v>
      </c>
      <c r="AH16" s="8">
        <f>IFERROR(
GETPIVOTDATA(
"[Base].[Importe]",
TDinamica_R!$A$5,
"[Calendario].[AñoMes]",
"[Calendario].[AñoMes].&amp;[" &amp; TEXT(AH$6,"yyyymm") &amp; "]",
"[Base].[Metrica]",
"[Base].[Metrica].&amp;[" &amp; $A16 &amp; "]",
"[Base].[SEGMENTO_DESCRIP]",
"[Base].[SEGMENTO_DESCRIP].&amp;[" &amp; $C$6 &amp; "]",
"[Base].[SITUACION]",
"[Base].[SITUACION].&amp;[" &amp; $C16 &amp; "]"
),0)/1000</f>
        <v>2916.1147400000004</v>
      </c>
      <c r="AI16" s="8">
        <f>IFERROR(
GETPIVOTDATA(
"[Base].[Importe]",
TDinamica_R!$A$5,
"[Calendario].[AñoMes]",
"[Calendario].[AñoMes].&amp;[" &amp; TEXT(AI$6,"yyyymm") &amp; "]",
"[Base].[Metrica]",
"[Base].[Metrica].&amp;[" &amp; $A16 &amp; "]",
"[Base].[SEGMENTO_DESCRIP]",
"[Base].[SEGMENTO_DESCRIP].&amp;[" &amp; $C$6 &amp; "]",
"[Base].[SITUACION]",
"[Base].[SITUACION].&amp;[" &amp; $C16 &amp; "]"
),0)/1000</f>
        <v>2918.0124999999998</v>
      </c>
      <c r="AJ16" s="8">
        <f>IFERROR(
GETPIVOTDATA(
"[Base].[Importe]",
TDinamica_R!$A$5,
"[Calendario].[AñoMes]",
"[Calendario].[AñoMes].&amp;[" &amp; TEXT(AJ$6,"yyyymm") &amp; "]",
"[Base].[Metrica]",
"[Base].[Metrica].&amp;[" &amp; $A16 &amp; "]",
"[Base].[SEGMENTO_DESCRIP]",
"[Base].[SEGMENTO_DESCRIP].&amp;[" &amp; $C$6 &amp; "]",
"[Base].[SITUACION]",
"[Base].[SITUACION].&amp;[" &amp; $C16 &amp; "]"
),0)/1000</f>
        <v>2961.8620200000005</v>
      </c>
      <c r="AK16" s="8">
        <f>IFERROR(
GETPIVOTDATA(
"[Base].[Importe]",
TDinamica_R!$A$5,
"[Calendario].[AñoMes]",
"[Calendario].[AñoMes].&amp;[" &amp; TEXT(AK$6,"yyyymm") &amp; "]",
"[Base].[Metrica]",
"[Base].[Metrica].&amp;[" &amp; $A16 &amp; "]",
"[Base].[SEGMENTO_DESCRIP]",
"[Base].[SEGMENTO_DESCRIP].&amp;[" &amp; $C$6 &amp; "]",
"[Base].[SITUACION]",
"[Base].[SITUACION].&amp;[" &amp; $C16 &amp; "]"
),0)/1000</f>
        <v>2945.4401800000001</v>
      </c>
      <c r="AL16" s="8">
        <f>IFERROR(
GETPIVOTDATA(
"[Base].[Importe]",
TDinamica_R!$A$5,
"[Calendario].[AñoMes]",
"[Calendario].[AñoMes].&amp;[" &amp; TEXT(AL$6,"yyyymm") &amp; "]",
"[Base].[Metrica]",
"[Base].[Metrica].&amp;[" &amp; $A16 &amp; "]",
"[Base].[SEGMENTO_DESCRIP]",
"[Base].[SEGMENTO_DESCRIP].&amp;[" &amp; $C$6 &amp; "]",
"[Base].[SITUACION]",
"[Base].[SITUACION].&amp;[" &amp; $C16 &amp; "]"
),0)/1000</f>
        <v>3315.2209199999998</v>
      </c>
      <c r="AM16" s="8">
        <f>IFERROR(
GETPIVOTDATA(
"[Base].[Importe]",
TDinamica_R!$A$5,
"[Calendario].[AñoMes]",
"[Calendario].[AñoMes].&amp;[" &amp; TEXT(AM$6,"yyyymm") &amp; "]",
"[Base].[Metrica]",
"[Base].[Metrica].&amp;[" &amp; $A16 &amp; "]",
"[Base].[SEGMENTO_DESCRIP]",
"[Base].[SEGMENTO_DESCRIP].&amp;[" &amp; $C$6 &amp; "]",
"[Base].[SITUACION]",
"[Base].[SITUACION].&amp;[" &amp; $C16 &amp; "]"
),0)/1000</f>
        <v>3576.06729</v>
      </c>
      <c r="AN16" s="8">
        <f>IFERROR(
GETPIVOTDATA(
"[Base].[Importe]",
TDinamica_R!$A$5,
"[Calendario].[AñoMes]",
"[Calendario].[AñoMes].&amp;[" &amp; TEXT(AN$6,"yyyymm") &amp; "]",
"[Base].[Metrica]",
"[Base].[Metrica].&amp;[" &amp; $A16 &amp; "]",
"[Base].[SEGMENTO_DESCRIP]",
"[Base].[SEGMENTO_DESCRIP].&amp;[" &amp; $C$6 &amp; "]",
"[Base].[SITUACION]",
"[Base].[SITUACION].&amp;[" &amp; $C16 &amp; "]"
),0)/1000</f>
        <v>3961.85</v>
      </c>
      <c r="AO16" s="8">
        <f>IFERROR(
GETPIVOTDATA(
"[Base].[Importe]",
TDinamica_R!$A$5,
"[Calendario].[AñoMes]",
"[Calendario].[AñoMes].&amp;[" &amp; TEXT(AO$6,"yyyymm") &amp; "]",
"[Base].[Metrica]",
"[Base].[Metrica].&amp;[" &amp; $A16 &amp; "]",
"[Base].[SEGMENTO_DESCRIP]",
"[Base].[SEGMENTO_DESCRIP].&amp;[" &amp; $C$6 &amp; "]",
"[Base].[SITUACION]",
"[Base].[SITUACION].&amp;[" &amp; $C16 &amp; "]"
),0)/1000</f>
        <v>4075.88</v>
      </c>
      <c r="AP16" s="8">
        <f>IFERROR(
GETPIVOTDATA(
"[Base].[Importe]",
TDinamica_R!$A$5,
"[Calendario].[AñoMes]",
"[Calendario].[AñoMes].&amp;[" &amp; TEXT(AP$6,"yyyymm") &amp; "]",
"[Base].[Metrica]",
"[Base].[Metrica].&amp;[" &amp; $A16 &amp; "]",
"[Base].[SEGMENTO_DESCRIP]",
"[Base].[SEGMENTO_DESCRIP].&amp;[" &amp; $C$6 &amp; "]",
"[Base].[SITUACION]",
"[Base].[SITUACION].&amp;[" &amp; $C16 &amp; "]"
),0)/1000</f>
        <v>4052.8</v>
      </c>
      <c r="AQ16" s="8">
        <f>IFERROR(
GETPIVOTDATA(
"[Base].[Importe]",
TDinamica_R!$A$5,
"[Calendario].[AñoMes]",
"[Calendario].[AñoMes].&amp;[" &amp; TEXT(AQ$6,"yyyymm") &amp; "]",
"[Base].[Metrica]",
"[Base].[Metrica].&amp;[" &amp; $A16 &amp; "]",
"[Base].[SEGMENTO_DESCRIP]",
"[Base].[SEGMENTO_DESCRIP].&amp;[" &amp; $C$6 &amp; "]",
"[Base].[SITUACION]",
"[Base].[SITUACION].&amp;[" &amp; $C16 &amp; "]"
),0)/1000</f>
        <v>3913.3095700000008</v>
      </c>
      <c r="AR16" s="8">
        <f>IFERROR(
GETPIVOTDATA(
"[Base].[Importe]",
TDinamica_R!$A$5,
"[Calendario].[AñoMes]",
"[Calendario].[AñoMes].&amp;[" &amp; TEXT(AR$6,"yyyymm") &amp; "]",
"[Base].[Metrica]",
"[Base].[Metrica].&amp;[" &amp; $A16 &amp; "]",
"[Base].[SEGMENTO_DESCRIP]",
"[Base].[SEGMENTO_DESCRIP].&amp;[" &amp; $C$6 &amp; "]",
"[Base].[SITUACION]",
"[Base].[SITUACION].&amp;[" &amp; $C16 &amp; "]"
),0)/1000</f>
        <v>3838.9955600000003</v>
      </c>
      <c r="AS16" s="8">
        <f>IFERROR(
GETPIVOTDATA(
"[Base].[Importe]",
TDinamica_R!$A$5,
"[Calendario].[AñoMes]",
"[Calendario].[AñoMes].&amp;[" &amp; TEXT(AS$6,"yyyymm") &amp; "]",
"[Base].[Metrica]",
"[Base].[Metrica].&amp;[" &amp; $A16 &amp; "]",
"[Base].[SEGMENTO_DESCRIP]",
"[Base].[SEGMENTO_DESCRIP].&amp;[" &amp; $C$6 &amp; "]",
"[Base].[SITUACION]",
"[Base].[SITUACION].&amp;[" &amp; $C16 &amp; "]"
),0)/1000</f>
        <v>3622.3220599999995</v>
      </c>
      <c r="AT16" s="8">
        <f>IFERROR(
GETPIVOTDATA(
"[Base].[Importe]",
TDinamica_R!$A$5,
"[Calendario].[AñoMes]",
"[Calendario].[AñoMes].&amp;[" &amp; TEXT(AT$6,"yyyymm")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U16" s="8">
        <f>IFERROR(
GETPIVOTDATA(
"[Base].[Importe]",
TDinamica_R!$A$5,
"[Calendario].[AñoMes]",
"[Calendario].[AñoMes].&amp;[" &amp; TEXT(AU$6,"yyyymm")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V16" s="8">
        <f>IFERROR(
GETPIVOTDATA(
"[Base].[Importe]",
TDinamica_R!$A$5,
"[Calendario].[AñoMes]",
"[Calendario].[AñoMes].&amp;[" &amp; TEXT(AV$6,"yyyymm")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W16" s="8">
        <f>IFERROR(
GETPIVOTDATA(
"[Base].[Importe]",
TDinamica_R!$A$5,
"[Calendario].[AñoMes]",
"[Calendario].[AñoMes].&amp;[" &amp; TEXT(AW$6,"yyyymm")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X16" s="8">
        <f>IFERROR(
GETPIVOTDATA(
"[Base].[Importe]",
TDinamica_R!$A$5,
"[Calendario].[AñoMes]",
"[Calendario].[AñoMes].&amp;[" &amp; TEXT(AX$6,"yyyymm")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Y16" s="8">
        <f>IFERROR(
GETPIVOTDATA(
"[Base].[Importe]",
TDinamica_R!$A$5,
"[Calendario].[AñoMes]",
"[Calendario].[AñoMes].&amp;[" &amp; TEXT(AY$6,"yyyymm")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Z16" s="8">
        <f>IFERROR(
GETPIVOTDATA(
"[BASE_CONVE_PPTO].[Importe]",
TDinamica_P!$A$5,
"[BASE_CONVE_PPTO].[Periodo]",
"[BASE_CONVE_PPTO].[Periodo].&amp;[" &amp; TEXT(AZ$6,"yyyymm")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3178.9424733578221</v>
      </c>
      <c r="BA16" s="8">
        <f>IFERROR(
GETPIVOTDATA(
"[BASE_CONVE_PPTO].[Importe]",
TDinamica_P!$A$5,
"[BASE_CONVE_PPTO].[Periodo]",
"[BASE_CONVE_PPTO].[Periodo].&amp;[" &amp; TEXT(BA$6,"yyyymm")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3115.8053990211929</v>
      </c>
      <c r="BB16" s="8">
        <f>IFERROR(
GETPIVOTDATA(
"[BASE_CONVE_PPTO].[Importe]",
TDinamica_P!$A$5,
"[BASE_CONVE_PPTO].[Periodo]",
"[BASE_CONVE_PPTO].[Periodo].&amp;[" &amp; TEXT(BB$6,"yyyymm")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3063.4280032974416</v>
      </c>
      <c r="BC16" s="8">
        <f>IFERROR(
GETPIVOTDATA(
"[BASE_CONVE_PPTO].[Importe]",
TDinamica_P!$A$5,
"[BASE_CONVE_PPTO].[Periodo]",
"[BASE_CONVE_PPTO].[Periodo].&amp;[" &amp; TEXT(BC$6,"yyyymm")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2990.5410112547406</v>
      </c>
      <c r="BD16" s="8">
        <f>IFERROR(
GETPIVOTDATA(
"[BASE_CONVE_PPTO].[Importe]",
TDinamica_P!$A$5,
"[BASE_CONVE_PPTO].[Periodo]",
"[BASE_CONVE_PPTO].[Periodo].&amp;[" &amp; TEXT(BD$6,"yyyymm")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2968.6702415653394</v>
      </c>
      <c r="BE16" s="8">
        <f>IFERROR(
GETPIVOTDATA(
"[BASE_CONVE_PPTO].[Importe]",
TDinamica_P!$A$5,
"[BASE_CONVE_PPTO].[Periodo]",
"[BASE_CONVE_PPTO].[Periodo].&amp;[" &amp; TEXT(BE$6,"yyyymm")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2947.5465576795527</v>
      </c>
      <c r="BF16" s="8">
        <f>IFERROR(
GETPIVOTDATA(
"[BASE_CONVE_PPTO].[Importe]",
TDinamica_P!$A$5,
"[BASE_CONVE_PPTO].[Periodo]",
"[BASE_CONVE_PPTO].[Periodo].&amp;[" &amp; TEXT(BF$6,"yyyymm")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2914.8409212905703</v>
      </c>
      <c r="BG16" s="8">
        <f>IFERROR(
GETPIVOTDATA(
"[BASE_CONVE_PPTO].[Importe]",
TDinamica_P!$A$5,
"[BASE_CONVE_PPTO].[Periodo]",
"[BASE_CONVE_PPTO].[Periodo].&amp;[" &amp; TEXT(BG$6,"yyyymm")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2931.3156260414062</v>
      </c>
      <c r="BH16" s="8">
        <f>IFERROR(
GETPIVOTDATA(
"[BASE_CONVE_PPTO].[Importe]",
TDinamica_P!$A$5,
"[BASE_CONVE_PPTO].[Periodo]",
"[BASE_CONVE_PPTO].[Periodo].&amp;[" &amp; TEXT(BH$6,"yyyymm")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2905.5306484451953</v>
      </c>
      <c r="BI16" s="8">
        <f>IFERROR(
GETPIVOTDATA(
"[BASE_CONVE_PPTO].[Importe]",
TDinamica_P!$A$5,
"[BASE_CONVE_PPTO].[Periodo]",
"[BASE_CONVE_PPTO].[Periodo].&amp;[" &amp; TEXT(BI$6,"yyyymm")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2898.6054270572108</v>
      </c>
      <c r="BJ16" s="8">
        <f>IFERROR(
GETPIVOTDATA(
"[BASE_CONVE_PPTO].[Importe]",
TDinamica_P!$A$5,
"[BASE_CONVE_PPTO].[Periodo]",
"[BASE_CONVE_PPTO].[Periodo].&amp;[" &amp; TEXT(BJ$6,"yyyymm")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2898.8051340839902</v>
      </c>
      <c r="BK16" s="8">
        <f>IFERROR(
GETPIVOTDATA(
"[BASE_CONVE_PPTO].[Importe]",
TDinamica_P!$A$5,
"[BASE_CONVE_PPTO].[Periodo]",
"[BASE_CONVE_PPTO].[Periodo].&amp;[" &amp; TEXT(BK$6,"yyyymm") &amp; "]",
"[BASE_CONVE_PPTO].[Metrica]",
"[BASE_CONVE_PPTO].[Metrica].&amp;[" &amp; $A16 &amp; "]",
"[BASE_CONVE_PPTO].[SEGMENTO_DESCRIP]",
"[BASE_CONVE_PPTO].[SEGMENTO_DESCRIP].&amp;[" &amp; $C$6 &amp; "]",
"[BASE_CONVE_PPTO].[SITUACION]",
"[BASE_CONVE_PPTO].[SITUACION].&amp;[" &amp; $C16 &amp; "]"),
0)</f>
        <v>2903.5502042855337</v>
      </c>
      <c r="BO16" s="24">
        <f t="shared" si="10"/>
        <v>3968.5670259999997</v>
      </c>
      <c r="BP16" s="24">
        <f t="shared" si="10"/>
        <v>3063.4774256993073</v>
      </c>
      <c r="BQ16" s="24">
        <f t="shared" si="10"/>
        <v>4000.9598925</v>
      </c>
      <c r="BR16" s="24">
        <f t="shared" si="10"/>
        <v>2675.848896</v>
      </c>
      <c r="BS16" s="24">
        <f t="shared" si="10"/>
        <v>2699.6506979999999</v>
      </c>
      <c r="BT16" s="24">
        <f t="shared" si="10"/>
        <v>5042.472718</v>
      </c>
      <c r="BW16" s="24">
        <f t="shared" si="11"/>
        <v>19842.835129999999</v>
      </c>
      <c r="BX16" s="24">
        <f t="shared" si="11"/>
        <v>15317.387128496537</v>
      </c>
      <c r="BY16" s="24">
        <f t="shared" si="11"/>
        <v>16003.83957</v>
      </c>
      <c r="BZ16" s="24">
        <f t="shared" si="11"/>
        <v>13379.244479999999</v>
      </c>
      <c r="CA16" s="24">
        <f t="shared" si="11"/>
        <v>13498.253489999999</v>
      </c>
      <c r="CB16" s="24">
        <f t="shared" si="11"/>
        <v>25212.363590000001</v>
      </c>
    </row>
    <row r="17" spans="1:80" x14ac:dyDescent="0.25">
      <c r="C17" s="3" t="s">
        <v>56</v>
      </c>
      <c r="D17" s="10">
        <f>SUM(D14:D16)</f>
        <v>131904.39757</v>
      </c>
      <c r="E17" s="10">
        <f t="shared" ref="E17:AY17" si="12">SUM(E14:E16)</f>
        <v>136315.91010000001</v>
      </c>
      <c r="F17" s="10">
        <f t="shared" si="12"/>
        <v>139971.85765000002</v>
      </c>
      <c r="G17" s="10">
        <f t="shared" si="12"/>
        <v>142488.12401999999</v>
      </c>
      <c r="H17" s="10">
        <f t="shared" si="12"/>
        <v>145399.54910999999</v>
      </c>
      <c r="I17" s="10">
        <f t="shared" si="12"/>
        <v>147080.83841</v>
      </c>
      <c r="J17" s="10">
        <f t="shared" si="12"/>
        <v>148348.22396000003</v>
      </c>
      <c r="K17" s="10">
        <f t="shared" si="12"/>
        <v>148949.42449999999</v>
      </c>
      <c r="L17" s="10">
        <f t="shared" si="12"/>
        <v>148678.45254999996</v>
      </c>
      <c r="M17" s="10">
        <f t="shared" si="12"/>
        <v>147460.7071</v>
      </c>
      <c r="N17" s="10">
        <f t="shared" si="12"/>
        <v>146267.43536</v>
      </c>
      <c r="O17" s="10">
        <f t="shared" si="12"/>
        <v>143912.89925000002</v>
      </c>
      <c r="P17" s="10">
        <f t="shared" si="12"/>
        <v>141135.43842999998</v>
      </c>
      <c r="Q17" s="10">
        <f t="shared" si="12"/>
        <v>139248.57759</v>
      </c>
      <c r="R17" s="10">
        <f t="shared" si="12"/>
        <v>140249.11817100001</v>
      </c>
      <c r="S17" s="10">
        <f t="shared" si="12"/>
        <v>142578.59555</v>
      </c>
      <c r="T17" s="10">
        <f t="shared" si="12"/>
        <v>142198.36549</v>
      </c>
      <c r="U17" s="10">
        <f t="shared" si="12"/>
        <v>140203.00924999997</v>
      </c>
      <c r="V17" s="10">
        <f t="shared" si="12"/>
        <v>139141.32040000003</v>
      </c>
      <c r="W17" s="10">
        <f t="shared" si="12"/>
        <v>136267.950828</v>
      </c>
      <c r="X17" s="10">
        <f t="shared" si="12"/>
        <v>135803.67907000001</v>
      </c>
      <c r="Y17" s="10">
        <f t="shared" si="12"/>
        <v>128987.096638</v>
      </c>
      <c r="Z17" s="10">
        <f t="shared" si="12"/>
        <v>128203.38265</v>
      </c>
      <c r="AA17" s="10">
        <f t="shared" si="12"/>
        <v>122832.57304999999</v>
      </c>
      <c r="AB17" s="10">
        <f t="shared" si="12"/>
        <v>117997.66782999998</v>
      </c>
      <c r="AC17" s="10">
        <f t="shared" si="12"/>
        <v>115001.73136000001</v>
      </c>
      <c r="AD17" s="10">
        <f t="shared" si="12"/>
        <v>113773.61336999999</v>
      </c>
      <c r="AE17" s="10">
        <f t="shared" si="12"/>
        <v>111540.16104000001</v>
      </c>
      <c r="AF17" s="10">
        <f t="shared" si="12"/>
        <v>111031.96608000001</v>
      </c>
      <c r="AG17" s="10">
        <f t="shared" si="12"/>
        <v>113690.74406999999</v>
      </c>
      <c r="AH17" s="10">
        <f t="shared" si="12"/>
        <v>120652.74848000001</v>
      </c>
      <c r="AI17" s="10">
        <f t="shared" si="12"/>
        <v>127887.74080999999</v>
      </c>
      <c r="AJ17" s="10">
        <f t="shared" si="12"/>
        <v>133505.90074000001</v>
      </c>
      <c r="AK17" s="10">
        <f t="shared" si="12"/>
        <v>135611.24236</v>
      </c>
      <c r="AL17" s="10">
        <f t="shared" si="12"/>
        <v>136706.24073000002</v>
      </c>
      <c r="AM17" s="10">
        <f t="shared" si="12"/>
        <v>136907.95874999999</v>
      </c>
      <c r="AN17" s="10">
        <f t="shared" si="12"/>
        <v>137231.62000000002</v>
      </c>
      <c r="AO17" s="10">
        <f t="shared" si="12"/>
        <v>136741.1</v>
      </c>
      <c r="AP17" s="10">
        <f t="shared" si="12"/>
        <v>139470.32999999999</v>
      </c>
      <c r="AQ17" s="10">
        <f t="shared" si="12"/>
        <v>140210.44374000005</v>
      </c>
      <c r="AR17" s="10">
        <f t="shared" si="12"/>
        <v>140887.52562999999</v>
      </c>
      <c r="AS17" s="10">
        <f t="shared" si="12"/>
        <v>141929.56346</v>
      </c>
      <c r="AT17" s="10">
        <f t="shared" si="12"/>
        <v>0</v>
      </c>
      <c r="AU17" s="10">
        <f t="shared" si="12"/>
        <v>0</v>
      </c>
      <c r="AV17" s="10">
        <f t="shared" si="12"/>
        <v>0</v>
      </c>
      <c r="AW17" s="10">
        <f t="shared" si="12"/>
        <v>0</v>
      </c>
      <c r="AX17" s="10">
        <f t="shared" si="12"/>
        <v>0</v>
      </c>
      <c r="AY17" s="10">
        <f t="shared" si="12"/>
        <v>0</v>
      </c>
      <c r="AZ17" s="10">
        <f>SUM(AZ14:AZ16)</f>
        <v>131984.05647810493</v>
      </c>
      <c r="BA17" s="10">
        <f t="shared" ref="BA17:BK17" si="13">SUM(BA14:BA16)</f>
        <v>131106.01778234434</v>
      </c>
      <c r="BB17" s="10">
        <f t="shared" si="13"/>
        <v>130372.91626826664</v>
      </c>
      <c r="BC17" s="10">
        <f t="shared" si="13"/>
        <v>129706.79802631959</v>
      </c>
      <c r="BD17" s="10">
        <f t="shared" si="13"/>
        <v>128109.69521288008</v>
      </c>
      <c r="BE17" s="10">
        <f t="shared" si="13"/>
        <v>126627.17096623061</v>
      </c>
      <c r="BF17" s="10">
        <f t="shared" si="13"/>
        <v>125156.16636372273</v>
      </c>
      <c r="BG17" s="10">
        <f t="shared" si="13"/>
        <v>123685.78430154872</v>
      </c>
      <c r="BH17" s="10">
        <f t="shared" si="13"/>
        <v>119900.1552935525</v>
      </c>
      <c r="BI17" s="10">
        <f t="shared" si="13"/>
        <v>116225.61112036003</v>
      </c>
      <c r="BJ17" s="10">
        <f t="shared" si="13"/>
        <v>112483.89948150619</v>
      </c>
      <c r="BK17" s="10">
        <f t="shared" si="13"/>
        <v>109101.21261161231</v>
      </c>
      <c r="BO17" s="23">
        <f>SUM(BO14:BO16)</f>
        <v>138908.203874</v>
      </c>
      <c r="BP17" s="23">
        <f t="shared" ref="BP17:BT17" si="14">SUM(BP14:BP16)</f>
        <v>130255.89675358312</v>
      </c>
      <c r="BQ17" s="23">
        <f t="shared" si="14"/>
        <v>138413.37343499999</v>
      </c>
      <c r="BR17" s="23">
        <f t="shared" si="14"/>
        <v>113869.02793600001</v>
      </c>
      <c r="BS17" s="23">
        <f t="shared" si="14"/>
        <v>141082.01904620003</v>
      </c>
      <c r="BT17" s="23">
        <f t="shared" si="14"/>
        <v>139215.96769000002</v>
      </c>
      <c r="BW17" s="23">
        <f>SUM(BW14:BW16)</f>
        <v>694541.01936999999</v>
      </c>
      <c r="BX17" s="23">
        <f t="shared" ref="BX17:CB17" si="15">SUM(BX14:BX16)</f>
        <v>651279.48376791563</v>
      </c>
      <c r="BY17" s="23">
        <f t="shared" si="15"/>
        <v>553653.49373999995</v>
      </c>
      <c r="BZ17" s="23">
        <f t="shared" si="15"/>
        <v>569345.13968000002</v>
      </c>
      <c r="CA17" s="23">
        <f t="shared" si="15"/>
        <v>705410.0952310001</v>
      </c>
      <c r="CB17" s="23">
        <f t="shared" si="15"/>
        <v>696079.83844999992</v>
      </c>
    </row>
    <row r="18" spans="1:80" x14ac:dyDescent="0.25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80" x14ac:dyDescent="0.25"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80" outlineLevel="1" x14ac:dyDescent="0.25">
      <c r="A20" s="11"/>
      <c r="C20" s="2" t="s">
        <v>0</v>
      </c>
      <c r="D20" s="14">
        <f>IFERROR(((1+D38/D14)^(360/D$3))-1,0)</f>
        <v>0.1282047397756283</v>
      </c>
      <c r="E20" s="14">
        <f t="shared" ref="E20:AY23" si="16">IFERROR(((1+E38/E14)^(360/E$3))-1,0)</f>
        <v>0.13079780420196596</v>
      </c>
      <c r="F20" s="14">
        <f t="shared" si="16"/>
        <v>0.12805870613588133</v>
      </c>
      <c r="G20" s="14">
        <f t="shared" si="16"/>
        <v>0.13018822941211639</v>
      </c>
      <c r="H20" s="14">
        <f t="shared" si="16"/>
        <v>0.12886874736654819</v>
      </c>
      <c r="I20" s="14">
        <f t="shared" si="16"/>
        <v>0.13128417969578821</v>
      </c>
      <c r="J20" s="14">
        <f t="shared" si="16"/>
        <v>0.13009875563627693</v>
      </c>
      <c r="K20" s="14">
        <f t="shared" si="16"/>
        <v>0.12963686322331669</v>
      </c>
      <c r="L20" s="14">
        <f t="shared" si="16"/>
        <v>0.13076724401396</v>
      </c>
      <c r="M20" s="14">
        <f t="shared" si="16"/>
        <v>0.1298082789958579</v>
      </c>
      <c r="N20" s="14">
        <f t="shared" si="16"/>
        <v>0.12911420618253233</v>
      </c>
      <c r="O20" s="14">
        <f t="shared" si="16"/>
        <v>0.12896667074405532</v>
      </c>
      <c r="P20" s="14">
        <f t="shared" si="16"/>
        <v>0.12941936182458558</v>
      </c>
      <c r="Q20" s="14">
        <f t="shared" si="16"/>
        <v>0.13046688716345778</v>
      </c>
      <c r="R20" s="14">
        <f t="shared" si="16"/>
        <v>0.12826844803010351</v>
      </c>
      <c r="S20" s="14">
        <f t="shared" si="16"/>
        <v>0.1260362431537152</v>
      </c>
      <c r="T20" s="14">
        <f t="shared" si="16"/>
        <v>0.12656262112720973</v>
      </c>
      <c r="U20" s="14">
        <f t="shared" si="16"/>
        <v>0.12813391889117653</v>
      </c>
      <c r="V20" s="14">
        <f t="shared" si="16"/>
        <v>0.12709177363290181</v>
      </c>
      <c r="W20" s="14">
        <f t="shared" si="16"/>
        <v>0.12828810445310879</v>
      </c>
      <c r="X20" s="14">
        <f t="shared" si="16"/>
        <v>0.12806468919406244</v>
      </c>
      <c r="Y20" s="14">
        <f t="shared" si="16"/>
        <v>0.13201065824452574</v>
      </c>
      <c r="Z20" s="14">
        <f t="shared" si="16"/>
        <v>0.12715587468078815</v>
      </c>
      <c r="AA20" s="14">
        <f t="shared" si="16"/>
        <v>0.12455279500032046</v>
      </c>
      <c r="AB20" s="14">
        <f t="shared" si="16"/>
        <v>0.12631037221594754</v>
      </c>
      <c r="AC20" s="14">
        <f t="shared" si="16"/>
        <v>0.12505744780567007</v>
      </c>
      <c r="AD20" s="14">
        <f t="shared" si="16"/>
        <v>0.12527475893703888</v>
      </c>
      <c r="AE20" s="14">
        <f t="shared" si="16"/>
        <v>0.12511598075234742</v>
      </c>
      <c r="AF20" s="14">
        <f t="shared" si="16"/>
        <v>0.12518727685416176</v>
      </c>
      <c r="AG20" s="14">
        <f t="shared" si="16"/>
        <v>0.12360996694563564</v>
      </c>
      <c r="AH20" s="14">
        <f t="shared" si="16"/>
        <v>0.12383240564559417</v>
      </c>
      <c r="AI20" s="14">
        <f t="shared" si="16"/>
        <v>0.12112154864011648</v>
      </c>
      <c r="AJ20" s="14">
        <f t="shared" si="16"/>
        <v>0.12174795581347619</v>
      </c>
      <c r="AK20" s="14">
        <f t="shared" si="16"/>
        <v>0.12440229641917111</v>
      </c>
      <c r="AL20" s="14">
        <f t="shared" si="16"/>
        <v>0.12359579077999006</v>
      </c>
      <c r="AM20" s="14">
        <f t="shared" si="16"/>
        <v>0.12308243966091026</v>
      </c>
      <c r="AN20" s="14">
        <f t="shared" si="16"/>
        <v>0.11945721921303698</v>
      </c>
      <c r="AO20" s="14">
        <f t="shared" si="16"/>
        <v>0.12088062357756368</v>
      </c>
      <c r="AP20" s="14">
        <f t="shared" si="16"/>
        <v>0.11908502343524607</v>
      </c>
      <c r="AQ20" s="14">
        <f t="shared" si="16"/>
        <v>0.11980374267077476</v>
      </c>
      <c r="AR20" s="14">
        <f t="shared" si="16"/>
        <v>0.11769343943378185</v>
      </c>
      <c r="AS20" s="14">
        <f t="shared" si="16"/>
        <v>0.11639285290033174</v>
      </c>
      <c r="AT20" s="14">
        <f t="shared" si="16"/>
        <v>0</v>
      </c>
      <c r="AU20" s="14">
        <f t="shared" si="16"/>
        <v>0</v>
      </c>
      <c r="AV20" s="14">
        <f t="shared" si="16"/>
        <v>0</v>
      </c>
      <c r="AW20" s="14">
        <f t="shared" si="16"/>
        <v>0</v>
      </c>
      <c r="AX20" s="14">
        <f t="shared" si="16"/>
        <v>0</v>
      </c>
      <c r="AY20" s="14">
        <f t="shared" si="16"/>
        <v>0</v>
      </c>
      <c r="AZ20" s="14">
        <f t="shared" ref="AZ20:BK23" si="17">IFERROR(((1+AZ38/AZ14)^(360/AZ$3))-1,0)</f>
        <v>0.11833579785190196</v>
      </c>
      <c r="BA20" s="14">
        <f t="shared" si="17"/>
        <v>0.11975140296837838</v>
      </c>
      <c r="BB20" s="14">
        <f t="shared" si="17"/>
        <v>0.11930162123550225</v>
      </c>
      <c r="BC20" s="14">
        <f t="shared" si="17"/>
        <v>0.12049848790388595</v>
      </c>
      <c r="BD20" s="14">
        <f t="shared" si="17"/>
        <v>0.12076127094300992</v>
      </c>
      <c r="BE20" s="14">
        <f t="shared" si="17"/>
        <v>0.12237447768521892</v>
      </c>
      <c r="BF20" s="14">
        <f t="shared" si="17"/>
        <v>0.12410333220990499</v>
      </c>
      <c r="BG20" s="14">
        <f t="shared" si="17"/>
        <v>0.1254544010601375</v>
      </c>
      <c r="BH20" s="14">
        <f t="shared" si="17"/>
        <v>0.12697307837332783</v>
      </c>
      <c r="BI20" s="14">
        <f t="shared" si="17"/>
        <v>0.13106323060339298</v>
      </c>
      <c r="BJ20" s="14">
        <f t="shared" si="17"/>
        <v>0.13322126732036188</v>
      </c>
      <c r="BK20" s="14">
        <f t="shared" si="17"/>
        <v>0.13675796271190155</v>
      </c>
      <c r="BO20" s="28">
        <f>IFERROR(((1+BO38/BW14)^(360/BO$3))-1,0)</f>
        <v>0.11937312943134959</v>
      </c>
      <c r="BP20" s="28">
        <f t="shared" ref="BP20:BT23" si="18">IFERROR(((1+BP38/BX14)^(360/BP$3))-1,0)</f>
        <v>0.11972163118150148</v>
      </c>
      <c r="BQ20" s="28">
        <f t="shared" si="18"/>
        <v>0.11980220356703675</v>
      </c>
      <c r="BR20" s="28">
        <f t="shared" si="18"/>
        <v>0.12539834211546919</v>
      </c>
      <c r="BS20" s="28">
        <f t="shared" si="18"/>
        <v>0.12812923212714056</v>
      </c>
      <c r="BT20" s="28">
        <f t="shared" si="18"/>
        <v>0.12922827849258556</v>
      </c>
    </row>
    <row r="21" spans="1:80" outlineLevel="1" x14ac:dyDescent="0.25">
      <c r="A21" s="11"/>
      <c r="C21" s="2" t="s">
        <v>1</v>
      </c>
      <c r="D21" s="14">
        <f t="shared" ref="D21:S23" si="19">IFERROR(((1+D39/D15)^(360/D$3))-1,0)</f>
        <v>0.11540706655067345</v>
      </c>
      <c r="E21" s="14">
        <f t="shared" si="19"/>
        <v>0.1134460316661543</v>
      </c>
      <c r="F21" s="14">
        <f t="shared" si="19"/>
        <v>9.8698669791905669E-2</v>
      </c>
      <c r="G21" s="14">
        <f t="shared" si="19"/>
        <v>9.8342687459258116E-2</v>
      </c>
      <c r="H21" s="14">
        <f t="shared" si="19"/>
        <v>0.1087544260354143</v>
      </c>
      <c r="I21" s="14">
        <f t="shared" si="19"/>
        <v>0.11527621129888566</v>
      </c>
      <c r="J21" s="14">
        <f t="shared" si="19"/>
        <v>0.12265091359787195</v>
      </c>
      <c r="K21" s="14">
        <f t="shared" si="19"/>
        <v>0.12150205319517626</v>
      </c>
      <c r="L21" s="14">
        <f t="shared" si="19"/>
        <v>0.13026704142575873</v>
      </c>
      <c r="M21" s="14">
        <f t="shared" si="19"/>
        <v>0.12348072193097259</v>
      </c>
      <c r="N21" s="14">
        <f t="shared" si="19"/>
        <v>0.12625176656334114</v>
      </c>
      <c r="O21" s="14">
        <f t="shared" si="19"/>
        <v>0.12518899622574464</v>
      </c>
      <c r="P21" s="14">
        <f t="shared" si="19"/>
        <v>0.12501841875601594</v>
      </c>
      <c r="Q21" s="14">
        <f t="shared" si="19"/>
        <v>0.12376629516976689</v>
      </c>
      <c r="R21" s="14">
        <f t="shared" si="19"/>
        <v>0.11615358744976612</v>
      </c>
      <c r="S21" s="14">
        <f t="shared" si="19"/>
        <v>0.12474239380313401</v>
      </c>
      <c r="T21" s="14">
        <f t="shared" si="16"/>
        <v>0.11910983336098435</v>
      </c>
      <c r="U21" s="14">
        <f t="shared" si="16"/>
        <v>0.11021664968535472</v>
      </c>
      <c r="V21" s="14">
        <f t="shared" si="16"/>
        <v>0.11120670357318985</v>
      </c>
      <c r="W21" s="14">
        <f t="shared" si="16"/>
        <v>0.10507170687235323</v>
      </c>
      <c r="X21" s="14">
        <f t="shared" si="16"/>
        <v>0.10819320908270869</v>
      </c>
      <c r="Y21" s="14">
        <f t="shared" si="16"/>
        <v>0.11203028808391258</v>
      </c>
      <c r="Z21" s="14">
        <f t="shared" si="16"/>
        <v>9.9881975390204047E-2</v>
      </c>
      <c r="AA21" s="14">
        <f t="shared" si="16"/>
        <v>9.5013280848506465E-2</v>
      </c>
      <c r="AB21" s="14">
        <f t="shared" si="16"/>
        <v>0.11353826398994094</v>
      </c>
      <c r="AC21" s="14">
        <f t="shared" si="16"/>
        <v>0.10585110845437984</v>
      </c>
      <c r="AD21" s="14">
        <f t="shared" si="16"/>
        <v>0.11321923764428998</v>
      </c>
      <c r="AE21" s="14">
        <f t="shared" si="16"/>
        <v>0.1191434104781226</v>
      </c>
      <c r="AF21" s="14">
        <f t="shared" si="16"/>
        <v>0.11968599072231156</v>
      </c>
      <c r="AG21" s="14">
        <f t="shared" si="16"/>
        <v>0.12060589577863223</v>
      </c>
      <c r="AH21" s="14">
        <f t="shared" si="16"/>
        <v>0.11872463544172907</v>
      </c>
      <c r="AI21" s="14">
        <f t="shared" si="16"/>
        <v>0.12743957012025886</v>
      </c>
      <c r="AJ21" s="14">
        <f t="shared" si="16"/>
        <v>0.11887559300862205</v>
      </c>
      <c r="AK21" s="14">
        <f t="shared" si="16"/>
        <v>0.12915158980089747</v>
      </c>
      <c r="AL21" s="14">
        <f t="shared" si="16"/>
        <v>0.12399947602208927</v>
      </c>
      <c r="AM21" s="14">
        <f t="shared" si="16"/>
        <v>0.11377695450539305</v>
      </c>
      <c r="AN21" s="14">
        <f t="shared" si="16"/>
        <v>0.11649455652326357</v>
      </c>
      <c r="AO21" s="14">
        <f t="shared" si="16"/>
        <v>0.12014105534447639</v>
      </c>
      <c r="AP21" s="14">
        <f t="shared" si="16"/>
        <v>0.11008736239819794</v>
      </c>
      <c r="AQ21" s="14">
        <f t="shared" si="16"/>
        <v>0.11617077480866111</v>
      </c>
      <c r="AR21" s="14">
        <f t="shared" si="16"/>
        <v>0.12313586175800051</v>
      </c>
      <c r="AS21" s="14">
        <f t="shared" si="16"/>
        <v>0.12386909955807335</v>
      </c>
      <c r="AT21" s="14">
        <f t="shared" si="16"/>
        <v>0</v>
      </c>
      <c r="AU21" s="14">
        <f t="shared" si="16"/>
        <v>0</v>
      </c>
      <c r="AV21" s="14">
        <f t="shared" si="16"/>
        <v>0</v>
      </c>
      <c r="AW21" s="14">
        <f t="shared" si="16"/>
        <v>0</v>
      </c>
      <c r="AX21" s="14">
        <f t="shared" si="16"/>
        <v>0</v>
      </c>
      <c r="AY21" s="14">
        <f t="shared" si="16"/>
        <v>0</v>
      </c>
      <c r="AZ21" s="14">
        <f t="shared" si="17"/>
        <v>0.11659631200859</v>
      </c>
      <c r="BA21" s="14">
        <f t="shared" si="17"/>
        <v>0.11666946748446305</v>
      </c>
      <c r="BB21" s="14">
        <f t="shared" si="17"/>
        <v>0.11496314760136594</v>
      </c>
      <c r="BC21" s="14">
        <f t="shared" si="17"/>
        <v>0.11276717901103273</v>
      </c>
      <c r="BD21" s="14">
        <f t="shared" si="17"/>
        <v>0.11021646873437607</v>
      </c>
      <c r="BE21" s="14">
        <f t="shared" si="17"/>
        <v>0.10856362377780537</v>
      </c>
      <c r="BF21" s="14">
        <f t="shared" si="17"/>
        <v>0.10803431597604529</v>
      </c>
      <c r="BG21" s="14">
        <f t="shared" si="17"/>
        <v>0.10689960162044043</v>
      </c>
      <c r="BH21" s="14">
        <f t="shared" si="17"/>
        <v>0.10408194543689042</v>
      </c>
      <c r="BI21" s="14">
        <f t="shared" si="17"/>
        <v>0.1030427433283172</v>
      </c>
      <c r="BJ21" s="14">
        <f t="shared" si="17"/>
        <v>0.10055008048818603</v>
      </c>
      <c r="BK21" s="14">
        <f t="shared" si="17"/>
        <v>9.9382234017635795E-2</v>
      </c>
      <c r="BO21" s="28">
        <f t="shared" ref="BO21:BO23" si="20">IFERROR(((1+BO39/BW15)^(360/BO$3))-1,0)</f>
        <v>0.11716227703378856</v>
      </c>
      <c r="BP21" s="28">
        <f t="shared" si="18"/>
        <v>0.11419913783422397</v>
      </c>
      <c r="BQ21" s="28">
        <f t="shared" si="18"/>
        <v>0.11577642347287864</v>
      </c>
      <c r="BR21" s="28">
        <f t="shared" si="18"/>
        <v>0.11446017347430004</v>
      </c>
      <c r="BS21" s="28">
        <f t="shared" si="18"/>
        <v>0.12185500321610032</v>
      </c>
      <c r="BT21" s="28">
        <f t="shared" si="18"/>
        <v>0.10673171565386319</v>
      </c>
    </row>
    <row r="22" spans="1:80" outlineLevel="1" x14ac:dyDescent="0.25">
      <c r="A22" s="11"/>
      <c r="C22" s="2" t="s">
        <v>45</v>
      </c>
      <c r="D22" s="14">
        <f t="shared" si="19"/>
        <v>2.0110987399620806E-2</v>
      </c>
      <c r="E22" s="14">
        <f t="shared" si="16"/>
        <v>7.0718439081103091E-2</v>
      </c>
      <c r="F22" s="14">
        <f t="shared" si="16"/>
        <v>1.8072620772688452E-2</v>
      </c>
      <c r="G22" s="14">
        <f t="shared" si="16"/>
        <v>3.7188712201340568E-2</v>
      </c>
      <c r="H22" s="14">
        <f t="shared" si="16"/>
        <v>1.9038237448924189E-2</v>
      </c>
      <c r="I22" s="14">
        <f t="shared" si="16"/>
        <v>3.3632161944726846E-2</v>
      </c>
      <c r="J22" s="14">
        <f t="shared" si="16"/>
        <v>1.7448776245722053E-2</v>
      </c>
      <c r="K22" s="14">
        <f t="shared" si="16"/>
        <v>1.2643531167809252E-2</v>
      </c>
      <c r="L22" s="14">
        <f t="shared" si="16"/>
        <v>1.5925919245255882E-2</v>
      </c>
      <c r="M22" s="14">
        <f t="shared" si="16"/>
        <v>2.0210490969810424E-2</v>
      </c>
      <c r="N22" s="14">
        <f t="shared" si="16"/>
        <v>7.5646984723263255E-3</v>
      </c>
      <c r="O22" s="14">
        <f t="shared" si="16"/>
        <v>1.8889961439026104E-2</v>
      </c>
      <c r="P22" s="14">
        <f t="shared" si="16"/>
        <v>1.6229560855599789E-2</v>
      </c>
      <c r="Q22" s="14">
        <f t="shared" si="16"/>
        <v>1.4746773477402053E-2</v>
      </c>
      <c r="R22" s="14">
        <f t="shared" si="16"/>
        <v>2.6165084717025833E-2</v>
      </c>
      <c r="S22" s="14">
        <f t="shared" si="16"/>
        <v>3.2728897268707202E-2</v>
      </c>
      <c r="T22" s="14">
        <f t="shared" si="16"/>
        <v>3.2861759333487228E-2</v>
      </c>
      <c r="U22" s="14">
        <f t="shared" si="16"/>
        <v>4.6589218617868022E-2</v>
      </c>
      <c r="V22" s="14">
        <f t="shared" si="16"/>
        <v>4.51268119278041E-2</v>
      </c>
      <c r="W22" s="14">
        <f t="shared" si="16"/>
        <v>4.3794130340131909E-2</v>
      </c>
      <c r="X22" s="14">
        <f t="shared" si="16"/>
        <v>2.1304034802250404E-2</v>
      </c>
      <c r="Y22" s="14">
        <f t="shared" si="16"/>
        <v>2.7158235927980057E-2</v>
      </c>
      <c r="Z22" s="14">
        <f t="shared" si="16"/>
        <v>3.5942469323164916E-2</v>
      </c>
      <c r="AA22" s="14">
        <f t="shared" si="16"/>
        <v>4.1282178807660275E-2</v>
      </c>
      <c r="AB22" s="14">
        <f t="shared" si="16"/>
        <v>2.4163343422164418E-2</v>
      </c>
      <c r="AC22" s="14">
        <f t="shared" si="16"/>
        <v>2.2701965540231184E-2</v>
      </c>
      <c r="AD22" s="14">
        <f t="shared" si="16"/>
        <v>2.3983112506194448E-2</v>
      </c>
      <c r="AE22" s="14">
        <f t="shared" si="16"/>
        <v>2.2931306198439527E-2</v>
      </c>
      <c r="AF22" s="14">
        <f t="shared" si="16"/>
        <v>2.0856679285468527E-2</v>
      </c>
      <c r="AG22" s="14">
        <f t="shared" si="16"/>
        <v>1.7002195321740077E-2</v>
      </c>
      <c r="AH22" s="14">
        <f t="shared" si="16"/>
        <v>2.0908778969095154E-2</v>
      </c>
      <c r="AI22" s="14">
        <f t="shared" si="16"/>
        <v>3.224253894192608E-2</v>
      </c>
      <c r="AJ22" s="14">
        <f t="shared" si="16"/>
        <v>9.0248142469911752E-2</v>
      </c>
      <c r="AK22" s="14">
        <f t="shared" si="16"/>
        <v>1.9635381874731017E-2</v>
      </c>
      <c r="AL22" s="14">
        <f t="shared" si="16"/>
        <v>2.0634137096973815E-2</v>
      </c>
      <c r="AM22" s="14">
        <f t="shared" si="16"/>
        <v>2.0756994861190092E-2</v>
      </c>
      <c r="AN22" s="14">
        <f t="shared" si="16"/>
        <v>2.1179594979467309E-2</v>
      </c>
      <c r="AO22" s="14">
        <f t="shared" si="16"/>
        <v>2.153218858053374E-2</v>
      </c>
      <c r="AP22" s="14">
        <f t="shared" si="16"/>
        <v>3.6179124432410337E-2</v>
      </c>
      <c r="AQ22" s="14">
        <f t="shared" si="16"/>
        <v>1.9340878461817645E-2</v>
      </c>
      <c r="AR22" s="14">
        <f t="shared" si="16"/>
        <v>1.8656381269565259E-2</v>
      </c>
      <c r="AS22" s="14">
        <f t="shared" si="16"/>
        <v>3.9961876987680389E-2</v>
      </c>
      <c r="AT22" s="14">
        <f t="shared" si="16"/>
        <v>0</v>
      </c>
      <c r="AU22" s="14">
        <f t="shared" si="16"/>
        <v>0</v>
      </c>
      <c r="AV22" s="14">
        <f t="shared" si="16"/>
        <v>0</v>
      </c>
      <c r="AW22" s="14">
        <f t="shared" si="16"/>
        <v>0</v>
      </c>
      <c r="AX22" s="14">
        <f t="shared" si="16"/>
        <v>0</v>
      </c>
      <c r="AY22" s="14">
        <f t="shared" si="16"/>
        <v>0</v>
      </c>
      <c r="AZ22" s="14">
        <f t="shared" si="17"/>
        <v>8.042506205476041E-2</v>
      </c>
      <c r="BA22" s="14">
        <f t="shared" si="17"/>
        <v>8.2524853556394273E-2</v>
      </c>
      <c r="BB22" s="14">
        <f t="shared" si="17"/>
        <v>8.3203985725587737E-2</v>
      </c>
      <c r="BC22" s="14">
        <f t="shared" si="17"/>
        <v>8.5701913173062527E-2</v>
      </c>
      <c r="BD22" s="14">
        <f t="shared" si="17"/>
        <v>8.5396666719152359E-2</v>
      </c>
      <c r="BE22" s="14">
        <f t="shared" si="17"/>
        <v>8.6073131800339375E-2</v>
      </c>
      <c r="BF22" s="14">
        <f t="shared" si="17"/>
        <v>8.7198037403145578E-2</v>
      </c>
      <c r="BG22" s="14">
        <f t="shared" si="17"/>
        <v>8.6484129931510001E-2</v>
      </c>
      <c r="BH22" s="14">
        <f t="shared" si="17"/>
        <v>8.5416214993339068E-2</v>
      </c>
      <c r="BI22" s="14">
        <f t="shared" si="17"/>
        <v>8.5407854019427853E-2</v>
      </c>
      <c r="BJ22" s="14">
        <f t="shared" si="17"/>
        <v>8.3752896359379658E-2</v>
      </c>
      <c r="BK22" s="14">
        <f t="shared" si="17"/>
        <v>8.2981790829226965E-2</v>
      </c>
      <c r="BO22" s="28">
        <f t="shared" si="20"/>
        <v>2.3445814102103668E-2</v>
      </c>
      <c r="BP22" s="28">
        <f t="shared" si="18"/>
        <v>8.3400151059069616E-2</v>
      </c>
      <c r="BQ22" s="28">
        <f t="shared" si="18"/>
        <v>2.4597767062716214E-2</v>
      </c>
      <c r="BR22" s="28">
        <f t="shared" si="18"/>
        <v>2.2922264045761143E-2</v>
      </c>
      <c r="BS22" s="28">
        <f t="shared" si="18"/>
        <v>2.3012078280210124E-2</v>
      </c>
      <c r="BT22" s="28">
        <f t="shared" si="18"/>
        <v>3.2488934748388099E-2</v>
      </c>
    </row>
    <row r="23" spans="1:80" x14ac:dyDescent="0.25">
      <c r="C23" s="3" t="s">
        <v>59</v>
      </c>
      <c r="D23" s="15">
        <f t="shared" si="19"/>
        <v>0.12388020165929436</v>
      </c>
      <c r="E23" s="15">
        <f t="shared" si="16"/>
        <v>0.12843119346338194</v>
      </c>
      <c r="F23" s="15">
        <f t="shared" si="16"/>
        <v>0.1233124097563103</v>
      </c>
      <c r="G23" s="15">
        <f t="shared" si="16"/>
        <v>0.12639977460483243</v>
      </c>
      <c r="H23" s="15">
        <f t="shared" si="16"/>
        <v>0.12475561899277254</v>
      </c>
      <c r="I23" s="15">
        <f t="shared" si="16"/>
        <v>0.12801548243259853</v>
      </c>
      <c r="J23" s="15">
        <f t="shared" si="16"/>
        <v>0.12692555316540655</v>
      </c>
      <c r="K23" s="15">
        <f t="shared" si="16"/>
        <v>0.12649532031767619</v>
      </c>
      <c r="L23" s="15">
        <f t="shared" si="16"/>
        <v>0.12787864415396477</v>
      </c>
      <c r="M23" s="15">
        <f t="shared" si="16"/>
        <v>0.12717446175834723</v>
      </c>
      <c r="N23" s="15">
        <f t="shared" si="16"/>
        <v>0.12650844708230613</v>
      </c>
      <c r="O23" s="15">
        <f t="shared" si="16"/>
        <v>0.12668728441657073</v>
      </c>
      <c r="P23" s="15">
        <f t="shared" si="16"/>
        <v>0.12655717166354941</v>
      </c>
      <c r="Q23" s="15">
        <f t="shared" si="16"/>
        <v>0.12757435187083388</v>
      </c>
      <c r="R23" s="15">
        <f t="shared" si="16"/>
        <v>0.12614521390302502</v>
      </c>
      <c r="S23" s="15">
        <f t="shared" si="16"/>
        <v>0.12452660187157938</v>
      </c>
      <c r="T23" s="15">
        <f t="shared" si="16"/>
        <v>0.12509807898290903</v>
      </c>
      <c r="U23" s="15">
        <f t="shared" si="16"/>
        <v>0.12687779509145058</v>
      </c>
      <c r="V23" s="15">
        <f t="shared" si="16"/>
        <v>0.12591219005295118</v>
      </c>
      <c r="W23" s="15">
        <f t="shared" si="16"/>
        <v>0.12668425719092924</v>
      </c>
      <c r="X23" s="15">
        <f t="shared" si="16"/>
        <v>0.1260562287623892</v>
      </c>
      <c r="Y23" s="15">
        <f t="shared" si="16"/>
        <v>0.12995264580929611</v>
      </c>
      <c r="Z23" s="15">
        <f t="shared" si="16"/>
        <v>0.1253887292441207</v>
      </c>
      <c r="AA23" s="15">
        <f t="shared" si="16"/>
        <v>0.1227414056688314</v>
      </c>
      <c r="AB23" s="15">
        <f t="shared" si="16"/>
        <v>0.12392693376535391</v>
      </c>
      <c r="AC23" s="15">
        <f t="shared" si="16"/>
        <v>0.12249635127746128</v>
      </c>
      <c r="AD23" s="15">
        <f t="shared" si="16"/>
        <v>0.12247800234667383</v>
      </c>
      <c r="AE23" s="15">
        <f t="shared" si="16"/>
        <v>0.12228522884342818</v>
      </c>
      <c r="AF23" s="15">
        <f t="shared" si="16"/>
        <v>0.12246769465783536</v>
      </c>
      <c r="AG23" s="15">
        <f t="shared" si="16"/>
        <v>0.12067620322859818</v>
      </c>
      <c r="AH23" s="15">
        <f t="shared" si="16"/>
        <v>0.12116406609301222</v>
      </c>
      <c r="AI23" s="15">
        <f t="shared" si="16"/>
        <v>0.1191009009506836</v>
      </c>
      <c r="AJ23" s="15">
        <f t="shared" si="16"/>
        <v>0.12100248607308495</v>
      </c>
      <c r="AK23" s="15">
        <f t="shared" si="16"/>
        <v>0.1220859847736433</v>
      </c>
      <c r="AL23" s="15">
        <f t="shared" si="16"/>
        <v>0.1209953805175461</v>
      </c>
      <c r="AM23" s="15">
        <f t="shared" si="16"/>
        <v>0.12016478383363349</v>
      </c>
      <c r="AN23" s="15">
        <f t="shared" si="16"/>
        <v>0.1164595286475143</v>
      </c>
      <c r="AO23" s="15">
        <f t="shared" si="16"/>
        <v>0.11778498489826728</v>
      </c>
      <c r="AP23" s="15">
        <f t="shared" si="16"/>
        <v>0.11647047959227064</v>
      </c>
      <c r="AQ23" s="15">
        <f t="shared" si="16"/>
        <v>0.11683189222099655</v>
      </c>
      <c r="AR23" s="15">
        <f t="shared" si="16"/>
        <v>0.11495118523398129</v>
      </c>
      <c r="AS23" s="15">
        <f t="shared" si="16"/>
        <v>0.11447141614164269</v>
      </c>
      <c r="AT23" s="15">
        <f t="shared" si="16"/>
        <v>0</v>
      </c>
      <c r="AU23" s="15">
        <f t="shared" si="16"/>
        <v>0</v>
      </c>
      <c r="AV23" s="15">
        <f t="shared" si="16"/>
        <v>0</v>
      </c>
      <c r="AW23" s="15">
        <f t="shared" si="16"/>
        <v>0</v>
      </c>
      <c r="AX23" s="15">
        <f t="shared" si="16"/>
        <v>0</v>
      </c>
      <c r="AY23" s="15">
        <f t="shared" si="16"/>
        <v>0</v>
      </c>
      <c r="AZ23" s="15">
        <f t="shared" si="17"/>
        <v>0.11738596732109063</v>
      </c>
      <c r="BA23" s="15">
        <f t="shared" si="17"/>
        <v>0.11881280050388332</v>
      </c>
      <c r="BB23" s="15">
        <f t="shared" si="17"/>
        <v>0.11838334328217126</v>
      </c>
      <c r="BC23" s="15">
        <f t="shared" si="17"/>
        <v>0.11957917307464649</v>
      </c>
      <c r="BD23" s="15">
        <f t="shared" si="17"/>
        <v>0.11978226684424942</v>
      </c>
      <c r="BE23" s="15">
        <f t="shared" si="17"/>
        <v>0.12131809660271209</v>
      </c>
      <c r="BF23" s="15">
        <f t="shared" si="17"/>
        <v>0.12299516795167031</v>
      </c>
      <c r="BG23" s="15">
        <f t="shared" si="17"/>
        <v>0.12423830694615678</v>
      </c>
      <c r="BH23" s="15">
        <f t="shared" si="17"/>
        <v>0.12559311446286836</v>
      </c>
      <c r="BI23" s="15">
        <f t="shared" si="17"/>
        <v>0.12945000286003472</v>
      </c>
      <c r="BJ23" s="15">
        <f t="shared" si="17"/>
        <v>0.13137097214769411</v>
      </c>
      <c r="BK23" s="15">
        <f t="shared" si="17"/>
        <v>0.13464340539796504</v>
      </c>
      <c r="BO23" s="29">
        <f t="shared" si="20"/>
        <v>0.11649154436356346</v>
      </c>
      <c r="BP23" s="29">
        <f t="shared" si="18"/>
        <v>0.1187806986356823</v>
      </c>
      <c r="BQ23" s="29">
        <f t="shared" si="18"/>
        <v>0.11688382889832805</v>
      </c>
      <c r="BR23" s="29">
        <f t="shared" si="18"/>
        <v>0.12274207352855959</v>
      </c>
      <c r="BS23" s="29">
        <f t="shared" si="18"/>
        <v>0.12597103806614651</v>
      </c>
      <c r="BT23" s="29">
        <f t="shared" si="18"/>
        <v>0.12535449820181555</v>
      </c>
    </row>
    <row r="26" spans="1:80" outlineLevel="1" x14ac:dyDescent="0.25">
      <c r="A26" s="11"/>
      <c r="C26" s="2" t="s">
        <v>0</v>
      </c>
      <c r="D26" s="14">
        <f>-IFERROR(((1-D44/D14)^(360/D$4))-1,0)</f>
        <v>-6.4461676607926455E-2</v>
      </c>
      <c r="E26" s="14">
        <f t="shared" ref="E26:AY29" si="21">-IFERROR(((1-E44/E14)^(360/E$4))-1,0)</f>
        <v>-6.6994024514870354E-2</v>
      </c>
      <c r="F26" s="14">
        <f t="shared" si="21"/>
        <v>-6.9593891573038524E-2</v>
      </c>
      <c r="G26" s="14">
        <f t="shared" si="21"/>
        <v>-7.1268169773285095E-2</v>
      </c>
      <c r="H26" s="14">
        <f t="shared" si="21"/>
        <v>-7.245586620788691E-2</v>
      </c>
      <c r="I26" s="14">
        <f t="shared" si="21"/>
        <v>-7.3314711762425544E-2</v>
      </c>
      <c r="J26" s="14">
        <f t="shared" si="21"/>
        <v>-7.3618549305936698E-2</v>
      </c>
      <c r="K26" s="14">
        <f t="shared" si="21"/>
        <v>-7.3828763642731499E-2</v>
      </c>
      <c r="L26" s="14">
        <f t="shared" si="21"/>
        <v>-7.4843452060024074E-2</v>
      </c>
      <c r="M26" s="14">
        <f t="shared" si="21"/>
        <v>-7.5420874732962551E-2</v>
      </c>
      <c r="N26" s="14">
        <f t="shared" si="21"/>
        <v>-7.5885077979331195E-2</v>
      </c>
      <c r="O26" s="14">
        <f t="shared" si="21"/>
        <v>-7.5820611452956266E-2</v>
      </c>
      <c r="P26" s="14">
        <f t="shared" si="21"/>
        <v>-7.5543914324102124E-2</v>
      </c>
      <c r="Q26" s="14">
        <f t="shared" si="21"/>
        <v>-7.4817886748401508E-2</v>
      </c>
      <c r="R26" s="14">
        <f t="shared" si="21"/>
        <v>-7.3816523929401967E-2</v>
      </c>
      <c r="S26" s="14">
        <f t="shared" si="21"/>
        <v>-7.3099410796919395E-2</v>
      </c>
      <c r="T26" s="14">
        <f t="shared" si="21"/>
        <v>-7.2552183232034162E-2</v>
      </c>
      <c r="U26" s="14">
        <f t="shared" si="21"/>
        <v>-7.1957941752850196E-2</v>
      </c>
      <c r="V26" s="14">
        <f t="shared" si="21"/>
        <v>-7.1491216081168929E-2</v>
      </c>
      <c r="W26" s="14">
        <f t="shared" si="21"/>
        <v>-7.0833261979795115E-2</v>
      </c>
      <c r="X26" s="14">
        <f t="shared" si="21"/>
        <v>-7.0028318332655992E-2</v>
      </c>
      <c r="Y26" s="14">
        <f t="shared" si="21"/>
        <v>-6.9370851459425786E-2</v>
      </c>
      <c r="Z26" s="14">
        <f t="shared" si="21"/>
        <v>-6.8904203174240619E-2</v>
      </c>
      <c r="AA26" s="14">
        <f t="shared" si="21"/>
        <v>-6.8513753116852927E-2</v>
      </c>
      <c r="AB26" s="14">
        <f t="shared" si="21"/>
        <v>-6.8281950116189094E-2</v>
      </c>
      <c r="AC26" s="14">
        <f t="shared" si="21"/>
        <v>-6.7811029734075046E-2</v>
      </c>
      <c r="AD26" s="14">
        <f t="shared" si="21"/>
        <v>-6.679419854850277E-2</v>
      </c>
      <c r="AE26" s="14">
        <f t="shared" si="21"/>
        <v>-6.5808017818054232E-2</v>
      </c>
      <c r="AF26" s="14">
        <f t="shared" si="21"/>
        <v>-6.5001183476480984E-2</v>
      </c>
      <c r="AG26" s="14">
        <f t="shared" si="21"/>
        <v>-6.3820250487468311E-2</v>
      </c>
      <c r="AH26" s="14">
        <f t="shared" si="21"/>
        <v>-6.2132337748442623E-2</v>
      </c>
      <c r="AI26" s="14">
        <f t="shared" si="21"/>
        <v>-6.0593800310067003E-2</v>
      </c>
      <c r="AJ26" s="14">
        <f t="shared" si="21"/>
        <v>-5.9389566459597587E-2</v>
      </c>
      <c r="AK26" s="14">
        <f t="shared" si="21"/>
        <v>-5.8531360968762547E-2</v>
      </c>
      <c r="AL26" s="14">
        <f t="shared" si="21"/>
        <v>-5.8404523059128799E-2</v>
      </c>
      <c r="AM26" s="14">
        <f t="shared" si="21"/>
        <v>-5.7772040966371341E-2</v>
      </c>
      <c r="AN26" s="14">
        <f t="shared" si="21"/>
        <v>-5.7389106140513624E-2</v>
      </c>
      <c r="AO26" s="14">
        <f t="shared" si="21"/>
        <v>-5.6795721499052432E-2</v>
      </c>
      <c r="AP26" s="14">
        <f t="shared" si="21"/>
        <v>-5.6142189244530849E-2</v>
      </c>
      <c r="AQ26" s="14">
        <f t="shared" si="21"/>
        <v>-5.5764098106920512E-2</v>
      </c>
      <c r="AR26" s="14">
        <f t="shared" si="21"/>
        <v>-5.5572911500176625E-2</v>
      </c>
      <c r="AS26" s="14">
        <f t="shared" si="21"/>
        <v>-5.5235151451211939E-2</v>
      </c>
      <c r="AT26" s="14">
        <f t="shared" si="21"/>
        <v>0</v>
      </c>
      <c r="AU26" s="14">
        <f t="shared" si="21"/>
        <v>0</v>
      </c>
      <c r="AV26" s="14">
        <f t="shared" si="21"/>
        <v>0</v>
      </c>
      <c r="AW26" s="14">
        <f t="shared" si="21"/>
        <v>0</v>
      </c>
      <c r="AX26" s="14">
        <f t="shared" si="21"/>
        <v>0</v>
      </c>
      <c r="AY26" s="14">
        <f t="shared" si="21"/>
        <v>0</v>
      </c>
      <c r="AZ26" s="14">
        <f t="shared" ref="AZ26:BK29" si="22">-IFERROR(((1-AZ44/AZ14)^(360/AZ$4))-1,0)</f>
        <v>-5.8897928715054837E-2</v>
      </c>
      <c r="BA26" s="14">
        <f t="shared" si="22"/>
        <v>-5.8325381465451853E-2</v>
      </c>
      <c r="BB26" s="14">
        <f t="shared" si="22"/>
        <v>-5.7724542013652069E-2</v>
      </c>
      <c r="BC26" s="14">
        <f t="shared" si="22"/>
        <v>-5.7209249197507361E-2</v>
      </c>
      <c r="BD26" s="14">
        <f t="shared" si="22"/>
        <v>-5.6760592781423647E-2</v>
      </c>
      <c r="BE26" s="14">
        <f t="shared" si="22"/>
        <v>-5.6314233972233341E-2</v>
      </c>
      <c r="BF26" s="14">
        <f t="shared" si="22"/>
        <v>-5.5886746721705238E-2</v>
      </c>
      <c r="BG26" s="14">
        <f t="shared" si="22"/>
        <v>-5.5514565224463741E-2</v>
      </c>
      <c r="BH26" s="14">
        <f t="shared" si="22"/>
        <v>-5.5173061571784698E-2</v>
      </c>
      <c r="BI26" s="14">
        <f t="shared" si="22"/>
        <v>-5.4888408717066239E-2</v>
      </c>
      <c r="BJ26" s="14">
        <f t="shared" si="22"/>
        <v>-5.4639713220594466E-2</v>
      </c>
      <c r="BK26" s="14">
        <f t="shared" si="22"/>
        <v>-5.4425567394114305E-2</v>
      </c>
      <c r="BO26" s="28">
        <f>-IFERROR(((1-BO44/BW14)^(360/BO$4))-1,0)</f>
        <v>-5.6335308455464528E-2</v>
      </c>
      <c r="BP26" s="28">
        <f t="shared" ref="BP26:BT29" si="23">-IFERROR(((1-BP44/BX14)^(360/BP$4))-1,0)</f>
        <v>-5.7777950637286635E-2</v>
      </c>
      <c r="BQ26" s="28">
        <f t="shared" si="23"/>
        <v>-5.6528391741874184E-2</v>
      </c>
      <c r="BR26" s="28">
        <f t="shared" si="23"/>
        <v>-6.67473325797312E-2</v>
      </c>
      <c r="BS26" s="28">
        <f t="shared" si="23"/>
        <v>-7.3959721953060997E-2</v>
      </c>
      <c r="BT26" s="28">
        <f t="shared" si="23"/>
        <v>-6.9094046807642417E-2</v>
      </c>
    </row>
    <row r="27" spans="1:80" outlineLevel="1" x14ac:dyDescent="0.25">
      <c r="A27" s="11"/>
      <c r="C27" s="2" t="s">
        <v>1</v>
      </c>
      <c r="D27" s="14">
        <f t="shared" ref="D27:S29" si="24">-IFERROR(((1-D45/D15)^(360/D$4))-1,0)</f>
        <v>-6.0790620180669164E-2</v>
      </c>
      <c r="E27" s="14">
        <f t="shared" si="24"/>
        <v>-6.1767570171461728E-2</v>
      </c>
      <c r="F27" s="14">
        <f t="shared" si="24"/>
        <v>-6.3252544446443126E-2</v>
      </c>
      <c r="G27" s="14">
        <f t="shared" si="24"/>
        <v>-6.6175868318037567E-2</v>
      </c>
      <c r="H27" s="14">
        <f t="shared" si="24"/>
        <v>-6.5774829762663023E-2</v>
      </c>
      <c r="I27" s="14">
        <f t="shared" si="24"/>
        <v>-6.543608538366974E-2</v>
      </c>
      <c r="J27" s="14">
        <f t="shared" si="24"/>
        <v>-6.4453688309467516E-2</v>
      </c>
      <c r="K27" s="14">
        <f t="shared" si="24"/>
        <v>-6.4816993523478805E-2</v>
      </c>
      <c r="L27" s="14">
        <f t="shared" si="24"/>
        <v>-6.5255193670039846E-2</v>
      </c>
      <c r="M27" s="14">
        <f t="shared" si="24"/>
        <v>-6.59057700153316E-2</v>
      </c>
      <c r="N27" s="14">
        <f t="shared" si="24"/>
        <v>-6.6042285560044878E-2</v>
      </c>
      <c r="O27" s="14">
        <f t="shared" si="24"/>
        <v>-6.7331754175270486E-2</v>
      </c>
      <c r="P27" s="14">
        <f t="shared" si="24"/>
        <v>-6.7722077070195619E-2</v>
      </c>
      <c r="Q27" s="14">
        <f t="shared" si="24"/>
        <v>-6.7716788411021245E-2</v>
      </c>
      <c r="R27" s="14">
        <f t="shared" si="24"/>
        <v>-7.1083126811210429E-2</v>
      </c>
      <c r="S27" s="14">
        <f t="shared" si="24"/>
        <v>-7.1673876088552912E-2</v>
      </c>
      <c r="T27" s="14">
        <f t="shared" si="21"/>
        <v>-7.5056668935572501E-2</v>
      </c>
      <c r="U27" s="14">
        <f t="shared" si="21"/>
        <v>-7.3263756696284155E-2</v>
      </c>
      <c r="V27" s="14">
        <f t="shared" si="21"/>
        <v>-7.3442930225416703E-2</v>
      </c>
      <c r="W27" s="14">
        <f t="shared" si="21"/>
        <v>-7.3336660214272209E-2</v>
      </c>
      <c r="X27" s="14">
        <f t="shared" si="21"/>
        <v>-7.2652833392936822E-2</v>
      </c>
      <c r="Y27" s="14">
        <f t="shared" si="21"/>
        <v>-7.2202904962546999E-2</v>
      </c>
      <c r="Z27" s="14">
        <f t="shared" si="21"/>
        <v>-7.2670263994340845E-2</v>
      </c>
      <c r="AA27" s="14">
        <f t="shared" si="21"/>
        <v>-7.0635229115361797E-2</v>
      </c>
      <c r="AB27" s="14">
        <f t="shared" si="21"/>
        <v>-6.9556290368506746E-2</v>
      </c>
      <c r="AC27" s="14">
        <f t="shared" si="21"/>
        <v>-6.6361348055719027E-2</v>
      </c>
      <c r="AD27" s="14">
        <f t="shared" si="21"/>
        <v>-6.5525207144048414E-2</v>
      </c>
      <c r="AE27" s="14">
        <f t="shared" si="21"/>
        <v>-6.5244584685228757E-2</v>
      </c>
      <c r="AF27" s="14">
        <f t="shared" si="21"/>
        <v>-6.4350316615772618E-2</v>
      </c>
      <c r="AG27" s="14">
        <f t="shared" si="21"/>
        <v>-6.3554437078380488E-2</v>
      </c>
      <c r="AH27" s="14">
        <f t="shared" si="21"/>
        <v>-6.3144851827939608E-2</v>
      </c>
      <c r="AI27" s="14">
        <f t="shared" si="21"/>
        <v>-6.2065177886915679E-2</v>
      </c>
      <c r="AJ27" s="14">
        <f t="shared" si="21"/>
        <v>-6.1141313741289727E-2</v>
      </c>
      <c r="AK27" s="14">
        <f t="shared" si="21"/>
        <v>-6.0790435615419414E-2</v>
      </c>
      <c r="AL27" s="14">
        <f t="shared" si="21"/>
        <v>-6.0411879509129518E-2</v>
      </c>
      <c r="AM27" s="14">
        <f t="shared" si="21"/>
        <v>-6.000684407089274E-2</v>
      </c>
      <c r="AN27" s="14">
        <f t="shared" si="21"/>
        <v>-5.9610773863341127E-2</v>
      </c>
      <c r="AO27" s="14">
        <f t="shared" si="21"/>
        <v>-5.8968400190521297E-2</v>
      </c>
      <c r="AP27" s="14">
        <f t="shared" si="21"/>
        <v>-5.8582010549302899E-2</v>
      </c>
      <c r="AQ27" s="14">
        <f t="shared" si="21"/>
        <v>-5.7750028400015196E-2</v>
      </c>
      <c r="AR27" s="14">
        <f t="shared" si="21"/>
        <v>-5.7167951385329818E-2</v>
      </c>
      <c r="AS27" s="14">
        <f t="shared" si="21"/>
        <v>-5.7299649095944316E-2</v>
      </c>
      <c r="AT27" s="14">
        <f t="shared" si="21"/>
        <v>0</v>
      </c>
      <c r="AU27" s="14">
        <f t="shared" si="21"/>
        <v>0</v>
      </c>
      <c r="AV27" s="14">
        <f t="shared" si="21"/>
        <v>0</v>
      </c>
      <c r="AW27" s="14">
        <f t="shared" si="21"/>
        <v>0</v>
      </c>
      <c r="AX27" s="14">
        <f t="shared" si="21"/>
        <v>0</v>
      </c>
      <c r="AY27" s="14">
        <f t="shared" si="21"/>
        <v>0</v>
      </c>
      <c r="AZ27" s="14">
        <f t="shared" si="22"/>
        <v>-6.1172395188165973E-2</v>
      </c>
      <c r="BA27" s="14">
        <f t="shared" si="22"/>
        <v>-5.9915341220390772E-2</v>
      </c>
      <c r="BB27" s="14">
        <f t="shared" si="22"/>
        <v>-5.8665113910721267E-2</v>
      </c>
      <c r="BC27" s="14">
        <f t="shared" si="22"/>
        <v>-5.6504012269753323E-2</v>
      </c>
      <c r="BD27" s="14">
        <f t="shared" si="22"/>
        <v>-5.4706000115388065E-2</v>
      </c>
      <c r="BE27" s="14">
        <f t="shared" si="22"/>
        <v>-5.2795223920546475E-2</v>
      </c>
      <c r="BF27" s="14">
        <f t="shared" si="22"/>
        <v>-5.1440475678118824E-2</v>
      </c>
      <c r="BG27" s="14">
        <f t="shared" si="22"/>
        <v>-5.0046285254702116E-2</v>
      </c>
      <c r="BH27" s="14">
        <f t="shared" si="22"/>
        <v>-4.7896828528152691E-2</v>
      </c>
      <c r="BI27" s="14">
        <f t="shared" si="22"/>
        <v>-4.5762643559556171E-2</v>
      </c>
      <c r="BJ27" s="14">
        <f t="shared" si="22"/>
        <v>-4.3784418572146766E-2</v>
      </c>
      <c r="BK27" s="14">
        <f t="shared" si="22"/>
        <v>-4.2045976266451124E-2</v>
      </c>
      <c r="BO27" s="28">
        <f t="shared" ref="BO27:BO29" si="25">-IFERROR(((1-BO45/BW15)^(360/BO$4))-1,0)</f>
        <v>-5.8403211472860095E-2</v>
      </c>
      <c r="BP27" s="28">
        <f t="shared" si="23"/>
        <v>-5.813867001901496E-2</v>
      </c>
      <c r="BQ27" s="28">
        <f t="shared" si="23"/>
        <v>-5.8728176267299093E-2</v>
      </c>
      <c r="BR27" s="28">
        <f t="shared" si="23"/>
        <v>-6.6066097474241969E-2</v>
      </c>
      <c r="BS27" s="28">
        <f t="shared" si="23"/>
        <v>-7.0498369224992974E-2</v>
      </c>
      <c r="BT27" s="28">
        <f t="shared" si="23"/>
        <v>-6.3688874688241137E-2</v>
      </c>
    </row>
    <row r="28" spans="1:80" outlineLevel="1" x14ac:dyDescent="0.25">
      <c r="A28" s="11"/>
      <c r="C28" s="2" t="s">
        <v>45</v>
      </c>
      <c r="D28" s="14">
        <f t="shared" si="24"/>
        <v>-4.2522834597093828E-2</v>
      </c>
      <c r="E28" s="14">
        <f t="shared" si="21"/>
        <v>-4.9202803371926729E-2</v>
      </c>
      <c r="F28" s="14">
        <f t="shared" si="21"/>
        <v>-5.3371904985032081E-2</v>
      </c>
      <c r="G28" s="14">
        <f t="shared" si="21"/>
        <v>-5.2315993090532587E-2</v>
      </c>
      <c r="H28" s="14">
        <f t="shared" si="21"/>
        <v>-5.2233272146303245E-2</v>
      </c>
      <c r="I28" s="14">
        <f t="shared" si="21"/>
        <v>-5.3748115186519341E-2</v>
      </c>
      <c r="J28" s="14">
        <f t="shared" si="21"/>
        <v>-5.6061042358232616E-2</v>
      </c>
      <c r="K28" s="14">
        <f t="shared" si="21"/>
        <v>-6.1951442799492495E-2</v>
      </c>
      <c r="L28" s="14">
        <f t="shared" si="21"/>
        <v>-5.9853257058007925E-2</v>
      </c>
      <c r="M28" s="14">
        <f t="shared" si="21"/>
        <v>-6.7754005942737949E-2</v>
      </c>
      <c r="N28" s="14">
        <f t="shared" si="21"/>
        <v>-7.6621279276034127E-2</v>
      </c>
      <c r="O28" s="14">
        <f t="shared" si="21"/>
        <v>-7.8929610003110273E-2</v>
      </c>
      <c r="P28" s="14">
        <f t="shared" si="21"/>
        <v>-7.8258185501797195E-2</v>
      </c>
      <c r="Q28" s="14">
        <f t="shared" si="21"/>
        <v>-7.6918063139907122E-2</v>
      </c>
      <c r="R28" s="14">
        <f t="shared" si="21"/>
        <v>-7.5435877379044003E-2</v>
      </c>
      <c r="S28" s="14">
        <f t="shared" si="21"/>
        <v>-7.5925887487600985E-2</v>
      </c>
      <c r="T28" s="14">
        <f t="shared" si="21"/>
        <v>-7.673939158909926E-2</v>
      </c>
      <c r="U28" s="14">
        <f t="shared" si="21"/>
        <v>-7.5115257106072253E-2</v>
      </c>
      <c r="V28" s="14">
        <f t="shared" si="21"/>
        <v>-7.3373054701569851E-2</v>
      </c>
      <c r="W28" s="14">
        <f t="shared" si="21"/>
        <v>-7.410609112992117E-2</v>
      </c>
      <c r="X28" s="14">
        <f t="shared" si="21"/>
        <v>-7.4707468470623706E-2</v>
      </c>
      <c r="Y28" s="14">
        <f t="shared" si="21"/>
        <v>-7.4077416600007773E-2</v>
      </c>
      <c r="Z28" s="14">
        <f t="shared" si="21"/>
        <v>-7.3670933987221021E-2</v>
      </c>
      <c r="AA28" s="14">
        <f t="shared" si="21"/>
        <v>-7.3464929221570552E-2</v>
      </c>
      <c r="AB28" s="14">
        <f t="shared" si="21"/>
        <v>-7.4054615163059889E-2</v>
      </c>
      <c r="AC28" s="14">
        <f t="shared" si="21"/>
        <v>-7.2492720047979464E-2</v>
      </c>
      <c r="AD28" s="14">
        <f t="shared" si="21"/>
        <v>-7.0933781227358939E-2</v>
      </c>
      <c r="AE28" s="14">
        <f t="shared" si="21"/>
        <v>-7.0090323651482267E-2</v>
      </c>
      <c r="AF28" s="14">
        <f t="shared" si="21"/>
        <v>-7.0607329811130048E-2</v>
      </c>
      <c r="AG28" s="14">
        <f t="shared" si="21"/>
        <v>-7.1075662886965318E-2</v>
      </c>
      <c r="AH28" s="14">
        <f t="shared" si="21"/>
        <v>-7.0085941708124766E-2</v>
      </c>
      <c r="AI28" s="14">
        <f t="shared" si="21"/>
        <v>-6.9622498716452874E-2</v>
      </c>
      <c r="AJ28" s="14">
        <f t="shared" si="21"/>
        <v>-6.9002928055886814E-2</v>
      </c>
      <c r="AK28" s="14">
        <f t="shared" si="21"/>
        <v>-0.10518041855592597</v>
      </c>
      <c r="AL28" s="14">
        <f t="shared" si="21"/>
        <v>-6.2045128737410193E-2</v>
      </c>
      <c r="AM28" s="14">
        <f t="shared" si="21"/>
        <v>-6.07003580294041E-2</v>
      </c>
      <c r="AN28" s="14">
        <f t="shared" si="21"/>
        <v>-5.8537047347654525E-2</v>
      </c>
      <c r="AO28" s="14">
        <f t="shared" si="21"/>
        <v>-5.7836070893849678E-2</v>
      </c>
      <c r="AP28" s="14">
        <f t="shared" si="21"/>
        <v>-5.6957443198645263E-2</v>
      </c>
      <c r="AQ28" s="14">
        <f t="shared" si="21"/>
        <v>-5.6460867783513224E-2</v>
      </c>
      <c r="AR28" s="14">
        <f t="shared" si="21"/>
        <v>-5.7339895066427005E-2</v>
      </c>
      <c r="AS28" s="14">
        <f t="shared" si="21"/>
        <v>-5.7342846478623422E-2</v>
      </c>
      <c r="AT28" s="14">
        <f t="shared" si="21"/>
        <v>0</v>
      </c>
      <c r="AU28" s="14">
        <f t="shared" si="21"/>
        <v>0</v>
      </c>
      <c r="AV28" s="14">
        <f t="shared" si="21"/>
        <v>0</v>
      </c>
      <c r="AW28" s="14">
        <f t="shared" si="21"/>
        <v>0</v>
      </c>
      <c r="AX28" s="14">
        <f t="shared" si="21"/>
        <v>0</v>
      </c>
      <c r="AY28" s="14">
        <f t="shared" si="21"/>
        <v>0</v>
      </c>
      <c r="AZ28" s="14">
        <f t="shared" si="22"/>
        <v>-6.2759164934752754E-2</v>
      </c>
      <c r="BA28" s="14">
        <f t="shared" si="22"/>
        <v>-6.3022370173155373E-2</v>
      </c>
      <c r="BB28" s="14">
        <f t="shared" si="22"/>
        <v>-6.3111078857676528E-2</v>
      </c>
      <c r="BC28" s="14">
        <f t="shared" si="22"/>
        <v>-6.3782642061648964E-2</v>
      </c>
      <c r="BD28" s="14">
        <f t="shared" si="22"/>
        <v>-6.2923244402386169E-2</v>
      </c>
      <c r="BE28" s="14">
        <f t="shared" si="22"/>
        <v>-6.2107816023691864E-2</v>
      </c>
      <c r="BF28" s="14">
        <f t="shared" si="22"/>
        <v>-6.1583713252721273E-2</v>
      </c>
      <c r="BG28" s="14">
        <f t="shared" si="22"/>
        <v>-6.0040882808236384E-2</v>
      </c>
      <c r="BH28" s="14">
        <f t="shared" si="22"/>
        <v>-5.8256858918787735E-2</v>
      </c>
      <c r="BI28" s="14">
        <f t="shared" si="22"/>
        <v>-5.6193813444116225E-2</v>
      </c>
      <c r="BJ28" s="14">
        <f t="shared" si="22"/>
        <v>-5.4007413149596672E-2</v>
      </c>
      <c r="BK28" s="14">
        <f t="shared" si="22"/>
        <v>-5.1973767509463586E-2</v>
      </c>
      <c r="BO28" s="28">
        <f t="shared" si="25"/>
        <v>-5.740109619017808E-2</v>
      </c>
      <c r="BP28" s="28">
        <f t="shared" si="23"/>
        <v>-6.3100621133659551E-2</v>
      </c>
      <c r="BQ28" s="28">
        <f t="shared" si="23"/>
        <v>-5.743216811009022E-2</v>
      </c>
      <c r="BR28" s="28">
        <f t="shared" si="23"/>
        <v>-7.1613939324405296E-2</v>
      </c>
      <c r="BS28" s="28">
        <f t="shared" si="23"/>
        <v>-7.6658370966999234E-2</v>
      </c>
      <c r="BT28" s="28">
        <f t="shared" si="23"/>
        <v>-5.0053259330709476E-2</v>
      </c>
    </row>
    <row r="29" spans="1:80" x14ac:dyDescent="0.25">
      <c r="C29" s="3" t="s">
        <v>60</v>
      </c>
      <c r="D29" s="15">
        <f t="shared" si="24"/>
        <v>-6.3601986089220741E-2</v>
      </c>
      <c r="E29" s="15">
        <f t="shared" si="21"/>
        <v>-6.6303176012787457E-2</v>
      </c>
      <c r="F29" s="15">
        <f t="shared" si="21"/>
        <v>-6.8899065782210833E-2</v>
      </c>
      <c r="G29" s="15">
        <f t="shared" si="21"/>
        <v>-7.0532285017572693E-2</v>
      </c>
      <c r="H29" s="15">
        <f t="shared" si="21"/>
        <v>-7.1694466388352751E-2</v>
      </c>
      <c r="I29" s="15">
        <f t="shared" si="21"/>
        <v>-7.2630595403433862E-2</v>
      </c>
      <c r="J29" s="15">
        <f t="shared" si="21"/>
        <v>-7.3062969199782613E-2</v>
      </c>
      <c r="K29" s="15">
        <f t="shared" si="21"/>
        <v>-7.3445030026371594E-2</v>
      </c>
      <c r="L29" s="15">
        <f t="shared" si="21"/>
        <v>-7.4392179468406372E-2</v>
      </c>
      <c r="M29" s="15">
        <f t="shared" si="21"/>
        <v>-7.5158642705789536E-2</v>
      </c>
      <c r="N29" s="15">
        <f t="shared" si="21"/>
        <v>-7.580790113125313E-2</v>
      </c>
      <c r="O29" s="15">
        <f t="shared" si="21"/>
        <v>-7.579981040394701E-2</v>
      </c>
      <c r="P29" s="15">
        <f t="shared" si="21"/>
        <v>-7.5531543331405215E-2</v>
      </c>
      <c r="Q29" s="15">
        <f t="shared" si="21"/>
        <v>-7.4797214296872916E-2</v>
      </c>
      <c r="R29" s="15">
        <f t="shared" si="21"/>
        <v>-7.3822605261433694E-2</v>
      </c>
      <c r="S29" s="15">
        <f t="shared" si="21"/>
        <v>-7.3130810857294115E-2</v>
      </c>
      <c r="T29" s="15">
        <f t="shared" si="21"/>
        <v>-7.2633445783215178E-2</v>
      </c>
      <c r="U29" s="15">
        <f t="shared" si="21"/>
        <v>-7.2010124055611469E-2</v>
      </c>
      <c r="V29" s="15">
        <f t="shared" si="21"/>
        <v>-7.1530132744391794E-2</v>
      </c>
      <c r="W29" s="15">
        <f t="shared" si="21"/>
        <v>-7.0906230534406811E-2</v>
      </c>
      <c r="X29" s="15">
        <f t="shared" si="21"/>
        <v>-7.0125607793729561E-2</v>
      </c>
      <c r="Y29" s="15">
        <f t="shared" si="21"/>
        <v>-6.9473926751069115E-2</v>
      </c>
      <c r="Z29" s="15">
        <f t="shared" si="21"/>
        <v>-6.9012954721749953E-2</v>
      </c>
      <c r="AA29" s="15">
        <f t="shared" si="21"/>
        <v>-6.862160685718921E-2</v>
      </c>
      <c r="AB29" s="15">
        <f t="shared" si="21"/>
        <v>-6.8417035561605832E-2</v>
      </c>
      <c r="AC29" s="15">
        <f t="shared" si="21"/>
        <v>-6.7893922908333071E-2</v>
      </c>
      <c r="AD29" s="15">
        <f t="shared" si="21"/>
        <v>-6.6879765294831861E-2</v>
      </c>
      <c r="AE29" s="15">
        <f t="shared" si="21"/>
        <v>-6.5910050247220298E-2</v>
      </c>
      <c r="AF29" s="15">
        <f t="shared" si="21"/>
        <v>-6.5127491692858586E-2</v>
      </c>
      <c r="AG29" s="15">
        <f t="shared" si="21"/>
        <v>-6.4004002114320224E-2</v>
      </c>
      <c r="AH29" s="15">
        <f t="shared" si="21"/>
        <v>-6.2338304735065186E-2</v>
      </c>
      <c r="AI29" s="15">
        <f t="shared" si="21"/>
        <v>-6.0818465237679531E-2</v>
      </c>
      <c r="AJ29" s="15">
        <f t="shared" si="21"/>
        <v>-5.9624934800602825E-2</v>
      </c>
      <c r="AK29" s="15">
        <f t="shared" si="21"/>
        <v>-5.9553924512335099E-2</v>
      </c>
      <c r="AL29" s="15">
        <f t="shared" si="21"/>
        <v>-5.851836259038623E-2</v>
      </c>
      <c r="AM29" s="15">
        <f t="shared" si="21"/>
        <v>-5.7879461163578672E-2</v>
      </c>
      <c r="AN29" s="15">
        <f t="shared" si="21"/>
        <v>-5.7454492379639177E-2</v>
      </c>
      <c r="AO29" s="15">
        <f t="shared" si="21"/>
        <v>-5.6858031591184188E-2</v>
      </c>
      <c r="AP29" s="15">
        <f t="shared" si="21"/>
        <v>-5.6198886369317247E-2</v>
      </c>
      <c r="AQ29" s="15">
        <f t="shared" si="21"/>
        <v>-5.5810348552277844E-2</v>
      </c>
      <c r="AR29" s="15">
        <f t="shared" si="21"/>
        <v>-5.5641429523365149E-2</v>
      </c>
      <c r="AS29" s="15">
        <f t="shared" si="21"/>
        <v>-5.5314286357539544E-2</v>
      </c>
      <c r="AT29" s="15">
        <f t="shared" si="21"/>
        <v>0</v>
      </c>
      <c r="AU29" s="15">
        <f t="shared" si="21"/>
        <v>0</v>
      </c>
      <c r="AV29" s="15">
        <f t="shared" si="21"/>
        <v>0</v>
      </c>
      <c r="AW29" s="15">
        <f t="shared" si="21"/>
        <v>0</v>
      </c>
      <c r="AX29" s="15">
        <f t="shared" si="21"/>
        <v>0</v>
      </c>
      <c r="AY29" s="15">
        <f t="shared" si="21"/>
        <v>0</v>
      </c>
      <c r="AZ29" s="15">
        <f t="shared" si="22"/>
        <v>-5.9020266032167923E-2</v>
      </c>
      <c r="BA29" s="15">
        <f t="shared" si="22"/>
        <v>-5.8457630468060184E-2</v>
      </c>
      <c r="BB29" s="15">
        <f t="shared" si="22"/>
        <v>-5.7863291083855461E-2</v>
      </c>
      <c r="BC29" s="15">
        <f t="shared" si="22"/>
        <v>-5.7350767587369678E-2</v>
      </c>
      <c r="BD29" s="15">
        <f t="shared" si="22"/>
        <v>-5.687432649780777E-2</v>
      </c>
      <c r="BE29" s="15">
        <f t="shared" si="22"/>
        <v>-5.6398251018870971E-2</v>
      </c>
      <c r="BF29" s="15">
        <f t="shared" si="22"/>
        <v>-5.5954121568960513E-2</v>
      </c>
      <c r="BG29" s="15">
        <f t="shared" si="22"/>
        <v>-5.5540090726972968E-2</v>
      </c>
      <c r="BH29" s="15">
        <f t="shared" si="22"/>
        <v>-5.5135151107286839E-2</v>
      </c>
      <c r="BI29" s="15">
        <f t="shared" si="22"/>
        <v>-5.4774185889276072E-2</v>
      </c>
      <c r="BJ29" s="15">
        <f t="shared" si="22"/>
        <v>-5.44420625188482E-2</v>
      </c>
      <c r="BK29" s="15">
        <f t="shared" si="22"/>
        <v>-5.4146058120059459E-2</v>
      </c>
      <c r="BO29" s="29">
        <f t="shared" si="25"/>
        <v>-5.6394166339596374E-2</v>
      </c>
      <c r="BP29" s="29">
        <f t="shared" si="23"/>
        <v>-5.7907681041178716E-2</v>
      </c>
      <c r="BQ29" s="29">
        <f t="shared" si="23"/>
        <v>-5.6585273340388431E-2</v>
      </c>
      <c r="BR29" s="29">
        <f t="shared" si="23"/>
        <v>-6.6852514221192205E-2</v>
      </c>
      <c r="BS29" s="29">
        <f t="shared" si="23"/>
        <v>-7.3979754841578593E-2</v>
      </c>
      <c r="BT29" s="29">
        <f t="shared" si="23"/>
        <v>-6.8343971296817685E-2</v>
      </c>
    </row>
    <row r="32" spans="1:80" outlineLevel="1" x14ac:dyDescent="0.25">
      <c r="A32" s="11"/>
      <c r="C32" s="2" t="s">
        <v>0</v>
      </c>
      <c r="D32" s="14">
        <f>D20+D26</f>
        <v>6.3743063167701841E-2</v>
      </c>
      <c r="E32" s="14">
        <f t="shared" ref="E32:BK35" si="26">E20+E26</f>
        <v>6.3803779687095608E-2</v>
      </c>
      <c r="F32" s="14">
        <f t="shared" si="26"/>
        <v>5.8464814562842804E-2</v>
      </c>
      <c r="G32" s="14">
        <f t="shared" si="26"/>
        <v>5.892005963883129E-2</v>
      </c>
      <c r="H32" s="14">
        <f t="shared" si="26"/>
        <v>5.6412881158661277E-2</v>
      </c>
      <c r="I32" s="14">
        <f t="shared" si="26"/>
        <v>5.7969467933362662E-2</v>
      </c>
      <c r="J32" s="14">
        <f t="shared" si="26"/>
        <v>5.6480206330340232E-2</v>
      </c>
      <c r="K32" s="14">
        <f t="shared" si="26"/>
        <v>5.5808099580585191E-2</v>
      </c>
      <c r="L32" s="14">
        <f t="shared" si="26"/>
        <v>5.5923791953935931E-2</v>
      </c>
      <c r="M32" s="14">
        <f t="shared" si="26"/>
        <v>5.4387404262895345E-2</v>
      </c>
      <c r="N32" s="14">
        <f t="shared" si="26"/>
        <v>5.3229128203201137E-2</v>
      </c>
      <c r="O32" s="14">
        <f t="shared" si="26"/>
        <v>5.3146059291099057E-2</v>
      </c>
      <c r="P32" s="14">
        <f t="shared" si="26"/>
        <v>5.3875447500483453E-2</v>
      </c>
      <c r="Q32" s="14">
        <f t="shared" si="26"/>
        <v>5.5649000415056271E-2</v>
      </c>
      <c r="R32" s="14">
        <f t="shared" si="26"/>
        <v>5.4451924100701543E-2</v>
      </c>
      <c r="S32" s="14">
        <f t="shared" si="26"/>
        <v>5.2936832356795804E-2</v>
      </c>
      <c r="T32" s="14">
        <f t="shared" si="26"/>
        <v>5.4010437895175567E-2</v>
      </c>
      <c r="U32" s="14">
        <f t="shared" si="26"/>
        <v>5.6175977138326338E-2</v>
      </c>
      <c r="V32" s="14">
        <f t="shared" si="26"/>
        <v>5.5600557551732877E-2</v>
      </c>
      <c r="W32" s="14">
        <f t="shared" si="26"/>
        <v>5.7454842473313672E-2</v>
      </c>
      <c r="X32" s="14">
        <f t="shared" si="26"/>
        <v>5.803637086140645E-2</v>
      </c>
      <c r="Y32" s="14">
        <f t="shared" si="26"/>
        <v>6.263980678509995E-2</v>
      </c>
      <c r="Z32" s="14">
        <f t="shared" si="26"/>
        <v>5.8251671506547531E-2</v>
      </c>
      <c r="AA32" s="14">
        <f t="shared" si="26"/>
        <v>5.6039041883467533E-2</v>
      </c>
      <c r="AB32" s="14">
        <f t="shared" si="26"/>
        <v>5.8028422099758448E-2</v>
      </c>
      <c r="AC32" s="14">
        <f t="shared" si="26"/>
        <v>5.7246418071595029E-2</v>
      </c>
      <c r="AD32" s="14">
        <f t="shared" si="26"/>
        <v>5.8480560388536107E-2</v>
      </c>
      <c r="AE32" s="14">
        <f t="shared" si="26"/>
        <v>5.930796293429319E-2</v>
      </c>
      <c r="AF32" s="14">
        <f t="shared" si="26"/>
        <v>6.0186093377680772E-2</v>
      </c>
      <c r="AG32" s="14">
        <f t="shared" si="26"/>
        <v>5.978971645816733E-2</v>
      </c>
      <c r="AH32" s="14">
        <f t="shared" si="26"/>
        <v>6.1700067897151545E-2</v>
      </c>
      <c r="AI32" s="14">
        <f t="shared" si="26"/>
        <v>6.052774833004948E-2</v>
      </c>
      <c r="AJ32" s="14">
        <f t="shared" si="26"/>
        <v>6.2358389353878607E-2</v>
      </c>
      <c r="AK32" s="14">
        <f t="shared" si="26"/>
        <v>6.5870935450408563E-2</v>
      </c>
      <c r="AL32" s="14">
        <f t="shared" si="26"/>
        <v>6.5191267720861257E-2</v>
      </c>
      <c r="AM32" s="14">
        <f t="shared" si="26"/>
        <v>6.5310398694538918E-2</v>
      </c>
      <c r="AN32" s="14">
        <f t="shared" si="26"/>
        <v>6.2068113072523357E-2</v>
      </c>
      <c r="AO32" s="14">
        <f t="shared" si="26"/>
        <v>6.4084902078511252E-2</v>
      </c>
      <c r="AP32" s="14">
        <f t="shared" si="26"/>
        <v>6.2942834190715224E-2</v>
      </c>
      <c r="AQ32" s="14">
        <f t="shared" si="26"/>
        <v>6.4039644563854248E-2</v>
      </c>
      <c r="AR32" s="14">
        <f t="shared" si="26"/>
        <v>6.212052793360523E-2</v>
      </c>
      <c r="AS32" s="14">
        <f t="shared" si="26"/>
        <v>6.1157701449119806E-2</v>
      </c>
      <c r="AT32" s="14">
        <f t="shared" si="26"/>
        <v>0</v>
      </c>
      <c r="AU32" s="14">
        <f t="shared" si="26"/>
        <v>0</v>
      </c>
      <c r="AV32" s="14">
        <f t="shared" si="26"/>
        <v>0</v>
      </c>
      <c r="AW32" s="14">
        <f t="shared" si="26"/>
        <v>0</v>
      </c>
      <c r="AX32" s="14">
        <f t="shared" si="26"/>
        <v>0</v>
      </c>
      <c r="AY32" s="14">
        <f t="shared" si="26"/>
        <v>0</v>
      </c>
      <c r="AZ32" s="14">
        <f t="shared" si="26"/>
        <v>5.9437869136847121E-2</v>
      </c>
      <c r="BA32" s="14">
        <f t="shared" si="26"/>
        <v>6.1426021502926531E-2</v>
      </c>
      <c r="BB32" s="14">
        <f t="shared" si="26"/>
        <v>6.1577079221850184E-2</v>
      </c>
      <c r="BC32" s="14">
        <f t="shared" si="26"/>
        <v>6.3289238706378592E-2</v>
      </c>
      <c r="BD32" s="14">
        <f t="shared" si="26"/>
        <v>6.4000678161586277E-2</v>
      </c>
      <c r="BE32" s="14">
        <f t="shared" si="26"/>
        <v>6.6060243712985578E-2</v>
      </c>
      <c r="BF32" s="14">
        <f t="shared" si="26"/>
        <v>6.8216585488199755E-2</v>
      </c>
      <c r="BG32" s="14">
        <f t="shared" si="26"/>
        <v>6.9939835835673758E-2</v>
      </c>
      <c r="BH32" s="14">
        <f t="shared" si="26"/>
        <v>7.1800016801543132E-2</v>
      </c>
      <c r="BI32" s="14">
        <f t="shared" si="26"/>
        <v>7.6174821886326738E-2</v>
      </c>
      <c r="BJ32" s="14">
        <f t="shared" si="26"/>
        <v>7.8581554099767414E-2</v>
      </c>
      <c r="BK32" s="14">
        <f t="shared" si="26"/>
        <v>8.2332395317787244E-2</v>
      </c>
      <c r="BO32" s="28">
        <f>BO20+BO26</f>
        <v>6.3037820975885062E-2</v>
      </c>
      <c r="BP32" s="28">
        <f t="shared" ref="BP32:BT32" si="27">BP20+BP26</f>
        <v>6.1943680544214841E-2</v>
      </c>
      <c r="BQ32" s="28">
        <f t="shared" si="27"/>
        <v>6.3273811825162563E-2</v>
      </c>
      <c r="BR32" s="28">
        <f t="shared" si="27"/>
        <v>5.8651009535737986E-2</v>
      </c>
      <c r="BS32" s="28">
        <f t="shared" si="27"/>
        <v>5.416951017407956E-2</v>
      </c>
      <c r="BT32" s="28">
        <f t="shared" si="27"/>
        <v>6.013423168494314E-2</v>
      </c>
    </row>
    <row r="33" spans="1:72" outlineLevel="1" x14ac:dyDescent="0.25">
      <c r="A33" s="11"/>
      <c r="C33" s="2" t="s">
        <v>1</v>
      </c>
      <c r="D33" s="14">
        <f t="shared" ref="D33:AY35" si="28">D21+D27</f>
        <v>5.461644637000429E-2</v>
      </c>
      <c r="E33" s="14">
        <f t="shared" si="28"/>
        <v>5.1678461494692574E-2</v>
      </c>
      <c r="F33" s="14">
        <f t="shared" si="28"/>
        <v>3.5446125345462542E-2</v>
      </c>
      <c r="G33" s="14">
        <f t="shared" si="28"/>
        <v>3.2166819141220548E-2</v>
      </c>
      <c r="H33" s="14">
        <f t="shared" si="28"/>
        <v>4.2979596272751275E-2</v>
      </c>
      <c r="I33" s="14">
        <f t="shared" si="28"/>
        <v>4.9840125915215916E-2</v>
      </c>
      <c r="J33" s="14">
        <f t="shared" si="28"/>
        <v>5.8197225288404431E-2</v>
      </c>
      <c r="K33" s="14">
        <f t="shared" si="28"/>
        <v>5.6685059671697458E-2</v>
      </c>
      <c r="L33" s="14">
        <f t="shared" si="28"/>
        <v>6.5011847755718888E-2</v>
      </c>
      <c r="M33" s="14">
        <f t="shared" si="28"/>
        <v>5.7574951915640993E-2</v>
      </c>
      <c r="N33" s="14">
        <f t="shared" si="28"/>
        <v>6.0209481003296261E-2</v>
      </c>
      <c r="O33" s="14">
        <f t="shared" si="28"/>
        <v>5.7857242050474156E-2</v>
      </c>
      <c r="P33" s="14">
        <f t="shared" si="28"/>
        <v>5.7296341685820318E-2</v>
      </c>
      <c r="Q33" s="14">
        <f t="shared" si="28"/>
        <v>5.6049506758745649E-2</v>
      </c>
      <c r="R33" s="14">
        <f t="shared" si="28"/>
        <v>4.5070460638555687E-2</v>
      </c>
      <c r="S33" s="14">
        <f t="shared" si="28"/>
        <v>5.3068517714581098E-2</v>
      </c>
      <c r="T33" s="14">
        <f t="shared" si="28"/>
        <v>4.405316442541185E-2</v>
      </c>
      <c r="U33" s="14">
        <f t="shared" si="28"/>
        <v>3.6952892989070563E-2</v>
      </c>
      <c r="V33" s="14">
        <f t="shared" si="28"/>
        <v>3.7763773347773144E-2</v>
      </c>
      <c r="W33" s="14">
        <f t="shared" si="28"/>
        <v>3.1735046658081023E-2</v>
      </c>
      <c r="X33" s="14">
        <f t="shared" si="28"/>
        <v>3.5540375689771864E-2</v>
      </c>
      <c r="Y33" s="14">
        <f t="shared" si="28"/>
        <v>3.9827383121365578E-2</v>
      </c>
      <c r="Z33" s="14">
        <f t="shared" si="28"/>
        <v>2.7211711395863203E-2</v>
      </c>
      <c r="AA33" s="14">
        <f t="shared" si="28"/>
        <v>2.4378051733144668E-2</v>
      </c>
      <c r="AB33" s="14">
        <f t="shared" si="28"/>
        <v>4.3981973621434189E-2</v>
      </c>
      <c r="AC33" s="14">
        <f t="shared" si="28"/>
        <v>3.9489760398660811E-2</v>
      </c>
      <c r="AD33" s="14">
        <f t="shared" si="28"/>
        <v>4.7694030500241569E-2</v>
      </c>
      <c r="AE33" s="14">
        <f t="shared" si="28"/>
        <v>5.3898825792893845E-2</v>
      </c>
      <c r="AF33" s="14">
        <f t="shared" si="28"/>
        <v>5.5335674106538946E-2</v>
      </c>
      <c r="AG33" s="14">
        <f t="shared" si="28"/>
        <v>5.7051458700251745E-2</v>
      </c>
      <c r="AH33" s="14">
        <f t="shared" si="28"/>
        <v>5.5579783613789457E-2</v>
      </c>
      <c r="AI33" s="14">
        <f t="shared" si="28"/>
        <v>6.5374392233343182E-2</v>
      </c>
      <c r="AJ33" s="14">
        <f t="shared" si="28"/>
        <v>5.7734279267332322E-2</v>
      </c>
      <c r="AK33" s="14">
        <f t="shared" si="28"/>
        <v>6.8361154185478057E-2</v>
      </c>
      <c r="AL33" s="14">
        <f t="shared" si="28"/>
        <v>6.3587596512959754E-2</v>
      </c>
      <c r="AM33" s="14">
        <f t="shared" si="28"/>
        <v>5.3770110434500307E-2</v>
      </c>
      <c r="AN33" s="14">
        <f t="shared" si="28"/>
        <v>5.6883782659922444E-2</v>
      </c>
      <c r="AO33" s="14">
        <f t="shared" si="28"/>
        <v>6.1172655153955091E-2</v>
      </c>
      <c r="AP33" s="14">
        <f t="shared" si="28"/>
        <v>5.1505351848895042E-2</v>
      </c>
      <c r="AQ33" s="14">
        <f t="shared" si="28"/>
        <v>5.8420746408645918E-2</v>
      </c>
      <c r="AR33" s="14">
        <f t="shared" si="28"/>
        <v>6.5967910372670691E-2</v>
      </c>
      <c r="AS33" s="14">
        <f t="shared" si="28"/>
        <v>6.6569450462129032E-2</v>
      </c>
      <c r="AT33" s="14">
        <f t="shared" si="28"/>
        <v>0</v>
      </c>
      <c r="AU33" s="14">
        <f t="shared" si="28"/>
        <v>0</v>
      </c>
      <c r="AV33" s="14">
        <f t="shared" si="28"/>
        <v>0</v>
      </c>
      <c r="AW33" s="14">
        <f t="shared" si="28"/>
        <v>0</v>
      </c>
      <c r="AX33" s="14">
        <f t="shared" si="28"/>
        <v>0</v>
      </c>
      <c r="AY33" s="14">
        <f t="shared" si="28"/>
        <v>0</v>
      </c>
      <c r="AZ33" s="14">
        <f t="shared" si="26"/>
        <v>5.5423916820424024E-2</v>
      </c>
      <c r="BA33" s="14">
        <f t="shared" si="26"/>
        <v>5.675412626407228E-2</v>
      </c>
      <c r="BB33" s="14">
        <f t="shared" si="26"/>
        <v>5.6298033690644678E-2</v>
      </c>
      <c r="BC33" s="14">
        <f t="shared" si="26"/>
        <v>5.6263166741279402E-2</v>
      </c>
      <c r="BD33" s="14">
        <f t="shared" si="26"/>
        <v>5.5510468618988007E-2</v>
      </c>
      <c r="BE33" s="14">
        <f t="shared" si="26"/>
        <v>5.5768399857258899E-2</v>
      </c>
      <c r="BF33" s="14">
        <f t="shared" si="26"/>
        <v>5.6593840297926468E-2</v>
      </c>
      <c r="BG33" s="14">
        <f t="shared" si="26"/>
        <v>5.6853316365738316E-2</v>
      </c>
      <c r="BH33" s="14">
        <f t="shared" si="26"/>
        <v>5.6185116908737731E-2</v>
      </c>
      <c r="BI33" s="14">
        <f t="shared" si="26"/>
        <v>5.7280099768761028E-2</v>
      </c>
      <c r="BJ33" s="14">
        <f t="shared" si="26"/>
        <v>5.6765661916039267E-2</v>
      </c>
      <c r="BK33" s="14">
        <f t="shared" si="26"/>
        <v>5.7336257751184672E-2</v>
      </c>
      <c r="BO33" s="28">
        <f t="shared" ref="BO33:BT35" si="29">BO21+BO27</f>
        <v>5.875906556092847E-2</v>
      </c>
      <c r="BP33" s="28">
        <f t="shared" si="29"/>
        <v>5.6060467815209014E-2</v>
      </c>
      <c r="BQ33" s="28">
        <f t="shared" si="29"/>
        <v>5.704824720557955E-2</v>
      </c>
      <c r="BR33" s="28">
        <f t="shared" si="29"/>
        <v>4.8394076000058073E-2</v>
      </c>
      <c r="BS33" s="28">
        <f t="shared" si="29"/>
        <v>5.1356633991107348E-2</v>
      </c>
      <c r="BT33" s="28">
        <f t="shared" si="29"/>
        <v>4.3042840965622053E-2</v>
      </c>
    </row>
    <row r="34" spans="1:72" outlineLevel="1" x14ac:dyDescent="0.25">
      <c r="A34" s="11"/>
      <c r="C34" s="2" t="s">
        <v>45</v>
      </c>
      <c r="D34" s="14">
        <f t="shared" si="28"/>
        <v>-2.2411847197473023E-2</v>
      </c>
      <c r="E34" s="14">
        <f t="shared" si="28"/>
        <v>2.1515635709176362E-2</v>
      </c>
      <c r="F34" s="14">
        <f t="shared" si="28"/>
        <v>-3.5299284212343629E-2</v>
      </c>
      <c r="G34" s="14">
        <f t="shared" si="28"/>
        <v>-1.5127280889192019E-2</v>
      </c>
      <c r="H34" s="14">
        <f t="shared" si="28"/>
        <v>-3.3195034697379056E-2</v>
      </c>
      <c r="I34" s="14">
        <f t="shared" si="28"/>
        <v>-2.0115953241792495E-2</v>
      </c>
      <c r="J34" s="14">
        <f t="shared" si="28"/>
        <v>-3.8612266112510563E-2</v>
      </c>
      <c r="K34" s="14">
        <f t="shared" si="28"/>
        <v>-4.9307911631683243E-2</v>
      </c>
      <c r="L34" s="14">
        <f t="shared" si="28"/>
        <v>-4.3927337812752043E-2</v>
      </c>
      <c r="M34" s="14">
        <f t="shared" si="28"/>
        <v>-4.7543514972927525E-2</v>
      </c>
      <c r="N34" s="14">
        <f t="shared" si="28"/>
        <v>-6.9056580803707801E-2</v>
      </c>
      <c r="O34" s="14">
        <f t="shared" si="28"/>
        <v>-6.0039648564084169E-2</v>
      </c>
      <c r="P34" s="14">
        <f t="shared" si="28"/>
        <v>-6.2028624646197406E-2</v>
      </c>
      <c r="Q34" s="14">
        <f t="shared" si="28"/>
        <v>-6.2171289662505069E-2</v>
      </c>
      <c r="R34" s="14">
        <f t="shared" si="28"/>
        <v>-4.927079266201817E-2</v>
      </c>
      <c r="S34" s="14">
        <f t="shared" si="28"/>
        <v>-4.3196990218893783E-2</v>
      </c>
      <c r="T34" s="14">
        <f t="shared" si="28"/>
        <v>-4.3877632255612031E-2</v>
      </c>
      <c r="U34" s="14">
        <f t="shared" si="28"/>
        <v>-2.8526038488204231E-2</v>
      </c>
      <c r="V34" s="14">
        <f t="shared" si="28"/>
        <v>-2.8246242773765751E-2</v>
      </c>
      <c r="W34" s="14">
        <f t="shared" si="28"/>
        <v>-3.0311960789789261E-2</v>
      </c>
      <c r="X34" s="14">
        <f t="shared" si="28"/>
        <v>-5.3403433668373301E-2</v>
      </c>
      <c r="Y34" s="14">
        <f t="shared" si="28"/>
        <v>-4.6919180672027716E-2</v>
      </c>
      <c r="Z34" s="14">
        <f t="shared" si="28"/>
        <v>-3.7728464664056105E-2</v>
      </c>
      <c r="AA34" s="14">
        <f t="shared" si="28"/>
        <v>-3.2182750413910277E-2</v>
      </c>
      <c r="AB34" s="14">
        <f t="shared" si="28"/>
        <v>-4.9891271740895471E-2</v>
      </c>
      <c r="AC34" s="14">
        <f t="shared" si="28"/>
        <v>-4.979075450774828E-2</v>
      </c>
      <c r="AD34" s="14">
        <f t="shared" si="28"/>
        <v>-4.695066872116449E-2</v>
      </c>
      <c r="AE34" s="14">
        <f t="shared" si="28"/>
        <v>-4.715901745304274E-2</v>
      </c>
      <c r="AF34" s="14">
        <f t="shared" si="28"/>
        <v>-4.9750650525661522E-2</v>
      </c>
      <c r="AG34" s="14">
        <f t="shared" si="28"/>
        <v>-5.4073467565225242E-2</v>
      </c>
      <c r="AH34" s="14">
        <f t="shared" si="28"/>
        <v>-4.9177162739029612E-2</v>
      </c>
      <c r="AI34" s="14">
        <f t="shared" si="28"/>
        <v>-3.7379959774526794E-2</v>
      </c>
      <c r="AJ34" s="14">
        <f t="shared" si="28"/>
        <v>2.1245214414024938E-2</v>
      </c>
      <c r="AK34" s="14">
        <f t="shared" si="28"/>
        <v>-8.5545036681194953E-2</v>
      </c>
      <c r="AL34" s="14">
        <f t="shared" si="28"/>
        <v>-4.1410991640436379E-2</v>
      </c>
      <c r="AM34" s="14">
        <f t="shared" si="28"/>
        <v>-3.9943363168214008E-2</v>
      </c>
      <c r="AN34" s="14">
        <f t="shared" si="28"/>
        <v>-3.7357452368187216E-2</v>
      </c>
      <c r="AO34" s="14">
        <f t="shared" si="28"/>
        <v>-3.6303882313315938E-2</v>
      </c>
      <c r="AP34" s="14">
        <f t="shared" si="28"/>
        <v>-2.0778318766234927E-2</v>
      </c>
      <c r="AQ34" s="14">
        <f t="shared" si="28"/>
        <v>-3.7119989321695579E-2</v>
      </c>
      <c r="AR34" s="14">
        <f t="shared" si="28"/>
        <v>-3.8683513796861746E-2</v>
      </c>
      <c r="AS34" s="14">
        <f t="shared" si="28"/>
        <v>-1.7380969490943032E-2</v>
      </c>
      <c r="AT34" s="14">
        <f t="shared" si="28"/>
        <v>0</v>
      </c>
      <c r="AU34" s="14">
        <f t="shared" si="28"/>
        <v>0</v>
      </c>
      <c r="AV34" s="14">
        <f t="shared" si="28"/>
        <v>0</v>
      </c>
      <c r="AW34" s="14">
        <f t="shared" si="28"/>
        <v>0</v>
      </c>
      <c r="AX34" s="14">
        <f t="shared" si="28"/>
        <v>0</v>
      </c>
      <c r="AY34" s="14">
        <f t="shared" si="28"/>
        <v>0</v>
      </c>
      <c r="AZ34" s="14">
        <f t="shared" si="26"/>
        <v>1.7665897120007656E-2</v>
      </c>
      <c r="BA34" s="14">
        <f t="shared" si="26"/>
        <v>1.95024833832389E-2</v>
      </c>
      <c r="BB34" s="14">
        <f t="shared" si="26"/>
        <v>2.0092906867911209E-2</v>
      </c>
      <c r="BC34" s="14">
        <f t="shared" si="26"/>
        <v>2.1919271111413563E-2</v>
      </c>
      <c r="BD34" s="14">
        <f t="shared" si="26"/>
        <v>2.247342231676619E-2</v>
      </c>
      <c r="BE34" s="14">
        <f t="shared" si="26"/>
        <v>2.3965315776647511E-2</v>
      </c>
      <c r="BF34" s="14">
        <f t="shared" si="26"/>
        <v>2.5614324150424306E-2</v>
      </c>
      <c r="BG34" s="14">
        <f t="shared" si="26"/>
        <v>2.6443247123273617E-2</v>
      </c>
      <c r="BH34" s="14">
        <f t="shared" si="26"/>
        <v>2.7159356074551333E-2</v>
      </c>
      <c r="BI34" s="14">
        <f t="shared" si="26"/>
        <v>2.9214040575311628E-2</v>
      </c>
      <c r="BJ34" s="14">
        <f t="shared" si="26"/>
        <v>2.9745483209782986E-2</v>
      </c>
      <c r="BK34" s="14">
        <f t="shared" si="26"/>
        <v>3.1008023319763378E-2</v>
      </c>
      <c r="BO34" s="28">
        <f t="shared" si="29"/>
        <v>-3.3955282088074412E-2</v>
      </c>
      <c r="BP34" s="28">
        <f t="shared" si="29"/>
        <v>2.0299529925410065E-2</v>
      </c>
      <c r="BQ34" s="28">
        <f t="shared" si="29"/>
        <v>-3.2834401047374007E-2</v>
      </c>
      <c r="BR34" s="28">
        <f t="shared" si="29"/>
        <v>-4.8691675278644153E-2</v>
      </c>
      <c r="BS34" s="28">
        <f t="shared" si="29"/>
        <v>-5.364629268678911E-2</v>
      </c>
      <c r="BT34" s="28">
        <f t="shared" si="29"/>
        <v>-1.7564324582321378E-2</v>
      </c>
    </row>
    <row r="35" spans="1:72" x14ac:dyDescent="0.25">
      <c r="C35" s="3" t="s">
        <v>63</v>
      </c>
      <c r="D35" s="15">
        <f t="shared" si="28"/>
        <v>6.0278215570073623E-2</v>
      </c>
      <c r="E35" s="15">
        <f t="shared" si="28"/>
        <v>6.2128017450594486E-2</v>
      </c>
      <c r="F35" s="15">
        <f t="shared" si="28"/>
        <v>5.4413343974099471E-2</v>
      </c>
      <c r="G35" s="15">
        <f t="shared" si="28"/>
        <v>5.5867489587259733E-2</v>
      </c>
      <c r="H35" s="15">
        <f t="shared" si="28"/>
        <v>5.3061152604419792E-2</v>
      </c>
      <c r="I35" s="15">
        <f t="shared" si="28"/>
        <v>5.5384887029164664E-2</v>
      </c>
      <c r="J35" s="15">
        <f t="shared" si="28"/>
        <v>5.3862583965623934E-2</v>
      </c>
      <c r="K35" s="15">
        <f t="shared" si="28"/>
        <v>5.3050290291304592E-2</v>
      </c>
      <c r="L35" s="15">
        <f t="shared" si="28"/>
        <v>5.3486464685558399E-2</v>
      </c>
      <c r="M35" s="15">
        <f t="shared" si="28"/>
        <v>5.2015819052557699E-2</v>
      </c>
      <c r="N35" s="15">
        <f t="shared" si="28"/>
        <v>5.0700545951053E-2</v>
      </c>
      <c r="O35" s="15">
        <f t="shared" si="28"/>
        <v>5.0887474012623723E-2</v>
      </c>
      <c r="P35" s="15">
        <f t="shared" si="28"/>
        <v>5.1025628332144191E-2</v>
      </c>
      <c r="Q35" s="15">
        <f t="shared" si="28"/>
        <v>5.2777137573960964E-2</v>
      </c>
      <c r="R35" s="15">
        <f t="shared" si="28"/>
        <v>5.2322608641591328E-2</v>
      </c>
      <c r="S35" s="15">
        <f t="shared" si="28"/>
        <v>5.1395791014285264E-2</v>
      </c>
      <c r="T35" s="15">
        <f t="shared" si="28"/>
        <v>5.2464633199693855E-2</v>
      </c>
      <c r="U35" s="15">
        <f t="shared" si="28"/>
        <v>5.4867671035839116E-2</v>
      </c>
      <c r="V35" s="15">
        <f t="shared" si="28"/>
        <v>5.4382057308559384E-2</v>
      </c>
      <c r="W35" s="15">
        <f t="shared" si="28"/>
        <v>5.5778026656522428E-2</v>
      </c>
      <c r="X35" s="15">
        <f t="shared" si="28"/>
        <v>5.5930620968659639E-2</v>
      </c>
      <c r="Y35" s="15">
        <f t="shared" si="28"/>
        <v>6.0478719058226993E-2</v>
      </c>
      <c r="Z35" s="15">
        <f t="shared" si="28"/>
        <v>5.6375774522370747E-2</v>
      </c>
      <c r="AA35" s="15">
        <f t="shared" si="28"/>
        <v>5.4119798811642195E-2</v>
      </c>
      <c r="AB35" s="15">
        <f t="shared" si="28"/>
        <v>5.5509898203748076E-2</v>
      </c>
      <c r="AC35" s="15">
        <f t="shared" si="28"/>
        <v>5.4602428369128209E-2</v>
      </c>
      <c r="AD35" s="15">
        <f t="shared" si="28"/>
        <v>5.559823705184197E-2</v>
      </c>
      <c r="AE35" s="15">
        <f t="shared" si="28"/>
        <v>5.6375178596207887E-2</v>
      </c>
      <c r="AF35" s="15">
        <f t="shared" si="28"/>
        <v>5.7340202964976772E-2</v>
      </c>
      <c r="AG35" s="15">
        <f t="shared" si="28"/>
        <v>5.6672201114277954E-2</v>
      </c>
      <c r="AH35" s="15">
        <f t="shared" si="28"/>
        <v>5.8825761357947037E-2</v>
      </c>
      <c r="AI35" s="15">
        <f t="shared" si="28"/>
        <v>5.8282435713004066E-2</v>
      </c>
      <c r="AJ35" s="15">
        <f t="shared" si="28"/>
        <v>6.1377551272482123E-2</v>
      </c>
      <c r="AK35" s="15">
        <f t="shared" si="28"/>
        <v>6.2532060261308198E-2</v>
      </c>
      <c r="AL35" s="15">
        <f t="shared" si="28"/>
        <v>6.2477017927159872E-2</v>
      </c>
      <c r="AM35" s="15">
        <f t="shared" si="28"/>
        <v>6.2285322670054821E-2</v>
      </c>
      <c r="AN35" s="15">
        <f t="shared" si="28"/>
        <v>5.9005036267875122E-2</v>
      </c>
      <c r="AO35" s="15">
        <f t="shared" si="28"/>
        <v>6.0926953307083087E-2</v>
      </c>
      <c r="AP35" s="15">
        <f t="shared" si="28"/>
        <v>6.027159322295339E-2</v>
      </c>
      <c r="AQ35" s="15">
        <f t="shared" si="28"/>
        <v>6.1021543668718703E-2</v>
      </c>
      <c r="AR35" s="15">
        <f t="shared" si="28"/>
        <v>5.9309755710616141E-2</v>
      </c>
      <c r="AS35" s="15">
        <f t="shared" si="28"/>
        <v>5.9157129784103146E-2</v>
      </c>
      <c r="AT35" s="15">
        <f t="shared" si="28"/>
        <v>0</v>
      </c>
      <c r="AU35" s="15">
        <f t="shared" si="28"/>
        <v>0</v>
      </c>
      <c r="AV35" s="15">
        <f t="shared" si="28"/>
        <v>0</v>
      </c>
      <c r="AW35" s="15">
        <f t="shared" si="28"/>
        <v>0</v>
      </c>
      <c r="AX35" s="15">
        <f t="shared" si="28"/>
        <v>0</v>
      </c>
      <c r="AY35" s="15">
        <f t="shared" si="28"/>
        <v>0</v>
      </c>
      <c r="AZ35" s="15">
        <f t="shared" si="26"/>
        <v>5.8365701288922711E-2</v>
      </c>
      <c r="BA35" s="15">
        <f t="shared" si="26"/>
        <v>6.0355170035823136E-2</v>
      </c>
      <c r="BB35" s="15">
        <f t="shared" si="26"/>
        <v>6.0520052198315799E-2</v>
      </c>
      <c r="BC35" s="15">
        <f t="shared" si="26"/>
        <v>6.2228405487276817E-2</v>
      </c>
      <c r="BD35" s="15">
        <f t="shared" si="26"/>
        <v>6.2907940346441649E-2</v>
      </c>
      <c r="BE35" s="15">
        <f t="shared" si="26"/>
        <v>6.4919845583841118E-2</v>
      </c>
      <c r="BF35" s="15">
        <f t="shared" si="26"/>
        <v>6.7041046382709801E-2</v>
      </c>
      <c r="BG35" s="15">
        <f t="shared" si="26"/>
        <v>6.8698216219183816E-2</v>
      </c>
      <c r="BH35" s="15">
        <f t="shared" si="26"/>
        <v>7.0457963355581521E-2</v>
      </c>
      <c r="BI35" s="15">
        <f t="shared" si="26"/>
        <v>7.4675816970758646E-2</v>
      </c>
      <c r="BJ35" s="15">
        <f t="shared" si="26"/>
        <v>7.692890962884591E-2</v>
      </c>
      <c r="BK35" s="15">
        <f t="shared" si="26"/>
        <v>8.0497347277905584E-2</v>
      </c>
      <c r="BO35" s="29">
        <f t="shared" si="29"/>
        <v>6.0097378023967085E-2</v>
      </c>
      <c r="BP35" s="29">
        <f t="shared" si="29"/>
        <v>6.0873017594503587E-2</v>
      </c>
      <c r="BQ35" s="29">
        <f t="shared" si="29"/>
        <v>6.0298555557939615E-2</v>
      </c>
      <c r="BR35" s="29">
        <f t="shared" si="29"/>
        <v>5.5889559307367387E-2</v>
      </c>
      <c r="BS35" s="29">
        <f t="shared" si="29"/>
        <v>5.1991283224567919E-2</v>
      </c>
      <c r="BT35" s="29">
        <f t="shared" si="29"/>
        <v>5.701052690499786E-2</v>
      </c>
    </row>
    <row r="38" spans="1:72" outlineLevel="1" x14ac:dyDescent="0.25">
      <c r="A38" s="11" t="s">
        <v>55</v>
      </c>
      <c r="C38" s="2" t="s">
        <v>0</v>
      </c>
      <c r="D38" s="8">
        <f>IFERROR(
GETPIVOTDATA(
"[Base].[Importe]",
TDinamica_R!$A$5,
"[Calendario].[AñoMes]",
"[Calendario].[AñoMes].&amp;[" &amp; TEXT(D$6,"yyyymm") &amp; "]",
"[Base].[Metrica]",
"[Base].[Metrica].&amp;[" &amp; $A38 &amp; "]",
"[Base].[SEGMENTO_DESCRIP]",
"[Base].[SEGMENTO_DESCRIP].&amp;[" &amp; $C$6 &amp; "]",
"[Base].[SITUACION]",
"[Base].[SITUACION].&amp;[" &amp; $C38 &amp; "]"
),0)/1000</f>
        <v>1269.3310201700001</v>
      </c>
      <c r="E38" s="8">
        <f>IFERROR(
GETPIVOTDATA(
"[Base].[Importe]",
TDinamica_R!$A$5,
"[Calendario].[AñoMes]",
"[Calendario].[AñoMes].&amp;[" &amp; TEXT(E$6,"yyyymm") &amp; "]",
"[Base].[Metrica]",
"[Base].[Metrica].&amp;[" &amp; $A38 &amp; "]",
"[Base].[SEGMENTO_DESCRIP]",
"[Base].[SEGMENTO_DESCRIP].&amp;[" &amp; $C$6 &amp; "]",
"[Base].[SITUACION]",
"[Base].[SITUACION].&amp;[" &amp; $C38 &amp; "]"
),0)/1000</f>
        <v>1339.6531506099998</v>
      </c>
      <c r="F38" s="8">
        <f>IFERROR(
GETPIVOTDATA(
"[Base].[Importe]",
TDinamica_R!$A$5,
"[Calendario].[AñoMes]",
"[Calendario].[AñoMes].&amp;[" &amp; TEXT(F$6,"yyyymm") &amp; "]",
"[Base].[Metrica]",
"[Base].[Metrica].&amp;[" &amp; $A38 &amp; "]",
"[Base].[SEGMENTO_DESCRIP]",
"[Base].[SEGMENTO_DESCRIP].&amp;[" &amp; $C$6 &amp; "]",
"[Base].[SITUACION]",
"[Base].[SITUACION].&amp;[" &amp; $C38 &amp; "]"
),0)/1000</f>
        <v>1344.11266449</v>
      </c>
      <c r="G38" s="8">
        <f>IFERROR(
GETPIVOTDATA(
"[Base].[Importe]",
TDinamica_R!$A$5,
"[Calendario].[AñoMes]",
"[Calendario].[AñoMes].&amp;[" &amp; TEXT(G$6,"yyyymm") &amp; "]",
"[Base].[Metrica]",
"[Base].[Metrica].&amp;[" &amp; $A38 &amp; "]",
"[Base].[SEGMENTO_DESCRIP]",
"[Base].[SEGMENTO_DESCRIP].&amp;[" &amp; $C$6 &amp; "]",
"[Base].[SITUACION]",
"[Base].[SITUACION].&amp;[" &amp; $C38 &amp; "]"
),0)/1000</f>
        <v>1392.9098370300003</v>
      </c>
      <c r="H38" s="8">
        <f>IFERROR(
GETPIVOTDATA(
"[Base].[Importe]",
TDinamica_R!$A$5,
"[Calendario].[AñoMes]",
"[Calendario].[AñoMes].&amp;[" &amp; TEXT(H$6,"yyyymm") &amp; "]",
"[Base].[Metrica]",
"[Base].[Metrica].&amp;[" &amp; $A38 &amp; "]",
"[Base].[SEGMENTO_DESCRIP]",
"[Base].[SEGMENTO_DESCRIP].&amp;[" &amp; $C$6 &amp; "]",
"[Base].[SITUACION]",
"[Base].[SITUACION].&amp;[" &amp; $C38 &amp; "]"
),0)/1000</f>
        <v>1411.09816153</v>
      </c>
      <c r="I38" s="8">
        <f>IFERROR(
GETPIVOTDATA(
"[Base].[Importe]",
TDinamica_R!$A$5,
"[Calendario].[AñoMes]",
"[Calendario].[AñoMes].&amp;[" &amp; TEXT(I$6,"yyyymm") &amp; "]",
"[Base].[Metrica]",
"[Base].[Metrica].&amp;[" &amp; $A38 &amp; "]",
"[Base].[SEGMENTO_DESCRIP]",
"[Base].[SEGMENTO_DESCRIP].&amp;[" &amp; $C$6 &amp; "]",
"[Base].[SITUACION]",
"[Base].[SITUACION].&amp;[" &amp; $C38 &amp; "]"
),0)/1000</f>
        <v>1457.5634244100002</v>
      </c>
      <c r="J38" s="8">
        <f>IFERROR(
GETPIVOTDATA(
"[Base].[Importe]",
TDinamica_R!$A$5,
"[Calendario].[AñoMes]",
"[Calendario].[AñoMes].&amp;[" &amp; TEXT(J$6,"yyyymm") &amp; "]",
"[Base].[Metrica]",
"[Base].[Metrica].&amp;[" &amp; $A38 &amp; "]",
"[Base].[SEGMENTO_DESCRIP]",
"[Base].[SEGMENTO_DESCRIP].&amp;[" &amp; $C$6 &amp; "]",
"[Base].[SITUACION]",
"[Base].[SITUACION].&amp;[" &amp; $C38 &amp; "]"
),0)/1000</f>
        <v>1464.75161938</v>
      </c>
      <c r="K38" s="8">
        <f>IFERROR(
GETPIVOTDATA(
"[Base].[Importe]",
TDinamica_R!$A$5,
"[Calendario].[AñoMes]",
"[Calendario].[AñoMes].&amp;[" &amp; TEXT(K$6,"yyyymm") &amp; "]",
"[Base].[Metrica]",
"[Base].[Metrica].&amp;[" &amp; $A38 &amp; "]",
"[Base].[SEGMENTO_DESCRIP]",
"[Base].[SEGMENTO_DESCRIP].&amp;[" &amp; $C$6 &amp; "]",
"[Base].[SITUACION]",
"[Base].[SITUACION].&amp;[" &amp; $C38 &amp; "]"
),0)/1000</f>
        <v>1468.35344403</v>
      </c>
      <c r="L38" s="8">
        <f>IFERROR(
GETPIVOTDATA(
"[Base].[Importe]",
TDinamica_R!$A$5,
"[Calendario].[AñoMes]",
"[Calendario].[AñoMes].&amp;[" &amp; TEXT(L$6,"yyyymm") &amp; "]",
"[Base].[Metrica]",
"[Base].[Metrica].&amp;[" &amp; $A38 &amp; "]",
"[Base].[SEGMENTO_DESCRIP]",
"[Base].[SEGMENTO_DESCRIP].&amp;[" &amp; $C$6 &amp; "]",
"[Base].[SITUACION]",
"[Base].[SITUACION].&amp;[" &amp; $C38 &amp; "]"
),0)/1000</f>
        <v>1479.52600358</v>
      </c>
      <c r="M38" s="8">
        <f>IFERROR(
GETPIVOTDATA(
"[Base].[Importe]",
TDinamica_R!$A$5,
"[Calendario].[AñoMes]",
"[Calendario].[AñoMes].&amp;[" &amp; TEXT(M$6,"yyyymm") &amp; "]",
"[Base].[Metrica]",
"[Base].[Metrica].&amp;[" &amp; $A38 &amp; "]",
"[Base].[SEGMENTO_DESCRIP]",
"[Base].[SEGMENTO_DESCRIP].&amp;[" &amp; $C$6 &amp; "]",
"[Base].[SITUACION]",
"[Base].[SITUACION].&amp;[" &amp; $C38 &amp; "]"
),0)/1000</f>
        <v>1459.45051702</v>
      </c>
      <c r="N38" s="8">
        <f>IFERROR(
GETPIVOTDATA(
"[Base].[Importe]",
TDinamica_R!$A$5,
"[Calendario].[AñoMes]",
"[Calendario].[AñoMes].&amp;[" &amp; TEXT(N$6,"yyyymm") &amp; "]",
"[Base].[Metrica]",
"[Base].[Metrica].&amp;[" &amp; $A38 &amp; "]",
"[Base].[SEGMENTO_DESCRIP]",
"[Base].[SEGMENTO_DESCRIP].&amp;[" &amp; $C$6 &amp; "]",
"[Base].[SITUACION]",
"[Base].[SITUACION].&amp;[" &amp; $C38 &amp; "]"
),0)/1000</f>
        <v>1443.8021678800001</v>
      </c>
      <c r="O38" s="8">
        <f>IFERROR(
GETPIVOTDATA(
"[Base].[Importe]",
TDinamica_R!$A$5,
"[Calendario].[AñoMes]",
"[Calendario].[AñoMes].&amp;[" &amp; TEXT(O$6,"yyyymm") &amp; "]",
"[Base].[Metrica]",
"[Base].[Metrica].&amp;[" &amp; $A38 &amp; "]",
"[Base].[SEGMENTO_DESCRIP]",
"[Base].[SEGMENTO_DESCRIP].&amp;[" &amp; $C$6 &amp; "]",
"[Base].[SITUACION]",
"[Base].[SITUACION].&amp;[" &amp; $C38 &amp; "]"
),0)/1000</f>
        <v>1419.71757847</v>
      </c>
      <c r="P38" s="8">
        <f>IFERROR(
GETPIVOTDATA(
"[Base].[Importe]",
TDinamica_R!$A$5,
"[Calendario].[AñoMes]",
"[Calendario].[AñoMes].&amp;[" &amp; TEXT(P$6,"yyyymm") &amp; "]",
"[Base].[Metrica]",
"[Base].[Metrica].&amp;[" &amp; $A38 &amp; "]",
"[Base].[SEGMENTO_DESCRIP]",
"[Base].[SEGMENTO_DESCRIP].&amp;[" &amp; $C$6 &amp; "]",
"[Base].[SITUACION]",
"[Base].[SITUACION].&amp;[" &amp; $C38 &amp; "]"
),0)/1000</f>
        <v>1390.4004255100001</v>
      </c>
      <c r="Q38" s="8">
        <f>IFERROR(
GETPIVOTDATA(
"[Base].[Importe]",
TDinamica_R!$A$5,
"[Calendario].[AñoMes]",
"[Calendario].[AñoMes].&amp;[" &amp; TEXT(Q$6,"yyyymm") &amp; "]",
"[Base].[Metrica]",
"[Base].[Metrica].&amp;[" &amp; $A38 &amp; "]",
"[Base].[SEGMENTO_DESCRIP]",
"[Base].[SEGMENTO_DESCRIP].&amp;[" &amp; $C$6 &amp; "]",
"[Base].[SITUACION]",
"[Base].[SITUACION].&amp;[" &amp; $C38 &amp; "]"
),0)/1000</f>
        <v>1383.03483824</v>
      </c>
      <c r="R38" s="8">
        <f>IFERROR(
GETPIVOTDATA(
"[Base].[Importe]",
TDinamica_R!$A$5,
"[Calendario].[AñoMes]",
"[Calendario].[AñoMes].&amp;[" &amp; TEXT(R$6,"yyyymm") &amp; "]",
"[Base].[Metrica]",
"[Base].[Metrica].&amp;[" &amp; $A38 &amp; "]",
"[Base].[SEGMENTO_DESCRIP]",
"[Base].[SEGMENTO_DESCRIP].&amp;[" &amp; $C$6 &amp; "]",
"[Base].[SITUACION]",
"[Base].[SITUACION].&amp;[" &amp; $C38 &amp; "]"
),0)/1000</f>
        <v>1378.0913849900003</v>
      </c>
      <c r="S38" s="8">
        <f>IFERROR(
GETPIVOTDATA(
"[Base].[Importe]",
TDinamica_R!$A$5,
"[Calendario].[AñoMes]",
"[Calendario].[AñoMes].&amp;[" &amp; TEXT(S$6,"yyyymm") &amp; "]",
"[Base].[Metrica]",
"[Base].[Metrica].&amp;[" &amp; $A38 &amp; "]",
"[Base].[SEGMENTO_DESCRIP]",
"[Base].[SEGMENTO_DESCRIP].&amp;[" &amp; $C$6 &amp; "]",
"[Base].[SITUACION]",
"[Base].[SITUACION].&amp;[" &amp; $C38 &amp; "]"
),0)/1000</f>
        <v>1383.3427914999997</v>
      </c>
      <c r="T38" s="8">
        <f>IFERROR(
GETPIVOTDATA(
"[Base].[Importe]",
TDinamica_R!$A$5,
"[Calendario].[AñoMes]",
"[Calendario].[AñoMes].&amp;[" &amp; TEXT(T$6,"yyyymm") &amp; "]",
"[Base].[Metrica]",
"[Base].[Metrica].&amp;[" &amp; $A38 &amp; "]",
"[Base].[SEGMENTO_DESCRIP]",
"[Base].[SEGMENTO_DESCRIP].&amp;[" &amp; $C$6 &amp; "]",
"[Base].[SITUACION]",
"[Base].[SITUACION].&amp;[" &amp; $C38 &amp; "]"
),0)/1000</f>
        <v>1386.7935256999997</v>
      </c>
      <c r="U38" s="8">
        <f>IFERROR(
GETPIVOTDATA(
"[Base].[Importe]",
TDinamica_R!$A$5,
"[Calendario].[AñoMes]",
"[Calendario].[AñoMes].&amp;[" &amp; TEXT(U$6,"yyyymm") &amp; "]",
"[Base].[Metrica]",
"[Base].[Metrica].&amp;[" &amp; $A38 &amp; "]",
"[Base].[SEGMENTO_DESCRIP]",
"[Base].[SEGMENTO_DESCRIP].&amp;[" &amp; $C$6 &amp; "]",
"[Base].[SITUACION]",
"[Base].[SITUACION].&amp;[" &amp; $C38 &amp; "]"
),0)/1000</f>
        <v>1385.43489361</v>
      </c>
      <c r="V38" s="8">
        <f>IFERROR(
GETPIVOTDATA(
"[Base].[Importe]",
TDinamica_R!$A$5,
"[Calendario].[AñoMes]",
"[Calendario].[AñoMes].&amp;[" &amp; TEXT(V$6,"yyyymm") &amp; "]",
"[Base].[Metrica]",
"[Base].[Metrica].&amp;[" &amp; $A38 &amp; "]",
"[Base].[SEGMENTO_DESCRIP]",
"[Base].[SEGMENTO_DESCRIP].&amp;[" &amp; $C$6 &amp; "]",
"[Base].[SITUACION]",
"[Base].[SITUACION].&amp;[" &amp; $C38 &amp; "]"
),0)/1000</f>
        <v>1365.7441153699997</v>
      </c>
      <c r="W38" s="8">
        <f>IFERROR(
GETPIVOTDATA(
"[Base].[Importe]",
TDinamica_R!$A$5,
"[Calendario].[AñoMes]",
"[Calendario].[AñoMes].&amp;[" &amp; TEXT(W$6,"yyyymm") &amp; "]",
"[Base].[Metrica]",
"[Base].[Metrica].&amp;[" &amp; $A38 &amp; "]",
"[Base].[SEGMENTO_DESCRIP]",
"[Base].[SEGMENTO_DESCRIP].&amp;[" &amp; $C$6 &amp; "]",
"[Base].[SITUACION]",
"[Base].[SITUACION].&amp;[" &amp; $C38 &amp; "]"
),0)/1000</f>
        <v>1344.2105520699999</v>
      </c>
      <c r="X38" s="8">
        <f>IFERROR(
GETPIVOTDATA(
"[Base].[Importe]",
TDinamica_R!$A$5,
"[Calendario].[AñoMes]",
"[Calendario].[AñoMes].&amp;[" &amp; TEXT(X$6,"yyyymm") &amp; "]",
"[Base].[Metrica]",
"[Base].[Metrica].&amp;[" &amp; $A38 &amp; "]",
"[Base].[SEGMENTO_DESCRIP]",
"[Base].[SEGMENTO_DESCRIP].&amp;[" &amp; $C$6 &amp; "]",
"[Base].[SITUACION]",
"[Base].[SITUACION].&amp;[" &amp; $C38 &amp; "]"
),0)/1000</f>
        <v>1337.5884222899999</v>
      </c>
      <c r="Y38" s="8">
        <f>IFERROR(
GETPIVOTDATA(
"[Base].[Importe]",
TDinamica_R!$A$5,
"[Calendario].[AñoMes]",
"[Calendario].[AñoMes].&amp;[" &amp; TEXT(Y$6,"yyyymm") &amp; "]",
"[Base].[Metrica]",
"[Base].[Metrica].&amp;[" &amp; $A38 &amp; "]",
"[Base].[SEGMENTO_DESCRIP]",
"[Base].[SEGMENTO_DESCRIP].&amp;[" &amp; $C$6 &amp; "]",
"[Base].[SITUACION]",
"[Base].[SITUACION].&amp;[" &amp; $C38 &amp; "]"
),0)/1000</f>
        <v>1306.3190786600001</v>
      </c>
      <c r="Z38" s="8">
        <f>IFERROR(
GETPIVOTDATA(
"[Base].[Importe]",
TDinamica_R!$A$5,
"[Calendario].[AñoMes]",
"[Calendario].[AñoMes].&amp;[" &amp; TEXT(Z$6,"yyyymm") &amp; "]",
"[Base].[Metrica]",
"[Base].[Metrica].&amp;[" &amp; $A38 &amp; "]",
"[Base].[SEGMENTO_DESCRIP]",
"[Base].[SEGMENTO_DESCRIP].&amp;[" &amp; $C$6 &amp; "]",
"[Base].[SITUACION]",
"[Base].[SITUACION].&amp;[" &amp; $C38 &amp; "]"
),0)/1000</f>
        <v>1253.5548425999998</v>
      </c>
      <c r="AA38" s="8">
        <f>IFERROR(
GETPIVOTDATA(
"[Base].[Importe]",
TDinamica_R!$A$5,
"[Calendario].[AñoMes]",
"[Calendario].[AñoMes].&amp;[" &amp; TEXT(AA$6,"yyyymm") &amp; "]",
"[Base].[Metrica]",
"[Base].[Metrica].&amp;[" &amp; $A38 &amp; "]",
"[Base].[SEGMENTO_DESCRIP]",
"[Base].[SEGMENTO_DESCRIP].&amp;[" &amp; $C$6 &amp; "]",
"[Base].[SITUACION]",
"[Base].[SITUACION].&amp;[" &amp; $C38 &amp; "]"
),0)/1000</f>
        <v>1174.3262922999997</v>
      </c>
      <c r="AB38" s="8">
        <f>IFERROR(
GETPIVOTDATA(
"[Base].[Importe]",
TDinamica_R!$A$5,
"[Calendario].[AñoMes]",
"[Calendario].[AñoMes].&amp;[" &amp; TEXT(AB$6,"yyyymm") &amp; "]",
"[Base].[Metrica]",
"[Base].[Metrica].&amp;[" &amp; $A38 &amp; "]",
"[Base].[SEGMENTO_DESCRIP]",
"[Base].[SEGMENTO_DESCRIP].&amp;[" &amp; $C$6 &amp; "]",
"[Base].[SITUACION]",
"[Base].[SITUACION].&amp;[" &amp; $C38 &amp; "]"
),0)/1000</f>
        <v>1137.9799084099998</v>
      </c>
      <c r="AC38" s="8">
        <f>IFERROR(
GETPIVOTDATA(
"[Base].[Importe]",
TDinamica_R!$A$5,
"[Calendario].[AñoMes]",
"[Calendario].[AñoMes].&amp;[" &amp; TEXT(AC$6,"yyyymm") &amp; "]",
"[Base].[Metrica]",
"[Base].[Metrica].&amp;[" &amp; $A38 &amp; "]",
"[Base].[SEGMENTO_DESCRIP]",
"[Base].[SEGMENTO_DESCRIP].&amp;[" &amp; $C$6 &amp; "]",
"[Base].[SITUACION]",
"[Base].[SITUACION].&amp;[" &amp; $C38 &amp; "]"
),0)/1000</f>
        <v>1095.7993151200001</v>
      </c>
      <c r="AD38" s="8">
        <f>IFERROR(
GETPIVOTDATA(
"[Base].[Importe]",
TDinamica_R!$A$5,
"[Calendario].[AñoMes]",
"[Calendario].[AñoMes].&amp;[" &amp; TEXT(AD$6,"yyyymm") &amp; "]",
"[Base].[Metrica]",
"[Base].[Metrica].&amp;[" &amp; $A38 &amp; "]",
"[Base].[SEGMENTO_DESCRIP]",
"[Base].[SEGMENTO_DESCRIP].&amp;[" &amp; $C$6 &amp; "]",
"[Base].[SITUACION]",
"[Base].[SITUACION].&amp;[" &amp; $C38 &amp; "]"
),0)/1000</f>
        <v>1081.1383733800001</v>
      </c>
      <c r="AE38" s="8">
        <f>IFERROR(
GETPIVOTDATA(
"[Base].[Importe]",
TDinamica_R!$A$5,
"[Calendario].[AñoMes]",
"[Calendario].[AñoMes].&amp;[" &amp; TEXT(AE$6,"yyyymm") &amp; "]",
"[Base].[Metrica]",
"[Base].[Metrica].&amp;[" &amp; $A38 &amp; "]",
"[Base].[SEGMENTO_DESCRIP]",
"[Base].[SEGMENTO_DESCRIP].&amp;[" &amp; $C$6 &amp; "]",
"[Base].[SITUACION]",
"[Base].[SITUACION].&amp;[" &amp; $C38 &amp; "]"
),0)/1000</f>
        <v>1057.02753433</v>
      </c>
      <c r="AF38" s="8">
        <f>IFERROR(
GETPIVOTDATA(
"[Base].[Importe]",
TDinamica_R!$A$5,
"[Calendario].[AñoMes]",
"[Calendario].[AñoMes].&amp;[" &amp; TEXT(AF$6,"yyyymm") &amp; "]",
"[Base].[Metrica]",
"[Base].[Metrica].&amp;[" &amp; $A38 &amp; "]",
"[Base].[SEGMENTO_DESCRIP]",
"[Base].[SEGMENTO_DESCRIP].&amp;[" &amp; $C$6 &amp; "]",
"[Base].[SITUACION]",
"[Base].[SITUACION].&amp;[" &amp; $C38 &amp; "]"
),0)/1000</f>
        <v>1054.47760522</v>
      </c>
      <c r="AG38" s="8">
        <f>IFERROR(
GETPIVOTDATA(
"[Base].[Importe]",
TDinamica_R!$A$5,
"[Calendario].[AñoMes]",
"[Calendario].[AñoMes].&amp;[" &amp; TEXT(AG$6,"yyyymm") &amp; "]",
"[Base].[Metrica]",
"[Base].[Metrica].&amp;[" &amp; $A38 &amp; "]",
"[Base].[SEGMENTO_DESCRIP]",
"[Base].[SEGMENTO_DESCRIP].&amp;[" &amp; $C$6 &amp; "]",
"[Base].[SITUACION]",
"[Base].[SITUACION].&amp;[" &amp; $C38 &amp; "]"
),0)/1000</f>
        <v>1064.6057984399999</v>
      </c>
      <c r="AH38" s="8">
        <f>IFERROR(
GETPIVOTDATA(
"[Base].[Importe]",
TDinamica_R!$A$5,
"[Calendario].[AñoMes]",
"[Calendario].[AñoMes].&amp;[" &amp; TEXT(AH$6,"yyyymm") &amp; "]",
"[Base].[Metrica]",
"[Base].[Metrica].&amp;[" &amp; $A38 &amp; "]",
"[Base].[SEGMENTO_DESCRIP]",
"[Base].[SEGMENTO_DESCRIP].&amp;[" &amp; $C$6 &amp; "]",
"[Base].[SITUACION]",
"[Base].[SITUACION].&amp;[" &amp; $C38 &amp; "]"
),0)/1000</f>
        <v>1134.2702989200002</v>
      </c>
      <c r="AI38" s="8">
        <f>IFERROR(
GETPIVOTDATA(
"[Base].[Importe]",
TDinamica_R!$A$5,
"[Calendario].[AñoMes]",
"[Calendario].[AñoMes].&amp;[" &amp; TEXT(AI$6,"yyyymm") &amp; "]",
"[Base].[Metrica]",
"[Base].[Metrica].&amp;[" &amp; $A38 &amp; "]",
"[Base].[SEGMENTO_DESCRIP]",
"[Base].[SEGMENTO_DESCRIP].&amp;[" &amp; $C$6 &amp; "]",
"[Base].[SITUACION]",
"[Base].[SITUACION].&amp;[" &amp; $C38 &amp; "]"
),0)/1000</f>
        <v>1180.1553293299999</v>
      </c>
      <c r="AJ38" s="8">
        <f>IFERROR(
GETPIVOTDATA(
"[Base].[Importe]",
TDinamica_R!$A$5,
"[Calendario].[AñoMes]",
"[Calendario].[AñoMes].&amp;[" &amp; TEXT(AJ$6,"yyyymm") &amp; "]",
"[Base].[Metrica]",
"[Base].[Metrica].&amp;[" &amp; $A38 &amp; "]",
"[Base].[SEGMENTO_DESCRIP]",
"[Base].[SEGMENTO_DESCRIP].&amp;[" &amp; $C$6 &amp; "]",
"[Base].[SITUACION]",
"[Base].[SITUACION].&amp;[" &amp; $C38 &amp; "]"
),0)/1000</f>
        <v>1238.99224641</v>
      </c>
      <c r="AK38" s="8">
        <f>IFERROR(
GETPIVOTDATA(
"[Base].[Importe]",
TDinamica_R!$A$5,
"[Calendario].[AñoMes]",
"[Calendario].[AñoMes].&amp;[" &amp; TEXT(AK$6,"yyyymm") &amp; "]",
"[Base].[Metrica]",
"[Base].[Metrica].&amp;[" &amp; $A38 &amp; "]",
"[Base].[SEGMENTO_DESCRIP]",
"[Base].[SEGMENTO_DESCRIP].&amp;[" &amp; $C$6 &amp; "]",
"[Base].[SITUACION]",
"[Base].[SITUACION].&amp;[" &amp; $C38 &amp; "]"
),0)/1000</f>
        <v>1285.66156318</v>
      </c>
      <c r="AL38" s="8">
        <f>IFERROR(
GETPIVOTDATA(
"[Base].[Importe]",
TDinamica_R!$A$5,
"[Calendario].[AñoMes]",
"[Calendario].[AñoMes].&amp;[" &amp; TEXT(AL$6,"yyyymm") &amp; "]",
"[Base].[Metrica]",
"[Base].[Metrica].&amp;[" &amp; $A38 &amp; "]",
"[Base].[SEGMENTO_DESCRIP]",
"[Base].[SEGMENTO_DESCRIP].&amp;[" &amp; $C$6 &amp; "]",
"[Base].[SITUACION]",
"[Base].[SITUACION].&amp;[" &amp; $C38 &amp; "]"
),0)/1000</f>
        <v>1284.6085430600001</v>
      </c>
      <c r="AM38" s="8">
        <f>IFERROR(
GETPIVOTDATA(
"[Base].[Importe]",
TDinamica_R!$A$5,
"[Calendario].[AñoMes]",
"[Calendario].[AñoMes].&amp;[" &amp; TEXT(AM$6,"yyyymm") &amp; "]",
"[Base].[Metrica]",
"[Base].[Metrica].&amp;[" &amp; $A38 &amp; "]",
"[Base].[SEGMENTO_DESCRIP]",
"[Base].[SEGMENTO_DESCRIP].&amp;[" &amp; $C$6 &amp; "]",
"[Base].[SITUACION]",
"[Base].[SITUACION].&amp;[" &amp; $C38 &amp; "]"
),0)/1000</f>
        <v>1277.4981746299998</v>
      </c>
      <c r="AN38" s="8">
        <f>IFERROR(
GETPIVOTDATA(
"[Base].[Importe]",
TDinamica_R!$A$5,
"[Calendario].[AñoMes]",
"[Calendario].[AñoMes].&amp;[" &amp; TEXT(AN$6,"yyyymm") &amp; "]",
"[Base].[Metrica]",
"[Base].[Metrica].&amp;[" &amp; $A38 &amp; "]",
"[Base].[SEGMENTO_DESCRIP]",
"[Base].[SEGMENTO_DESCRIP].&amp;[" &amp; $C$6 &amp; "]",
"[Base].[SITUACION]",
"[Base].[SITUACION].&amp;[" &amp; $C38 &amp; "]"
),0)/1000</f>
        <v>1240.2898004400001</v>
      </c>
      <c r="AO38" s="8">
        <f>IFERROR(
GETPIVOTDATA(
"[Base].[Importe]",
TDinamica_R!$A$5,
"[Calendario].[AñoMes]",
"[Calendario].[AñoMes].&amp;[" &amp; TEXT(AO$6,"yyyymm") &amp; "]",
"[Base].[Metrica]",
"[Base].[Metrica].&amp;[" &amp; $A38 &amp; "]",
"[Base].[SEGMENTO_DESCRIP]",
"[Base].[SEGMENTO_DESCRIP].&amp;[" &amp; $C$6 &amp; "]",
"[Base].[SITUACION]",
"[Base].[SITUACION].&amp;[" &amp; $C38 &amp; "]"
),0)/1000</f>
        <v>1248.7569563899999</v>
      </c>
      <c r="AP38" s="8">
        <f>IFERROR(
GETPIVOTDATA(
"[Base].[Importe]",
TDinamica_R!$A$5,
"[Calendario].[AñoMes]",
"[Calendario].[AñoMes].&amp;[" &amp; TEXT(AP$6,"yyyymm") &amp; "]",
"[Base].[Metrica]",
"[Base].[Metrica].&amp;[" &amp; $A38 &amp; "]",
"[Base].[SEGMENTO_DESCRIP]",
"[Base].[SEGMENTO_DESCRIP].&amp;[" &amp; $C$6 &amp; "]",
"[Base].[SITUACION]",
"[Base].[SITUACION].&amp;[" &amp; $C38 &amp; "]"
),0)/1000</f>
        <v>1257.8424615200001</v>
      </c>
      <c r="AQ38" s="8">
        <f>IFERROR(
GETPIVOTDATA(
"[Base].[Importe]",
TDinamica_R!$A$5,
"[Calendario].[AñoMes]",
"[Calendario].[AñoMes].&amp;[" &amp; TEXT(AQ$6,"yyyymm") &amp; "]",
"[Base].[Metrica]",
"[Base].[Metrica].&amp;[" &amp; $A38 &amp; "]",
"[Base].[SEGMENTO_DESCRIP]",
"[Base].[SEGMENTO_DESCRIP].&amp;[" &amp; $C$6 &amp; "]",
"[Base].[SITUACION]",
"[Base].[SITUACION].&amp;[" &amp; $C38 &amp; "]"
),0)/1000</f>
        <v>1273.3387607799998</v>
      </c>
      <c r="AR38" s="8">
        <f>IFERROR(
GETPIVOTDATA(
"[Base].[Importe]",
TDinamica_R!$A$5,
"[Calendario].[AñoMes]",
"[Calendario].[AñoMes].&amp;[" &amp; TEXT(AR$6,"yyyymm") &amp; "]",
"[Base].[Metrica]",
"[Base].[Metrica].&amp;[" &amp; $A38 &amp; "]",
"[Base].[SEGMENTO_DESCRIP]",
"[Base].[SEGMENTO_DESCRIP].&amp;[" &amp; $C$6 &amp; "]",
"[Base].[SITUACION]",
"[Base].[SITUACION].&amp;[" &amp; $C38 &amp; "]"
),0)/1000</f>
        <v>1259.8583722999999</v>
      </c>
      <c r="AS38" s="8">
        <f>IFERROR(
GETPIVOTDATA(
"[Base].[Importe]",
TDinamica_R!$A$5,
"[Calendario].[AñoMes]",
"[Calendario].[AñoMes].&amp;[" &amp; TEXT(AS$6,"yyyymm") &amp; "]",
"[Base].[Metrica]",
"[Base].[Metrica].&amp;[" &amp; $A38 &amp; "]",
"[Base].[SEGMENTO_DESCRIP]",
"[Base].[SEGMENTO_DESCRIP].&amp;[" &amp; $C$6 &amp; "]",
"[Base].[SITUACION]",
"[Base].[SITUACION].&amp;[" &amp; $C38 &amp; "]"
),0)/1000</f>
        <v>1258.7381845999998</v>
      </c>
      <c r="AT38" s="8">
        <f>IFERROR(
GETPIVOTDATA(
"[Base].[Importe]",
TDinamica_R!$A$5,
"[Calendario].[AñoMes]",
"[Calendario].[AñoMes].&amp;[" &amp; TEXT(AT$6,"yyyymm")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U38" s="8">
        <f>IFERROR(
GETPIVOTDATA(
"[Base].[Importe]",
TDinamica_R!$A$5,
"[Calendario].[AñoMes]",
"[Calendario].[AñoMes].&amp;[" &amp; TEXT(AU$6,"yyyymm")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V38" s="8">
        <f>IFERROR(
GETPIVOTDATA(
"[Base].[Importe]",
TDinamica_R!$A$5,
"[Calendario].[AñoMes]",
"[Calendario].[AñoMes].&amp;[" &amp; TEXT(AV$6,"yyyymm")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W38" s="8">
        <f>IFERROR(
GETPIVOTDATA(
"[Base].[Importe]",
TDinamica_R!$A$5,
"[Calendario].[AñoMes]",
"[Calendario].[AñoMes].&amp;[" &amp; TEXT(AW$6,"yyyymm")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X38" s="8">
        <f>IFERROR(
GETPIVOTDATA(
"[Base].[Importe]",
TDinamica_R!$A$5,
"[Calendario].[AñoMes]",
"[Calendario].[AñoMes].&amp;[" &amp; TEXT(AX$6,"yyyymm")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Y38" s="8">
        <f>IFERROR(
GETPIVOTDATA(
"[Base].[Importe]",
TDinamica_R!$A$5,
"[Calendario].[AñoMes]",
"[Calendario].[AñoMes].&amp;[" &amp; TEXT(AY$6,"yyyymm")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Z38" s="8">
        <f>IFERROR(
GETPIVOTDATA(
"[BASE_CONVE_PPTO].[Importe]",
TDinamica_P!$A$5,
"[BASE_CONVE_PPTO].[Periodo]",
"[BASE_CONVE_PPTO].[Periodo].&amp;[" &amp; TEXT(AZ$6,"yyyymm")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1190.0570243627642</v>
      </c>
      <c r="BA38" s="8">
        <f>IFERROR(
GETPIVOTDATA(
"[BASE_CONVE_PPTO].[Importe]",
TDinamica_P!$A$5,
"[BASE_CONVE_PPTO].[Periodo]",
"[BASE_CONVE_PPTO].[Periodo].&amp;[" &amp; TEXT(BA$6,"yyyymm")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1195.7953013284985</v>
      </c>
      <c r="BB38" s="8">
        <f>IFERROR(
GETPIVOTDATA(
"[BASE_CONVE_PPTO].[Importe]",
TDinamica_P!$A$5,
"[BASE_CONVE_PPTO].[Periodo]",
"[BASE_CONVE_PPTO].[Periodo].&amp;[" &amp; TEXT(BB$6,"yyyymm")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1185.023414681727</v>
      </c>
      <c r="BC38" s="8">
        <f>IFERROR(
GETPIVOTDATA(
"[BASE_CONVE_PPTO].[Importe]",
TDinamica_P!$A$5,
"[BASE_CONVE_PPTO].[Periodo]",
"[BASE_CONVE_PPTO].[Periodo].&amp;[" &amp; TEXT(BC$6,"yyyymm")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1190.2829040900938</v>
      </c>
      <c r="BD38" s="8">
        <f>IFERROR(
GETPIVOTDATA(
"[BASE_CONVE_PPTO].[Importe]",
TDinamica_P!$A$5,
"[BASE_CONVE_PPTO].[Periodo]",
"[BASE_CONVE_PPTO].[Periodo].&amp;[" &amp; TEXT(BD$6,"yyyymm")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1177.5235336495177</v>
      </c>
      <c r="BE38" s="8">
        <f>IFERROR(
GETPIVOTDATA(
"[BASE_CONVE_PPTO].[Importe]",
TDinamica_P!$A$5,
"[BASE_CONVE_PPTO].[Periodo]",
"[BASE_CONVE_PPTO].[Periodo].&amp;[" &amp; TEXT(BE$6,"yyyymm")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1178.0646806937402</v>
      </c>
      <c r="BF38" s="8">
        <f>IFERROR(
GETPIVOTDATA(
"[BASE_CONVE_PPTO].[Importe]",
TDinamica_P!$A$5,
"[BASE_CONVE_PPTO].[Periodo]",
"[BASE_CONVE_PPTO].[Periodo].&amp;[" &amp; TEXT(BF$6,"yyyymm")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1179.6502716087862</v>
      </c>
      <c r="BG38" s="8">
        <f>IFERROR(
GETPIVOTDATA(
"[BASE_CONVE_PPTO].[Importe]",
TDinamica_P!$A$5,
"[BASE_CONVE_PPTO].[Periodo]",
"[BASE_CONVE_PPTO].[Periodo].&amp;[" &amp; TEXT(BG$6,"yyyymm")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1176.9646614091289</v>
      </c>
      <c r="BH38" s="8">
        <f>IFERROR(
GETPIVOTDATA(
"[BASE_CONVE_PPTO].[Importe]",
TDinamica_P!$A$5,
"[BASE_CONVE_PPTO].[Periodo]",
"[BASE_CONVE_PPTO].[Periodo].&amp;[" &amp; TEXT(BH$6,"yyyymm")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1152.7333632458349</v>
      </c>
      <c r="BI38" s="8">
        <f>IFERROR(
GETPIVOTDATA(
"[BASE_CONVE_PPTO].[Importe]",
TDinamica_P!$A$5,
"[BASE_CONVE_PPTO].[Periodo]",
"[BASE_CONVE_PPTO].[Periodo].&amp;[" &amp; TEXT(BI$6,"yyyymm")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1149.8774205819295</v>
      </c>
      <c r="BJ38" s="8">
        <f>IFERROR(
GETPIVOTDATA(
"[BASE_CONVE_PPTO].[Importe]",
TDinamica_P!$A$5,
"[BASE_CONVE_PPTO].[Periodo]",
"[BASE_CONVE_PPTO].[Periodo].&amp;[" &amp; TEXT(BJ$6,"yyyymm")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1128.4743092470289</v>
      </c>
      <c r="BK38" s="8">
        <f>IFERROR(
GETPIVOTDATA(
"[BASE_CONVE_PPTO].[Importe]",
TDinamica_P!$A$5,
"[BASE_CONVE_PPTO].[Periodo]",
"[BASE_CONVE_PPTO].[Periodo].&amp;[" &amp; TEXT(BK$6,"yyyymm") &amp; "]",
"[BASE_CONVE_PPTO].[Metrica]",
"[BASE_CONVE_PPTO].[Metrica].&amp;[" &amp; $A38 &amp; "]",
"[BASE_CONVE_PPTO].[SEGMENTO_DESCRIP]",
"[BASE_CONVE_PPTO].[SEGMENTO_DESCRIP].&amp;[" &amp; $C$6 &amp; "]",
"[BASE_CONVE_PPTO].[SITUACION]",
"[BASE_CONVE_PPTO].[SITUACION].&amp;[" &amp; $C38 &amp; "]"),
0)</f>
        <v>1120.2854335966997</v>
      </c>
      <c r="BO38" s="24">
        <f t="shared" ref="BO38:BT40" si="30">SUMIFS($D38:$BM38,$D$6:$BM$6,"&gt;="&amp;BO$2,$D$6:$BM$6,"&lt;="&amp;BO$6,$D$5:$BM$5,BO$5)</f>
        <v>6280.0863514299999</v>
      </c>
      <c r="BP38" s="24">
        <f t="shared" si="30"/>
        <v>5938.6821781126009</v>
      </c>
      <c r="BQ38" s="24">
        <f t="shared" si="30"/>
        <v>5020.2279791299998</v>
      </c>
      <c r="BR38" s="24">
        <f t="shared" si="30"/>
        <v>5426.4227364599992</v>
      </c>
      <c r="BS38" s="24">
        <f t="shared" si="30"/>
        <v>6921.6629659399996</v>
      </c>
      <c r="BT38" s="24">
        <f t="shared" si="30"/>
        <v>6757.1048338299997</v>
      </c>
    </row>
    <row r="39" spans="1:72" outlineLevel="1" x14ac:dyDescent="0.25">
      <c r="A39" s="11" t="s">
        <v>55</v>
      </c>
      <c r="C39" s="2" t="s">
        <v>1</v>
      </c>
      <c r="D39" s="8">
        <f>IFERROR(
GETPIVOTDATA(
"[Base].[Importe]",
TDinamica_R!$A$5,
"[Calendario].[AñoMes]",
"[Calendario].[AñoMes].&amp;[" &amp; TEXT(D$6,"yyyymm") &amp; "]",
"[Base].[Metrica]",
"[Base].[Metrica].&amp;[" &amp; $A39 &amp; "]",
"[Base].[SEGMENTO_DESCRIP]",
"[Base].[SEGMENTO_DESCRIP].&amp;[" &amp; $C$6 &amp; "]",
"[Base].[SITUACION]",
"[Base].[SITUACION].&amp;[" &amp; $C39 &amp; "]"
),0)/1000</f>
        <v>12.53688198</v>
      </c>
      <c r="E39" s="8">
        <f>IFERROR(
GETPIVOTDATA(
"[Base].[Importe]",
TDinamica_R!$A$5,
"[Calendario].[AñoMes]",
"[Calendario].[AñoMes].&amp;[" &amp; TEXT(E$6,"yyyymm") &amp; "]",
"[Base].[Metrica]",
"[Base].[Metrica].&amp;[" &amp; $A39 &amp; "]",
"[Base].[SEGMENTO_DESCRIP]",
"[Base].[SEGMENTO_DESCRIP].&amp;[" &amp; $C$6 &amp; "]",
"[Base].[SITUACION]",
"[Base].[SITUACION].&amp;[" &amp; $C39 &amp; "]"
),0)/1000</f>
        <v>12.088741749999999</v>
      </c>
      <c r="F39" s="8">
        <f>IFERROR(
GETPIVOTDATA(
"[Base].[Importe]",
TDinamica_R!$A$5,
"[Calendario].[AñoMes]",
"[Calendario].[AñoMes].&amp;[" &amp; TEXT(F$6,"yyyymm") &amp; "]",
"[Base].[Metrica]",
"[Base].[Metrica].&amp;[" &amp; $A39 &amp; "]",
"[Base].[SEGMENTO_DESCRIP]",
"[Base].[SEGMENTO_DESCRIP].&amp;[" &amp; $C$6 &amp; "]",
"[Base].[SITUACION]",
"[Base].[SITUACION].&amp;[" &amp; $C39 &amp; "]"
),0)/1000</f>
        <v>10.725010039999999</v>
      </c>
      <c r="G39" s="8">
        <f>IFERROR(
GETPIVOTDATA(
"[Base].[Importe]",
TDinamica_R!$A$5,
"[Calendario].[AñoMes]",
"[Calendario].[AñoMes].&amp;[" &amp; TEXT(G$6,"yyyymm") &amp; "]",
"[Base].[Metrica]",
"[Base].[Metrica].&amp;[" &amp; $A39 &amp; "]",
"[Base].[SEGMENTO_DESCRIP]",
"[Base].[SEGMENTO_DESCRIP].&amp;[" &amp; $C$6 &amp; "]",
"[Base].[SITUACION]",
"[Base].[SITUACION].&amp;[" &amp; $C39 &amp; "]"
),0)/1000</f>
        <v>11.95626023</v>
      </c>
      <c r="H39" s="8">
        <f>IFERROR(
GETPIVOTDATA(
"[Base].[Importe]",
TDinamica_R!$A$5,
"[Calendario].[AñoMes]",
"[Calendario].[AñoMes].&amp;[" &amp; TEXT(H$6,"yyyymm") &amp; "]",
"[Base].[Metrica]",
"[Base].[Metrica].&amp;[" &amp; $A39 &amp; "]",
"[Base].[SEGMENTO_DESCRIP]",
"[Base].[SEGMENTO_DESCRIP].&amp;[" &amp; $C$6 &amp; "]",
"[Base].[SITUACION]",
"[Base].[SITUACION].&amp;[" &amp; $C39 &amp; "]"
),0)/1000</f>
        <v>12.619503829999999</v>
      </c>
      <c r="I39" s="8">
        <f>IFERROR(
GETPIVOTDATA(
"[Base].[Importe]",
TDinamica_R!$A$5,
"[Calendario].[AñoMes]",
"[Calendario].[AñoMes].&amp;[" &amp; TEXT(I$6,"yyyymm") &amp; "]",
"[Base].[Metrica]",
"[Base].[Metrica].&amp;[" &amp; $A39 &amp; "]",
"[Base].[SEGMENTO_DESCRIP]",
"[Base].[SEGMENTO_DESCRIP].&amp;[" &amp; $C$6 &amp; "]",
"[Base].[SITUACION]",
"[Base].[SITUACION].&amp;[" &amp; $C39 &amp; "]"
),0)/1000</f>
        <v>13.92245947</v>
      </c>
      <c r="J39" s="8">
        <f>IFERROR(
GETPIVOTDATA(
"[Base].[Importe]",
TDinamica_R!$A$5,
"[Calendario].[AñoMes]",
"[Calendario].[AñoMes].&amp;[" &amp; TEXT(J$6,"yyyymm") &amp; "]",
"[Base].[Metrica]",
"[Base].[Metrica].&amp;[" &amp; $A39 &amp; "]",
"[Base].[SEGMENTO_DESCRIP]",
"[Base].[SEGMENTO_DESCRIP].&amp;[" &amp; $C$6 &amp; "]",
"[Base].[SITUACION]",
"[Base].[SITUACION].&amp;[" &amp; $C39 &amp; "]"
),0)/1000</f>
        <v>14.223422510000001</v>
      </c>
      <c r="K39" s="8">
        <f>IFERROR(
GETPIVOTDATA(
"[Base].[Importe]",
TDinamica_R!$A$5,
"[Calendario].[AñoMes]",
"[Calendario].[AñoMes].&amp;[" &amp; TEXT(K$6,"yyyymm") &amp; "]",
"[Base].[Metrica]",
"[Base].[Metrica].&amp;[" &amp; $A39 &amp; "]",
"[Base].[SEGMENTO_DESCRIP]",
"[Base].[SEGMENTO_DESCRIP].&amp;[" &amp; $C$6 &amp; "]",
"[Base].[SITUACION]",
"[Base].[SITUACION].&amp;[" &amp; $C39 &amp; "]"
),0)/1000</f>
        <v>13.57826275</v>
      </c>
      <c r="L39" s="8">
        <f>IFERROR(
GETPIVOTDATA(
"[Base].[Importe]",
TDinamica_R!$A$5,
"[Calendario].[AñoMes]",
"[Calendario].[AñoMes].&amp;[" &amp; TEXT(L$6,"yyyymm") &amp; "]",
"[Base].[Metrica]",
"[Base].[Metrica].&amp;[" &amp; $A39 &amp; "]",
"[Base].[SEGMENTO_DESCRIP]",
"[Base].[SEGMENTO_DESCRIP].&amp;[" &amp; $C$6 &amp; "]",
"[Base].[SITUACION]",
"[Base].[SITUACION].&amp;[" &amp; $C39 &amp; "]"
),0)/1000</f>
        <v>14.26281884</v>
      </c>
      <c r="M39" s="8">
        <f>IFERROR(
GETPIVOTDATA(
"[Base].[Importe]",
TDinamica_R!$A$5,
"[Calendario].[AñoMes]",
"[Calendario].[AñoMes].&amp;[" &amp; TEXT(M$6,"yyyymm") &amp; "]",
"[Base].[Metrica]",
"[Base].[Metrica].&amp;[" &amp; $A39 &amp; "]",
"[Base].[SEGMENTO_DESCRIP]",
"[Base].[SEGMENTO_DESCRIP].&amp;[" &amp; $C$6 &amp; "]",
"[Base].[SITUACION]",
"[Base].[SITUACION].&amp;[" &amp; $C39 &amp; "]"
),0)/1000</f>
        <v>13.480231420000001</v>
      </c>
      <c r="N39" s="8">
        <f>IFERROR(
GETPIVOTDATA(
"[Base].[Importe]",
TDinamica_R!$A$5,
"[Calendario].[AñoMes]",
"[Calendario].[AñoMes].&amp;[" &amp; TEXT(N$6,"yyyymm") &amp; "]",
"[Base].[Metrica]",
"[Base].[Metrica].&amp;[" &amp; $A39 &amp; "]",
"[Base].[SEGMENTO_DESCRIP]",
"[Base].[SEGMENTO_DESCRIP].&amp;[" &amp; $C$6 &amp; "]",
"[Base].[SITUACION]",
"[Base].[SITUACION].&amp;[" &amp; $C39 &amp; "]"
),0)/1000</f>
        <v>13.559484210000001</v>
      </c>
      <c r="O39" s="8">
        <f>IFERROR(
GETPIVOTDATA(
"[Base].[Importe]",
TDinamica_R!$A$5,
"[Calendario].[AñoMes]",
"[Calendario].[AñoMes].&amp;[" &amp; TEXT(O$6,"yyyymm") &amp; "]",
"[Base].[Metrica]",
"[Base].[Metrica].&amp;[" &amp; $A39 &amp; "]",
"[Base].[SEGMENTO_DESCRIP]",
"[Base].[SEGMENTO_DESCRIP].&amp;[" &amp; $C$6 &amp; "]",
"[Base].[SITUACION]",
"[Base].[SITUACION].&amp;[" &amp; $C39 &amp; "]"
),0)/1000</f>
        <v>13.557565720000001</v>
      </c>
      <c r="P39" s="8">
        <f>IFERROR(
GETPIVOTDATA(
"[Base].[Importe]",
TDinamica_R!$A$5,
"[Calendario].[AñoMes]",
"[Calendario].[AñoMes].&amp;[" &amp; TEXT(P$6,"yyyymm") &amp; "]",
"[Base].[Metrica]",
"[Base].[Metrica].&amp;[" &amp; $A39 &amp; "]",
"[Base].[SEGMENTO_DESCRIP]",
"[Base].[SEGMENTO_DESCRIP].&amp;[" &amp; $C$6 &amp; "]",
"[Base].[SITUACION]",
"[Base].[SITUACION].&amp;[" &amp; $C39 &amp; "]"
),0)/1000</f>
        <v>13.62652705</v>
      </c>
      <c r="Q39" s="8">
        <f>IFERROR(
GETPIVOTDATA(
"[Base].[Importe]",
TDinamica_R!$A$5,
"[Calendario].[AñoMes]",
"[Calendario].[AñoMes].&amp;[" &amp; TEXT(Q$6,"yyyymm") &amp; "]",
"[Base].[Metrica]",
"[Base].[Metrica].&amp;[" &amp; $A39 &amp; "]",
"[Base].[SEGMENTO_DESCRIP]",
"[Base].[SEGMENTO_DESCRIP].&amp;[" &amp; $C$6 &amp; "]",
"[Base].[SITUACION]",
"[Base].[SITUACION].&amp;[" &amp; $C39 &amp; "]"
),0)/1000</f>
        <v>13.283736489999999</v>
      </c>
      <c r="R39" s="8">
        <f>IFERROR(
GETPIVOTDATA(
"[Base].[Importe]",
TDinamica_R!$A$5,
"[Calendario].[AñoMes]",
"[Calendario].[AñoMes].&amp;[" &amp; TEXT(R$6,"yyyymm") &amp; "]",
"[Base].[Metrica]",
"[Base].[Metrica].&amp;[" &amp; $A39 &amp; "]",
"[Base].[SEGMENTO_DESCRIP]",
"[Base].[SEGMENTO_DESCRIP].&amp;[" &amp; $C$6 &amp; "]",
"[Base].[SITUACION]",
"[Base].[SITUACION].&amp;[" &amp; $C39 &amp; "]"
),0)/1000</f>
        <v>11.56131182</v>
      </c>
      <c r="S39" s="8">
        <f>IFERROR(
GETPIVOTDATA(
"[Base].[Importe]",
TDinamica_R!$A$5,
"[Calendario].[AñoMes]",
"[Calendario].[AñoMes].&amp;[" &amp; TEXT(S$6,"yyyymm") &amp; "]",
"[Base].[Metrica]",
"[Base].[Metrica].&amp;[" &amp; $A39 &amp; "]",
"[Base].[SEGMENTO_DESCRIP]",
"[Base].[SEGMENTO_DESCRIP].&amp;[" &amp; $C$6 &amp; "]",
"[Base].[SITUACION]",
"[Base].[SITUACION].&amp;[" &amp; $C39 &amp; "]"
),0)/1000</f>
        <v>12.02270566</v>
      </c>
      <c r="T39" s="8">
        <f>IFERROR(
GETPIVOTDATA(
"[Base].[Importe]",
TDinamica_R!$A$5,
"[Calendario].[AñoMes]",
"[Calendario].[AñoMes].&amp;[" &amp; TEXT(T$6,"yyyymm") &amp; "]",
"[Base].[Metrica]",
"[Base].[Metrica].&amp;[" &amp; $A39 &amp; "]",
"[Base].[SEGMENTO_DESCRIP]",
"[Base].[SEGMENTO_DESCRIP].&amp;[" &amp; $C$6 &amp; "]",
"[Base].[SITUACION]",
"[Base].[SITUACION].&amp;[" &amp; $C39 &amp; "]"
),0)/1000</f>
        <v>11.315355089999999</v>
      </c>
      <c r="U39" s="8">
        <f>IFERROR(
GETPIVOTDATA(
"[Base].[Importe]",
TDinamica_R!$A$5,
"[Calendario].[AñoMes]",
"[Calendario].[AñoMes].&amp;[" &amp; TEXT(U$6,"yyyymm") &amp; "]",
"[Base].[Metrica]",
"[Base].[Metrica].&amp;[" &amp; $A39 &amp; "]",
"[Base].[SEGMENTO_DESCRIP]",
"[Base].[SEGMENTO_DESCRIP].&amp;[" &amp; $C$6 &amp; "]",
"[Base].[SITUACION]",
"[Base].[SITUACION].&amp;[" &amp; $C39 &amp; "]"
),0)/1000</f>
        <v>10.1518426</v>
      </c>
      <c r="V39" s="8">
        <f>IFERROR(
GETPIVOTDATA(
"[Base].[Importe]",
TDinamica_R!$A$5,
"[Calendario].[AñoMes]",
"[Calendario].[AñoMes].&amp;[" &amp; TEXT(V$6,"yyyymm") &amp; "]",
"[Base].[Metrica]",
"[Base].[Metrica].&amp;[" &amp; $A39 &amp; "]",
"[Base].[SEGMENTO_DESCRIP]",
"[Base].[SEGMENTO_DESCRIP].&amp;[" &amp; $C$6 &amp; "]",
"[Base].[SITUACION]",
"[Base].[SITUACION].&amp;[" &amp; $C39 &amp; "]"
),0)/1000</f>
        <v>9.8180584</v>
      </c>
      <c r="W39" s="8">
        <f>IFERROR(
GETPIVOTDATA(
"[Base].[Importe]",
TDinamica_R!$A$5,
"[Calendario].[AñoMes]",
"[Calendario].[AñoMes].&amp;[" &amp; TEXT(W$6,"yyyymm") &amp; "]",
"[Base].[Metrica]",
"[Base].[Metrica].&amp;[" &amp; $A39 &amp; "]",
"[Base].[SEGMENTO_DESCRIP]",
"[Base].[SEGMENTO_DESCRIP].&amp;[" &amp; $C$6 &amp; "]",
"[Base].[SITUACION]",
"[Base].[SITUACION].&amp;[" &amp; $C39 &amp; "]"
),0)/1000</f>
        <v>9.1447295300000011</v>
      </c>
      <c r="X39" s="8">
        <f>IFERROR(
GETPIVOTDATA(
"[Base].[Importe]",
TDinamica_R!$A$5,
"[Calendario].[AñoMes]",
"[Calendario].[AñoMes].&amp;[" &amp; TEXT(X$6,"yyyymm") &amp; "]",
"[Base].[Metrica]",
"[Base].[Metrica].&amp;[" &amp; $A39 &amp; "]",
"[Base].[SEGMENTO_DESCRIP]",
"[Base].[SEGMENTO_DESCRIP].&amp;[" &amp; $C$6 &amp; "]",
"[Base].[SITUACION]",
"[Base].[SITUACION].&amp;[" &amp; $C39 &amp; "]"
),0)/1000</f>
        <v>8.6682497899999991</v>
      </c>
      <c r="Y39" s="8">
        <f>IFERROR(
GETPIVOTDATA(
"[Base].[Importe]",
TDinamica_R!$A$5,
"[Calendario].[AñoMes]",
"[Calendario].[AñoMes].&amp;[" &amp; TEXT(Y$6,"yyyymm") &amp; "]",
"[Base].[Metrica]",
"[Base].[Metrica].&amp;[" &amp; $A39 &amp; "]",
"[Base].[SEGMENTO_DESCRIP]",
"[Base].[SEGMENTO_DESCRIP].&amp;[" &amp; $C$6 &amp; "]",
"[Base].[SITUACION]",
"[Base].[SITUACION].&amp;[" &amp; $C39 &amp; "]"
),0)/1000</f>
        <v>8.6257956699999987</v>
      </c>
      <c r="Z39" s="8">
        <f>IFERROR(
GETPIVOTDATA(
"[Base].[Importe]",
TDinamica_R!$A$5,
"[Calendario].[AñoMes]",
"[Calendario].[AñoMes].&amp;[" &amp; TEXT(Z$6,"yyyymm") &amp; "]",
"[Base].[Metrica]",
"[Base].[Metrica].&amp;[" &amp; $A39 &amp; "]",
"[Base].[SEGMENTO_DESCRIP]",
"[Base].[SEGMENTO_DESCRIP].&amp;[" &amp; $C$6 &amp; "]",
"[Base].[SITUACION]",
"[Base].[SITUACION].&amp;[" &amp; $C39 &amp; "]"
),0)/1000</f>
        <v>8.5930443899999993</v>
      </c>
      <c r="AA39" s="8">
        <f>IFERROR(
GETPIVOTDATA(
"[Base].[Importe]",
TDinamica_R!$A$5,
"[Calendario].[AñoMes]",
"[Calendario].[AñoMes].&amp;[" &amp; TEXT(AA$6,"yyyymm") &amp; "]",
"[Base].[Metrica]",
"[Base].[Metrica].&amp;[" &amp; $A39 &amp; "]",
"[Base].[SEGMENTO_DESCRIP]",
"[Base].[SEGMENTO_DESCRIP].&amp;[" &amp; $C$6 &amp; "]",
"[Base].[SITUACION]",
"[Base].[SITUACION].&amp;[" &amp; $C39 &amp; "]"
),0)/1000</f>
        <v>9.1653192899999993</v>
      </c>
      <c r="AB39" s="8">
        <f>IFERROR(
GETPIVOTDATA(
"[Base].[Importe]",
TDinamica_R!$A$5,
"[Calendario].[AñoMes]",
"[Calendario].[AñoMes].&amp;[" &amp; TEXT(AB$6,"yyyymm") &amp; "]",
"[Base].[Metrica]",
"[Base].[Metrica].&amp;[" &amp; $A39 &amp; "]",
"[Base].[SEGMENTO_DESCRIP]",
"[Base].[SEGMENTO_DESCRIP].&amp;[" &amp; $C$6 &amp; "]",
"[Base].[SITUACION]",
"[Base].[SITUACION].&amp;[" &amp; $C39 &amp; "]"
),0)/1000</f>
        <v>11.4724293</v>
      </c>
      <c r="AC39" s="8">
        <f>IFERROR(
GETPIVOTDATA(
"[Base].[Importe]",
TDinamica_R!$A$5,
"[Calendario].[AñoMes]",
"[Calendario].[AñoMes].&amp;[" &amp; TEXT(AC$6,"yyyymm") &amp; "]",
"[Base].[Metrica]",
"[Base].[Metrica].&amp;[" &amp; $A39 &amp; "]",
"[Base].[SEGMENTO_DESCRIP]",
"[Base].[SEGMENTO_DESCRIP].&amp;[" &amp; $C$6 &amp; "]",
"[Base].[SITUACION]",
"[Base].[SITUACION].&amp;[" &amp; $C39 &amp; "]"
),0)/1000</f>
        <v>12.30002949</v>
      </c>
      <c r="AD39" s="8">
        <f>IFERROR(
GETPIVOTDATA(
"[Base].[Importe]",
TDinamica_R!$A$5,
"[Calendario].[AñoMes]",
"[Calendario].[AñoMes].&amp;[" &amp; TEXT(AD$6,"yyyymm") &amp; "]",
"[Base].[Metrica]",
"[Base].[Metrica].&amp;[" &amp; $A39 &amp; "]",
"[Base].[SEGMENTO_DESCRIP]",
"[Base].[SEGMENTO_DESCRIP].&amp;[" &amp; $C$6 &amp; "]",
"[Base].[SITUACION]",
"[Base].[SITUACION].&amp;[" &amp; $C39 &amp; "]"
),0)/1000</f>
        <v>13.9868351</v>
      </c>
      <c r="AE39" s="8">
        <f>IFERROR(
GETPIVOTDATA(
"[Base].[Importe]",
TDinamica_R!$A$5,
"[Calendario].[AñoMes]",
"[Calendario].[AñoMes].&amp;[" &amp; TEXT(AE$6,"yyyymm") &amp; "]",
"[Base].[Metrica]",
"[Base].[Metrica].&amp;[" &amp; $A39 &amp; "]",
"[Base].[SEGMENTO_DESCRIP]",
"[Base].[SEGMENTO_DESCRIP].&amp;[" &amp; $C$6 &amp; "]",
"[Base].[SITUACION]",
"[Base].[SITUACION].&amp;[" &amp; $C39 &amp; "]"
),0)/1000</f>
        <v>15.04832388</v>
      </c>
      <c r="AF39" s="8">
        <f>IFERROR(
GETPIVOTDATA(
"[Base].[Importe]",
TDinamica_R!$A$5,
"[Calendario].[AñoMes]",
"[Calendario].[AñoMes].&amp;[" &amp; TEXT(AF$6,"yyyymm") &amp; "]",
"[Base].[Metrica]",
"[Base].[Metrica].&amp;[" &amp; $A39 &amp; "]",
"[Base].[SEGMENTO_DESCRIP]",
"[Base].[SEGMENTO_DESCRIP].&amp;[" &amp; $C$6 &amp; "]",
"[Base].[SITUACION]",
"[Base].[SITUACION].&amp;[" &amp; $C39 &amp; "]"
),0)/1000</f>
        <v>15.00606524</v>
      </c>
      <c r="AG39" s="8">
        <f>IFERROR(
GETPIVOTDATA(
"[Base].[Importe]",
TDinamica_R!$A$5,
"[Calendario].[AñoMes]",
"[Calendario].[AñoMes].&amp;[" &amp; TEXT(AG$6,"yyyymm") &amp; "]",
"[Base].[Metrica]",
"[Base].[Metrica].&amp;[" &amp; $A39 &amp; "]",
"[Base].[SEGMENTO_DESCRIP]",
"[Base].[SEGMENTO_DESCRIP].&amp;[" &amp; $C$6 &amp; "]",
"[Base].[SITUACION]",
"[Base].[SITUACION].&amp;[" &amp; $C39 &amp; "]"
),0)/1000</f>
        <v>15.80875015</v>
      </c>
      <c r="AH39" s="8">
        <f>IFERROR(
GETPIVOTDATA(
"[Base].[Importe]",
TDinamica_R!$A$5,
"[Calendario].[AñoMes]",
"[Calendario].[AñoMes].&amp;[" &amp; TEXT(AH$6,"yyyymm") &amp; "]",
"[Base].[Metrica]",
"[Base].[Metrica].&amp;[" &amp; $A39 &amp; "]",
"[Base].[SEGMENTO_DESCRIP]",
"[Base].[SEGMENTO_DESCRIP].&amp;[" &amp; $C$6 &amp; "]",
"[Base].[SITUACION]",
"[Base].[SITUACION].&amp;[" &amp; $C39 &amp; "]"
),0)/1000</f>
        <v>16.08978595</v>
      </c>
      <c r="AI39" s="8">
        <f>IFERROR(
GETPIVOTDATA(
"[Base].[Importe]",
TDinamica_R!$A$5,
"[Calendario].[AñoMes]",
"[Calendario].[AñoMes].&amp;[" &amp; TEXT(AI$6,"yyyymm") &amp; "]",
"[Base].[Metrica]",
"[Base].[Metrica].&amp;[" &amp; $A39 &amp; "]",
"[Base].[SEGMENTO_DESCRIP]",
"[Base].[SEGMENTO_DESCRIP].&amp;[" &amp; $C$6 &amp; "]",
"[Base].[SITUACION]",
"[Base].[SITUACION].&amp;[" &amp; $C39 &amp; "]"
),0)/1000</f>
        <v>16.978451679999999</v>
      </c>
      <c r="AJ39" s="8">
        <f>IFERROR(
GETPIVOTDATA(
"[Base].[Importe]",
TDinamica_R!$A$5,
"[Calendario].[AñoMes]",
"[Calendario].[AñoMes].&amp;[" &amp; TEXT(AJ$6,"yyyymm") &amp; "]",
"[Base].[Metrica]",
"[Base].[Metrica].&amp;[" &amp; $A39 &amp; "]",
"[Base].[SEGMENTO_DESCRIP]",
"[Base].[SEGMENTO_DESCRIP].&amp;[" &amp; $C$6 &amp; "]",
"[Base].[SITUACION]",
"[Base].[SITUACION].&amp;[" &amp; $C39 &amp; "]"
),0)/1000</f>
        <v>16.462454529999999</v>
      </c>
      <c r="AK39" s="8">
        <f>IFERROR(
GETPIVOTDATA(
"[Base].[Importe]",
TDinamica_R!$A$5,
"[Calendario].[AñoMes]",
"[Calendario].[AñoMes].&amp;[" &amp; TEXT(AK$6,"yyyymm") &amp; "]",
"[Base].[Metrica]",
"[Base].[Metrica].&amp;[" &amp; $A39 &amp; "]",
"[Base].[SEGMENTO_DESCRIP]",
"[Base].[SEGMENTO_DESCRIP].&amp;[" &amp; $C$6 &amp; "]",
"[Base].[SITUACION]",
"[Base].[SITUACION].&amp;[" &amp; $C39 &amp; "]"
),0)/1000</f>
        <v>17.578146140000001</v>
      </c>
      <c r="AL39" s="8">
        <f>IFERROR(
GETPIVOTDATA(
"[Base].[Importe]",
TDinamica_R!$A$5,
"[Calendario].[AñoMes]",
"[Calendario].[AñoMes].&amp;[" &amp; TEXT(AL$6,"yyyymm") &amp; "]",
"[Base].[Metrica]",
"[Base].[Metrica].&amp;[" &amp; $A39 &amp; "]",
"[Base].[SEGMENTO_DESCRIP]",
"[Base].[SEGMENTO_DESCRIP].&amp;[" &amp; $C$6 &amp; "]",
"[Base].[SITUACION]",
"[Base].[SITUACION].&amp;[" &amp; $C39 &amp; "]"
),0)/1000</f>
        <v>17.137836839999999</v>
      </c>
      <c r="AM39" s="8">
        <f>IFERROR(
GETPIVOTDATA(
"[Base].[Importe]",
TDinamica_R!$A$5,
"[Calendario].[AñoMes]",
"[Calendario].[AñoMes].&amp;[" &amp; TEXT(AM$6,"yyyymm") &amp; "]",
"[Base].[Metrica]",
"[Base].[Metrica].&amp;[" &amp; $A39 &amp; "]",
"[Base].[SEGMENTO_DESCRIP]",
"[Base].[SEGMENTO_DESCRIP].&amp;[" &amp; $C$6 &amp; "]",
"[Base].[SITUACION]",
"[Base].[SITUACION].&amp;[" &amp; $C39 &amp; "]"
),0)/1000</f>
        <v>17.159877000000002</v>
      </c>
      <c r="AN39" s="8">
        <f>IFERROR(
GETPIVOTDATA(
"[Base].[Importe]",
TDinamica_R!$A$5,
"[Calendario].[AñoMes]",
"[Calendario].[AñoMes].&amp;[" &amp; TEXT(AN$6,"yyyymm") &amp; "]",
"[Base].[Metrica]",
"[Base].[Metrica].&amp;[" &amp; $A39 &amp; "]",
"[Base].[SEGMENTO_DESCRIP]",
"[Base].[SEGMENTO_DESCRIP].&amp;[" &amp; $C$6 &amp; "]",
"[Base].[SITUACION]",
"[Base].[SITUACION].&amp;[" &amp; $C39 &amp; "]"
),0)/1000</f>
        <v>18.40042017</v>
      </c>
      <c r="AO39" s="8">
        <f>IFERROR(
GETPIVOTDATA(
"[Base].[Importe]",
TDinamica_R!$A$5,
"[Calendario].[AñoMes]",
"[Calendario].[AñoMes].&amp;[" &amp; TEXT(AO$6,"yyyymm") &amp; "]",
"[Base].[Metrica]",
"[Base].[Metrica].&amp;[" &amp; $A39 &amp; "]",
"[Base].[SEGMENTO_DESCRIP]",
"[Base].[SEGMENTO_DESCRIP].&amp;[" &amp; $C$6 &amp; "]",
"[Base].[SITUACION]",
"[Base].[SITUACION].&amp;[" &amp; $C39 &amp; "]"
),0)/1000</f>
        <v>18.738206010000003</v>
      </c>
      <c r="AP39" s="8">
        <f>IFERROR(
GETPIVOTDATA(
"[Base].[Importe]",
TDinamica_R!$A$5,
"[Calendario].[AñoMes]",
"[Calendario].[AñoMes].&amp;[" &amp; TEXT(AP$6,"yyyymm") &amp; "]",
"[Base].[Metrica]",
"[Base].[Metrica].&amp;[" &amp; $A39 &amp; "]",
"[Base].[SEGMENTO_DESCRIP]",
"[Base].[SEGMENTO_DESCRIP].&amp;[" &amp; $C$6 &amp; "]",
"[Base].[SITUACION]",
"[Base].[SITUACION].&amp;[" &amp; $C39 &amp; "]"
),0)/1000</f>
        <v>16.513980609999997</v>
      </c>
      <c r="AQ39" s="8">
        <f>IFERROR(
GETPIVOTDATA(
"[Base].[Importe]",
TDinamica_R!$A$5,
"[Calendario].[AñoMes]",
"[Calendario].[AñoMes].&amp;[" &amp; TEXT(AQ$6,"yyyymm") &amp; "]",
"[Base].[Metrica]",
"[Base].[Metrica].&amp;[" &amp; $A39 &amp; "]",
"[Base].[SEGMENTO_DESCRIP]",
"[Base].[SEGMENTO_DESCRIP].&amp;[" &amp; $C$6 &amp; "]",
"[Base].[SITUACION]",
"[Base].[SITUACION].&amp;[" &amp; $C39 &amp; "]"
),0)/1000</f>
        <v>17.429424940000001</v>
      </c>
      <c r="AR39" s="8">
        <f>IFERROR(
GETPIVOTDATA(
"[Base].[Importe]",
TDinamica_R!$A$5,
"[Calendario].[AñoMes]",
"[Calendario].[AñoMes].&amp;[" &amp; TEXT(AR$6,"yyyymm") &amp; "]",
"[Base].[Metrica]",
"[Base].[Metrica].&amp;[" &amp; $A39 &amp; "]",
"[Base].[SEGMENTO_DESCRIP]",
"[Base].[SEGMENTO_DESCRIP].&amp;[" &amp; $C$6 &amp; "]",
"[Base].[SITUACION]",
"[Base].[SITUACION].&amp;[" &amp; $C39 &amp; "]"
),0)/1000</f>
        <v>17.538013509999999</v>
      </c>
      <c r="AS39" s="8">
        <f>IFERROR(
GETPIVOTDATA(
"[Base].[Importe]",
TDinamica_R!$A$5,
"[Calendario].[AñoMes]",
"[Calendario].[AñoMes].&amp;[" &amp; TEXT(AS$6,"yyyymm") &amp; "]",
"[Base].[Metrica]",
"[Base].[Metrica].&amp;[" &amp; $A39 &amp; "]",
"[Base].[SEGMENTO_DESCRIP]",
"[Base].[SEGMENTO_DESCRIP].&amp;[" &amp; $C$6 &amp; "]",
"[Base].[SITUACION]",
"[Base].[SITUACION].&amp;[" &amp; $C39 &amp; "]"
),0)/1000</f>
        <v>17.08371988</v>
      </c>
      <c r="AT39" s="8">
        <f>IFERROR(
GETPIVOTDATA(
"[Base].[Importe]",
TDinamica_R!$A$5,
"[Calendario].[AñoMes]",
"[Calendario].[AñoMes].&amp;[" &amp; TEXT(AT$6,"yyyymm")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U39" s="8">
        <f>IFERROR(
GETPIVOTDATA(
"[Base].[Importe]",
TDinamica_R!$A$5,
"[Calendario].[AñoMes]",
"[Calendario].[AñoMes].&amp;[" &amp; TEXT(AU$6,"yyyymm")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V39" s="8">
        <f>IFERROR(
GETPIVOTDATA(
"[Base].[Importe]",
TDinamica_R!$A$5,
"[Calendario].[AñoMes]",
"[Calendario].[AñoMes].&amp;[" &amp; TEXT(AV$6,"yyyymm")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W39" s="8">
        <f>IFERROR(
GETPIVOTDATA(
"[Base].[Importe]",
TDinamica_R!$A$5,
"[Calendario].[AñoMes]",
"[Calendario].[AñoMes].&amp;[" &amp; TEXT(AW$6,"yyyymm")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X39" s="8">
        <f>IFERROR(
GETPIVOTDATA(
"[Base].[Importe]",
TDinamica_R!$A$5,
"[Calendario].[AñoMes]",
"[Calendario].[AñoMes].&amp;[" &amp; TEXT(AX$6,"yyyymm")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Y39" s="8">
        <f>IFERROR(
GETPIVOTDATA(
"[Base].[Importe]",
TDinamica_R!$A$5,
"[Calendario].[AñoMes]",
"[Calendario].[AñoMes].&amp;[" &amp; TEXT(AY$6,"yyyymm")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Z39" s="8">
        <f>IFERROR(
GETPIVOTDATA(
"[BASE_CONVE_PPTO].[Importe]",
TDinamica_P!$A$5,
"[BASE_CONVE_PPTO].[Periodo]",
"[BASE_CONVE_PPTO].[Periodo].&amp;[" &amp; TEXT(AZ$6,"yyyymm")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15.812253638159893</v>
      </c>
      <c r="BA39" s="8">
        <f>IFERROR(
GETPIVOTDATA(
"[BASE_CONVE_PPTO].[Importe]",
TDinamica_P!$A$5,
"[BASE_CONVE_PPTO].[Periodo]",
"[BASE_CONVE_PPTO].[Periodo].&amp;[" &amp; TEXT(BA$6,"yyyymm")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15.888497960045884</v>
      </c>
      <c r="BB39" s="8">
        <f>IFERROR(
GETPIVOTDATA(
"[BASE_CONVE_PPTO].[Importe]",
TDinamica_P!$A$5,
"[BASE_CONVE_PPTO].[Periodo]",
"[BASE_CONVE_PPTO].[Periodo].&amp;[" &amp; TEXT(BB$6,"yyyymm")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15.745372210326902</v>
      </c>
      <c r="BC39" s="8">
        <f>IFERROR(
GETPIVOTDATA(
"[BASE_CONVE_PPTO].[Importe]",
TDinamica_P!$A$5,
"[BASE_CONVE_PPTO].[Periodo]",
"[BASE_CONVE_PPTO].[Periodo].&amp;[" &amp; TEXT(BC$6,"yyyymm")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15.815254895635062</v>
      </c>
      <c r="BD39" s="8">
        <f>IFERROR(
GETPIVOTDATA(
"[BASE_CONVE_PPTO].[Importe]",
TDinamica_P!$A$5,
"[BASE_CONVE_PPTO].[Periodo]",
"[BASE_CONVE_PPTO].[Periodo].&amp;[" &amp; TEXT(BD$6,"yyyymm")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15.64572150560473</v>
      </c>
      <c r="BE39" s="8">
        <f>IFERROR(
GETPIVOTDATA(
"[BASE_CONVE_PPTO].[Importe]",
TDinamica_P!$A$5,
"[BASE_CONVE_PPTO].[Periodo]",
"[BASE_CONVE_PPTO].[Periodo].&amp;[" &amp; TEXT(BE$6,"yyyymm")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15.652911710900453</v>
      </c>
      <c r="BF39" s="8">
        <f>IFERROR(
GETPIVOTDATA(
"[BASE_CONVE_PPTO].[Importe]",
TDinamica_P!$A$5,
"[BASE_CONVE_PPTO].[Periodo]",
"[BASE_CONVE_PPTO].[Periodo].&amp;[" &amp; TEXT(BF$6,"yyyymm")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15.673979412028887</v>
      </c>
      <c r="BG39" s="8">
        <f>IFERROR(
GETPIVOTDATA(
"[BASE_CONVE_PPTO].[Importe]",
TDinamica_P!$A$5,
"[BASE_CONVE_PPTO].[Periodo]",
"[BASE_CONVE_PPTO].[Periodo].&amp;[" &amp; TEXT(BG$6,"yyyymm")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15.638295786134618</v>
      </c>
      <c r="BH39" s="8">
        <f>IFERROR(
GETPIVOTDATA(
"[BASE_CONVE_PPTO].[Importe]",
TDinamica_P!$A$5,
"[BASE_CONVE_PPTO].[Periodo]",
"[BASE_CONVE_PPTO].[Periodo].&amp;[" &amp; TEXT(BH$6,"yyyymm")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15.316335220635628</v>
      </c>
      <c r="BI39" s="8">
        <f>IFERROR(
GETPIVOTDATA(
"[BASE_CONVE_PPTO].[Importe]",
TDinamica_P!$A$5,
"[BASE_CONVE_PPTO].[Periodo]",
"[BASE_CONVE_PPTO].[Periodo].&amp;[" &amp; TEXT(BI$6,"yyyymm")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15.278388392161675</v>
      </c>
      <c r="BJ39" s="8">
        <f>IFERROR(
GETPIVOTDATA(
"[BASE_CONVE_PPTO].[Importe]",
TDinamica_P!$A$5,
"[BASE_CONVE_PPTO].[Periodo]",
"[BASE_CONVE_PPTO].[Periodo].&amp;[" &amp; TEXT(BJ$6,"yyyymm")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14.994005864144212</v>
      </c>
      <c r="BK39" s="8">
        <f>IFERROR(
GETPIVOTDATA(
"[BASE_CONVE_PPTO].[Importe]",
TDinamica_P!$A$5,
"[BASE_CONVE_PPTO].[Periodo]",
"[BASE_CONVE_PPTO].[Periodo].&amp;[" &amp; TEXT(BK$6,"yyyymm") &amp; "]",
"[BASE_CONVE_PPTO].[Metrica]",
"[BASE_CONVE_PPTO].[Metrica].&amp;[" &amp; $A39 &amp; "]",
"[BASE_CONVE_PPTO].[SEGMENTO_DESCRIP]",
"[BASE_CONVE_PPTO].[SEGMENTO_DESCRIP].&amp;[" &amp; $C$6 &amp; "]",
"[BASE_CONVE_PPTO].[SITUACION]",
"[BASE_CONVE_PPTO].[SITUACION].&amp;[" &amp; $C39 &amp; "]"),
0)</f>
        <v>14.885200507641489</v>
      </c>
      <c r="BO39" s="24">
        <f t="shared" si="30"/>
        <v>88.620045239999996</v>
      </c>
      <c r="BP39" s="24">
        <f t="shared" si="30"/>
        <v>78.907100209772466</v>
      </c>
      <c r="BQ39" s="24">
        <f t="shared" si="30"/>
        <v>71.082031729999997</v>
      </c>
      <c r="BR39" s="24">
        <f t="shared" si="30"/>
        <v>67.813683010000005</v>
      </c>
      <c r="BS39" s="24">
        <f t="shared" si="30"/>
        <v>61.80963611</v>
      </c>
      <c r="BT39" s="24">
        <f t="shared" si="30"/>
        <v>59.926397829999999</v>
      </c>
    </row>
    <row r="40" spans="1:72" outlineLevel="1" x14ac:dyDescent="0.25">
      <c r="A40" s="11" t="s">
        <v>55</v>
      </c>
      <c r="C40" s="2" t="s">
        <v>45</v>
      </c>
      <c r="D40" s="8">
        <f>IFERROR(
GETPIVOTDATA(
"[Base].[Importe]",
TDinamica_R!$A$5,
"[Calendario].[AñoMes]",
"[Calendario].[AñoMes].&amp;[" &amp; TEXT(D$6,"yyyymm") &amp; "]",
"[Base].[Metrica]",
"[Base].[Metrica].&amp;[" &amp; $A40 &amp; "]",
"[Base].[SEGMENTO_DESCRIP]",
"[Base].[SEGMENTO_DESCRIP].&amp;[" &amp; $C$6 &amp; "]",
"[Base].[SITUACION]",
"[Base].[SITUACION].&amp;[" &amp; $C40 &amp; "]"
),0)/1000</f>
        <v>8.1275758299999996</v>
      </c>
      <c r="E40" s="8">
        <f>IFERROR(
GETPIVOTDATA(
"[Base].[Importe]",
TDinamica_R!$A$5,
"[Calendario].[AñoMes]",
"[Calendario].[AñoMes].&amp;[" &amp; TEXT(E$6,"yyyymm") &amp; "]",
"[Base].[Metrica]",
"[Base].[Metrica].&amp;[" &amp; $A40 &amp; "]",
"[Base].[SEGMENTO_DESCRIP]",
"[Base].[SEGMENTO_DESCRIP].&amp;[" &amp; $C$6 &amp; "]",
"[Base].[SITUACION]",
"[Base].[SITUACION].&amp;[" &amp; $C40 &amp; "]"
),0)/1000</f>
        <v>27.760380070000004</v>
      </c>
      <c r="F40" s="8">
        <f>IFERROR(
GETPIVOTDATA(
"[Base].[Importe]",
TDinamica_R!$A$5,
"[Calendario].[AñoMes]",
"[Calendario].[AñoMes].&amp;[" &amp; TEXT(F$6,"yyyymm") &amp; "]",
"[Base].[Metrica]",
"[Base].[Metrica].&amp;[" &amp; $A40 &amp; "]",
"[Base].[SEGMENTO_DESCRIP]",
"[Base].[SEGMENTO_DESCRIP].&amp;[" &amp; $C$6 &amp; "]",
"[Base].[SITUACION]",
"[Base].[SITUACION].&amp;[" &amp; $C40 &amp; "]"
),0)/1000</f>
        <v>8.1038530800000004</v>
      </c>
      <c r="G40" s="8">
        <f>IFERROR(
GETPIVOTDATA(
"[Base].[Importe]",
TDinamica_R!$A$5,
"[Calendario].[AñoMes]",
"[Calendario].[AñoMes].&amp;[" &amp; TEXT(G$6,"yyyymm") &amp; "]",
"[Base].[Metrica]",
"[Base].[Metrica].&amp;[" &amp; $A40 &amp; "]",
"[Base].[SEGMENTO_DESCRIP]",
"[Base].[SEGMENTO_DESCRIP].&amp;[" &amp; $C$6 &amp; "]",
"[Base].[SITUACION]",
"[Base].[SITUACION].&amp;[" &amp; $C40 &amp; "]"
),0)/1000</f>
        <v>15.488383559999999</v>
      </c>
      <c r="H40" s="8">
        <f>IFERROR(
GETPIVOTDATA(
"[Base].[Importe]",
TDinamica_R!$A$5,
"[Calendario].[AñoMes]",
"[Calendario].[AñoMes].&amp;[" &amp; TEXT(H$6,"yyyymm") &amp; "]",
"[Base].[Metrica]",
"[Base].[Metrica].&amp;[" &amp; $A40 &amp; "]",
"[Base].[SEGMENTO_DESCRIP]",
"[Base].[SEGMENTO_DESCRIP].&amp;[" &amp; $C$6 &amp; "]",
"[Base].[SITUACION]",
"[Base].[SITUACION].&amp;[" &amp; $C40 &amp; "]"
),0)/1000</f>
        <v>7.7842076199999992</v>
      </c>
      <c r="I40" s="8">
        <f>IFERROR(
GETPIVOTDATA(
"[Base].[Importe]",
TDinamica_R!$A$5,
"[Calendario].[AñoMes]",
"[Calendario].[AñoMes].&amp;[" &amp; TEXT(I$6,"yyyymm") &amp; "]",
"[Base].[Metrica]",
"[Base].[Metrica].&amp;[" &amp; $A40 &amp; "]",
"[Base].[SEGMENTO_DESCRIP]",
"[Base].[SEGMENTO_DESCRIP].&amp;[" &amp; $C$6 &amp; "]",
"[Base].[SITUACION]",
"[Base].[SITUACION].&amp;[" &amp; $C40 &amp; "]"
),0)/1000</f>
        <v>12.394485119999999</v>
      </c>
      <c r="J40" s="8">
        <f>IFERROR(
GETPIVOTDATA(
"[Base].[Importe]",
TDinamica_R!$A$5,
"[Calendario].[AñoMes]",
"[Calendario].[AñoMes].&amp;[" &amp; TEXT(J$6,"yyyymm") &amp; "]",
"[Base].[Metrica]",
"[Base].[Metrica].&amp;[" &amp; $A40 &amp; "]",
"[Base].[SEGMENTO_DESCRIP]",
"[Base].[SEGMENTO_DESCRIP].&amp;[" &amp; $C$6 &amp; "]",
"[Base].[SITUACION]",
"[Base].[SITUACION].&amp;[" &amp; $C40 &amp; "]"
),0)/1000</f>
        <v>5.6210146600000002</v>
      </c>
      <c r="K40" s="8">
        <f>IFERROR(
GETPIVOTDATA(
"[Base].[Importe]",
TDinamica_R!$A$5,
"[Calendario].[AñoMes]",
"[Calendario].[AñoMes].&amp;[" &amp; TEXT(K$6,"yyyymm") &amp; "]",
"[Base].[Metrica]",
"[Base].[Metrica].&amp;[" &amp; $A40 &amp; "]",
"[Base].[SEGMENTO_DESCRIP]",
"[Base].[SEGMENTO_DESCRIP].&amp;[" &amp; $C$6 &amp; "]",
"[Base].[SITUACION]",
"[Base].[SITUACION].&amp;[" &amp; $C40 &amp; "]"
),0)/1000</f>
        <v>3.8938348699999996</v>
      </c>
      <c r="L40" s="8">
        <f>IFERROR(
GETPIVOTDATA(
"[Base].[Importe]",
TDinamica_R!$A$5,
"[Calendario].[AñoMes]",
"[Calendario].[AñoMes].&amp;[" &amp; TEXT(L$6,"yyyymm") &amp; "]",
"[Base].[Metrica]",
"[Base].[Metrica].&amp;[" &amp; $A40 &amp; "]",
"[Base].[SEGMENTO_DESCRIP]",
"[Base].[SEGMENTO_DESCRIP].&amp;[" &amp; $C$6 &amp; "]",
"[Base].[SITUACION]",
"[Base].[SITUACION].&amp;[" &amp; $C40 &amp; "]"
),0)/1000</f>
        <v>4.6914286300000008</v>
      </c>
      <c r="M40" s="8">
        <f>IFERROR(
GETPIVOTDATA(
"[Base].[Importe]",
TDinamica_R!$A$5,
"[Calendario].[AñoMes]",
"[Calendario].[AñoMes].&amp;[" &amp; TEXT(M$6,"yyyymm") &amp; "]",
"[Base].[Metrica]",
"[Base].[Metrica].&amp;[" &amp; $A40 &amp; "]",
"[Base].[SEGMENTO_DESCRIP]",
"[Base].[SEGMENTO_DESCRIP].&amp;[" &amp; $C$6 &amp; "]",
"[Base].[SITUACION]",
"[Base].[SITUACION].&amp;[" &amp; $C40 &amp; "]"
),0)/1000</f>
        <v>5.52454746</v>
      </c>
      <c r="N40" s="8">
        <f>IFERROR(
GETPIVOTDATA(
"[Base].[Importe]",
TDinamica_R!$A$5,
"[Calendario].[AñoMes]",
"[Calendario].[AñoMes].&amp;[" &amp; TEXT(N$6,"yyyymm") &amp; "]",
"[Base].[Metrica]",
"[Base].[Metrica].&amp;[" &amp; $A40 &amp; "]",
"[Base].[SEGMENTO_DESCRIP]",
"[Base].[SEGMENTO_DESCRIP].&amp;[" &amp; $C$6 &amp; "]",
"[Base].[SITUACION]",
"[Base].[SITUACION].&amp;[" &amp; $C40 &amp; "]"
),0)/1000</f>
        <v>1.8535078399999998</v>
      </c>
      <c r="O40" s="8">
        <f>IFERROR(
GETPIVOTDATA(
"[Base].[Importe]",
TDinamica_R!$A$5,
"[Calendario].[AñoMes]",
"[Calendario].[AñoMes].&amp;[" &amp; TEXT(O$6,"yyyymm") &amp; "]",
"[Base].[Metrica]",
"[Base].[Metrica].&amp;[" &amp; $A40 &amp; "]",
"[Base].[SEGMENTO_DESCRIP]",
"[Base].[SEGMENTO_DESCRIP].&amp;[" &amp; $C$6 &amp; "]",
"[Base].[SITUACION]",
"[Base].[SITUACION].&amp;[" &amp; $C40 &amp; "]"
),0)/1000</f>
        <v>4.3730844800000002</v>
      </c>
      <c r="P40" s="8">
        <f>IFERROR(
GETPIVOTDATA(
"[Base].[Importe]",
TDinamica_R!$A$5,
"[Calendario].[AñoMes]",
"[Calendario].[AñoMes].&amp;[" &amp; TEXT(P$6,"yyyymm") &amp; "]",
"[Base].[Metrica]",
"[Base].[Metrica].&amp;[" &amp; $A40 &amp; "]",
"[Base].[SEGMENTO_DESCRIP]",
"[Base].[SEGMENTO_DESCRIP].&amp;[" &amp; $C$6 &amp; "]",
"[Base].[SITUACION]",
"[Base].[SITUACION].&amp;[" &amp; $C40 &amp; "]"
),0)/1000</f>
        <v>4.5033814799999998</v>
      </c>
      <c r="Q40" s="8">
        <f>IFERROR(
GETPIVOTDATA(
"[Base].[Importe]",
TDinamica_R!$A$5,
"[Calendario].[AñoMes]",
"[Calendario].[AñoMes].&amp;[" &amp; TEXT(Q$6,"yyyymm") &amp; "]",
"[Base].[Metrica]",
"[Base].[Metrica].&amp;[" &amp; $A40 &amp; "]",
"[Base].[SEGMENTO_DESCRIP]",
"[Base].[SEGMENTO_DESCRIP].&amp;[" &amp; $C$6 &amp; "]",
"[Base].[SITUACION]",
"[Base].[SITUACION].&amp;[" &amp; $C40 &amp; "]"
),0)/1000</f>
        <v>3.9585098699999999</v>
      </c>
      <c r="R40" s="8">
        <f>IFERROR(
GETPIVOTDATA(
"[Base].[Importe]",
TDinamica_R!$A$5,
"[Calendario].[AñoMes]",
"[Calendario].[AñoMes].&amp;[" &amp; TEXT(R$6,"yyyymm") &amp; "]",
"[Base].[Metrica]",
"[Base].[Metrica].&amp;[" &amp; $A40 &amp; "]",
"[Base].[SEGMENTO_DESCRIP]",
"[Base].[SEGMENTO_DESCRIP].&amp;[" &amp; $C$6 &amp; "]",
"[Base].[SITUACION]",
"[Base].[SITUACION].&amp;[" &amp; $C40 &amp; "]"
),0)/1000</f>
        <v>5.7149521100000005</v>
      </c>
      <c r="S40" s="8">
        <f>IFERROR(
GETPIVOTDATA(
"[Base].[Importe]",
TDinamica_R!$A$5,
"[Calendario].[AñoMes]",
"[Calendario].[AñoMes].&amp;[" &amp; TEXT(S$6,"yyyymm") &amp; "]",
"[Base].[Metrica]",
"[Base].[Metrica].&amp;[" &amp; $A40 &amp; "]",
"[Base].[SEGMENTO_DESCRIP]",
"[Base].[SEGMENTO_DESCRIP].&amp;[" &amp; $C$6 &amp; "]",
"[Base].[SITUACION]",
"[Base].[SITUACION].&amp;[" &amp; $C40 &amp; "]"
),0)/1000</f>
        <v>5.9199395399999997</v>
      </c>
      <c r="T40" s="8">
        <f>IFERROR(
GETPIVOTDATA(
"[Base].[Importe]",
TDinamica_R!$A$5,
"[Calendario].[AñoMes]",
"[Calendario].[AñoMes].&amp;[" &amp; TEXT(T$6,"yyyymm") &amp; "]",
"[Base].[Metrica]",
"[Base].[Metrica].&amp;[" &amp; $A40 &amp; "]",
"[Base].[SEGMENTO_DESCRIP]",
"[Base].[SEGMENTO_DESCRIP].&amp;[" &amp; $C$6 &amp; "]",
"[Base].[SITUACION]",
"[Base].[SITUACION].&amp;[" &amp; $C40 &amp; "]"
),0)/1000</f>
        <v>5.5193867499999998</v>
      </c>
      <c r="U40" s="8">
        <f>IFERROR(
GETPIVOTDATA(
"[Base].[Importe]",
TDinamica_R!$A$5,
"[Calendario].[AñoMes]",
"[Calendario].[AñoMes].&amp;[" &amp; TEXT(U$6,"yyyymm") &amp; "]",
"[Base].[Metrica]",
"[Base].[Metrica].&amp;[" &amp; $A40 &amp; "]",
"[Base].[SEGMENTO_DESCRIP]",
"[Base].[SEGMENTO_DESCRIP].&amp;[" &amp; $C$6 &amp; "]",
"[Base].[SITUACION]",
"[Base].[SITUACION].&amp;[" &amp; $C40 &amp; "]"
),0)/1000</f>
        <v>6.9959135200000011</v>
      </c>
      <c r="V40" s="8">
        <f>IFERROR(
GETPIVOTDATA(
"[Base].[Importe]",
TDinamica_R!$A$5,
"[Calendario].[AñoMes]",
"[Calendario].[AñoMes].&amp;[" &amp; TEXT(V$6,"yyyymm") &amp; "]",
"[Base].[Metrica]",
"[Base].[Metrica].&amp;[" &amp; $A40 &amp; "]",
"[Base].[SEGMENTO_DESCRIP]",
"[Base].[SEGMENTO_DESCRIP].&amp;[" &amp; $C$6 &amp; "]",
"[Base].[SITUACION]",
"[Base].[SITUACION].&amp;[" &amp; $C40 &amp; "]"
),0)/1000</f>
        <v>6.3603843799999993</v>
      </c>
      <c r="W40" s="8">
        <f>IFERROR(
GETPIVOTDATA(
"[Base].[Importe]",
TDinamica_R!$A$5,
"[Calendario].[AñoMes]",
"[Calendario].[AñoMes].&amp;[" &amp; TEXT(W$6,"yyyymm") &amp; "]",
"[Base].[Metrica]",
"[Base].[Metrica].&amp;[" &amp; $A40 &amp; "]",
"[Base].[SEGMENTO_DESCRIP]",
"[Base].[SEGMENTO_DESCRIP].&amp;[" &amp; $C$6 &amp; "]",
"[Base].[SITUACION]",
"[Base].[SITUACION].&amp;[" &amp; $C40 &amp; "]"
),0)/1000</f>
        <v>7.8913084100000006</v>
      </c>
      <c r="X40" s="8">
        <f>IFERROR(
GETPIVOTDATA(
"[Base].[Importe]",
TDinamica_R!$A$5,
"[Calendario].[AñoMes]",
"[Calendario].[AñoMes].&amp;[" &amp; TEXT(X$6,"yyyymm") &amp; "]",
"[Base].[Metrica]",
"[Base].[Metrica].&amp;[" &amp; $A40 &amp; "]",
"[Base].[SEGMENTO_DESCRIP]",
"[Base].[SEGMENTO_DESCRIP].&amp;[" &amp; $C$6 &amp; "]",
"[Base].[SITUACION]",
"[Base].[SITUACION].&amp;[" &amp; $C40 &amp; "]"
),0)/1000</f>
        <v>3.9792103400000003</v>
      </c>
      <c r="Y40" s="8">
        <f>IFERROR(
GETPIVOTDATA(
"[Base].[Importe]",
TDinamica_R!$A$5,
"[Calendario].[AñoMes]",
"[Calendario].[AñoMes].&amp;[" &amp; TEXT(Y$6,"yyyymm") &amp; "]",
"[Base].[Metrica]",
"[Base].[Metrica].&amp;[" &amp; $A40 &amp; "]",
"[Base].[SEGMENTO_DESCRIP]",
"[Base].[SEGMENTO_DESCRIP].&amp;[" &amp; $C$6 &amp; "]",
"[Base].[SITUACION]",
"[Base].[SITUACION].&amp;[" &amp; $C40 &amp; "]"
),0)/1000</f>
        <v>5.0208899100000011</v>
      </c>
      <c r="Z40" s="8">
        <f>IFERROR(
GETPIVOTDATA(
"[Base].[Importe]",
TDinamica_R!$A$5,
"[Calendario].[AñoMes]",
"[Calendario].[AñoMes].&amp;[" &amp; TEXT(Z$6,"yyyymm") &amp; "]",
"[Base].[Metrica]",
"[Base].[Metrica].&amp;[" &amp; $A40 &amp; "]",
"[Base].[SEGMENTO_DESCRIP]",
"[Base].[SEGMENTO_DESCRIP].&amp;[" &amp; $C$6 &amp; "]",
"[Base].[SITUACION]",
"[Base].[SITUACION].&amp;[" &amp; $C40 &amp; "]"
),0)/1000</f>
        <v>6.123912429999999</v>
      </c>
      <c r="AA40" s="8">
        <f>IFERROR(
GETPIVOTDATA(
"[Base].[Importe]",
TDinamica_R!$A$5,
"[Calendario].[AñoMes]",
"[Calendario].[AñoMes].&amp;[" &amp; TEXT(AA$6,"yyyymm") &amp; "]",
"[Base].[Metrica]",
"[Base].[Metrica].&amp;[" &amp; $A40 &amp; "]",
"[Base].[SEGMENTO_DESCRIP]",
"[Base].[SEGMENTO_DESCRIP].&amp;[" &amp; $C$6 &amp; "]",
"[Base].[SITUACION]",
"[Base].[SITUACION].&amp;[" &amp; $C40 &amp; "]"
),0)/1000</f>
        <v>7.3052541799999986</v>
      </c>
      <c r="AB40" s="8">
        <f>IFERROR(
GETPIVOTDATA(
"[Base].[Importe]",
TDinamica_R!$A$5,
"[Calendario].[AñoMes]",
"[Calendario].[AñoMes].&amp;[" &amp; TEXT(AB$6,"yyyymm") &amp; "]",
"[Base].[Metrica]",
"[Base].[Metrica].&amp;[" &amp; $A40 &amp; "]",
"[Base].[SEGMENTO_DESCRIP]",
"[Base].[SEGMENTO_DESCRIP].&amp;[" &amp; $C$6 &amp; "]",
"[Base].[SITUACION]",
"[Base].[SITUACION].&amp;[" &amp; $C40 &amp; "]"
),0)/1000</f>
        <v>4.9512997400000005</v>
      </c>
      <c r="AC40" s="8">
        <f>IFERROR(
GETPIVOTDATA(
"[Base].[Importe]",
TDinamica_R!$A$5,
"[Calendario].[AñoMes]",
"[Calendario].[AñoMes].&amp;[" &amp; TEXT(AC$6,"yyyymm") &amp; "]",
"[Base].[Metrica]",
"[Base].[Metrica].&amp;[" &amp; $A40 &amp; "]",
"[Base].[SEGMENTO_DESCRIP]",
"[Base].[SEGMENTO_DESCRIP].&amp;[" &amp; $C$6 &amp; "]",
"[Base].[SITUACION]",
"[Base].[SITUACION].&amp;[" &amp; $C40 &amp; "]"
),0)/1000</f>
        <v>4.6694296199999998</v>
      </c>
      <c r="AD40" s="8">
        <f>IFERROR(
GETPIVOTDATA(
"[Base].[Importe]",
TDinamica_R!$A$5,
"[Calendario].[AñoMes]",
"[Calendario].[AñoMes].&amp;[" &amp; TEXT(AD$6,"yyyymm") &amp; "]",
"[Base].[Metrica]",
"[Base].[Metrica].&amp;[" &amp; $A40 &amp; "]",
"[Base].[SEGMENTO_DESCRIP]",
"[Base].[SEGMENTO_DESCRIP].&amp;[" &amp; $C$6 &amp; "]",
"[Base].[SITUACION]",
"[Base].[SITUACION].&amp;[" &amp; $C40 &amp; "]"
),0)/1000</f>
        <v>5.6036831500000002</v>
      </c>
      <c r="AE40" s="8">
        <f>IFERROR(
GETPIVOTDATA(
"[Base].[Importe]",
TDinamica_R!$A$5,
"[Calendario].[AñoMes]",
"[Calendario].[AñoMes].&amp;[" &amp; TEXT(AE$6,"yyyymm") &amp; "]",
"[Base].[Metrica]",
"[Base].[Metrica].&amp;[" &amp; $A40 &amp; "]",
"[Base].[SEGMENTO_DESCRIP]",
"[Base].[SEGMENTO_DESCRIP].&amp;[" &amp; $C$6 &amp; "]",
"[Base].[SITUACION]",
"[Base].[SITUACION].&amp;[" &amp; $C40 &amp; "]"
),0)/1000</f>
        <v>5.4330978600000002</v>
      </c>
      <c r="AF40" s="8">
        <f>IFERROR(
GETPIVOTDATA(
"[Base].[Importe]",
TDinamica_R!$A$5,
"[Calendario].[AñoMes]",
"[Calendario].[AñoMes].&amp;[" &amp; TEXT(AF$6,"yyyymm") &amp; "]",
"[Base].[Metrica]",
"[Base].[Metrica].&amp;[" &amp; $A40 &amp; "]",
"[Base].[SEGMENTO_DESCRIP]",
"[Base].[SEGMENTO_DESCRIP].&amp;[" &amp; $C$6 &amp; "]",
"[Base].[SITUACION]",
"[Base].[SITUACION].&amp;[" &amp; $C40 &amp; "]"
),0)/1000</f>
        <v>4.6347368800000002</v>
      </c>
      <c r="AG40" s="8">
        <f>IFERROR(
GETPIVOTDATA(
"[Base].[Importe]",
TDinamica_R!$A$5,
"[Calendario].[AñoMes]",
"[Calendario].[AñoMes].&amp;[" &amp; TEXT(AG$6,"yyyymm") &amp; "]",
"[Base].[Metrica]",
"[Base].[Metrica].&amp;[" &amp; $A40 &amp; "]",
"[Base].[SEGMENTO_DESCRIP]",
"[Base].[SEGMENTO_DESCRIP].&amp;[" &amp; $C$6 &amp; "]",
"[Base].[SITUACION]",
"[Base].[SITUACION].&amp;[" &amp; $C40 &amp; "]"
),0)/1000</f>
        <v>4.14615285</v>
      </c>
      <c r="AH40" s="8">
        <f>IFERROR(
GETPIVOTDATA(
"[Base].[Importe]",
TDinamica_R!$A$5,
"[Calendario].[AñoMes]",
"[Calendario].[AñoMes].&amp;[" &amp; TEXT(AH$6,"yyyymm") &amp; "]",
"[Base].[Metrica]",
"[Base].[Metrica].&amp;[" &amp; $A40 &amp; "]",
"[Base].[SEGMENTO_DESCRIP]",
"[Base].[SEGMENTO_DESCRIP].&amp;[" &amp; $C$6 &amp; "]",
"[Base].[SITUACION]",
"[Base].[SITUACION].&amp;[" &amp; $C40 &amp; "]"
),0)/1000</f>
        <v>5.0329813999999997</v>
      </c>
      <c r="AI40" s="8">
        <f>IFERROR(
GETPIVOTDATA(
"[Base].[Importe]",
TDinamica_R!$A$5,
"[Calendario].[AñoMes]",
"[Calendario].[AñoMes].&amp;[" &amp; TEXT(AI$6,"yyyymm") &amp; "]",
"[Base].[Metrica]",
"[Base].[Metrica].&amp;[" &amp; $A40 &amp; "]",
"[Base].[SEGMENTO_DESCRIP]",
"[Base].[SEGMENTO_DESCRIP].&amp;[" &amp; $C$6 &amp; "]",
"[Base].[SITUACION]",
"[Base].[SITUACION].&amp;[" &amp; $C40 &amp; "]"
),0)/1000</f>
        <v>7.7268130100000016</v>
      </c>
      <c r="AJ40" s="8">
        <f>IFERROR(
GETPIVOTDATA(
"[Base].[Importe]",
TDinamica_R!$A$5,
"[Calendario].[AñoMes]",
"[Calendario].[AñoMes].&amp;[" &amp; TEXT(AJ$6,"yyyymm") &amp; "]",
"[Base].[Metrica]",
"[Base].[Metrica].&amp;[" &amp; $A40 &amp; "]",
"[Base].[SEGMENTO_DESCRIP]",
"[Base].[SEGMENTO_DESCRIP].&amp;[" &amp; $C$6 &amp; "]",
"[Base].[SITUACION]",
"[Base].[SITUACION].&amp;[" &amp; $C40 &amp; "]"
),0)/1000</f>
        <v>21.403686159999999</v>
      </c>
      <c r="AK40" s="8">
        <f>IFERROR(
GETPIVOTDATA(
"[Base].[Importe]",
TDinamica_R!$A$5,
"[Calendario].[AñoMes]",
"[Calendario].[AñoMes].&amp;[" &amp; TEXT(AK$6,"yyyymm") &amp; "]",
"[Base].[Metrica]",
"[Base].[Metrica].&amp;[" &amp; $A40 &amp; "]",
"[Base].[SEGMENTO_DESCRIP]",
"[Base].[SEGMENTO_DESCRIP].&amp;[" &amp; $C$6 &amp; "]",
"[Base].[SITUACION]",
"[Base].[SITUACION].&amp;[" &amp; $C40 &amp; "]"
),0)/1000</f>
        <v>4.7767327100000001</v>
      </c>
      <c r="AL40" s="8">
        <f>IFERROR(
GETPIVOTDATA(
"[Base].[Importe]",
TDinamica_R!$A$5,
"[Calendario].[AñoMes]",
"[Calendario].[AñoMes].&amp;[" &amp; TEXT(AL$6,"yyyymm") &amp; "]",
"[Base].[Metrica]",
"[Base].[Metrica].&amp;[" &amp; $A40 &amp; "]",
"[Base].[SEGMENTO_DESCRIP]",
"[Base].[SEGMENTO_DESCRIP].&amp;[" &amp; $C$6 &amp; "]",
"[Base].[SITUACION]",
"[Base].[SITUACION].&amp;[" &amp; $C40 &amp; "]"
),0)/1000</f>
        <v>5.6473484599999999</v>
      </c>
      <c r="AM40" s="8">
        <f>IFERROR(
GETPIVOTDATA(
"[Base].[Importe]",
TDinamica_R!$A$5,
"[Calendario].[AñoMes]",
"[Calendario].[AñoMes].&amp;[" &amp; TEXT(AM$6,"yyyymm") &amp; "]",
"[Base].[Metrica]",
"[Base].[Metrica].&amp;[" &amp; $A40 &amp; "]",
"[Base].[SEGMENTO_DESCRIP]",
"[Base].[SEGMENTO_DESCRIP].&amp;[" &amp; $C$6 &amp; "]",
"[Base].[SITUACION]",
"[Base].[SITUACION].&amp;[" &amp; $C40 &amp; "]"
),0)/1000</f>
        <v>6.1276212299999999</v>
      </c>
      <c r="AN40" s="8">
        <f>IFERROR(
GETPIVOTDATA(
"[Base].[Importe]",
TDinamica_R!$A$5,
"[Calendario].[AñoMes]",
"[Calendario].[AñoMes].&amp;[" &amp; TEXT(AN$6,"yyyymm") &amp; "]",
"[Base].[Metrica]",
"[Base].[Metrica].&amp;[" &amp; $A40 &amp; "]",
"[Base].[SEGMENTO_DESCRIP]",
"[Base].[SEGMENTO_DESCRIP].&amp;[" &amp; $C$6 &amp; "]",
"[Base].[SITUACION]",
"[Base].[SITUACION].&amp;[" &amp; $C40 &amp; "]"
),0)/1000</f>
        <v>6.9255573700000008</v>
      </c>
      <c r="AO40" s="8">
        <f>IFERROR(
GETPIVOTDATA(
"[Base].[Importe]",
TDinamica_R!$A$5,
"[Calendario].[AñoMes]",
"[Calendario].[AñoMes].&amp;[" &amp; TEXT(AO$6,"yyyymm") &amp; "]",
"[Base].[Metrica]",
"[Base].[Metrica].&amp;[" &amp; $A40 &amp; "]",
"[Base].[SEGMENTO_DESCRIP]",
"[Base].[SEGMENTO_DESCRIP].&amp;[" &amp; $C$6 &amp; "]",
"[Base].[SITUACION]",
"[Base].[SITUACION].&amp;[" &amp; $C40 &amp; "]"
),0)/1000</f>
        <v>7.2423521299999996</v>
      </c>
      <c r="AP40" s="8">
        <f>IFERROR(
GETPIVOTDATA(
"[Base].[Importe]",
TDinamica_R!$A$5,
"[Calendario].[AñoMes]",
"[Calendario].[AñoMes].&amp;[" &amp; TEXT(AP$6,"yyyymm") &amp; "]",
"[Base].[Metrica]",
"[Base].[Metrica].&amp;[" &amp; $A40 &amp; "]",
"[Base].[SEGMENTO_DESCRIP]",
"[Base].[SEGMENTO_DESCRIP].&amp;[" &amp; $C$6 &amp; "]",
"[Base].[SITUACION]",
"[Base].[SITUACION].&amp;[" &amp; $C40 &amp; "]"
),0)/1000</f>
        <v>12.02084453</v>
      </c>
      <c r="AQ40" s="8">
        <f>IFERROR(
GETPIVOTDATA(
"[Base].[Importe]",
TDinamica_R!$A$5,
"[Calendario].[AñoMes]",
"[Calendario].[AñoMes].&amp;[" &amp; TEXT(AQ$6,"yyyymm") &amp; "]",
"[Base].[Metrica]",
"[Base].[Metrica].&amp;[" &amp; $A40 &amp; "]",
"[Base].[SEGMENTO_DESCRIP]",
"[Base].[SEGMENTO_DESCRIP].&amp;[" &amp; $C$6 &amp; "]",
"[Base].[SITUACION]",
"[Base].[SITUACION].&amp;[" &amp; $C40 &amp; "]"
),0)/1000</f>
        <v>6.2520073999999992</v>
      </c>
      <c r="AR40" s="8">
        <f>IFERROR(
GETPIVOTDATA(
"[Base].[Importe]",
TDinamica_R!$A$5,
"[Calendario].[AñoMes]",
"[Calendario].[AñoMes].&amp;[" &amp; TEXT(AR$6,"yyyymm") &amp; "]",
"[Base].[Metrica]",
"[Base].[Metrica].&amp;[" &amp; $A40 &amp; "]",
"[Base].[SEGMENTO_DESCRIP]",
"[Base].[SEGMENTO_DESCRIP].&amp;[" &amp; $C$6 &amp; "]",
"[Base].[SITUACION]",
"[Base].[SITUACION].&amp;[" &amp; $C40 &amp; "]"
),0)/1000</f>
        <v>5.9180450299999992</v>
      </c>
      <c r="AS40" s="8">
        <f>IFERROR(
GETPIVOTDATA(
"[Base].[Importe]",
TDinamica_R!$A$5,
"[Calendario].[AñoMes]",
"[Calendario].[AñoMes].&amp;[" &amp; TEXT(AS$6,"yyyymm") &amp; "]",
"[Base].[Metrica]",
"[Base].[Metrica].&amp;[" &amp; $A40 &amp; "]",
"[Base].[SEGMENTO_DESCRIP]",
"[Base].[SEGMENTO_DESCRIP].&amp;[" &amp; $C$6 &amp; "]",
"[Base].[SITUACION]",
"[Base].[SITUACION].&amp;[" &amp; $C40 &amp; "]"
),0)/1000</f>
        <v>11.84743821</v>
      </c>
      <c r="AT40" s="8">
        <f>IFERROR(
GETPIVOTDATA(
"[Base].[Importe]",
TDinamica_R!$A$5,
"[Calendario].[AñoMes]",
"[Calendario].[AñoMes].&amp;[" &amp; TEXT(AT$6,"yyyymm")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U40" s="8">
        <f>IFERROR(
GETPIVOTDATA(
"[Base].[Importe]",
TDinamica_R!$A$5,
"[Calendario].[AñoMes]",
"[Calendario].[AñoMes].&amp;[" &amp; TEXT(AU$6,"yyyymm")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V40" s="8">
        <f>IFERROR(
GETPIVOTDATA(
"[Base].[Importe]",
TDinamica_R!$A$5,
"[Calendario].[AñoMes]",
"[Calendario].[AñoMes].&amp;[" &amp; TEXT(AV$6,"yyyymm")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W40" s="8">
        <f>IFERROR(
GETPIVOTDATA(
"[Base].[Importe]",
TDinamica_R!$A$5,
"[Calendario].[AñoMes]",
"[Calendario].[AñoMes].&amp;[" &amp; TEXT(AW$6,"yyyymm")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X40" s="8">
        <f>IFERROR(
GETPIVOTDATA(
"[Base].[Importe]",
TDinamica_R!$A$5,
"[Calendario].[AñoMes]",
"[Calendario].[AñoMes].&amp;[" &amp; TEXT(AX$6,"yyyymm")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Y40" s="8">
        <f>IFERROR(
GETPIVOTDATA(
"[Base].[Importe]",
TDinamica_R!$A$5,
"[Calendario].[AñoMes]",
"[Calendario].[AñoMes].&amp;[" &amp; TEXT(AY$6,"yyyymm")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Z40" s="8">
        <f>IFERROR(
GETPIVOTDATA(
"[BASE_CONVE_PPTO].[Importe]",
TDinamica_P!$A$5,
"[BASE_CONVE_PPTO].[Periodo]",
"[BASE_CONVE_PPTO].[Periodo].&amp;[" &amp; TEXT(AZ$6,"yyyymm")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20.558326447416626</v>
      </c>
      <c r="BA40" s="8">
        <f>IFERROR(
GETPIVOTDATA(
"[BASE_CONVE_PPTO].[Importe]",
TDinamica_P!$A$5,
"[BASE_CONVE_PPTO].[Periodo]",
"[BASE_CONVE_PPTO].[Periodo].&amp;[" &amp; TEXT(BA$6,"yyyymm")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20.657455622483191</v>
      </c>
      <c r="BB40" s="8">
        <f>IFERROR(
GETPIVOTDATA(
"[BASE_CONVE_PPTO].[Importe]",
TDinamica_P!$A$5,
"[BASE_CONVE_PPTO].[Periodo]",
"[BASE_CONVE_PPTO].[Periodo].&amp;[" &amp; TEXT(BB$6,"yyyymm")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20.471370453785099</v>
      </c>
      <c r="BC40" s="8">
        <f>IFERROR(
GETPIVOTDATA(
"[BASE_CONVE_PPTO].[Importe]",
TDinamica_P!$A$5,
"[BASE_CONVE_PPTO].[Periodo]",
"[BASE_CONVE_PPTO].[Periodo].&amp;[" &amp; TEXT(BC$6,"yyyymm")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20.562228537045296</v>
      </c>
      <c r="BD40" s="8">
        <f>IFERROR(
GETPIVOTDATA(
"[BASE_CONVE_PPTO].[Importe]",
TDinamica_P!$A$5,
"[BASE_CONVE_PPTO].[Periodo]",
"[BASE_CONVE_PPTO].[Periodo].&amp;[" &amp; TEXT(BD$6,"yyyymm")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20.341809433245341</v>
      </c>
      <c r="BE40" s="8">
        <f>IFERROR(
GETPIVOTDATA(
"[BASE_CONVE_PPTO].[Importe]",
TDinamica_P!$A$5,
"[BASE_CONVE_PPTO].[Periodo]",
"[BASE_CONVE_PPTO].[Periodo].&amp;[" &amp; TEXT(BE$6,"yyyymm")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20.351157789973993</v>
      </c>
      <c r="BF40" s="8">
        <f>IFERROR(
GETPIVOTDATA(
"[BASE_CONVE_PPTO].[Importe]",
TDinamica_P!$A$5,
"[BASE_CONVE_PPTO].[Periodo]",
"[BASE_CONVE_PPTO].[Periodo].&amp;[" &amp; TEXT(BF$6,"yyyymm")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20.378548994745064</v>
      </c>
      <c r="BG40" s="8">
        <f>IFERROR(
GETPIVOTDATA(
"[BASE_CONVE_PPTO].[Importe]",
TDinamica_P!$A$5,
"[BASE_CONVE_PPTO].[Periodo]",
"[BASE_CONVE_PPTO].[Periodo].&amp;[" &amp; TEXT(BG$6,"yyyymm")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20.332154872392291</v>
      </c>
      <c r="BH40" s="8">
        <f>IFERROR(
GETPIVOTDATA(
"[BASE_CONVE_PPTO].[Importe]",
TDinamica_P!$A$5,
"[BASE_CONVE_PPTO].[Periodo]",
"[BASE_CONVE_PPTO].[Periodo].&amp;[" &amp; TEXT(BH$6,"yyyymm")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19.913557336570484</v>
      </c>
      <c r="BI40" s="8">
        <f>IFERROR(
GETPIVOTDATA(
"[BASE_CONVE_PPTO].[Importe]",
TDinamica_P!$A$5,
"[BASE_CONVE_PPTO].[Periodo]",
"[BASE_CONVE_PPTO].[Periodo].&amp;[" &amp; TEXT(BI$6,"yyyymm")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19.864220707822703</v>
      </c>
      <c r="BJ40" s="8">
        <f>IFERROR(
GETPIVOTDATA(
"[BASE_CONVE_PPTO].[Importe]",
TDinamica_P!$A$5,
"[BASE_CONVE_PPTO].[Periodo]",
"[BASE_CONVE_PPTO].[Periodo].&amp;[" &amp; TEXT(BJ$6,"yyyymm")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19.494480316559603</v>
      </c>
      <c r="BK40" s="8">
        <f>IFERROR(
GETPIVOTDATA(
"[BASE_CONVE_PPTO].[Importe]",
TDinamica_P!$A$5,
"[BASE_CONVE_PPTO].[Periodo]",
"[BASE_CONVE_PPTO].[Periodo].&amp;[" &amp; TEXT(BK$6,"yyyymm") &amp; "]",
"[BASE_CONVE_PPTO].[Metrica]",
"[BASE_CONVE_PPTO].[Metrica].&amp;[" &amp; $A40 &amp; "]",
"[BASE_CONVE_PPTO].[SEGMENTO_DESCRIP]",
"[BASE_CONVE_PPTO].[SEGMENTO_DESCRIP].&amp;[" &amp; $C$6 &amp; "]",
"[BASE_CONVE_PPTO].[SITUACION]",
"[BASE_CONVE_PPTO].[SITUACION].&amp;[" &amp; $C40 &amp; "]"),
0)</f>
        <v>19.35301686110299</v>
      </c>
      <c r="BO40" s="24">
        <f t="shared" si="30"/>
        <v>38.358806459999997</v>
      </c>
      <c r="BP40" s="24">
        <f t="shared" si="30"/>
        <v>102.59119049397556</v>
      </c>
      <c r="BQ40" s="24">
        <f t="shared" si="30"/>
        <v>32.440761429999995</v>
      </c>
      <c r="BR40" s="24">
        <f t="shared" si="30"/>
        <v>25.292247250000003</v>
      </c>
      <c r="BS40" s="24">
        <f t="shared" si="30"/>
        <v>25.616169750000001</v>
      </c>
      <c r="BT40" s="24">
        <f t="shared" si="30"/>
        <v>67.264400160000008</v>
      </c>
    </row>
    <row r="41" spans="1:72" x14ac:dyDescent="0.25">
      <c r="C41" s="3" t="s">
        <v>57</v>
      </c>
      <c r="D41" s="10">
        <f>SUM(D38:D40)</f>
        <v>1289.9954779800003</v>
      </c>
      <c r="E41" s="10">
        <f t="shared" ref="E41:AY41" si="31">SUM(E38:E40)</f>
        <v>1379.5022724299999</v>
      </c>
      <c r="F41" s="10">
        <f t="shared" si="31"/>
        <v>1362.9415276099999</v>
      </c>
      <c r="G41" s="10">
        <f t="shared" si="31"/>
        <v>1420.3544808200004</v>
      </c>
      <c r="H41" s="10">
        <f t="shared" si="31"/>
        <v>1431.5018729799999</v>
      </c>
      <c r="I41" s="10">
        <f t="shared" si="31"/>
        <v>1483.880369</v>
      </c>
      <c r="J41" s="10">
        <f t="shared" si="31"/>
        <v>1484.59605655</v>
      </c>
      <c r="K41" s="10">
        <f t="shared" si="31"/>
        <v>1485.8255416500001</v>
      </c>
      <c r="L41" s="10">
        <f t="shared" si="31"/>
        <v>1498.4802510499999</v>
      </c>
      <c r="M41" s="10">
        <f t="shared" si="31"/>
        <v>1478.4552959</v>
      </c>
      <c r="N41" s="10">
        <f t="shared" si="31"/>
        <v>1459.21515993</v>
      </c>
      <c r="O41" s="10">
        <f t="shared" si="31"/>
        <v>1437.64822867</v>
      </c>
      <c r="P41" s="10">
        <f t="shared" si="31"/>
        <v>1408.5303340400001</v>
      </c>
      <c r="Q41" s="10">
        <f t="shared" si="31"/>
        <v>1400.2770845999999</v>
      </c>
      <c r="R41" s="10">
        <f t="shared" si="31"/>
        <v>1395.3676489200002</v>
      </c>
      <c r="S41" s="10">
        <f t="shared" si="31"/>
        <v>1401.2854366999998</v>
      </c>
      <c r="T41" s="10">
        <f t="shared" si="31"/>
        <v>1403.6282675399996</v>
      </c>
      <c r="U41" s="10">
        <f t="shared" si="31"/>
        <v>1402.58264973</v>
      </c>
      <c r="V41" s="10">
        <f t="shared" si="31"/>
        <v>1381.9225581499995</v>
      </c>
      <c r="W41" s="10">
        <f t="shared" si="31"/>
        <v>1361.2465900099999</v>
      </c>
      <c r="X41" s="10">
        <f t="shared" si="31"/>
        <v>1350.2358824199998</v>
      </c>
      <c r="Y41" s="10">
        <f t="shared" si="31"/>
        <v>1319.96576424</v>
      </c>
      <c r="Z41" s="10">
        <f t="shared" si="31"/>
        <v>1268.2717994199998</v>
      </c>
      <c r="AA41" s="10">
        <f t="shared" si="31"/>
        <v>1190.7968657699998</v>
      </c>
      <c r="AB41" s="10">
        <f t="shared" si="31"/>
        <v>1154.4036374499997</v>
      </c>
      <c r="AC41" s="10">
        <f t="shared" si="31"/>
        <v>1112.7687742300002</v>
      </c>
      <c r="AD41" s="10">
        <f t="shared" si="31"/>
        <v>1100.7288916300001</v>
      </c>
      <c r="AE41" s="10">
        <f t="shared" si="31"/>
        <v>1077.5089560700001</v>
      </c>
      <c r="AF41" s="10">
        <f t="shared" si="31"/>
        <v>1074.11840734</v>
      </c>
      <c r="AG41" s="10">
        <f t="shared" si="31"/>
        <v>1084.5607014399998</v>
      </c>
      <c r="AH41" s="10">
        <f t="shared" si="31"/>
        <v>1155.3930662700002</v>
      </c>
      <c r="AI41" s="10">
        <f t="shared" si="31"/>
        <v>1204.86059402</v>
      </c>
      <c r="AJ41" s="10">
        <f t="shared" si="31"/>
        <v>1276.8583871000001</v>
      </c>
      <c r="AK41" s="10">
        <f t="shared" si="31"/>
        <v>1308.01644203</v>
      </c>
      <c r="AL41" s="10">
        <f t="shared" si="31"/>
        <v>1307.3937283600003</v>
      </c>
      <c r="AM41" s="10">
        <f t="shared" si="31"/>
        <v>1300.7856728599997</v>
      </c>
      <c r="AN41" s="10">
        <f t="shared" si="31"/>
        <v>1265.6157779800001</v>
      </c>
      <c r="AO41" s="10">
        <f t="shared" si="31"/>
        <v>1274.73751453</v>
      </c>
      <c r="AP41" s="10">
        <f t="shared" si="31"/>
        <v>1286.3772866600002</v>
      </c>
      <c r="AQ41" s="10">
        <f t="shared" si="31"/>
        <v>1297.0201931199997</v>
      </c>
      <c r="AR41" s="10">
        <f t="shared" si="31"/>
        <v>1283.3144308399999</v>
      </c>
      <c r="AS41" s="10">
        <f t="shared" si="31"/>
        <v>1287.6693426899999</v>
      </c>
      <c r="AT41" s="10">
        <f t="shared" si="31"/>
        <v>0</v>
      </c>
      <c r="AU41" s="10">
        <f t="shared" si="31"/>
        <v>0</v>
      </c>
      <c r="AV41" s="10">
        <f t="shared" si="31"/>
        <v>0</v>
      </c>
      <c r="AW41" s="10">
        <f t="shared" si="31"/>
        <v>0</v>
      </c>
      <c r="AX41" s="10">
        <f t="shared" si="31"/>
        <v>0</v>
      </c>
      <c r="AY41" s="10">
        <f t="shared" si="31"/>
        <v>0</v>
      </c>
      <c r="AZ41" s="10">
        <f>SUM(AZ38:AZ40)</f>
        <v>1226.4276044483408</v>
      </c>
      <c r="BA41" s="10">
        <f t="shared" ref="BA41:BK41" si="32">SUM(BA38:BA40)</f>
        <v>1232.3412549110276</v>
      </c>
      <c r="BB41" s="10">
        <f t="shared" si="32"/>
        <v>1221.240157345839</v>
      </c>
      <c r="BC41" s="10">
        <f t="shared" si="32"/>
        <v>1226.660387522774</v>
      </c>
      <c r="BD41" s="10">
        <f t="shared" si="32"/>
        <v>1213.5110645883678</v>
      </c>
      <c r="BE41" s="10">
        <f t="shared" si="32"/>
        <v>1214.0687501946147</v>
      </c>
      <c r="BF41" s="10">
        <f t="shared" si="32"/>
        <v>1215.7028000155601</v>
      </c>
      <c r="BG41" s="10">
        <f t="shared" si="32"/>
        <v>1212.9351120676558</v>
      </c>
      <c r="BH41" s="10">
        <f t="shared" si="32"/>
        <v>1187.963255803041</v>
      </c>
      <c r="BI41" s="10">
        <f t="shared" si="32"/>
        <v>1185.0200296819139</v>
      </c>
      <c r="BJ41" s="10">
        <f t="shared" si="32"/>
        <v>1162.9627954277328</v>
      </c>
      <c r="BK41" s="10">
        <f t="shared" si="32"/>
        <v>1154.5236509654442</v>
      </c>
      <c r="BO41" s="23">
        <f>SUM(BO38:BO40)</f>
        <v>6407.0652031299996</v>
      </c>
      <c r="BP41" s="23">
        <f t="shared" ref="BP41:BT41" si="33">SUM(BP38:BP40)</f>
        <v>6120.1804688163493</v>
      </c>
      <c r="BQ41" s="23">
        <f t="shared" si="33"/>
        <v>5123.75077229</v>
      </c>
      <c r="BR41" s="23">
        <f t="shared" si="33"/>
        <v>5519.5286667199998</v>
      </c>
      <c r="BS41" s="23">
        <f t="shared" si="33"/>
        <v>7009.0887717999994</v>
      </c>
      <c r="BT41" s="23">
        <f t="shared" si="33"/>
        <v>6884.2956318199995</v>
      </c>
    </row>
    <row r="44" spans="1:72" outlineLevel="1" x14ac:dyDescent="0.25">
      <c r="A44" s="11" t="s">
        <v>50</v>
      </c>
      <c r="C44" s="2" t="s">
        <v>0</v>
      </c>
      <c r="D44" s="8">
        <f>-IFERROR(
GETPIVOTDATA(
"[Base].[Importe]",
TDinamica_R!$A$5,
"[Calendario].[AñoMes]",
"[Calendario].[AñoMes].&amp;[" &amp; TEXT(D$6,"yyyymm") &amp; "]",
"[Base].[Metrica]",
"[Base].[Metrica].&amp;[" &amp; $A44 &amp; "]",
"[Base].[SEGMENTO_DESCRIP]",
"[Base].[SEGMENTO_DESCRIP].&amp;[" &amp; $C$6 &amp; "]",
"[Base].[SITUACION]",
"[Base].[SITUACION].&amp;[" &amp; $C44 &amp; "]"
),0)/1000</f>
        <v>-677.67025000000001</v>
      </c>
      <c r="E44" s="8">
        <f>-IFERROR(
GETPIVOTDATA(
"[Base].[Importe]",
TDinamica_R!$A$5,
"[Calendario].[AñoMes]",
"[Calendario].[AñoMes].&amp;[" &amp; TEXT(E$6,"yyyymm") &amp; "]",
"[Base].[Metrica]",
"[Base].[Metrica].&amp;[" &amp; $A44 &amp; "]",
"[Base].[SEGMENTO_DESCRIP]",
"[Base].[SEGMENTO_DESCRIP].&amp;[" &amp; $C$6 &amp; "]",
"[Base].[SITUACION]",
"[Base].[SITUACION].&amp;[" &amp; $C44 &amp; "]"
),0)/1000</f>
        <v>-657.87430999999992</v>
      </c>
      <c r="F44" s="8">
        <f>-IFERROR(
GETPIVOTDATA(
"[Base].[Importe]",
TDinamica_R!$A$5,
"[Calendario].[AñoMes]",
"[Calendario].[AñoMes].&amp;[" &amp; TEXT(F$6,"yyyymm") &amp; "]",
"[Base].[Metrica]",
"[Base].[Metrica].&amp;[" &amp; $A44 &amp; "]",
"[Base].[SEGMENTO_DESCRIP]",
"[Base].[SEGMENTO_DESCRIP].&amp;[" &amp; $C$6 &amp; "]",
"[Base].[SITUACION]",
"[Base].[SITUACION].&amp;[" &amp; $C44 &amp; "]"
),0)/1000</f>
        <v>-773.84086000000002</v>
      </c>
      <c r="G44" s="8">
        <f>-IFERROR(
GETPIVOTDATA(
"[Base].[Importe]",
TDinamica_R!$A$5,
"[Calendario].[AñoMes]",
"[Calendario].[AñoMes].&amp;[" &amp; TEXT(G$6,"yyyymm") &amp; "]",
"[Base].[Metrica]",
"[Base].[Metrica].&amp;[" &amp; $A44 &amp; "]",
"[Base].[SEGMENTO_DESCRIP]",
"[Base].[SEGMENTO_DESCRIP].&amp;[" &amp; $C$6 &amp; "]",
"[Base].[SITUACION]",
"[Base].[SITUACION].&amp;[" &amp; $C44 &amp; "]"
),0)/1000</f>
        <v>-781.7867</v>
      </c>
      <c r="H44" s="8">
        <f>-IFERROR(
GETPIVOTDATA(
"[Base].[Importe]",
TDinamica_R!$A$5,
"[Calendario].[AñoMes]",
"[Calendario].[AñoMes].&amp;[" &amp; TEXT(H$6,"yyyymm") &amp; "]",
"[Base].[Metrica]",
"[Base].[Metrica].&amp;[" &amp; $A44 &amp; "]",
"[Base].[SEGMENTO_DESCRIP]",
"[Base].[SEGMENTO_DESCRIP].&amp;[" &amp; $C$6 &amp; "]",
"[Base].[SITUACION]",
"[Base].[SITUACION].&amp;[" &amp; $C44 &amp; "]"
),0)/1000</f>
        <v>-839.74275999999998</v>
      </c>
      <c r="I44" s="8">
        <f>-IFERROR(
GETPIVOTDATA(
"[Base].[Importe]",
TDinamica_R!$A$5,
"[Calendario].[AñoMes]",
"[Calendario].[AñoMes].&amp;[" &amp; TEXT(I$6,"yyyymm") &amp; "]",
"[Base].[Metrica]",
"[Base].[Metrica].&amp;[" &amp; $A44 &amp; "]",
"[Base].[SEGMENTO_DESCRIP]",
"[Base].[SEGMENTO_DESCRIP].&amp;[" &amp; $C$6 &amp; "]",
"[Base].[SITUACION]",
"[Base].[SITUACION].&amp;[" &amp; $C44 &amp; "]"
),0)/1000</f>
        <v>-834.18062999999995</v>
      </c>
      <c r="J44" s="8">
        <f>-IFERROR(
GETPIVOTDATA(
"[Base].[Importe]",
TDinamica_R!$A$5,
"[Calendario].[AñoMes]",
"[Calendario].[AñoMes].&amp;[" &amp; TEXT(J$6,"yyyymm") &amp; "]",
"[Base].[Metrica]",
"[Base].[Metrica].&amp;[" &amp; $A44 &amp; "]",
"[Base].[SEGMENTO_DESCRIP]",
"[Base].[SEGMENTO_DESCRIP].&amp;[" &amp; $C$6 &amp; "]",
"[Base].[SITUACION]",
"[Base].[SITUACION].&amp;[" &amp; $C44 &amp; "]"
),0)/1000</f>
        <v>-877.29358999999999</v>
      </c>
      <c r="K44" s="8">
        <f>-IFERROR(
GETPIVOTDATA(
"[Base].[Importe]",
TDinamica_R!$A$5,
"[Calendario].[AñoMes]",
"[Calendario].[AñoMes].&amp;[" &amp; TEXT(K$6,"yyyymm") &amp; "]",
"[Base].[Metrica]",
"[Base].[Metrica].&amp;[" &amp; $A44 &amp; "]",
"[Base].[SEGMENTO_DESCRIP]",
"[Base].[SEGMENTO_DESCRIP].&amp;[" &amp; $C$6 &amp; "]",
"[Base].[SITUACION]",
"[Base].[SITUACION].&amp;[" &amp; $C44 &amp; "]"
),0)/1000</f>
        <v>-884.85482999999999</v>
      </c>
      <c r="L44" s="8">
        <f>-IFERROR(
GETPIVOTDATA(
"[Base].[Importe]",
TDinamica_R!$A$5,
"[Calendario].[AñoMes]",
"[Calendario].[AñoMes].&amp;[" &amp; TEXT(L$6,"yyyymm") &amp; "]",
"[Base].[Metrica]",
"[Base].[Metrica].&amp;[" &amp; $A44 &amp; "]",
"[Base].[SEGMENTO_DESCRIP]",
"[Base].[SEGMENTO_DESCRIP].&amp;[" &amp; $C$6 &amp; "]",
"[Base].[SITUACION]",
"[Base].[SITUACION].&amp;[" &amp; $C44 &amp; "]"
),0)/1000</f>
        <v>-867.06445000000008</v>
      </c>
      <c r="M44" s="8">
        <f>-IFERROR(
GETPIVOTDATA(
"[Base].[Importe]",
TDinamica_R!$A$5,
"[Calendario].[AñoMes]",
"[Calendario].[AñoMes].&amp;[" &amp; TEXT(M$6,"yyyymm") &amp; "]",
"[Base].[Metrica]",
"[Base].[Metrica].&amp;[" &amp; $A44 &amp; "]",
"[Base].[SEGMENTO_DESCRIP]",
"[Base].[SEGMENTO_DESCRIP].&amp;[" &amp; $C$6 &amp; "]",
"[Base].[SITUACION]",
"[Base].[SITUACION].&amp;[" &amp; $C44 &amp; "]"
),0)/1000</f>
        <v>-896.71805000000006</v>
      </c>
      <c r="N44" s="8">
        <f>-IFERROR(
GETPIVOTDATA(
"[Base].[Importe]",
TDinamica_R!$A$5,
"[Calendario].[AñoMes]",
"[Calendario].[AñoMes].&amp;[" &amp; TEXT(N$6,"yyyymm") &amp; "]",
"[Base].[Metrica]",
"[Base].[Metrica].&amp;[" &amp; $A44 &amp; "]",
"[Base].[SEGMENTO_DESCRIP]",
"[Base].[SEGMENTO_DESCRIP].&amp;[" &amp; $C$6 &amp; "]",
"[Base].[SITUACION]",
"[Base].[SITUACION].&amp;[" &amp; $C44 &amp; "]"
),0)/1000</f>
        <v>-867.90266999999994</v>
      </c>
      <c r="O44" s="8">
        <f>-IFERROR(
GETPIVOTDATA(
"[Base].[Importe]",
TDinamica_R!$A$5,
"[Calendario].[AñoMes]",
"[Calendario].[AñoMes].&amp;[" &amp; TEXT(O$6,"yyyymm") &amp; "]",
"[Base].[Metrica]",
"[Base].[Metrica].&amp;[" &amp; $A44 &amp; "]",
"[Base].[SEGMENTO_DESCRIP]",
"[Base].[SEGMENTO_DESCRIP].&amp;[" &amp; $C$6 &amp; "]",
"[Base].[SITUACION]",
"[Base].[SITUACION].&amp;[" &amp; $C44 &amp; "]"
),0)/1000</f>
        <v>-882.19137000000001</v>
      </c>
      <c r="P44" s="8">
        <f>-IFERROR(
GETPIVOTDATA(
"[Base].[Importe]",
TDinamica_R!$A$5,
"[Calendario].[AñoMes]",
"[Calendario].[AñoMes].&amp;[" &amp; TEXT(P$6,"yyyymm") &amp; "]",
"[Base].[Metrica]",
"[Base].[Metrica].&amp;[" &amp; $A44 &amp; "]",
"[Base].[SEGMENTO_DESCRIP]",
"[Base].[SEGMENTO_DESCRIP].&amp;[" &amp; $C$6 &amp; "]",
"[Base].[SITUACION]",
"[Base].[SITUACION].&amp;[" &amp; $C44 &amp; "]"
),0)/1000</f>
        <v>-858.07341000000008</v>
      </c>
      <c r="Q44" s="8">
        <f>-IFERROR(
GETPIVOTDATA(
"[Base].[Importe]",
TDinamica_R!$A$5,
"[Calendario].[AñoMes]",
"[Calendario].[AñoMes].&amp;[" &amp; TEXT(Q$6,"yyyymm") &amp; "]",
"[Base].[Metrica]",
"[Base].[Metrica].&amp;[" &amp; $A44 &amp; "]",
"[Base].[SEGMENTO_DESCRIP]",
"[Base].[SEGMENTO_DESCRIP].&amp;[" &amp; $C$6 &amp; "]",
"[Base].[SITUACION]",
"[Base].[SITUACION].&amp;[" &amp; $C44 &amp; "]"
),0)/1000</f>
        <v>-784.86708999999996</v>
      </c>
      <c r="R44" s="8">
        <f>-IFERROR(
GETPIVOTDATA(
"[Base].[Importe]",
TDinamica_R!$A$5,
"[Calendario].[AñoMes]",
"[Calendario].[AñoMes].&amp;[" &amp; TEXT(R$6,"yyyymm") &amp; "]",
"[Base].[Metrica]",
"[Base].[Metrica].&amp;[" &amp; $A44 &amp; "]",
"[Base].[SEGMENTO_DESCRIP]",
"[Base].[SEGMENTO_DESCRIP].&amp;[" &amp; $C$6 &amp; "]",
"[Base].[SITUACION]",
"[Base].[SITUACION].&amp;[" &amp; $C44 &amp; "]"
),0)/1000</f>
        <v>-838.71004000000005</v>
      </c>
      <c r="S44" s="8">
        <f>-IFERROR(
GETPIVOTDATA(
"[Base].[Importe]",
TDinamica_R!$A$5,
"[Calendario].[AñoMes]",
"[Calendario].[AñoMes].&amp;[" &amp; TEXT(S$6,"yyyymm") &amp; "]",
"[Base].[Metrica]",
"[Base].[Metrica].&amp;[" &amp; $A44 &amp; "]",
"[Base].[SEGMENTO_DESCRIP]",
"[Base].[SEGMENTO_DESCRIP].&amp;[" &amp; $C$6 &amp; "]",
"[Base].[SITUACION]",
"[Base].[SITUACION].&amp;[" &amp; $C44 &amp; "]"
),0)/1000</f>
        <v>-820.53446999999994</v>
      </c>
      <c r="T44" s="8">
        <f>-IFERROR(
GETPIVOTDATA(
"[Base].[Importe]",
TDinamica_R!$A$5,
"[Calendario].[AñoMes]",
"[Calendario].[AñoMes].&amp;[" &amp; TEXT(T$6,"yyyymm") &amp; "]",
"[Base].[Metrica]",
"[Base].[Metrica].&amp;[" &amp; $A44 &amp; "]",
"[Base].[SEGMENTO_DESCRIP]",
"[Base].[SEGMENTO_DESCRIP].&amp;[" &amp; $C$6 &amp; "]",
"[Base].[SITUACION]",
"[Base].[SITUACION].&amp;[" &amp; $C44 &amp; "]"
),0)/1000</f>
        <v>-840.59343999999999</v>
      </c>
      <c r="U44" s="8">
        <f>-IFERROR(
GETPIVOTDATA(
"[Base].[Importe]",
TDinamica_R!$A$5,
"[Calendario].[AñoMes]",
"[Calendario].[AñoMes].&amp;[" &amp; TEXT(U$6,"yyyymm") &amp; "]",
"[Base].[Metrica]",
"[Base].[Metrica].&amp;[" &amp; $A44 &amp; "]",
"[Base].[SEGMENTO_DESCRIP]",
"[Base].[SEGMENTO_DESCRIP].&amp;[" &amp; $C$6 &amp; "]",
"[Base].[SITUACION]",
"[Base].[SITUACION].&amp;[" &amp; $C44 &amp; "]"
),0)/1000</f>
        <v>-796.78715999999997</v>
      </c>
      <c r="V44" s="8">
        <f>-IFERROR(
GETPIVOTDATA(
"[Base].[Importe]",
TDinamica_R!$A$5,
"[Calendario].[AñoMes]",
"[Calendario].[AñoMes].&amp;[" &amp; TEXT(V$6,"yyyymm") &amp; "]",
"[Base].[Metrica]",
"[Base].[Metrica].&amp;[" &amp; $A44 &amp; "]",
"[Base].[SEGMENTO_DESCRIP]",
"[Base].[SEGMENTO_DESCRIP].&amp;[" &amp; $C$6 &amp; "]",
"[Base].[SITUACION]",
"[Base].[SITUACION].&amp;[" &amp; $C44 &amp; "]"
),0)/1000</f>
        <v>-812.88313000000005</v>
      </c>
      <c r="W44" s="8">
        <f>-IFERROR(
GETPIVOTDATA(
"[Base].[Importe]",
TDinamica_R!$A$5,
"[Calendario].[AñoMes]",
"[Calendario].[AñoMes].&amp;[" &amp; TEXT(W$6,"yyyymm") &amp; "]",
"[Base].[Metrica]",
"[Base].[Metrica].&amp;[" &amp; $A44 &amp; "]",
"[Base].[SEGMENTO_DESCRIP]",
"[Base].[SEGMENTO_DESCRIP].&amp;[" &amp; $C$6 &amp; "]",
"[Base].[SITUACION]",
"[Base].[SITUACION].&amp;[" &amp; $C44 &amp; "]"
),0)/1000</f>
        <v>-785.92452934999994</v>
      </c>
      <c r="X44" s="8">
        <f>-IFERROR(
GETPIVOTDATA(
"[Base].[Importe]",
TDinamica_R!$A$5,
"[Calendario].[AñoMes]",
"[Calendario].[AñoMes].&amp;[" &amp; TEXT(X$6,"yyyymm") &amp; "]",
"[Base].[Metrica]",
"[Base].[Metrica].&amp;[" &amp; $A44 &amp; "]",
"[Base].[SEGMENTO_DESCRIP]",
"[Base].[SEGMENTO_DESCRIP].&amp;[" &amp; $C$6 &amp; "]",
"[Base].[SITUACION]",
"[Base].[SITUACION].&amp;[" &amp; $C44 &amp; "]"
),0)/1000</f>
        <v>-749.65074000000004</v>
      </c>
      <c r="Y44" s="8">
        <f>-IFERROR(
GETPIVOTDATA(
"[Base].[Importe]",
TDinamica_R!$A$5,
"[Calendario].[AñoMes]",
"[Calendario].[AñoMes].&amp;[" &amp; TEXT(Y$6,"yyyymm") &amp; "]",
"[Base].[Metrica]",
"[Base].[Metrica].&amp;[" &amp; $A44 &amp; "]",
"[Base].[SEGMENTO_DESCRIP]",
"[Base].[SEGMENTO_DESCRIP].&amp;[" &amp; $C$6 &amp; "]",
"[Base].[SITUACION]",
"[Base].[SITUACION].&amp;[" &amp; $C44 &amp; "]"
),0)/1000</f>
        <v>-728.49176</v>
      </c>
      <c r="Z44" s="8">
        <f>-IFERROR(
GETPIVOTDATA(
"[Base].[Importe]",
TDinamica_R!$A$5,
"[Calendario].[AñoMes]",
"[Calendario].[AñoMes].&amp;[" &amp; TEXT(Z$6,"yyyymm") &amp; "]",
"[Base].[Metrica]",
"[Base].[Metrica].&amp;[" &amp; $A44 &amp; "]",
"[Base].[SEGMENTO_DESCRIP]",
"[Base].[SEGMENTO_DESCRIP].&amp;[" &amp; $C$6 &amp; "]",
"[Base].[SITUACION]",
"[Base].[SITUACION].&amp;[" &amp; $C44 &amp; "]"
),0)/1000</f>
        <v>-696.29399999999998</v>
      </c>
      <c r="AA44" s="8">
        <f>-IFERROR(
GETPIVOTDATA(
"[Base].[Importe]",
TDinamica_R!$A$5,
"[Calendario].[AñoMes]",
"[Calendario].[AñoMes].&amp;[" &amp; TEXT(AA$6,"yyyymm") &amp; "]",
"[Base].[Metrica]",
"[Base].[Metrica].&amp;[" &amp; $A44 &amp; "]",
"[Base].[SEGMENTO_DESCRIP]",
"[Base].[SEGMENTO_DESCRIP].&amp;[" &amp; $C$6 &amp; "]",
"[Base].[SITUACION]",
"[Base].[SITUACION].&amp;[" &amp; $C44 &amp; "]"
),0)/1000</f>
        <v>-683.65511000000004</v>
      </c>
      <c r="AB44" s="8">
        <f>-IFERROR(
GETPIVOTDATA(
"[Base].[Importe]",
TDinamica_R!$A$5,
"[Calendario].[AñoMes]",
"[Calendario].[AñoMes].&amp;[" &amp; TEXT(AB$6,"yyyymm") &amp; "]",
"[Base].[Metrica]",
"[Base].[Metrica].&amp;[" &amp; $A44 &amp; "]",
"[Base].[SEGMENTO_DESCRIP]",
"[Base].[SEGMENTO_DESCRIP].&amp;[" &amp; $C$6 &amp; "]",
"[Base].[SITUACION]",
"[Base].[SITUACION].&amp;[" &amp; $C44 &amp; "]"
),0)/1000</f>
        <v>-651.60821999999996</v>
      </c>
      <c r="AC44" s="8">
        <f>-IFERROR(
GETPIVOTDATA(
"[Base].[Importe]",
TDinamica_R!$A$5,
"[Calendario].[AñoMes]",
"[Calendario].[AñoMes].&amp;[" &amp; TEXT(AC$6,"yyyymm") &amp; "]",
"[Base].[Metrica]",
"[Base].[Metrica].&amp;[" &amp; $A44 &amp; "]",
"[Base].[SEGMENTO_DESCRIP]",
"[Base].[SEGMENTO_DESCRIP].&amp;[" &amp; $C$6 &amp; "]",
"[Base].[SITUACION]",
"[Base].[SITUACION].&amp;[" &amp; $C44 &amp; "]"
),0)/1000</f>
        <v>-568.12855999999999</v>
      </c>
      <c r="AD44" s="8">
        <f>-IFERROR(
GETPIVOTDATA(
"[Base].[Importe]",
TDinamica_R!$A$5,
"[Calendario].[AñoMes]",
"[Calendario].[AñoMes].&amp;[" &amp; TEXT(AD$6,"yyyymm") &amp; "]",
"[Base].[Metrica]",
"[Base].[Metrica].&amp;[" &amp; $A44 &amp; "]",
"[Base].[SEGMENTO_DESCRIP]",
"[Base].[SEGMENTO_DESCRIP].&amp;[" &amp; $C$6 &amp; "]",
"[Base].[SITUACION]",
"[Base].[SITUACION].&amp;[" &amp; $C44 &amp; "]"
),0)/1000</f>
        <v>-610.70899999999995</v>
      </c>
      <c r="AE44" s="8">
        <f>-IFERROR(
GETPIVOTDATA(
"[Base].[Importe]",
TDinamica_R!$A$5,
"[Calendario].[AñoMes]",
"[Calendario].[AñoMes].&amp;[" &amp; TEXT(AE$6,"yyyymm") &amp; "]",
"[Base].[Metrica]",
"[Base].[Metrica].&amp;[" &amp; $A44 &amp; "]",
"[Base].[SEGMENTO_DESCRIP]",
"[Base].[SEGMENTO_DESCRIP].&amp;[" &amp; $C$6 &amp; "]",
"[Base].[SITUACION]",
"[Base].[SITUACION].&amp;[" &amp; $C44 &amp; "]"
),0)/1000</f>
        <v>-570.17511999999999</v>
      </c>
      <c r="AF44" s="8">
        <f>-IFERROR(
GETPIVOTDATA(
"[Base].[Importe]",
TDinamica_R!$A$5,
"[Calendario].[AñoMes]",
"[Calendario].[AñoMes].&amp;[" &amp; TEXT(AF$6,"yyyymm") &amp; "]",
"[Base].[Metrica]",
"[Base].[Metrica].&amp;[" &amp; $A44 &amp; "]",
"[Base].[SEGMENTO_DESCRIP]",
"[Base].[SEGMENTO_DESCRIP].&amp;[" &amp; $C$6 &amp; "]",
"[Base].[SITUACION]",
"[Base].[SITUACION].&amp;[" &amp; $C44 &amp; "]"
),0)/1000</f>
        <v>-580.49459000000002</v>
      </c>
      <c r="AG44" s="8">
        <f>-IFERROR(
GETPIVOTDATA(
"[Base].[Importe]",
TDinamica_R!$A$5,
"[Calendario].[AñoMes]",
"[Calendario].[AñoMes].&amp;[" &amp; TEXT(AG$6,"yyyymm") &amp; "]",
"[Base].[Metrica]",
"[Base].[Metrica].&amp;[" &amp; $A44 &amp; "]",
"[Base].[SEGMENTO_DESCRIP]",
"[Base].[SEGMENTO_DESCRIP].&amp;[" &amp; $C$6 &amp; "]",
"[Base].[SITUACION]",
"[Base].[SITUACION].&amp;[" &amp; $C44 &amp; "]"
),0)/1000</f>
        <v>-563.83667000000003</v>
      </c>
      <c r="AH44" s="8">
        <f>-IFERROR(
GETPIVOTDATA(
"[Base].[Importe]",
TDinamica_R!$A$5,
"[Calendario].[AñoMes]",
"[Calendario].[AñoMes].&amp;[" &amp; TEXT(AH$6,"yyyymm") &amp; "]",
"[Base].[Metrica]",
"[Base].[Metrica].&amp;[" &amp; $A44 &amp; "]",
"[Base].[SEGMENTO_DESCRIP]",
"[Base].[SEGMENTO_DESCRIP].&amp;[" &amp; $C$6 &amp; "]",
"[Base].[SITUACION]",
"[Base].[SITUACION].&amp;[" &amp; $C44 &amp; "]"
),0)/1000</f>
        <v>-603.80408</v>
      </c>
      <c r="AI44" s="8">
        <f>-IFERROR(
GETPIVOTDATA(
"[Base].[Importe]",
TDinamica_R!$A$5,
"[Calendario].[AñoMes]",
"[Calendario].[AñoMes].&amp;[" &amp; TEXT(AI$6,"yyyymm") &amp; "]",
"[Base].[Metrica]",
"[Base].[Metrica].&amp;[" &amp; $A44 &amp; "]",
"[Base].[SEGMENTO_DESCRIP]",
"[Base].[SEGMENTO_DESCRIP].&amp;[" &amp; $C$6 &amp; "]",
"[Base].[SITUACION]",
"[Base].[SITUACION].&amp;[" &amp; $C44 &amp; "]"
),0)/1000</f>
        <v>-626.09764000000007</v>
      </c>
      <c r="AJ44" s="8">
        <f>-IFERROR(
GETPIVOTDATA(
"[Base].[Importe]",
TDinamica_R!$A$5,
"[Calendario].[AñoMes]",
"[Calendario].[AñoMes].&amp;[" &amp; TEXT(AJ$6,"yyyymm") &amp; "]",
"[Base].[Metrica]",
"[Base].[Metrica].&amp;[" &amp; $A44 &amp; "]",
"[Base].[SEGMENTO_DESCRIP]",
"[Base].[SEGMENTO_DESCRIP].&amp;[" &amp; $C$6 &amp; "]",
"[Base].[SITUACION]",
"[Base].[SITUACION].&amp;[" &amp; $C44 &amp; "]"
),0)/1000</f>
        <v>-620.6964099999999</v>
      </c>
      <c r="AK44" s="8">
        <f>-IFERROR(
GETPIVOTDATA(
"[Base].[Importe]",
TDinamica_R!$A$5,
"[Calendario].[AñoMes]",
"[Calendario].[AñoMes].&amp;[" &amp; TEXT(AK$6,"yyyymm") &amp; "]",
"[Base].[Metrica]",
"[Base].[Metrica].&amp;[" &amp; $A44 &amp; "]",
"[Base].[SEGMENTO_DESCRIP]",
"[Base].[SEGMENTO_DESCRIP].&amp;[" &amp; $C$6 &amp; "]",
"[Base].[SITUACION]",
"[Base].[SITUACION].&amp;[" &amp; $C44 &amp; "]"
),0)/1000</f>
        <v>-642.93508000000008</v>
      </c>
      <c r="AL44" s="8">
        <f>-IFERROR(
GETPIVOTDATA(
"[Base].[Importe]",
TDinamica_R!$A$5,
"[Calendario].[AñoMes]",
"[Calendario].[AñoMes].&amp;[" &amp; TEXT(AL$6,"yyyymm") &amp; "]",
"[Base].[Metrica]",
"[Base].[Metrica].&amp;[" &amp; $A44 &amp; "]",
"[Base].[SEGMENTO_DESCRIP]",
"[Base].[SEGMENTO_DESCRIP].&amp;[" &amp; $C$6 &amp; "]",
"[Base].[SITUACION]",
"[Base].[SITUACION].&amp;[" &amp; $C44 &amp; "]"
),0)/1000</f>
        <v>-624.16200000000003</v>
      </c>
      <c r="AM44" s="8">
        <f>-IFERROR(
GETPIVOTDATA(
"[Base].[Importe]",
TDinamica_R!$A$5,
"[Calendario].[AñoMes]",
"[Calendario].[AñoMes].&amp;[" &amp; TEXT(AM$6,"yyyymm") &amp; "]",
"[Base].[Metrica]",
"[Base].[Metrica].&amp;[" &amp; $A44 &amp; "]",
"[Base].[SEGMENTO_DESCRIP]",
"[Base].[SEGMENTO_DESCRIP].&amp;[" &amp; $C$6 &amp; "]",
"[Base].[SITUACION]",
"[Base].[SITUACION].&amp;[" &amp; $C44 &amp; "]"
),0)/1000</f>
        <v>-637.18756000000008</v>
      </c>
      <c r="AN44" s="8">
        <f>-IFERROR(
GETPIVOTDATA(
"[Base].[Importe]",
TDinamica_R!$A$5,
"[Calendario].[AñoMes]",
"[Calendario].[AñoMes].&amp;[" &amp; TEXT(AN$6,"yyyymm") &amp; "]",
"[Base].[Metrica]",
"[Base].[Metrica].&amp;[" &amp; $A44 &amp; "]",
"[Base].[SEGMENTO_DESCRIP]",
"[Base].[SEGMENTO_DESCRIP].&amp;[" &amp; $C$6 &amp; "]",
"[Base].[SITUACION]",
"[Base].[SITUACION].&amp;[" &amp; $C44 &amp; "]"
),0)/1000</f>
        <v>-632.32644000000005</v>
      </c>
      <c r="AO44" s="8">
        <f>-IFERROR(
GETPIVOTDATA(
"[Base].[Importe]",
TDinamica_R!$A$5,
"[Calendario].[AñoMes]",
"[Calendario].[AñoMes].&amp;[" &amp; TEXT(AO$6,"yyyymm") &amp; "]",
"[Base].[Metrica]",
"[Base].[Metrica].&amp;[" &amp; $A44 &amp; "]",
"[Base].[SEGMENTO_DESCRIP]",
"[Base].[SEGMENTO_DESCRIP].&amp;[" &amp; $C$6 &amp; "]",
"[Base].[SITUACION]",
"[Base].[SITUACION].&amp;[" &amp; $C44 &amp; "]"
),0)/1000</f>
        <v>-562.73625000000004</v>
      </c>
      <c r="AP44" s="8">
        <f>-IFERROR(
GETPIVOTDATA(
"[Base].[Importe]",
TDinamica_R!$A$5,
"[Calendario].[AñoMes]",
"[Calendario].[AñoMes].&amp;[" &amp; TEXT(AP$6,"yyyymm") &amp; "]",
"[Base].[Metrica]",
"[Base].[Metrica].&amp;[" &amp; $A44 &amp; "]",
"[Base].[SEGMENTO_DESCRIP]",
"[Base].[SEGMENTO_DESCRIP].&amp;[" &amp; $C$6 &amp; "]",
"[Base].[SITUACION]",
"[Base].[SITUACION].&amp;[" &amp; $C44 &amp; "]"
),0)/1000</f>
        <v>-629.54751999999996</v>
      </c>
      <c r="AQ44" s="8">
        <f>-IFERROR(
GETPIVOTDATA(
"[Base].[Importe]",
TDinamica_R!$A$5,
"[Calendario].[AñoMes]",
"[Calendario].[AñoMes].&amp;[" &amp; TEXT(AQ$6,"yyyymm") &amp; "]",
"[Base].[Metrica]",
"[Base].[Metrica].&amp;[" &amp; $A44 &amp; "]",
"[Base].[SEGMENTO_DESCRIP]",
"[Base].[SEGMENTO_DESCRIP].&amp;[" &amp; $C$6 &amp; "]",
"[Base].[SITUACION]",
"[Base].[SITUACION].&amp;[" &amp; $C44 &amp; "]"
),0)/1000</f>
        <v>-609.15426000000002</v>
      </c>
      <c r="AR44" s="8">
        <f>-IFERROR(
GETPIVOTDATA(
"[Base].[Importe]",
TDinamica_R!$A$5,
"[Calendario].[AñoMes]",
"[Calendario].[AñoMes].&amp;[" &amp; TEXT(AR$6,"yyyymm") &amp; "]",
"[Base].[Metrica]",
"[Base].[Metrica].&amp;[" &amp; $A44 &amp; "]",
"[Base].[SEGMENTO_DESCRIP]",
"[Base].[SEGMENTO_DESCRIP].&amp;[" &amp; $C$6 &amp; "]",
"[Base].[SITUACION]",
"[Base].[SITUACION].&amp;[" &amp; $C44 &amp; "]"
),0)/1000</f>
        <v>-631.33237644240273</v>
      </c>
      <c r="AS44" s="8">
        <f>-IFERROR(
GETPIVOTDATA(
"[Base].[Importe]",
TDinamica_R!$A$5,
"[Calendario].[AñoMes]",
"[Calendario].[AñoMes].&amp;[" &amp; TEXT(AS$6,"yyyymm") &amp; "]",
"[Base].[Metrica]",
"[Base].[Metrica].&amp;[" &amp; $A44 &amp; "]",
"[Base].[SEGMENTO_DESCRIP]",
"[Base].[SEGMENTO_DESCRIP].&amp;[" &amp; $C$6 &amp; "]",
"[Base].[SITUACION]",
"[Base].[SITUACION].&amp;[" &amp; $C44 &amp; "]"
),0)/1000</f>
        <v>-613.20393000000001</v>
      </c>
      <c r="AT44" s="8">
        <f>-IFERROR(
GETPIVOTDATA(
"[Base].[Importe]",
TDinamica_R!$A$5,
"[Calendario].[AñoMes]",
"[Calendario].[AñoMes].&amp;[" &amp; TEXT(AT$6,"yyyymm")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U44" s="8">
        <f>-IFERROR(
GETPIVOTDATA(
"[Base].[Importe]",
TDinamica_R!$A$5,
"[Calendario].[AñoMes]",
"[Calendario].[AñoMes].&amp;[" &amp; TEXT(AU$6,"yyyymm")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V44" s="8">
        <f>-IFERROR(
GETPIVOTDATA(
"[Base].[Importe]",
TDinamica_R!$A$5,
"[Calendario].[AñoMes]",
"[Calendario].[AñoMes].&amp;[" &amp; TEXT(AV$6,"yyyymm")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W44" s="8">
        <f>-IFERROR(
GETPIVOTDATA(
"[Base].[Importe]",
TDinamica_R!$A$5,
"[Calendario].[AñoMes]",
"[Calendario].[AñoMes].&amp;[" &amp; TEXT(AW$6,"yyyymm")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X44" s="8">
        <f>-IFERROR(
GETPIVOTDATA(
"[Base].[Importe]",
TDinamica_R!$A$5,
"[Calendario].[AñoMes]",
"[Calendario].[AñoMes].&amp;[" &amp; TEXT(AX$6,"yyyymm")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Y44" s="8">
        <f>-IFERROR(
GETPIVOTDATA(
"[Base].[Importe]",
TDinamica_R!$A$5,
"[Calendario].[AñoMes]",
"[Calendario].[AñoMes].&amp;[" &amp; TEXT(AY$6,"yyyymm")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Z44" s="8">
        <f>IFERROR(
GETPIVOTDATA(
"[BASE_CONVE_PPTO].[Importe]",
TDinamica_P!$A$5,
"[BASE_CONVE_PPTO].[Periodo]",
"[BASE_CONVE_PPTO].[Periodo].&amp;[" &amp; TEXT(AZ$6,"yyyymm")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-627.86077044952867</v>
      </c>
      <c r="BA44" s="8">
        <f>IFERROR(
GETPIVOTDATA(
"[BASE_CONVE_PPTO].[Importe]",
TDinamica_P!$A$5,
"[BASE_CONVE_PPTO].[Periodo]",
"[BASE_CONVE_PPTO].[Periodo].&amp;[" &amp; TEXT(BA$6,"yyyymm")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-557.96190508752295</v>
      </c>
      <c r="BB44" s="8">
        <f>IFERROR(
GETPIVOTDATA(
"[BASE_CONVE_PPTO].[Importe]",
TDinamica_P!$A$5,
"[BASE_CONVE_PPTO].[Periodo]",
"[BASE_CONVE_PPTO].[Periodo].&amp;[" &amp; TEXT(BB$6,"yyyymm")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-608.34560952370725</v>
      </c>
      <c r="BC44" s="8">
        <f>IFERROR(
GETPIVOTDATA(
"[BASE_CONVE_PPTO].[Importe]",
TDinamica_P!$A$5,
"[BASE_CONVE_PPTO].[Periodo]",
"[BASE_CONVE_PPTO].[Periodo].&amp;[" &amp; TEXT(BC$6,"yyyymm")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-580.61049394362601</v>
      </c>
      <c r="BD44" s="8">
        <f>IFERROR(
GETPIVOTDATA(
"[BASE_CONVE_PPTO].[Importe]",
TDinamica_P!$A$5,
"[BASE_CONVE_PPTO].[Periodo]",
"[BASE_CONVE_PPTO].[Periodo].&amp;[" &amp; TEXT(BD$6,"yyyymm")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-587.82170172499889</v>
      </c>
      <c r="BE44" s="8">
        <f>IFERROR(
GETPIVOTDATA(
"[BASE_CONVE_PPTO].[Importe]",
TDinamica_P!$A$5,
"[BASE_CONVE_PPTO].[Periodo]",
"[BASE_CONVE_PPTO].[Periodo].&amp;[" &amp; TEXT(BE$6,"yyyymm")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-557.64349011304159</v>
      </c>
      <c r="BF44" s="8">
        <f>IFERROR(
GETPIVOTDATA(
"[BASE_CONVE_PPTO].[Importe]",
TDinamica_P!$A$5,
"[BASE_CONVE_PPTO].[Periodo]",
"[BASE_CONVE_PPTO].[Periodo].&amp;[" &amp; TEXT(BF$6,"yyyymm")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-565.20534927624044</v>
      </c>
      <c r="BG44" s="8">
        <f>IFERROR(
GETPIVOTDATA(
"[BASE_CONVE_PPTO].[Importe]",
TDinamica_P!$A$5,
"[BASE_CONVE_PPTO].[Periodo]",
"[BASE_CONVE_PPTO].[Periodo].&amp;[" &amp; TEXT(BG$6,"yyyymm")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-554.53235547461634</v>
      </c>
      <c r="BH44" s="8">
        <f>IFERROR(
GETPIVOTDATA(
"[BASE_CONVE_PPTO].[Importe]",
TDinamica_P!$A$5,
"[BASE_CONVE_PPTO].[Periodo]",
"[BASE_CONVE_PPTO].[Periodo].&amp;[" &amp; TEXT(BH$6,"yyyymm")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-516.47925948624254</v>
      </c>
      <c r="BI44" s="8">
        <f>IFERROR(
GETPIVOTDATA(
"[BASE_CONVE_PPTO].[Importe]",
TDinamica_P!$A$5,
"[BASE_CONVE_PPTO].[Periodo]",
"[BASE_CONVE_PPTO].[Periodo].&amp;[" &amp; TEXT(BI$6,"yyyymm")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-514.07174700727285</v>
      </c>
      <c r="BJ44" s="8">
        <f>IFERROR(
GETPIVOTDATA(
"[BASE_CONVE_PPTO].[Importe]",
TDinamica_P!$A$5,
"[BASE_CONVE_PPTO].[Periodo]",
"[BASE_CONVE_PPTO].[Periodo].&amp;[" &amp; TEXT(BJ$6,"yyyymm")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-478.58772869528076</v>
      </c>
      <c r="BK44" s="8">
        <f>IFERROR(
GETPIVOTDATA(
"[BASE_CONVE_PPTO].[Importe]",
TDinamica_P!$A$5,
"[BASE_CONVE_PPTO].[Periodo]",
"[BASE_CONVE_PPTO].[Periodo].&amp;[" &amp; TEXT(BK$6,"yyyymm") &amp; "]",
"[BASE_CONVE_PPTO].[Metrica]",
"[BASE_CONVE_PPTO].[Metrica].&amp;[" &amp; $A44 &amp; "]",
"[BASE_CONVE_PPTO].[SEGMENTO_DESCRIP]",
"[BASE_CONVE_PPTO].[SEGMENTO_DESCRIP].&amp;[" &amp; $C$6 &amp; "]",
"[BASE_CONVE_PPTO].[SITUACION]",
"[BASE_CONVE_PPTO].[SITUACION].&amp;[" &amp; $C44 &amp; "]"),
0)</f>
        <v>-477.15748052479745</v>
      </c>
      <c r="BO44" s="24">
        <f t="shared" ref="BO44:BT46" si="34">SUMIFS($D44:$BM44,$D$6:$BM$6,"&gt;="&amp;BO$2,$D$6:$BM$6,"&lt;="&amp;BO$6,$D$5:$BM$5,BO$5)</f>
        <v>-3065.0968464424027</v>
      </c>
      <c r="BP44" s="24">
        <f t="shared" si="34"/>
        <v>-2962.6004807293839</v>
      </c>
      <c r="BQ44" s="24">
        <f t="shared" si="34"/>
        <v>-2433.7644700000001</v>
      </c>
      <c r="BR44" s="24">
        <f t="shared" si="34"/>
        <v>-2981.1154900000001</v>
      </c>
      <c r="BS44" s="24">
        <f t="shared" si="34"/>
        <v>-4142.7784499999998</v>
      </c>
      <c r="BT44" s="24">
        <f t="shared" si="34"/>
        <v>-3730.9148799999998</v>
      </c>
    </row>
    <row r="45" spans="1:72" outlineLevel="1" x14ac:dyDescent="0.25">
      <c r="A45" s="11" t="s">
        <v>50</v>
      </c>
      <c r="C45" s="2" t="s">
        <v>1</v>
      </c>
      <c r="D45" s="8">
        <f>-IFERROR(
GETPIVOTDATA(
"[Base].[Importe]",
TDinamica_R!$A$5,
"[Calendario].[AñoMes]",
"[Calendario].[AñoMes].&amp;[" &amp; TEXT(D$6,"yyyymm") &amp; "]",
"[Base].[Metrica]",
"[Base].[Metrica].&amp;[" &amp; $A45 &amp; "]",
"[Base].[SEGMENTO_DESCRIP]",
"[Base].[SEGMENTO_DESCRIP].&amp;[" &amp; $C$6 &amp; "]",
"[Base].[SITUACION]",
"[Base].[SITUACION].&amp;[" &amp; $C45 &amp; "]"
),0)/1000</f>
        <v>-6.9857800000000001</v>
      </c>
      <c r="E45" s="8">
        <f>-IFERROR(
GETPIVOTDATA(
"[Base].[Importe]",
TDinamica_R!$A$5,
"[Calendario].[AñoMes]",
"[Calendario].[AñoMes].&amp;[" &amp; TEXT(E$6,"yyyymm") &amp; "]",
"[Base].[Metrica]",
"[Base].[Metrica].&amp;[" &amp; $A45 &amp; "]",
"[Base].[SEGMENTO_DESCRIP]",
"[Base].[SEGMENTO_DESCRIP].&amp;[" &amp; $C$6 &amp; "]",
"[Base].[SITUACION]",
"[Base].[SITUACION].&amp;[" &amp; $C45 &amp; "]"
),0)/1000</f>
        <v>-6.27942</v>
      </c>
      <c r="F45" s="8">
        <f>-IFERROR(
GETPIVOTDATA(
"[Base].[Importe]",
TDinamica_R!$A$5,
"[Calendario].[AñoMes]",
"[Calendario].[AñoMes].&amp;[" &amp; TEXT(F$6,"yyyymm") &amp; "]",
"[Base].[Metrica]",
"[Base].[Metrica].&amp;[" &amp; $A45 &amp; "]",
"[Base].[SEGMENTO_DESCRIP]",
"[Base].[SEGMENTO_DESCRIP].&amp;[" &amp; $C$6 &amp; "]",
"[Base].[SITUACION]",
"[Base].[SITUACION].&amp;[" &amp; $C45 &amp; "]"
),0)/1000</f>
        <v>-7.2120899999999999</v>
      </c>
      <c r="G45" s="8">
        <f>-IFERROR(
GETPIVOTDATA(
"[Base].[Importe]",
TDinamica_R!$A$5,
"[Calendario].[AñoMes]",
"[Calendario].[AñoMes].&amp;[" &amp; TEXT(G$6,"yyyymm") &amp; "]",
"[Base].[Metrica]",
"[Base].[Metrica].&amp;[" &amp; $A45 &amp; "]",
"[Base].[SEGMENTO_DESCRIP]",
"[Base].[SEGMENTO_DESCRIP].&amp;[" &amp; $C$6 &amp; "]",
"[Base].[SITUACION]",
"[Base].[SITUACION].&amp;[" &amp; $C45 &amp; "]"
),0)/1000</f>
        <v>-8.1574399999999994</v>
      </c>
      <c r="H45" s="8">
        <f>-IFERROR(
GETPIVOTDATA(
"[Base].[Importe]",
TDinamica_R!$A$5,
"[Calendario].[AñoMes]",
"[Calendario].[AñoMes].&amp;[" &amp; TEXT(H$6,"yyyymm") &amp; "]",
"[Base].[Metrica]",
"[Base].[Metrica].&amp;[" &amp; $A45 &amp; "]",
"[Base].[SEGMENTO_DESCRIP]",
"[Base].[SEGMENTO_DESCRIP].&amp;[" &amp; $C$6 &amp; "]",
"[Base].[SITUACION]",
"[Base].[SITUACION].&amp;[" &amp; $C45 &amp; "]"
),0)/1000</f>
        <v>-8.0338200000000004</v>
      </c>
      <c r="I45" s="8">
        <f>-IFERROR(
GETPIVOTDATA(
"[Base].[Importe]",
TDinamica_R!$A$5,
"[Calendario].[AñoMes]",
"[Calendario].[AñoMes].&amp;[" &amp; TEXT(I$6,"yyyymm") &amp; "]",
"[Base].[Metrica]",
"[Base].[Metrica].&amp;[" &amp; $A45 &amp; "]",
"[Base].[SEGMENTO_DESCRIP]",
"[Base].[SEGMENTO_DESCRIP].&amp;[" &amp; $C$6 &amp; "]",
"[Base].[SITUACION]",
"[Base].[SITUACION].&amp;[" &amp; $C45 &amp; "]"
),0)/1000</f>
        <v>-8.07301</v>
      </c>
      <c r="J45" s="8">
        <f>-IFERROR(
GETPIVOTDATA(
"[Base].[Importe]",
TDinamica_R!$A$5,
"[Calendario].[AñoMes]",
"[Calendario].[AñoMes].&amp;[" &amp; TEXT(J$6,"yyyymm") &amp; "]",
"[Base].[Metrica]",
"[Base].[Metrica].&amp;[" &amp; $A45 &amp; "]",
"[Base].[SEGMENTO_DESCRIP]",
"[Base].[SEGMENTO_DESCRIP].&amp;[" &amp; $C$6 &amp; "]",
"[Base].[SITUACION]",
"[Base].[SITUACION].&amp;[" &amp; $C45 &amp; "]"
),0)/1000</f>
        <v>-7.9181800000000004</v>
      </c>
      <c r="K45" s="8">
        <f>-IFERROR(
GETPIVOTDATA(
"[Base].[Importe]",
TDinamica_R!$A$5,
"[Calendario].[AñoMes]",
"[Calendario].[AñoMes].&amp;[" &amp; TEXT(K$6,"yyyymm") &amp; "]",
"[Base].[Metrica]",
"[Base].[Metrica].&amp;[" &amp; $A45 &amp; "]",
"[Base].[SEGMENTO_DESCRIP]",
"[Base].[SEGMENTO_DESCRIP].&amp;[" &amp; $C$6 &amp; "]",
"[Base].[SITUACION]",
"[Base].[SITUACION].&amp;[" &amp; $C45 &amp; "]"
),0)/1000</f>
        <v>-7.6686199999999998</v>
      </c>
      <c r="L45" s="8">
        <f>-IFERROR(
GETPIVOTDATA(
"[Base].[Importe]",
TDinamica_R!$A$5,
"[Calendario].[AñoMes]",
"[Calendario].[AñoMes].&amp;[" &amp; TEXT(L$6,"yyyymm") &amp; "]",
"[Base].[Metrica]",
"[Base].[Metrica].&amp;[" &amp; $A45 &amp; "]",
"[Base].[SEGMENTO_DESCRIP]",
"[Base].[SEGMENTO_DESCRIP].&amp;[" &amp; $C$6 &amp; "]",
"[Base].[SITUACION]",
"[Base].[SITUACION].&amp;[" &amp; $C45 &amp; "]"
),0)/1000</f>
        <v>-7.3447200000000006</v>
      </c>
      <c r="M45" s="8">
        <f>-IFERROR(
GETPIVOTDATA(
"[Base].[Importe]",
TDinamica_R!$A$5,
"[Calendario].[AñoMes]",
"[Calendario].[AñoMes].&amp;[" &amp; TEXT(M$6,"yyyymm") &amp; "]",
"[Base].[Metrica]",
"[Base].[Metrica].&amp;[" &amp; $A45 &amp; "]",
"[Base].[SEGMENTO_DESCRIP]",
"[Base].[SEGMENTO_DESCRIP].&amp;[" &amp; $C$6 &amp; "]",
"[Base].[SITUACION]",
"[Base].[SITUACION].&amp;[" &amp; $C45 &amp; "]"
),0)/1000</f>
        <v>-7.6197799999999996</v>
      </c>
      <c r="N45" s="8">
        <f>-IFERROR(
GETPIVOTDATA(
"[Base].[Importe]",
TDinamica_R!$A$5,
"[Calendario].[AñoMes]",
"[Calendario].[AñoMes].&amp;[" &amp; TEXT(N$6,"yyyymm") &amp; "]",
"[Base].[Metrica]",
"[Base].[Metrica].&amp;[" &amp; $A45 &amp; "]",
"[Base].[SEGMENTO_DESCRIP]",
"[Base].[SEGMENTO_DESCRIP].&amp;[" &amp; $C$6 &amp; "]",
"[Base].[SITUACION]",
"[Base].[SITUACION].&amp;[" &amp; $C45 &amp; "]"
),0)/1000</f>
        <v>-7.2768699999999997</v>
      </c>
      <c r="O45" s="8">
        <f>-IFERROR(
GETPIVOTDATA(
"[Base].[Importe]",
TDinamica_R!$A$5,
"[Calendario].[AñoMes]",
"[Calendario].[AñoMes].&amp;[" &amp; TEXT(O$6,"yyyymm") &amp; "]",
"[Base].[Metrica]",
"[Base].[Metrica].&amp;[" &amp; $A45 &amp; "]",
"[Base].[SEGMENTO_DESCRIP]",
"[Base].[SEGMENTO_DESCRIP].&amp;[" &amp; $C$6 &amp; "]",
"[Base].[SITUACION]",
"[Base].[SITUACION].&amp;[" &amp; $C45 &amp; "]"
),0)/1000</f>
        <v>-7.7231899999999998</v>
      </c>
      <c r="P45" s="8">
        <f>-IFERROR(
GETPIVOTDATA(
"[Base].[Importe]",
TDinamica_R!$A$5,
"[Calendario].[AñoMes]",
"[Calendario].[AñoMes].&amp;[" &amp; TEXT(P$6,"yyyymm") &amp; "]",
"[Base].[Metrica]",
"[Base].[Metrica].&amp;[" &amp; $A45 &amp; "]",
"[Base].[SEGMENTO_DESCRIP]",
"[Base].[SEGMENTO_DESCRIP].&amp;[" &amp; $C$6 &amp; "]",
"[Base].[SITUACION]",
"[Base].[SITUACION].&amp;[" &amp; $C45 &amp; "]"
),0)/1000</f>
        <v>-7.8162500000000001</v>
      </c>
      <c r="Q45" s="8">
        <f>-IFERROR(
GETPIVOTDATA(
"[Base].[Importe]",
TDinamica_R!$A$5,
"[Calendario].[AñoMes]",
"[Calendario].[AñoMes].&amp;[" &amp; TEXT(Q$6,"yyyymm") &amp; "]",
"[Base].[Metrica]",
"[Base].[Metrica].&amp;[" &amp; $A45 &amp; "]",
"[Base].[SEGMENTO_DESCRIP]",
"[Base].[SEGMENTO_DESCRIP].&amp;[" &amp; $C$6 &amp; "]",
"[Base].[SITUACION]",
"[Base].[SITUACION].&amp;[" &amp; $C45 &amp; "]"
),0)/1000</f>
        <v>-7.1945399999999999</v>
      </c>
      <c r="R45" s="8">
        <f>-IFERROR(
GETPIVOTDATA(
"[Base].[Importe]",
TDinamica_R!$A$5,
"[Calendario].[AñoMes]",
"[Calendario].[AñoMes].&amp;[" &amp; TEXT(R$6,"yyyymm") &amp; "]",
"[Base].[Metrica]",
"[Base].[Metrica].&amp;[" &amp; $A45 &amp; "]",
"[Base].[SEGMENTO_DESCRIP]",
"[Base].[SEGMENTO_DESCRIP].&amp;[" &amp; $C$6 &amp; "]",
"[Base].[SITUACION]",
"[Base].[SITUACION].&amp;[" &amp; $C45 &amp; "]"
),0)/1000</f>
        <v>-7.4534899999999995</v>
      </c>
      <c r="S45" s="8">
        <f>-IFERROR(
GETPIVOTDATA(
"[Base].[Importe]",
TDinamica_R!$A$5,
"[Calendario].[AñoMes]",
"[Calendario].[AñoMes].&amp;[" &amp; TEXT(S$6,"yyyymm") &amp; "]",
"[Base].[Metrica]",
"[Base].[Metrica].&amp;[" &amp; $A45 &amp; "]",
"[Base].[SEGMENTO_DESCRIP]",
"[Base].[SEGMENTO_DESCRIP].&amp;[" &amp; $C$6 &amp; "]",
"[Base].[SITUACION]",
"[Base].[SITUACION].&amp;[" &amp; $C45 &amp; "]"
),0)/1000</f>
        <v>-7.0653199999999998</v>
      </c>
      <c r="T45" s="8">
        <f>-IFERROR(
GETPIVOTDATA(
"[Base].[Importe]",
TDinamica_R!$A$5,
"[Calendario].[AñoMes]",
"[Calendario].[AñoMes].&amp;[" &amp; TEXT(T$6,"yyyymm") &amp; "]",
"[Base].[Metrica]",
"[Base].[Metrica].&amp;[" &amp; $A45 &amp; "]",
"[Base].[SEGMENTO_DESCRIP]",
"[Base].[SEGMENTO_DESCRIP].&amp;[" &amp; $C$6 &amp; "]",
"[Base].[SITUACION]",
"[Base].[SITUACION].&amp;[" &amp; $C45 &amp; "]"
),0)/1000</f>
        <v>-7.5079500000000001</v>
      </c>
      <c r="U45" s="8">
        <f>-IFERROR(
GETPIVOTDATA(
"[Base].[Importe]",
TDinamica_R!$A$5,
"[Calendario].[AñoMes]",
"[Calendario].[AñoMes].&amp;[" &amp; TEXT(U$6,"yyyymm") &amp; "]",
"[Base].[Metrica]",
"[Base].[Metrica].&amp;[" &amp; $A45 &amp; "]",
"[Base].[SEGMENTO_DESCRIP]",
"[Base].[SEGMENTO_DESCRIP].&amp;[" &amp; $C$6 &amp; "]",
"[Base].[SITUACION]",
"[Base].[SITUACION].&amp;[" &amp; $C45 &amp; "]"
),0)/1000</f>
        <v>-6.8553800000000003</v>
      </c>
      <c r="V45" s="8">
        <f>-IFERROR(
GETPIVOTDATA(
"[Base].[Importe]",
TDinamica_R!$A$5,
"[Calendario].[AñoMes]",
"[Calendario].[AñoMes].&amp;[" &amp; TEXT(V$6,"yyyymm") &amp; "]",
"[Base].[Metrica]",
"[Base].[Metrica].&amp;[" &amp; $A45 &amp; "]",
"[Base].[SEGMENTO_DESCRIP]",
"[Base].[SEGMENTO_DESCRIP].&amp;[" &amp; $C$6 &amp; "]",
"[Base].[SITUACION]",
"[Base].[SITUACION].&amp;[" &amp; $C45 &amp; "]"
),0)/1000</f>
        <v>-6.8095699999999999</v>
      </c>
      <c r="W45" s="8">
        <f>-IFERROR(
GETPIVOTDATA(
"[Base].[Importe]",
TDinamica_R!$A$5,
"[Calendario].[AñoMes]",
"[Calendario].[AñoMes].&amp;[" &amp; TEXT(W$6,"yyyymm") &amp; "]",
"[Base].[Metrica]",
"[Base].[Metrica].&amp;[" &amp; $A45 &amp; "]",
"[Base].[SEGMENTO_DESCRIP]",
"[Base].[SEGMENTO_DESCRIP].&amp;[" &amp; $C$6 &amp; "]",
"[Base].[SITUACION]",
"[Base].[SITUACION].&amp;[" &amp; $C45 &amp; "]"
),0)/1000</f>
        <v>-6.6861899999999999</v>
      </c>
      <c r="X45" s="8">
        <f>-IFERROR(
GETPIVOTDATA(
"[Base].[Importe]",
TDinamica_R!$A$5,
"[Calendario].[AñoMes]",
"[Calendario].[AñoMes].&amp;[" &amp; TEXT(X$6,"yyyymm") &amp; "]",
"[Base].[Metrica]",
"[Base].[Metrica].&amp;[" &amp; $A45 &amp; "]",
"[Base].[SEGMENTO_DESCRIP]",
"[Base].[SEGMENTO_DESCRIP].&amp;[" &amp; $C$6 &amp; "]",
"[Base].[SITUACION]",
"[Base].[SITUACION].&amp;[" &amp; $C45 &amp; "]"
),0)/1000</f>
        <v>-5.9098100000000002</v>
      </c>
      <c r="Y45" s="8">
        <f>-IFERROR(
GETPIVOTDATA(
"[Base].[Importe]",
TDinamica_R!$A$5,
"[Calendario].[AñoMes]",
"[Calendario].[AñoMes].&amp;[" &amp; TEXT(Y$6,"yyyymm") &amp; "]",
"[Base].[Metrica]",
"[Base].[Metrica].&amp;[" &amp; $A45 &amp; "]",
"[Base].[SEGMENTO_DESCRIP]",
"[Base].[SEGMENTO_DESCRIP].&amp;[" &amp; $C$6 &amp; "]",
"[Base].[SITUACION]",
"[Base].[SITUACION].&amp;[" &amp; $C45 &amp; "]"
),0)/1000</f>
        <v>-5.84354</v>
      </c>
      <c r="Z45" s="8">
        <f>-IFERROR(
GETPIVOTDATA(
"[Base].[Importe]",
TDinamica_R!$A$5,
"[Calendario].[AñoMes]",
"[Calendario].[AñoMes].&amp;[" &amp; TEXT(Z$6,"yyyymm") &amp; "]",
"[Base].[Metrica]",
"[Base].[Metrica].&amp;[" &amp; $A45 &amp; "]",
"[Base].[SEGMENTO_DESCRIP]",
"[Base].[SEGMENTO_DESCRIP].&amp;[" &amp; $C$6 &amp; "]",
"[Base].[SITUACION]",
"[Base].[SITUACION].&amp;[" &amp; $C45 &amp; "]"
),0)/1000</f>
        <v>-6.3252499999999996</v>
      </c>
      <c r="AA45" s="8">
        <f>-IFERROR(
GETPIVOTDATA(
"[Base].[Importe]",
TDinamica_R!$A$5,
"[Calendario].[AñoMes]",
"[Calendario].[AñoMes].&amp;[" &amp; TEXT(AA$6,"yyyymm") &amp; "]",
"[Base].[Metrica]",
"[Base].[Metrica].&amp;[" &amp; $A45 &amp; "]",
"[Base].[SEGMENTO_DESCRIP]",
"[Base].[SEGMENTO_DESCRIP].&amp;[" &amp; $C$6 &amp; "]",
"[Base].[SITUACION]",
"[Base].[SITUACION].&amp;[" &amp; $C45 &amp; "]"
),0)/1000</f>
        <v>-7.1156099999999993</v>
      </c>
      <c r="AB45" s="8">
        <f>-IFERROR(
GETPIVOTDATA(
"[Base].[Importe]",
TDinamica_R!$A$5,
"[Calendario].[AñoMes]",
"[Calendario].[AñoMes].&amp;[" &amp; TEXT(AB$6,"yyyymm") &amp; "]",
"[Base].[Metrica]",
"[Base].[Metrica].&amp;[" &amp; $A45 &amp; "]",
"[Base].[SEGMENTO_DESCRIP]",
"[Base].[SEGMENTO_DESCRIP].&amp;[" &amp; $C$6 &amp; "]",
"[Base].[SITUACION]",
"[Base].[SITUACION].&amp;[" &amp; $C45 &amp; "]"
),0)/1000</f>
        <v>-7.4008000000000003</v>
      </c>
      <c r="AC45" s="8">
        <f>-IFERROR(
GETPIVOTDATA(
"[Base].[Importe]",
TDinamica_R!$A$5,
"[Calendario].[AñoMes]",
"[Calendario].[AñoMes].&amp;[" &amp; TEXT(AC$6,"yyyymm") &amp; "]",
"[Base].[Metrica]",
"[Base].[Metrica].&amp;[" &amp; $A45 &amp; "]",
"[Base].[SEGMENTO_DESCRIP]",
"[Base].[SEGMENTO_DESCRIP].&amp;[" &amp; $C$6 &amp; "]",
"[Base].[SITUACION]",
"[Base].[SITUACION].&amp;[" &amp; $C45 &amp; "]"
),0)/1000</f>
        <v>-7.3186499999999999</v>
      </c>
      <c r="AD45" s="8">
        <f>-IFERROR(
GETPIVOTDATA(
"[Base].[Importe]",
TDinamica_R!$A$5,
"[Calendario].[AñoMes]",
"[Calendario].[AñoMes].&amp;[" &amp; TEXT(AD$6,"yyyymm") &amp; "]",
"[Base].[Metrica]",
"[Base].[Metrica].&amp;[" &amp; $A45 &amp; "]",
"[Base].[SEGMENTO_DESCRIP]",
"[Base].[SEGMENTO_DESCRIP].&amp;[" &amp; $C$6 &amp; "]",
"[Base].[SITUACION]",
"[Base].[SITUACION].&amp;[" &amp; $C45 &amp; "]"
),0)/1000</f>
        <v>-8.5376200000000004</v>
      </c>
      <c r="AE45" s="8">
        <f>-IFERROR(
GETPIVOTDATA(
"[Base].[Importe]",
TDinamica_R!$A$5,
"[Calendario].[AñoMes]",
"[Calendario].[AñoMes].&amp;[" &amp; TEXT(AE$6,"yyyymm") &amp; "]",
"[Base].[Metrica]",
"[Base].[Metrica].&amp;[" &amp; $A45 &amp; "]",
"[Base].[SEGMENTO_DESCRIP]",
"[Base].[SEGMENTO_DESCRIP].&amp;[" &amp; $C$6 &amp; "]",
"[Base].[SITUACION]",
"[Base].[SITUACION].&amp;[" &amp; $C45 &amp; "]"
),0)/1000</f>
        <v>-8.4322499999999998</v>
      </c>
      <c r="AF45" s="8">
        <f>-IFERROR(
GETPIVOTDATA(
"[Base].[Importe]",
TDinamica_R!$A$5,
"[Calendario].[AñoMes]",
"[Calendario].[AñoMes].&amp;[" &amp; TEXT(AF$6,"yyyymm") &amp; "]",
"[Base].[Metrica]",
"[Base].[Metrica].&amp;[" &amp; $A45 &amp; "]",
"[Base].[SEGMENTO_DESCRIP]",
"[Base].[SEGMENTO_DESCRIP].&amp;[" &amp; $C$6 &amp; "]",
"[Base].[SITUACION]",
"[Base].[SITUACION].&amp;[" &amp; $C45 &amp; "]"
),0)/1000</f>
        <v>-8.5369100000000007</v>
      </c>
      <c r="AG45" s="8">
        <f>-IFERROR(
GETPIVOTDATA(
"[Base].[Importe]",
TDinamica_R!$A$5,
"[Calendario].[AñoMes]",
"[Calendario].[AñoMes].&amp;[" &amp; TEXT(AG$6,"yyyymm") &amp; "]",
"[Base].[Metrica]",
"[Base].[Metrica].&amp;[" &amp; $A45 &amp; "]",
"[Base].[SEGMENTO_DESCRIP]",
"[Base].[SEGMENTO_DESCRIP].&amp;[" &amp; $C$6 &amp; "]",
"[Base].[SITUACION]",
"[Base].[SITUACION].&amp;[" &amp; $C45 &amp; "]"
),0)/1000</f>
        <v>-8.5357299999999992</v>
      </c>
      <c r="AH45" s="8">
        <f>-IFERROR(
GETPIVOTDATA(
"[Base].[Importe]",
TDinamica_R!$A$5,
"[Calendario].[AñoMes]",
"[Calendario].[AñoMes].&amp;[" &amp; TEXT(AH$6,"yyyymm") &amp; "]",
"[Base].[Metrica]",
"[Base].[Metrica].&amp;[" &amp; $A45 &amp; "]",
"[Base].[SEGMENTO_DESCRIP]",
"[Base].[SEGMENTO_DESCRIP].&amp;[" &amp; $C$6 &amp; "]",
"[Base].[SITUACION]",
"[Base].[SITUACION].&amp;[" &amp; $C45 &amp; "]"
),0)/1000</f>
        <v>-9.0557999999999996</v>
      </c>
      <c r="AI45" s="8">
        <f>-IFERROR(
GETPIVOTDATA(
"[Base].[Importe]",
TDinamica_R!$A$5,
"[Calendario].[AñoMes]",
"[Calendario].[AñoMes].&amp;[" &amp; TEXT(AI$6,"yyyymm") &amp; "]",
"[Base].[Metrica]",
"[Base].[Metrica].&amp;[" &amp; $A45 &amp; "]",
"[Base].[SEGMENTO_DESCRIP]",
"[Base].[SEGMENTO_DESCRIP].&amp;[" &amp; $C$6 &amp; "]",
"[Base].[SITUACION]",
"[Base].[SITUACION].&amp;[" &amp; $C45 &amp; "]"
),0)/1000</f>
        <v>-8.7862200000000001</v>
      </c>
      <c r="AJ45" s="8">
        <f>-IFERROR(
GETPIVOTDATA(
"[Base].[Importe]",
TDinamica_R!$A$5,
"[Calendario].[AñoMes]",
"[Calendario].[AñoMes].&amp;[" &amp; TEXT(AJ$6,"yyyymm") &amp; "]",
"[Base].[Metrica]",
"[Base].[Metrica].&amp;[" &amp; $A45 &amp; "]",
"[Base].[SEGMENTO_DESCRIP]",
"[Base].[SEGMENTO_DESCRIP].&amp;[" &amp; $C$6 &amp; "]",
"[Base].[SITUACION]",
"[Base].[SITUACION].&amp;[" &amp; $C45 &amp; "]"
),0)/1000</f>
        <v>-8.6785200000000007</v>
      </c>
      <c r="AK45" s="8">
        <f>-IFERROR(
GETPIVOTDATA(
"[Base].[Importe]",
TDinamica_R!$A$5,
"[Calendario].[AñoMes]",
"[Calendario].[AñoMes].&amp;[" &amp; TEXT(AK$6,"yyyymm") &amp; "]",
"[Base].[Metrica]",
"[Base].[Metrica].&amp;[" &amp; $A45 &amp; "]",
"[Base].[SEGMENTO_DESCRIP]",
"[Base].[SEGMENTO_DESCRIP].&amp;[" &amp; $C$6 &amp; "]",
"[Base].[SITUACION]",
"[Base].[SITUACION].&amp;[" &amp; $C45 &amp; "]"
),0)/1000</f>
        <v>-8.8027499999999996</v>
      </c>
      <c r="AL45" s="8">
        <f>-IFERROR(
GETPIVOTDATA(
"[Base].[Importe]",
TDinamica_R!$A$5,
"[Calendario].[AñoMes]",
"[Calendario].[AñoMes].&amp;[" &amp; TEXT(AL$6,"yyyymm") &amp; "]",
"[Base].[Metrica]",
"[Base].[Metrica].&amp;[" &amp; $A45 &amp; "]",
"[Base].[SEGMENTO_DESCRIP]",
"[Base].[SEGMENTO_DESCRIP].&amp;[" &amp; $C$6 &amp; "]",
"[Base].[SITUACION]",
"[Base].[SITUACION].&amp;[" &amp; $C45 &amp; "]"
),0)/1000</f>
        <v>-8.5789500000000007</v>
      </c>
      <c r="AM45" s="8">
        <f>-IFERROR(
GETPIVOTDATA(
"[Base].[Importe]",
TDinamica_R!$A$5,
"[Calendario].[AñoMes]",
"[Calendario].[AñoMes].&amp;[" &amp; TEXT(AM$6,"yyyymm") &amp; "]",
"[Base].[Metrica]",
"[Base].[Metrica].&amp;[" &amp; $A45 &amp; "]",
"[Base].[SEGMENTO_DESCRIP]",
"[Base].[SEGMENTO_DESCRIP].&amp;[" &amp; $C$6 &amp; "]",
"[Base].[SITUACION]",
"[Base].[SITUACION].&amp;[" &amp; $C45 &amp; "]"
),0)/1000</f>
        <v>-9.5704699999999985</v>
      </c>
      <c r="AN45" s="8">
        <f>-IFERROR(
GETPIVOTDATA(
"[Base].[Importe]",
TDinamica_R!$A$5,
"[Calendario].[AñoMes]",
"[Calendario].[AñoMes].&amp;[" &amp; TEXT(AN$6,"yyyymm") &amp; "]",
"[Base].[Metrica]",
"[Base].[Metrica].&amp;[" &amp; $A45 &amp; "]",
"[Base].[SEGMENTO_DESCRIP]",
"[Base].[SEGMENTO_DESCRIP].&amp;[" &amp; $C$6 &amp; "]",
"[Base].[SITUACION]",
"[Base].[SITUACION].&amp;[" &amp; $C45 &amp; "]"
),0)/1000</f>
        <v>-9.9698600000000006</v>
      </c>
      <c r="AO45" s="8">
        <f>-IFERROR(
GETPIVOTDATA(
"[Base].[Importe]",
TDinamica_R!$A$5,
"[Calendario].[AñoMes]",
"[Calendario].[AñoMes].&amp;[" &amp; TEXT(AO$6,"yyyymm") &amp; "]",
"[Base].[Metrica]",
"[Base].[Metrica].&amp;[" &amp; $A45 &amp; "]",
"[Base].[SEGMENTO_DESCRIP]",
"[Base].[SEGMENTO_DESCRIP].&amp;[" &amp; $C$6 &amp; "]",
"[Base].[SITUACION]",
"[Base].[SITUACION].&amp;[" &amp; $C45 &amp; "]"
),0)/1000</f>
        <v>-8.8099699999999999</v>
      </c>
      <c r="AP45" s="8">
        <f>-IFERROR(
GETPIVOTDATA(
"[Base].[Importe]",
TDinamica_R!$A$5,
"[Calendario].[AñoMes]",
"[Calendario].[AñoMes].&amp;[" &amp; TEXT(AP$6,"yyyymm") &amp; "]",
"[Base].[Metrica]",
"[Base].[Metrica].&amp;[" &amp; $A45 &amp; "]",
"[Base].[SEGMENTO_DESCRIP]",
"[Base].[SEGMENTO_DESCRIP].&amp;[" &amp; $C$6 &amp; "]",
"[Base].[SITUACION]",
"[Base].[SITUACION].&amp;[" &amp; $C45 &amp; "]"
),0)/1000</f>
        <v>-9.2842700000000011</v>
      </c>
      <c r="AQ45" s="8">
        <f>-IFERROR(
GETPIVOTDATA(
"[Base].[Importe]",
TDinamica_R!$A$5,
"[Calendario].[AñoMes]",
"[Calendario].[AñoMes].&amp;[" &amp; TEXT(AQ$6,"yyyymm") &amp; "]",
"[Base].[Metrica]",
"[Base].[Metrica].&amp;[" &amp; $A45 &amp; "]",
"[Base].[SEGMENTO_DESCRIP]",
"[Base].[SEGMENTO_DESCRIP].&amp;[" &amp; $C$6 &amp; "]",
"[Base].[SITUACION]",
"[Base].[SITUACION].&amp;[" &amp; $C45 &amp; "]"
),0)/1000</f>
        <v>-8.8838200000000001</v>
      </c>
      <c r="AR45" s="8">
        <f>-IFERROR(
GETPIVOTDATA(
"[Base].[Importe]",
TDinamica_R!$A$5,
"[Calendario].[AñoMes]",
"[Calendario].[AñoMes].&amp;[" &amp; TEXT(AR$6,"yyyymm") &amp; "]",
"[Base].[Metrica]",
"[Base].[Metrica].&amp;[" &amp; $A45 &amp; "]",
"[Base].[SEGMENTO_DESCRIP]",
"[Base].[SEGMENTO_DESCRIP].&amp;[" &amp; $C$6 &amp; "]",
"[Base].[SITUACION]",
"[Base].[SITUACION].&amp;[" &amp; $C45 &amp; "]"
),0)/1000</f>
        <v>-8.6548199999999991</v>
      </c>
      <c r="AS45" s="8">
        <f>-IFERROR(
GETPIVOTDATA(
"[Base].[Importe]",
TDinamica_R!$A$5,
"[Calendario].[AñoMes]",
"[Calendario].[AñoMes].&amp;[" &amp; TEXT(AS$6,"yyyymm") &amp; "]",
"[Base].[Metrica]",
"[Base].[Metrica].&amp;[" &amp; $A45 &amp; "]",
"[Base].[SEGMENTO_DESCRIP]",
"[Base].[SEGMENTO_DESCRIP].&amp;[" &amp; $C$6 &amp; "]",
"[Base].[SITUACION]",
"[Base].[SITUACION].&amp;[" &amp; $C45 &amp; "]"
),0)/1000</f>
        <v>-8.1304499999999997</v>
      </c>
      <c r="AT45" s="8">
        <f>-IFERROR(
GETPIVOTDATA(
"[Base].[Importe]",
TDinamica_R!$A$5,
"[Calendario].[AñoMes]",
"[Calendario].[AñoMes].&amp;[" &amp; TEXT(AT$6,"yyyymm")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U45" s="8">
        <f>-IFERROR(
GETPIVOTDATA(
"[Base].[Importe]",
TDinamica_R!$A$5,
"[Calendario].[AñoMes]",
"[Calendario].[AñoMes].&amp;[" &amp; TEXT(AU$6,"yyyymm")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V45" s="8">
        <f>-IFERROR(
GETPIVOTDATA(
"[Base].[Importe]",
TDinamica_R!$A$5,
"[Calendario].[AñoMes]",
"[Calendario].[AñoMes].&amp;[" &amp; TEXT(AV$6,"yyyymm")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W45" s="8">
        <f>-IFERROR(
GETPIVOTDATA(
"[Base].[Importe]",
TDinamica_R!$A$5,
"[Calendario].[AñoMes]",
"[Calendario].[AñoMes].&amp;[" &amp; TEXT(AW$6,"yyyymm")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X45" s="8">
        <f>-IFERROR(
GETPIVOTDATA(
"[Base].[Importe]",
TDinamica_R!$A$5,
"[Calendario].[AñoMes]",
"[Calendario].[AñoMes].&amp;[" &amp; TEXT(AX$6,"yyyymm")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Y45" s="8">
        <f>-IFERROR(
GETPIVOTDATA(
"[Base].[Importe]",
TDinamica_R!$A$5,
"[Calendario].[AñoMes]",
"[Calendario].[AñoMes].&amp;[" &amp; TEXT(AY$6,"yyyymm")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Z45" s="8">
        <f>IFERROR(
GETPIVOTDATA(
"[BASE_CONVE_PPTO].[Importe]",
TDinamica_P!$A$5,
"[BASE_CONVE_PPTO].[Periodo]",
"[BASE_CONVE_PPTO].[Periodo].&amp;[" &amp; TEXT(AZ$6,"yyyymm")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-8.7786914275235546</v>
      </c>
      <c r="BA45" s="8">
        <f>IFERROR(
GETPIVOTDATA(
"[BASE_CONVE_PPTO].[Importe]",
TDinamica_P!$A$5,
"[BASE_CONVE_PPTO].[Periodo]",
"[BASE_CONVE_PPTO].[Periodo].&amp;[" &amp; TEXT(BA$6,"yyyymm")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-7.8013719340509331</v>
      </c>
      <c r="BB45" s="8">
        <f>IFERROR(
GETPIVOTDATA(
"[BASE_CONVE_PPTO].[Importe]",
TDinamica_P!$A$5,
"[BASE_CONVE_PPTO].[Periodo]",
"[BASE_CONVE_PPTO].[Periodo].&amp;[" &amp; TEXT(BB$6,"yyyymm")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-8.505832246014899</v>
      </c>
      <c r="BC45" s="8">
        <f>IFERROR(
GETPIVOTDATA(
"[BASE_CONVE_PPTO].[Importe]",
TDinamica_P!$A$5,
"[BASE_CONVE_PPTO].[Periodo]",
"[BASE_CONVE_PPTO].[Periodo].&amp;[" &amp; TEXT(BC$6,"yyyymm")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-8.1180424160978113</v>
      </c>
      <c r="BD45" s="8">
        <f>IFERROR(
GETPIVOTDATA(
"[BASE_CONVE_PPTO].[Importe]",
TDinamica_P!$A$5,
"[BASE_CONVE_PPTO].[Periodo]",
"[BASE_CONVE_PPTO].[Periodo].&amp;[" &amp; TEXT(BD$6,"yyyymm")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-8.2188688586976628</v>
      </c>
      <c r="BE45" s="8">
        <f>IFERROR(
GETPIVOTDATA(
"[BASE_CONVE_PPTO].[Importe]",
TDinamica_P!$A$5,
"[BASE_CONVE_PPTO].[Periodo]",
"[BASE_CONVE_PPTO].[Periodo].&amp;[" &amp; TEXT(BE$6,"yyyymm")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-7.79691988522349</v>
      </c>
      <c r="BF45" s="8">
        <f>IFERROR(
GETPIVOTDATA(
"[BASE_CONVE_PPTO].[Importe]",
TDinamica_P!$A$5,
"[BASE_CONVE_PPTO].[Periodo]",
"[BASE_CONVE_PPTO].[Periodo].&amp;[" &amp; TEXT(BF$6,"yyyymm")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-7.9026491031273034</v>
      </c>
      <c r="BG45" s="8">
        <f>IFERROR(
GETPIVOTDATA(
"[BASE_CONVE_PPTO].[Importe]",
TDinamica_P!$A$5,
"[BASE_CONVE_PPTO].[Periodo]",
"[BASE_CONVE_PPTO].[Periodo].&amp;[" &amp; TEXT(BG$6,"yyyymm")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-7.7534202874374056</v>
      </c>
      <c r="BH45" s="8">
        <f>IFERROR(
GETPIVOTDATA(
"[BASE_CONVE_PPTO].[Importe]",
TDinamica_P!$A$5,
"[BASE_CONVE_PPTO].[Periodo]",
"[BASE_CONVE_PPTO].[Periodo].&amp;[" &amp; TEXT(BH$6,"yyyymm")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-7.2213654063772408</v>
      </c>
      <c r="BI45" s="8">
        <f>IFERROR(
GETPIVOTDATA(
"[BASE_CONVE_PPTO].[Importe]",
TDinamica_P!$A$5,
"[BASE_CONVE_PPTO].[Periodo]",
"[BASE_CONVE_PPTO].[Periodo].&amp;[" &amp; TEXT(BI$6,"yyyymm")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-7.1877037887774424</v>
      </c>
      <c r="BJ45" s="8">
        <f>IFERROR(
GETPIVOTDATA(
"[BASE_CONVE_PPTO].[Importe]",
TDinamica_P!$A$5,
"[BASE_CONVE_PPTO].[Periodo]",
"[BASE_CONVE_PPTO].[Periodo].&amp;[" &amp; TEXT(BJ$6,"yyyymm")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-6.6915695150171191</v>
      </c>
      <c r="BK45" s="8">
        <f>IFERROR(
GETPIVOTDATA(
"[BASE_CONVE_PPTO].[Importe]",
TDinamica_P!$A$5,
"[BASE_CONVE_PPTO].[Periodo]",
"[BASE_CONVE_PPTO].[Periodo].&amp;[" &amp; TEXT(BK$6,"yyyymm") &amp; "]",
"[BASE_CONVE_PPTO].[Metrica]",
"[BASE_CONVE_PPTO].[Metrica].&amp;[" &amp; $A45 &amp; "]",
"[BASE_CONVE_PPTO].[SEGMENTO_DESCRIP]",
"[BASE_CONVE_PPTO].[SEGMENTO_DESCRIP].&amp;[" &amp; $C$6 &amp; "]",
"[BASE_CONVE_PPTO].[SITUACION]",
"[BASE_CONVE_PPTO].[SITUACION].&amp;[" &amp; $C45 &amp; "]"),
0)</f>
        <v>-6.6715719169119465</v>
      </c>
      <c r="BO45" s="24">
        <f t="shared" si="34"/>
        <v>-45.602740000000004</v>
      </c>
      <c r="BP45" s="24">
        <f t="shared" si="34"/>
        <v>-41.422806882384862</v>
      </c>
      <c r="BQ45" s="24">
        <f t="shared" si="34"/>
        <v>-36.947920000000003</v>
      </c>
      <c r="BR45" s="24">
        <f t="shared" si="34"/>
        <v>-40.226230000000001</v>
      </c>
      <c r="BS45" s="24">
        <f t="shared" si="34"/>
        <v>-37.037549999999996</v>
      </c>
      <c r="BT45" s="24">
        <f t="shared" si="34"/>
        <v>-36.668549999999996</v>
      </c>
    </row>
    <row r="46" spans="1:72" outlineLevel="1" x14ac:dyDescent="0.25">
      <c r="A46" s="11" t="s">
        <v>50</v>
      </c>
      <c r="C46" s="2" t="s">
        <v>45</v>
      </c>
      <c r="D46" s="8">
        <f>-IFERROR(
GETPIVOTDATA(
"[Base].[Importe]",
TDinamica_R!$A$5,
"[Calendario].[AñoMes]",
"[Calendario].[AñoMes].&amp;[" &amp; TEXT(D$6,"yyyymm") &amp; "]",
"[Base].[Metrica]",
"[Base].[Metrica].&amp;[" &amp; $A46 &amp; "]",
"[Base].[SEGMENTO_DESCRIP]",
"[Base].[SEGMENTO_DESCRIP].&amp;[" &amp; $C$6 &amp; "]",
"[Base].[SITUACION]",
"[Base].[SITUACION].&amp;[" &amp; $C46 &amp; "]"
),0)/1000</f>
        <v>-17.581889999999998</v>
      </c>
      <c r="E46" s="8">
        <f>-IFERROR(
GETPIVOTDATA(
"[Base].[Importe]",
TDinamica_R!$A$5,
"[Calendario].[AñoMes]",
"[Calendario].[AñoMes].&amp;[" &amp; TEXT(E$6,"yyyymm") &amp; "]",
"[Base].[Metrica]",
"[Base].[Metrica].&amp;[" &amp; $A46 &amp; "]",
"[Base].[SEGMENTO_DESCRIP]",
"[Base].[SEGMENTO_DESCRIP].&amp;[" &amp; $C$6 &amp; "]",
"[Base].[SITUACION]",
"[Base].[SITUACION].&amp;[" &amp; $C46 &amp; "]"
),0)/1000</f>
        <v>-18.194680000000002</v>
      </c>
      <c r="F46" s="8">
        <f>-IFERROR(
GETPIVOTDATA(
"[Base].[Importe]",
TDinamica_R!$A$5,
"[Calendario].[AñoMes]",
"[Calendario].[AñoMes].&amp;[" &amp; TEXT(F$6,"yyyymm") &amp; "]",
"[Base].[Metrica]",
"[Base].[Metrica].&amp;[" &amp; $A46 &amp; "]",
"[Base].[SEGMENTO_DESCRIP]",
"[Base].[SEGMENTO_DESCRIP].&amp;[" &amp; $C$6 &amp; "]",
"[Base].[SITUACION]",
"[Base].[SITUACION].&amp;[" &amp; $C46 &amp; "]"
),0)/1000</f>
        <v>-24.345989999999997</v>
      </c>
      <c r="G46" s="8">
        <f>-IFERROR(
GETPIVOTDATA(
"[Base].[Importe]",
TDinamica_R!$A$5,
"[Calendario].[AñoMes]",
"[Calendario].[AñoMes].&amp;[" &amp; TEXT(G$6,"yyyymm") &amp; "]",
"[Base].[Metrica]",
"[Base].[Metrica].&amp;[" &amp; $A46 &amp; "]",
"[Base].[SEGMENTO_DESCRIP]",
"[Base].[SEGMENTO_DESCRIP].&amp;[" &amp; $C$6 &amp; "]",
"[Base].[SITUACION]",
"[Base].[SITUACION].&amp;[" &amp; $C46 &amp; "]"
),0)/1000</f>
        <v>-21.643350000000002</v>
      </c>
      <c r="H46" s="8">
        <f>-IFERROR(
GETPIVOTDATA(
"[Base].[Importe]",
TDinamica_R!$A$5,
"[Calendario].[AñoMes]",
"[Calendario].[AñoMes].&amp;[" &amp; TEXT(H$6,"yyyymm") &amp; "]",
"[Base].[Metrica]",
"[Base].[Metrica].&amp;[" &amp; $A46 &amp; "]",
"[Base].[SEGMENTO_DESCRIP]",
"[Base].[SEGMENTO_DESCRIP].&amp;[" &amp; $C$6 &amp; "]",
"[Base].[SITUACION]",
"[Base].[SITUACION].&amp;[" &amp; $C46 &amp; "]"
),0)/1000</f>
        <v>-21.746290000000002</v>
      </c>
      <c r="I46" s="8">
        <f>-IFERROR(
GETPIVOTDATA(
"[Base].[Importe]",
TDinamica_R!$A$5,
"[Calendario].[AñoMes]",
"[Calendario].[AñoMes].&amp;[" &amp; TEXT(I$6,"yyyymm") &amp; "]",
"[Base].[Metrica]",
"[Base].[Metrica].&amp;[" &amp; $A46 &amp; "]",
"[Base].[SEGMENTO_DESCRIP]",
"[Base].[SEGMENTO_DESCRIP].&amp;[" &amp; $C$6 &amp; "]",
"[Base].[SITUACION]",
"[Base].[SITUACION].&amp;[" &amp; $C46 &amp; "]"
),0)/1000</f>
        <v>-19.632280000000002</v>
      </c>
      <c r="J46" s="8">
        <f>-IFERROR(
GETPIVOTDATA(
"[Base].[Importe]",
TDinamica_R!$A$5,
"[Calendario].[AñoMes]",
"[Calendario].[AñoMes].&amp;[" &amp; TEXT(J$6,"yyyymm") &amp; "]",
"[Base].[Metrica]",
"[Base].[Metrica].&amp;[" &amp; $A46 &amp; "]",
"[Base].[SEGMENTO_DESCRIP]",
"[Base].[SEGMENTO_DESCRIP].&amp;[" &amp; $C$6 &amp; "]",
"[Base].[SITUACION]",
"[Base].[SITUACION].&amp;[" &amp; $C46 &amp; "]"
),0)/1000</f>
        <v>-18.345179999999999</v>
      </c>
      <c r="K46" s="8">
        <f>-IFERROR(
GETPIVOTDATA(
"[Base].[Importe]",
TDinamica_R!$A$5,
"[Calendario].[AñoMes]",
"[Calendario].[AñoMes].&amp;[" &amp; TEXT(K$6,"yyyymm") &amp; "]",
"[Base].[Metrica]",
"[Base].[Metrica].&amp;[" &amp; $A46 &amp; "]",
"[Base].[SEGMENTO_DESCRIP]",
"[Base].[SEGMENTO_DESCRIP].&amp;[" &amp; $C$6 &amp; "]",
"[Base].[SITUACION]",
"[Base].[SITUACION].&amp;[" &amp; $C46 &amp; "]"
),0)/1000</f>
        <v>-19.289080000000002</v>
      </c>
      <c r="L46" s="8">
        <f>-IFERROR(
GETPIVOTDATA(
"[Base].[Importe]",
TDinamica_R!$A$5,
"[Calendario].[AñoMes]",
"[Calendario].[AñoMes].&amp;[" &amp; TEXT(L$6,"yyyymm") &amp; "]",
"[Base].[Metrica]",
"[Base].[Metrica].&amp;[" &amp; $A46 &amp; "]",
"[Base].[SEGMENTO_DESCRIP]",
"[Base].[SEGMENTO_DESCRIP].&amp;[" &amp; $C$6 &amp; "]",
"[Base].[SITUACION]",
"[Base].[SITUACION].&amp;[" &amp; $C46 &amp; "]"
),0)/1000</f>
        <v>-17.29045</v>
      </c>
      <c r="M46" s="8">
        <f>-IFERROR(
GETPIVOTDATA(
"[Base].[Importe]",
TDinamica_R!$A$5,
"[Calendario].[AñoMes]",
"[Calendario].[AñoMes].&amp;[" &amp; TEXT(M$6,"yyyymm") &amp; "]",
"[Base].[Metrica]",
"[Base].[Metrica].&amp;[" &amp; $A46 &amp; "]",
"[Base].[SEGMENTO_DESCRIP]",
"[Base].[SEGMENTO_DESCRIP].&amp;[" &amp; $C$6 &amp; "]",
"[Base].[SITUACION]",
"[Base].[SITUACION].&amp;[" &amp; $C46 &amp; "]"
),0)/1000</f>
        <v>-18.741239999999998</v>
      </c>
      <c r="N46" s="8">
        <f>-IFERROR(
GETPIVOTDATA(
"[Base].[Importe]",
TDinamica_R!$A$5,
"[Calendario].[AñoMes]",
"[Calendario].[AñoMes].&amp;[" &amp; TEXT(N$6,"yyyymm") &amp; "]",
"[Base].[Metrica]",
"[Base].[Metrica].&amp;[" &amp; $A46 &amp; "]",
"[Base].[SEGMENTO_DESCRIP]",
"[Base].[SEGMENTO_DESCRIP].&amp;[" &amp; $C$6 &amp; "]",
"[Base].[SITUACION]",
"[Base].[SITUACION].&amp;[" &amp; $C46 &amp; "]"
),0)/1000</f>
        <v>-18.207900000000002</v>
      </c>
      <c r="O46" s="8">
        <f>-IFERROR(
GETPIVOTDATA(
"[Base].[Importe]",
TDinamica_R!$A$5,
"[Calendario].[AñoMes]",
"[Calendario].[AñoMes].&amp;[" &amp; TEXT(O$6,"yyyymm") &amp; "]",
"[Base].[Metrica]",
"[Base].[Metrica].&amp;[" &amp; $A46 &amp; "]",
"[Base].[SEGMENTO_DESCRIP]",
"[Base].[SEGMENTO_DESCRIP].&amp;[" &amp; $C$6 &amp; "]",
"[Base].[SITUACION]",
"[Base].[SITUACION].&amp;[" &amp; $C46 &amp; "]"
),0)/1000</f>
        <v>-18.390300000000003</v>
      </c>
      <c r="P46" s="8">
        <f>-IFERROR(
GETPIVOTDATA(
"[Base].[Importe]",
TDinamica_R!$A$5,
"[Calendario].[AñoMes]",
"[Calendario].[AñoMes].&amp;[" &amp; TEXT(P$6,"yyyymm") &amp; "]",
"[Base].[Metrica]",
"[Base].[Metrica].&amp;[" &amp; $A46 &amp; "]",
"[Base].[SEGMENTO_DESCRIP]",
"[Base].[SEGMENTO_DESCRIP].&amp;[" &amp; $C$6 &amp; "]",
"[Base].[SITUACION]",
"[Base].[SITUACION].&amp;[" &amp; $C46 &amp; "]"
),0)/1000</f>
        <v>-21.835189999999997</v>
      </c>
      <c r="Q46" s="8">
        <f>-IFERROR(
GETPIVOTDATA(
"[Base].[Importe]",
TDinamica_R!$A$5,
"[Calendario].[AñoMes]",
"[Calendario].[AñoMes].&amp;[" &amp; TEXT(Q$6,"yyyymm") &amp; "]",
"[Base].[Metrica]",
"[Base].[Metrica].&amp;[" &amp; $A46 &amp; "]",
"[Base].[SEGMENTO_DESCRIP]",
"[Base].[SEGMENTO_DESCRIP].&amp;[" &amp; $C$6 &amp; "]",
"[Base].[SITUACION]",
"[Base].[SITUACION].&amp;[" &amp; $C46 &amp; "]"
),0)/1000</f>
        <v>-19.416180000000001</v>
      </c>
      <c r="R46" s="8">
        <f>-IFERROR(
GETPIVOTDATA(
"[Base].[Importe]",
TDinamica_R!$A$5,
"[Calendario].[AñoMes]",
"[Calendario].[AñoMes].&amp;[" &amp; TEXT(R$6,"yyyymm") &amp; "]",
"[Base].[Metrica]",
"[Base].[Metrica].&amp;[" &amp; $A46 &amp; "]",
"[Base].[SEGMENTO_DESCRIP]",
"[Base].[SEGMENTO_DESCRIP].&amp;[" &amp; $C$6 &amp; "]",
"[Base].[SITUACION]",
"[Base].[SITUACION].&amp;[" &amp; $C46 &amp; "]"
),0)/1000</f>
        <v>-16.662290000000002</v>
      </c>
      <c r="S46" s="8">
        <f>-IFERROR(
GETPIVOTDATA(
"[Base].[Importe]",
TDinamica_R!$A$5,
"[Calendario].[AñoMes]",
"[Calendario].[AñoMes].&amp;[" &amp; TEXT(S$6,"yyyymm") &amp; "]",
"[Base].[Metrica]",
"[Base].[Metrica].&amp;[" &amp; $A46 &amp; "]",
"[Base].[SEGMENTO_DESCRIP]",
"[Base].[SEGMENTO_DESCRIP].&amp;[" &amp; $C$6 &amp; "]",
"[Base].[SITUACION]",
"[Base].[SITUACION].&amp;[" &amp; $C46 &amp; "]"
),0)/1000</f>
        <v>-13.4754</v>
      </c>
      <c r="T46" s="8">
        <f>-IFERROR(
GETPIVOTDATA(
"[Base].[Importe]",
TDinamica_R!$A$5,
"[Calendario].[AñoMes]",
"[Calendario].[AñoMes].&amp;[" &amp; TEXT(T$6,"yyyymm") &amp; "]",
"[Base].[Metrica]",
"[Base].[Metrica].&amp;[" &amp; $A46 &amp; "]",
"[Base].[SEGMENTO_DESCRIP]",
"[Base].[SEGMENTO_DESCRIP].&amp;[" &amp; $C$6 &amp; "]",
"[Base].[SITUACION]",
"[Base].[SITUACION].&amp;[" &amp; $C46 &amp; "]"
),0)/1000</f>
        <v>-13.066000000000001</v>
      </c>
      <c r="U46" s="8">
        <f>-IFERROR(
GETPIVOTDATA(
"[Base].[Importe]",
TDinamica_R!$A$5,
"[Calendario].[AñoMes]",
"[Calendario].[AñoMes].&amp;[" &amp; TEXT(U$6,"yyyymm") &amp; "]",
"[Base].[Metrica]",
"[Base].[Metrica].&amp;[" &amp; $A46 &amp; "]",
"[Base].[SEGMENTO_DESCRIP]",
"[Base].[SEGMENTO_DESCRIP].&amp;[" &amp; $C$6 &amp; "]",
"[Base].[SITUACION]",
"[Base].[SITUACION].&amp;[" &amp; $C46 &amp; "]"
),0)/1000</f>
        <v>-11.139799999999999</v>
      </c>
      <c r="V46" s="8">
        <f>-IFERROR(
GETPIVOTDATA(
"[Base].[Importe]",
TDinamica_R!$A$5,
"[Calendario].[AñoMes]",
"[Calendario].[AñoMes].&amp;[" &amp; TEXT(V$6,"yyyymm") &amp; "]",
"[Base].[Metrica]",
"[Base].[Metrica].&amp;[" &amp; $A46 &amp; "]",
"[Base].[SEGMENTO_DESCRIP]",
"[Base].[SEGMENTO_DESCRIP].&amp;[" &amp; $C$6 &amp; "]",
"[Base].[SITUACION]",
"[Base].[SITUACION].&amp;[" &amp; $C46 &amp; "]"
),0)/1000</f>
        <v>-10.556139999999999</v>
      </c>
      <c r="W46" s="8">
        <f>-IFERROR(
GETPIVOTDATA(
"[Base].[Importe]",
TDinamica_R!$A$5,
"[Calendario].[AñoMes]",
"[Calendario].[AñoMes].&amp;[" &amp; TEXT(W$6,"yyyymm") &amp; "]",
"[Base].[Metrica]",
"[Base].[Metrica].&amp;[" &amp; $A46 &amp; "]",
"[Base].[SEGMENTO_DESCRIP]",
"[Base].[SEGMENTO_DESCRIP].&amp;[" &amp; $C$6 &amp; "]",
"[Base].[SITUACION]",
"[Base].[SITUACION].&amp;[" &amp; $C46 &amp; "]"
),0)/1000</f>
        <v>-13.61801</v>
      </c>
      <c r="X46" s="8">
        <f>-IFERROR(
GETPIVOTDATA(
"[Base].[Importe]",
TDinamica_R!$A$5,
"[Calendario].[AñoMes]",
"[Calendario].[AñoMes].&amp;[" &amp; TEXT(X$6,"yyyymm") &amp; "]",
"[Base].[Metrica]",
"[Base].[Metrica].&amp;[" &amp; $A46 &amp; "]",
"[Base].[SEGMENTO_DESCRIP]",
"[Base].[SEGMENTO_DESCRIP].&amp;[" &amp; $C$6 &amp; "]",
"[Base].[SITUACION]",
"[Base].[SITUACION].&amp;[" &amp; $C46 &amp; "]"
),0)/1000</f>
        <v>-13.62914</v>
      </c>
      <c r="Y46" s="8">
        <f>-IFERROR(
GETPIVOTDATA(
"[Base].[Importe]",
TDinamica_R!$A$5,
"[Calendario].[AñoMes]",
"[Calendario].[AñoMes].&amp;[" &amp; TEXT(Y$6,"yyyymm") &amp; "]",
"[Base].[Metrica]",
"[Base].[Metrica].&amp;[" &amp; $A46 &amp; "]",
"[Base].[SEGMENTO_DESCRIP]",
"[Base].[SEGMENTO_DESCRIP].&amp;[" &amp; $C$6 &amp; "]",
"[Base].[SITUACION]",
"[Base].[SITUACION].&amp;[" &amp; $C46 &amp; "]"
),0)/1000</f>
        <v>-13.86369</v>
      </c>
      <c r="Z46" s="8">
        <f>-IFERROR(
GETPIVOTDATA(
"[Base].[Importe]",
TDinamica_R!$A$5,
"[Calendario].[AñoMes]",
"[Calendario].[AñoMes].&amp;[" &amp; TEXT(Z$6,"yyyymm") &amp; "]",
"[Base].[Metrica]",
"[Base].[Metrica].&amp;[" &amp; $A46 &amp; "]",
"[Base].[SEGMENTO_DESCRIP]",
"[Base].[SEGMENTO_DESCRIP].&amp;[" &amp; $C$6 &amp; "]",
"[Base].[SITUACION]",
"[Base].[SITUACION].&amp;[" &amp; $C46 &amp; "]"
),0)/1000</f>
        <v>-12.34606</v>
      </c>
      <c r="AA46" s="8">
        <f>-IFERROR(
GETPIVOTDATA(
"[Base].[Importe]",
TDinamica_R!$A$5,
"[Calendario].[AñoMes]",
"[Calendario].[AñoMes].&amp;[" &amp; TEXT(AA$6,"yyyymm") &amp; "]",
"[Base].[Metrica]",
"[Base].[Metrica].&amp;[" &amp; $A46 &amp; "]",
"[Base].[SEGMENTO_DESCRIP]",
"[Base].[SEGMENTO_DESCRIP].&amp;[" &amp; $C$6 &amp; "]",
"[Base].[SITUACION]",
"[Base].[SITUACION].&amp;[" &amp; $C46 &amp; "]"
),0)/1000</f>
        <v>-13.246960000000001</v>
      </c>
      <c r="AB46" s="8">
        <f>-IFERROR(
GETPIVOTDATA(
"[Base].[Importe]",
TDinamica_R!$A$5,
"[Calendario].[AñoMes]",
"[Calendario].[AñoMes].&amp;[" &amp; TEXT(AB$6,"yyyymm") &amp; "]",
"[Base].[Metrica]",
"[Base].[Metrica].&amp;[" &amp; $A46 &amp; "]",
"[Base].[SEGMENTO_DESCRIP]",
"[Base].[SEGMENTO_DESCRIP].&amp;[" &amp; $C$6 &amp; "]",
"[Base].[SITUACION]",
"[Base].[SITUACION].&amp;[" &amp; $C46 &amp; "]"
),0)/1000</f>
        <v>-15.340819999999999</v>
      </c>
      <c r="AC46" s="8">
        <f>-IFERROR(
GETPIVOTDATA(
"[Base].[Importe]",
TDinamica_R!$A$5,
"[Calendario].[AñoMes]",
"[Calendario].[AñoMes].&amp;[" &amp; TEXT(AC$6,"yyyymm") &amp; "]",
"[Base].[Metrica]",
"[Base].[Metrica].&amp;[" &amp; $A46 &amp; "]",
"[Base].[SEGMENTO_DESCRIP]",
"[Base].[SEGMENTO_DESCRIP].&amp;[" &amp; $C$6 &amp; "]",
"[Base].[SITUACION]",
"[Base].[SITUACION].&amp;[" &amp; $C46 &amp; "]"
),0)/1000</f>
        <v>-13.61149</v>
      </c>
      <c r="AD46" s="8">
        <f>-IFERROR(
GETPIVOTDATA(
"[Base].[Importe]",
TDinamica_R!$A$5,
"[Calendario].[AñoMes]",
"[Calendario].[AñoMes].&amp;[" &amp; TEXT(AD$6,"yyyymm") &amp; "]",
"[Base].[Metrica]",
"[Base].[Metrica].&amp;[" &amp; $A46 &amp; "]",
"[Base].[SEGMENTO_DESCRIP]",
"[Base].[SEGMENTO_DESCRIP].&amp;[" &amp; $C$6 &amp; "]",
"[Base].[SITUACION]",
"[Base].[SITUACION].&amp;[" &amp; $C46 &amp; "]"
),0)/1000</f>
        <v>-16.776640000000004</v>
      </c>
      <c r="AE46" s="8">
        <f>-IFERROR(
GETPIVOTDATA(
"[Base].[Importe]",
TDinamica_R!$A$5,
"[Calendario].[AñoMes]",
"[Calendario].[AñoMes].&amp;[" &amp; TEXT(AE$6,"yyyymm") &amp; "]",
"[Base].[Metrica]",
"[Base].[Metrica].&amp;[" &amp; $A46 &amp; "]",
"[Base].[SEGMENTO_DESCRIP]",
"[Base].[SEGMENTO_DESCRIP].&amp;[" &amp; $C$6 &amp; "]",
"[Base].[SITUACION]",
"[Base].[SITUACION].&amp;[" &amp; $C46 &amp; "]"
),0)/1000</f>
        <v>-16.26418</v>
      </c>
      <c r="AF46" s="8">
        <f>-IFERROR(
GETPIVOTDATA(
"[Base].[Importe]",
TDinamica_R!$A$5,
"[Calendario].[AñoMes]",
"[Calendario].[AñoMes].&amp;[" &amp; TEXT(AF$6,"yyyymm") &amp; "]",
"[Base].[Metrica]",
"[Base].[Metrica].&amp;[" &amp; $A46 &amp; "]",
"[Base].[SEGMENTO_DESCRIP]",
"[Base].[SEGMENTO_DESCRIP].&amp;[" &amp; $C$6 &amp; "]",
"[Base].[SITUACION]",
"[Base].[SITUACION].&amp;[" &amp; $C46 &amp; "]"
),0)/1000</f>
        <v>-15.862210000000001</v>
      </c>
      <c r="AG46" s="8">
        <f>-IFERROR(
GETPIVOTDATA(
"[Base].[Importe]",
TDinamica_R!$A$5,
"[Calendario].[AñoMes]",
"[Calendario].[AñoMes].&amp;[" &amp; TEXT(AG$6,"yyyymm") &amp; "]",
"[Base].[Metrica]",
"[Base].[Metrica].&amp;[" &amp; $A46 &amp; "]",
"[Base].[SEGMENTO_DESCRIP]",
"[Base].[SEGMENTO_DESCRIP].&amp;[" &amp; $C$6 &amp; "]",
"[Base].[SITUACION]",
"[Base].[SITUACION].&amp;[" &amp; $C46 &amp; "]"
),0)/1000</f>
        <v>-16.922710000000002</v>
      </c>
      <c r="AH46" s="8">
        <f>-IFERROR(
GETPIVOTDATA(
"[Base].[Importe]",
TDinamica_R!$A$5,
"[Calendario].[AñoMes]",
"[Calendario].[AñoMes].&amp;[" &amp; TEXT(AH$6,"yyyymm") &amp; "]",
"[Base].[Metrica]",
"[Base].[Metrica].&amp;[" &amp; $A46 &amp; "]",
"[Base].[SEGMENTO_DESCRIP]",
"[Base].[SEGMENTO_DESCRIP].&amp;[" &amp; $C$6 &amp; "]",
"[Base].[SITUACION]",
"[Base].[SITUACION].&amp;[" &amp; $C46 &amp; "]"
),0)/1000</f>
        <v>-17.059630000000002</v>
      </c>
      <c r="AI46" s="8">
        <f>-IFERROR(
GETPIVOTDATA(
"[Base].[Importe]",
TDinamica_R!$A$5,
"[Calendario].[AñoMes]",
"[Calendario].[AñoMes].&amp;[" &amp; TEXT(AI$6,"yyyymm") &amp; "]",
"[Base].[Metrica]",
"[Base].[Metrica].&amp;[" &amp; $A46 &amp; "]",
"[Base].[SEGMENTO_DESCRIP]",
"[Base].[SEGMENTO_DESCRIP].&amp;[" &amp; $C$6 &amp; "]",
"[Base].[SITUACION]",
"[Base].[SITUACION].&amp;[" &amp; $C46 &amp; "]"
),0)/1000</f>
        <v>-16.96125</v>
      </c>
      <c r="AJ46" s="8">
        <f>-IFERROR(
GETPIVOTDATA(
"[Base].[Importe]",
TDinamica_R!$A$5,
"[Calendario].[AñoMes]",
"[Calendario].[AñoMes].&amp;[" &amp; TEXT(AJ$6,"yyyymm") &amp; "]",
"[Base].[Metrica]",
"[Base].[Metrica].&amp;[" &amp; $A46 &amp; "]",
"[Base].[SEGMENTO_DESCRIP]",
"[Base].[SEGMENTO_DESCRIP].&amp;[" &amp; $C$6 &amp; "]",
"[Base].[SITUACION]",
"[Base].[SITUACION].&amp;[" &amp; $C46 &amp; "]"
),0)/1000</f>
        <v>-16.515400000000003</v>
      </c>
      <c r="AK46" s="8">
        <f>-IFERROR(
GETPIVOTDATA(
"[Base].[Importe]",
TDinamica_R!$A$5,
"[Calendario].[AñoMes]",
"[Calendario].[AñoMes].&amp;[" &amp; TEXT(AK$6,"yyyymm") &amp; "]",
"[Base].[Metrica]",
"[Base].[Metrica].&amp;[" &amp; $A46 &amp; "]",
"[Base].[SEGMENTO_DESCRIP]",
"[Base].[SEGMENTO_DESCRIP].&amp;[" &amp; $C$6 &amp; "]",
"[Base].[SITUACION]",
"[Base].[SITUACION].&amp;[" &amp; $C46 &amp; "]"
),0)/1000</f>
        <v>-25.47523</v>
      </c>
      <c r="AL46" s="8">
        <f>-IFERROR(
GETPIVOTDATA(
"[Base].[Importe]",
TDinamica_R!$A$5,
"[Calendario].[AñoMes]",
"[Calendario].[AñoMes].&amp;[" &amp; TEXT(AL$6,"yyyymm") &amp; "]",
"[Base].[Metrica]",
"[Base].[Metrica].&amp;[" &amp; $A46 &amp; "]",
"[Base].[SEGMENTO_DESCRIP]",
"[Base].[SEGMENTO_DESCRIP].&amp;[" &amp; $C$6 &amp; "]",
"[Base].[SITUACION]",
"[Base].[SITUACION].&amp;[" &amp; $C46 &amp; "]"
),0)/1000</f>
        <v>-16.672149999999998</v>
      </c>
      <c r="AM46" s="8">
        <f>-IFERROR(
GETPIVOTDATA(
"[Base].[Importe]",
TDinamica_R!$A$5,
"[Calendario].[AñoMes]",
"[Calendario].[AñoMes].&amp;[" &amp; TEXT(AM$6,"yyyymm") &amp; "]",
"[Base].[Metrica]",
"[Base].[Metrica].&amp;[" &amp; $A46 &amp; "]",
"[Base].[SEGMENTO_DESCRIP]",
"[Base].[SEGMENTO_DESCRIP].&amp;[" &amp; $C$6 &amp; "]",
"[Base].[SITUACION]",
"[Base].[SITUACION].&amp;[" &amp; $C46 &amp; "]"
),0)/1000</f>
        <v>-18.192790000000002</v>
      </c>
      <c r="AN46" s="8">
        <f>-IFERROR(
GETPIVOTDATA(
"[Base].[Importe]",
TDinamica_R!$A$5,
"[Calendario].[AñoMes]",
"[Calendario].[AñoMes].&amp;[" &amp; TEXT(AN$6,"yyyymm") &amp; "]",
"[Base].[Metrica]",
"[Base].[Metrica].&amp;[" &amp; $A46 &amp; "]",
"[Base].[SEGMENTO_DESCRIP]",
"[Base].[SEGMENTO_DESCRIP].&amp;[" &amp; $C$6 &amp; "]",
"[Base].[SITUACION]",
"[Base].[SITUACION].&amp;[" &amp; $C46 &amp; "]"
),0)/1000</f>
        <v>-19.455419999999997</v>
      </c>
      <c r="AO46" s="8">
        <f>-IFERROR(
GETPIVOTDATA(
"[Base].[Importe]",
TDinamica_R!$A$5,
"[Calendario].[AñoMes]",
"[Calendario].[AñoMes].&amp;[" &amp; TEXT(AO$6,"yyyymm") &amp; "]",
"[Base].[Metrica]",
"[Base].[Metrica].&amp;[" &amp; $A46 &amp; "]",
"[Base].[SEGMENTO_DESCRIP]",
"[Base].[SEGMENTO_DESCRIP].&amp;[" &amp; $C$6 &amp; "]",
"[Base].[SITUACION]",
"[Base].[SITUACION].&amp;[" &amp; $C46 &amp; "]"
),0)/1000</f>
        <v>-17.863199999999996</v>
      </c>
      <c r="AP46" s="8">
        <f>-IFERROR(
GETPIVOTDATA(
"[Base].[Importe]",
TDinamica_R!$A$5,
"[Calendario].[AñoMes]",
"[Calendario].[AñoMes].&amp;[" &amp; TEXT(AP$6,"yyyymm") &amp; "]",
"[Base].[Metrica]",
"[Base].[Metrica].&amp;[" &amp; $A46 &amp; "]",
"[Base].[SEGMENTO_DESCRIP]",
"[Base].[SEGMENTO_DESCRIP].&amp;[" &amp; $C$6 &amp; "]",
"[Base].[SITUACION]",
"[Base].[SITUACION].&amp;[" &amp; $C46 &amp; "]"
),0)/1000</f>
        <v>-19.378349999999998</v>
      </c>
      <c r="AQ46" s="8">
        <f>-IFERROR(
GETPIVOTDATA(
"[Base].[Importe]",
TDinamica_R!$A$5,
"[Calendario].[AñoMes]",
"[Calendario].[AñoMes].&amp;[" &amp; TEXT(AQ$6,"yyyymm") &amp; "]",
"[Base].[Metrica]",
"[Base].[Metrica].&amp;[" &amp; $A46 &amp; "]",
"[Base].[SEGMENTO_DESCRIP]",
"[Base].[SEGMENTO_DESCRIP].&amp;[" &amp; $C$6 &amp; "]",
"[Base].[SITUACION]",
"[Base].[SITUACION].&amp;[" &amp; $C46 &amp; "]"
),0)/1000</f>
        <v>-17.952439999999999</v>
      </c>
      <c r="AR46" s="8">
        <f>-IFERROR(
GETPIVOTDATA(
"[Base].[Importe]",
TDinamica_R!$A$5,
"[Calendario].[AñoMes]",
"[Calendario].[AñoMes].&amp;[" &amp; TEXT(AR$6,"yyyymm") &amp; "]",
"[Base].[Metrica]",
"[Base].[Metrica].&amp;[" &amp; $A46 &amp; "]",
"[Base].[SEGMENTO_DESCRIP]",
"[Base].[SEGMENTO_DESCRIP].&amp;[" &amp; $C$6 &amp; "]",
"[Base].[SITUACION]",
"[Base].[SITUACION].&amp;[" &amp; $C46 &amp; "]"
),0)/1000</f>
        <v>-18.476220000000001</v>
      </c>
      <c r="AS46" s="8">
        <f>-IFERROR(
GETPIVOTDATA(
"[Base].[Importe]",
TDinamica_R!$A$5,
"[Calendario].[AñoMes]",
"[Calendario].[AñoMes].&amp;[" &amp; TEXT(AS$6,"yyyymm") &amp; "]",
"[Base].[Metrica]",
"[Base].[Metrica].&amp;[" &amp; $A46 &amp; "]",
"[Base].[SEGMENTO_DESCRIP]",
"[Base].[SEGMENTO_DESCRIP].&amp;[" &amp; $C$6 &amp; "]",
"[Base].[SITUACION]",
"[Base].[SITUACION].&amp;[" &amp; $C46 &amp; "]"
),0)/1000</f>
        <v>-16.87059</v>
      </c>
      <c r="AT46" s="8">
        <f>-IFERROR(
GETPIVOTDATA(
"[Base].[Importe]",
TDinamica_R!$A$5,
"[Calendario].[AñoMes]",
"[Calendario].[AñoMes].&amp;[" &amp; TEXT(AT$6,"yyyymm")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U46" s="8">
        <f>-IFERROR(
GETPIVOTDATA(
"[Base].[Importe]",
TDinamica_R!$A$5,
"[Calendario].[AñoMes]",
"[Calendario].[AñoMes].&amp;[" &amp; TEXT(AU$6,"yyyymm")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V46" s="8">
        <f>-IFERROR(
GETPIVOTDATA(
"[Base].[Importe]",
TDinamica_R!$A$5,
"[Calendario].[AñoMes]",
"[Calendario].[AñoMes].&amp;[" &amp; TEXT(AV$6,"yyyymm")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W46" s="8">
        <f>-IFERROR(
GETPIVOTDATA(
"[Base].[Importe]",
TDinamica_R!$A$5,
"[Calendario].[AñoMes]",
"[Calendario].[AñoMes].&amp;[" &amp; TEXT(AW$6,"yyyymm")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X46" s="8">
        <f>-IFERROR(
GETPIVOTDATA(
"[Base].[Importe]",
TDinamica_R!$A$5,
"[Calendario].[AñoMes]",
"[Calendario].[AñoMes].&amp;[" &amp; TEXT(AX$6,"yyyymm")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Y46" s="8">
        <f>-IFERROR(
GETPIVOTDATA(
"[Base].[Importe]",
TDinamica_R!$A$5,
"[Calendario].[AñoMes]",
"[Calendario].[AñoMes].&amp;[" &amp; TEXT(AY$6,"yyyymm")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Z46" s="8">
        <f>IFERROR(
GETPIVOTDATA(
"[BASE_CONVE_PPTO].[Importe]",
TDinamica_P!$A$5,
"[BASE_CONVE_PPTO].[Periodo]",
"[BASE_CONVE_PPTO].[Periodo].&amp;[" &amp; TEXT(AZ$6,"yyyymm")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-16.706028263128101</v>
      </c>
      <c r="BA46" s="8">
        <f>IFERROR(
GETPIVOTDATA(
"[BASE_CONVE_PPTO].[Importe]",
TDinamica_P!$A$5,
"[BASE_CONVE_PPTO].[Periodo]",
"[BASE_CONVE_PPTO].[Periodo].&amp;[" &amp; TEXT(BA$6,"yyyymm")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-14.846169397503809</v>
      </c>
      <c r="BB46" s="8">
        <f>IFERROR(
GETPIVOTDATA(
"[BASE_CONVE_PPTO].[Importe]",
TDinamica_P!$A$5,
"[BASE_CONVE_PPTO].[Periodo]",
"[BASE_CONVE_PPTO].[Periodo].&amp;[" &amp; TEXT(BB$6,"yyyymm")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-16.186771693311123</v>
      </c>
      <c r="BC46" s="8">
        <f>IFERROR(
GETPIVOTDATA(
"[BASE_CONVE_PPTO].[Importe]",
TDinamica_P!$A$5,
"[BASE_CONVE_PPTO].[Periodo]",
"[BASE_CONVE_PPTO].[Periodo].&amp;[" &amp; TEXT(BC$6,"yyyymm")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-15.448799762957485</v>
      </c>
      <c r="BD46" s="8">
        <f>IFERROR(
GETPIVOTDATA(
"[BASE_CONVE_PPTO].[Importe]",
TDinamica_P!$A$5,
"[BASE_CONVE_PPTO].[Periodo]",
"[BASE_CONVE_PPTO].[Periodo].&amp;[" &amp; TEXT(BD$6,"yyyymm")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-15.640674533092669</v>
      </c>
      <c r="BE46" s="8">
        <f>IFERROR(
GETPIVOTDATA(
"[BASE_CONVE_PPTO].[Importe]",
TDinamica_P!$A$5,
"[BASE_CONVE_PPTO].[Periodo]",
"[BASE_CONVE_PPTO].[Periodo].&amp;[" &amp; TEXT(BE$6,"yyyymm")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-14.837697058072118</v>
      </c>
      <c r="BF46" s="8">
        <f>IFERROR(
GETPIVOTDATA(
"[BASE_CONVE_PPTO].[Importe]",
TDinamica_P!$A$5,
"[BASE_CONVE_PPTO].[Periodo]",
"[BASE_CONVE_PPTO].[Periodo].&amp;[" &amp; TEXT(BF$6,"yyyymm")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-15.038901909287373</v>
      </c>
      <c r="BG46" s="8">
        <f>IFERROR(
GETPIVOTDATA(
"[BASE_CONVE_PPTO].[Importe]",
TDinamica_P!$A$5,
"[BASE_CONVE_PPTO].[Periodo]",
"[BASE_CONVE_PPTO].[Periodo].&amp;[" &amp; TEXT(BG$6,"yyyymm")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-14.754916439109863</v>
      </c>
      <c r="BH46" s="8">
        <f>IFERROR(
GETPIVOTDATA(
"[BASE_CONVE_PPTO].[Importe]",
TDinamica_P!$A$5,
"[BASE_CONVE_PPTO].[Periodo]",
"[BASE_CONVE_PPTO].[Periodo].&amp;[" &amp; TEXT(BH$6,"yyyymm")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-13.742405183427897</v>
      </c>
      <c r="BI46" s="8">
        <f>IFERROR(
GETPIVOTDATA(
"[BASE_CONVE_PPTO].[Importe]",
TDinamica_P!$A$5,
"[BASE_CONVE_PPTO].[Periodo]",
"[BASE_CONVE_PPTO].[Periodo].&amp;[" &amp; TEXT(BI$6,"yyyymm")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-13.67834644077273</v>
      </c>
      <c r="BJ46" s="8">
        <f>IFERROR(
GETPIVOTDATA(
"[BASE_CONVE_PPTO].[Importe]",
TDinamica_P!$A$5,
"[BASE_CONVE_PPTO].[Periodo]",
"[BASE_CONVE_PPTO].[Periodo].&amp;[" &amp; TEXT(BJ$6,"yyyymm")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-12.734192831071855</v>
      </c>
      <c r="BK46" s="8">
        <f>IFERROR(
GETPIVOTDATA(
"[BASE_CONVE_PPTO].[Importe]",
TDinamica_P!$A$5,
"[BASE_CONVE_PPTO].[Periodo]",
"[BASE_CONVE_PPTO].[Periodo].&amp;[" &amp; TEXT(BK$6,"yyyymm") &amp; "]",
"[BASE_CONVE_PPTO].[Metrica]",
"[BASE_CONVE_PPTO].[Metrica].&amp;[" &amp; $A46 &amp; "]",
"[BASE_CONVE_PPTO].[SEGMENTO_DESCRIP]",
"[BASE_CONVE_PPTO].[SEGMENTO_DESCRIP].&amp;[" &amp; $C$6 &amp; "]",
"[BASE_CONVE_PPTO].[SITUACION]",
"[BASE_CONVE_PPTO].[SITUACION].&amp;[" &amp; $C46 &amp; "]"),
0)</f>
        <v>-12.696136995313436</v>
      </c>
      <c r="BO46" s="24">
        <f t="shared" si="34"/>
        <v>-93.125629999999987</v>
      </c>
      <c r="BP46" s="24">
        <f t="shared" si="34"/>
        <v>-78.82844364999319</v>
      </c>
      <c r="BQ46" s="24">
        <f t="shared" si="34"/>
        <v>-74.649409999999989</v>
      </c>
      <c r="BR46" s="24">
        <f t="shared" si="34"/>
        <v>-77.855339999999998</v>
      </c>
      <c r="BS46" s="24">
        <f t="shared" si="34"/>
        <v>-84.455060000000003</v>
      </c>
      <c r="BT46" s="24">
        <f t="shared" si="34"/>
        <v>-103.51219999999999</v>
      </c>
    </row>
    <row r="47" spans="1:72" x14ac:dyDescent="0.25">
      <c r="C47" s="3" t="s">
        <v>58</v>
      </c>
      <c r="D47" s="10">
        <f>SUM(D44:D46)</f>
        <v>-702.23792000000003</v>
      </c>
      <c r="E47" s="10">
        <f t="shared" ref="E47:AY47" si="35">SUM(E44:E46)</f>
        <v>-682.34840999999983</v>
      </c>
      <c r="F47" s="10">
        <f t="shared" si="35"/>
        <v>-805.39894000000004</v>
      </c>
      <c r="G47" s="10">
        <f t="shared" si="35"/>
        <v>-811.58749</v>
      </c>
      <c r="H47" s="10">
        <f t="shared" si="35"/>
        <v>-869.52287000000001</v>
      </c>
      <c r="I47" s="10">
        <f t="shared" si="35"/>
        <v>-861.88591999999994</v>
      </c>
      <c r="J47" s="10">
        <f t="shared" si="35"/>
        <v>-903.55695000000003</v>
      </c>
      <c r="K47" s="10">
        <f t="shared" si="35"/>
        <v>-911.81253000000004</v>
      </c>
      <c r="L47" s="10">
        <f t="shared" si="35"/>
        <v>-891.6996200000001</v>
      </c>
      <c r="M47" s="10">
        <f t="shared" si="35"/>
        <v>-923.07907</v>
      </c>
      <c r="N47" s="10">
        <f t="shared" si="35"/>
        <v>-893.38743999999997</v>
      </c>
      <c r="O47" s="10">
        <f t="shared" si="35"/>
        <v>-908.30486000000008</v>
      </c>
      <c r="P47" s="10">
        <f t="shared" si="35"/>
        <v>-887.72485000000006</v>
      </c>
      <c r="Q47" s="10">
        <f t="shared" si="35"/>
        <v>-811.47780999999998</v>
      </c>
      <c r="R47" s="10">
        <f t="shared" si="35"/>
        <v>-862.82582000000002</v>
      </c>
      <c r="S47" s="10">
        <f t="shared" si="35"/>
        <v>-841.07519000000002</v>
      </c>
      <c r="T47" s="10">
        <f t="shared" si="35"/>
        <v>-861.16739000000007</v>
      </c>
      <c r="U47" s="10">
        <f t="shared" si="35"/>
        <v>-814.78233999999998</v>
      </c>
      <c r="V47" s="10">
        <f t="shared" si="35"/>
        <v>-830.24884000000009</v>
      </c>
      <c r="W47" s="10">
        <f t="shared" si="35"/>
        <v>-806.22872934999998</v>
      </c>
      <c r="X47" s="10">
        <f t="shared" si="35"/>
        <v>-769.18969000000004</v>
      </c>
      <c r="Y47" s="10">
        <f t="shared" si="35"/>
        <v>-748.19898999999998</v>
      </c>
      <c r="Z47" s="10">
        <f t="shared" si="35"/>
        <v>-714.96530999999993</v>
      </c>
      <c r="AA47" s="10">
        <f t="shared" si="35"/>
        <v>-704.01767999999993</v>
      </c>
      <c r="AB47" s="10">
        <f t="shared" si="35"/>
        <v>-674.34983999999997</v>
      </c>
      <c r="AC47" s="10">
        <f t="shared" si="35"/>
        <v>-589.05870000000004</v>
      </c>
      <c r="AD47" s="10">
        <f t="shared" si="35"/>
        <v>-636.02325999999994</v>
      </c>
      <c r="AE47" s="10">
        <f t="shared" si="35"/>
        <v>-594.87154999999996</v>
      </c>
      <c r="AF47" s="10">
        <f t="shared" si="35"/>
        <v>-604.89371000000006</v>
      </c>
      <c r="AG47" s="10">
        <f t="shared" si="35"/>
        <v>-589.29511000000002</v>
      </c>
      <c r="AH47" s="10">
        <f t="shared" si="35"/>
        <v>-629.91950999999995</v>
      </c>
      <c r="AI47" s="10">
        <f t="shared" si="35"/>
        <v>-651.84510999999998</v>
      </c>
      <c r="AJ47" s="10">
        <f t="shared" si="35"/>
        <v>-645.89032999999995</v>
      </c>
      <c r="AK47" s="10">
        <f t="shared" si="35"/>
        <v>-677.21306000000004</v>
      </c>
      <c r="AL47" s="10">
        <f t="shared" si="35"/>
        <v>-649.41309999999999</v>
      </c>
      <c r="AM47" s="10">
        <f t="shared" si="35"/>
        <v>-664.95082000000002</v>
      </c>
      <c r="AN47" s="10">
        <f t="shared" si="35"/>
        <v>-661.75172000000009</v>
      </c>
      <c r="AO47" s="10">
        <f t="shared" si="35"/>
        <v>-589.40942000000007</v>
      </c>
      <c r="AP47" s="10">
        <f t="shared" si="35"/>
        <v>-658.21013999999991</v>
      </c>
      <c r="AQ47" s="10">
        <f t="shared" si="35"/>
        <v>-635.99052000000006</v>
      </c>
      <c r="AR47" s="10">
        <f t="shared" si="35"/>
        <v>-658.46341644240272</v>
      </c>
      <c r="AS47" s="10">
        <f t="shared" si="35"/>
        <v>-638.20497</v>
      </c>
      <c r="AT47" s="10">
        <f t="shared" si="35"/>
        <v>0</v>
      </c>
      <c r="AU47" s="10">
        <f t="shared" si="35"/>
        <v>0</v>
      </c>
      <c r="AV47" s="10">
        <f t="shared" si="35"/>
        <v>0</v>
      </c>
      <c r="AW47" s="10">
        <f t="shared" si="35"/>
        <v>0</v>
      </c>
      <c r="AX47" s="10">
        <f t="shared" si="35"/>
        <v>0</v>
      </c>
      <c r="AY47" s="10">
        <f t="shared" si="35"/>
        <v>0</v>
      </c>
      <c r="AZ47" s="10">
        <f>SUM(AZ44:AZ46)</f>
        <v>-653.34549014018035</v>
      </c>
      <c r="BA47" s="10">
        <f t="shared" ref="BA47:BK47" si="36">SUM(BA44:BA46)</f>
        <v>-580.6094464190777</v>
      </c>
      <c r="BB47" s="10">
        <f t="shared" si="36"/>
        <v>-633.03821346303323</v>
      </c>
      <c r="BC47" s="10">
        <f t="shared" si="36"/>
        <v>-604.17733612268137</v>
      </c>
      <c r="BD47" s="10">
        <f t="shared" si="36"/>
        <v>-611.68124511678923</v>
      </c>
      <c r="BE47" s="10">
        <f t="shared" si="36"/>
        <v>-580.27810705633715</v>
      </c>
      <c r="BF47" s="10">
        <f t="shared" si="36"/>
        <v>-588.14690028865505</v>
      </c>
      <c r="BG47" s="10">
        <f t="shared" si="36"/>
        <v>-577.04069220116355</v>
      </c>
      <c r="BH47" s="10">
        <f t="shared" si="36"/>
        <v>-537.44303007604765</v>
      </c>
      <c r="BI47" s="10">
        <f t="shared" si="36"/>
        <v>-534.93779723682303</v>
      </c>
      <c r="BJ47" s="10">
        <f t="shared" si="36"/>
        <v>-498.01349104136978</v>
      </c>
      <c r="BK47" s="10">
        <f t="shared" si="36"/>
        <v>-496.52518943702285</v>
      </c>
      <c r="BO47" s="23">
        <f>SUM(BO44:BO46)</f>
        <v>-3203.8252164424025</v>
      </c>
      <c r="BP47" s="23">
        <f t="shared" ref="BP47:BT47" si="37">SUM(BP44:BP46)</f>
        <v>-3082.8517312617619</v>
      </c>
      <c r="BQ47" s="23">
        <f t="shared" si="37"/>
        <v>-2545.3618000000001</v>
      </c>
      <c r="BR47" s="23">
        <f t="shared" si="37"/>
        <v>-3099.1970600000004</v>
      </c>
      <c r="BS47" s="23">
        <f t="shared" si="37"/>
        <v>-4264.27106</v>
      </c>
      <c r="BT47" s="23">
        <f t="shared" si="37"/>
        <v>-3871.0956299999998</v>
      </c>
    </row>
    <row r="50" spans="1:72" outlineLevel="1" x14ac:dyDescent="0.25">
      <c r="A50" s="11"/>
      <c r="C50" s="2" t="s">
        <v>0</v>
      </c>
      <c r="D50" s="8">
        <f>D38+D44</f>
        <v>591.66077017000009</v>
      </c>
      <c r="E50" s="8">
        <f t="shared" ref="E50:BK53" si="38">E38+E44</f>
        <v>681.77884060999986</v>
      </c>
      <c r="F50" s="8">
        <f t="shared" si="38"/>
        <v>570.27180449000002</v>
      </c>
      <c r="G50" s="8">
        <f t="shared" si="38"/>
        <v>611.12313703000029</v>
      </c>
      <c r="H50" s="8">
        <f t="shared" si="38"/>
        <v>571.35540152999999</v>
      </c>
      <c r="I50" s="8">
        <f t="shared" si="38"/>
        <v>623.3827944100002</v>
      </c>
      <c r="J50" s="8">
        <f t="shared" si="38"/>
        <v>587.45802937999997</v>
      </c>
      <c r="K50" s="8">
        <f t="shared" si="38"/>
        <v>583.49861403</v>
      </c>
      <c r="L50" s="8">
        <f t="shared" si="38"/>
        <v>612.46155357999987</v>
      </c>
      <c r="M50" s="8">
        <f t="shared" si="38"/>
        <v>562.73246701999994</v>
      </c>
      <c r="N50" s="8">
        <f t="shared" si="38"/>
        <v>575.89949788000013</v>
      </c>
      <c r="O50" s="8">
        <f t="shared" si="38"/>
        <v>537.52620847000003</v>
      </c>
      <c r="P50" s="8">
        <f t="shared" si="38"/>
        <v>532.32701551000002</v>
      </c>
      <c r="Q50" s="8">
        <f t="shared" si="38"/>
        <v>598.16774824000004</v>
      </c>
      <c r="R50" s="8">
        <f t="shared" si="38"/>
        <v>539.38134499000023</v>
      </c>
      <c r="S50" s="8">
        <f t="shared" si="38"/>
        <v>562.80832149999981</v>
      </c>
      <c r="T50" s="8">
        <f t="shared" si="38"/>
        <v>546.2000856999997</v>
      </c>
      <c r="U50" s="8">
        <f t="shared" si="38"/>
        <v>588.64773361000005</v>
      </c>
      <c r="V50" s="8">
        <f t="shared" si="38"/>
        <v>552.86098536999964</v>
      </c>
      <c r="W50" s="8">
        <f t="shared" si="38"/>
        <v>558.28602272000001</v>
      </c>
      <c r="X50" s="8">
        <f t="shared" si="38"/>
        <v>587.93768228999988</v>
      </c>
      <c r="Y50" s="8">
        <f t="shared" si="38"/>
        <v>577.82731866000006</v>
      </c>
      <c r="Z50" s="8">
        <f t="shared" si="38"/>
        <v>557.26084259999982</v>
      </c>
      <c r="AA50" s="8">
        <f t="shared" si="38"/>
        <v>490.67118229999971</v>
      </c>
      <c r="AB50" s="8">
        <f t="shared" si="38"/>
        <v>486.37168840999982</v>
      </c>
      <c r="AC50" s="8">
        <f t="shared" si="38"/>
        <v>527.67075512000008</v>
      </c>
      <c r="AD50" s="8">
        <f t="shared" si="38"/>
        <v>470.42937338000013</v>
      </c>
      <c r="AE50" s="8">
        <f t="shared" si="38"/>
        <v>486.85241432999999</v>
      </c>
      <c r="AF50" s="8">
        <f t="shared" si="38"/>
        <v>473.98301521999997</v>
      </c>
      <c r="AG50" s="8">
        <f t="shared" si="38"/>
        <v>500.76912843999992</v>
      </c>
      <c r="AH50" s="8">
        <f t="shared" si="38"/>
        <v>530.46621892000019</v>
      </c>
      <c r="AI50" s="8">
        <f t="shared" si="38"/>
        <v>554.05768932999979</v>
      </c>
      <c r="AJ50" s="8">
        <f t="shared" si="38"/>
        <v>618.29583641000011</v>
      </c>
      <c r="AK50" s="8">
        <f t="shared" si="38"/>
        <v>642.72648317999995</v>
      </c>
      <c r="AL50" s="8">
        <f t="shared" si="38"/>
        <v>660.44654306000007</v>
      </c>
      <c r="AM50" s="8">
        <f t="shared" si="38"/>
        <v>640.31061462999969</v>
      </c>
      <c r="AN50" s="8">
        <f t="shared" si="38"/>
        <v>607.96336044000009</v>
      </c>
      <c r="AO50" s="8">
        <f t="shared" si="38"/>
        <v>686.02070638999987</v>
      </c>
      <c r="AP50" s="8">
        <f t="shared" si="38"/>
        <v>628.29494152000018</v>
      </c>
      <c r="AQ50" s="8">
        <f t="shared" si="38"/>
        <v>664.18450077999978</v>
      </c>
      <c r="AR50" s="8">
        <f t="shared" si="38"/>
        <v>628.5259958575972</v>
      </c>
      <c r="AS50" s="8">
        <f t="shared" si="38"/>
        <v>645.53425459999983</v>
      </c>
      <c r="AT50" s="8">
        <f t="shared" si="38"/>
        <v>0</v>
      </c>
      <c r="AU50" s="8">
        <f t="shared" si="38"/>
        <v>0</v>
      </c>
      <c r="AV50" s="8">
        <f t="shared" si="38"/>
        <v>0</v>
      </c>
      <c r="AW50" s="8">
        <f t="shared" si="38"/>
        <v>0</v>
      </c>
      <c r="AX50" s="8">
        <f t="shared" si="38"/>
        <v>0</v>
      </c>
      <c r="AY50" s="8">
        <f t="shared" si="38"/>
        <v>0</v>
      </c>
      <c r="AZ50" s="8">
        <f t="shared" si="38"/>
        <v>562.19625391323552</v>
      </c>
      <c r="BA50" s="8">
        <f t="shared" si="38"/>
        <v>637.8333962409755</v>
      </c>
      <c r="BB50" s="8">
        <f t="shared" si="38"/>
        <v>576.67780515801974</v>
      </c>
      <c r="BC50" s="8">
        <f t="shared" si="38"/>
        <v>609.67241014646777</v>
      </c>
      <c r="BD50" s="8">
        <f t="shared" si="38"/>
        <v>589.70183192451884</v>
      </c>
      <c r="BE50" s="8">
        <f t="shared" si="38"/>
        <v>620.42119058069864</v>
      </c>
      <c r="BF50" s="8">
        <f t="shared" si="38"/>
        <v>614.44492233254573</v>
      </c>
      <c r="BG50" s="8">
        <f t="shared" si="38"/>
        <v>622.43230593451256</v>
      </c>
      <c r="BH50" s="8">
        <f t="shared" si="38"/>
        <v>636.25410375959234</v>
      </c>
      <c r="BI50" s="8">
        <f t="shared" si="38"/>
        <v>635.80567357465668</v>
      </c>
      <c r="BJ50" s="8">
        <f t="shared" si="38"/>
        <v>649.88658055174824</v>
      </c>
      <c r="BK50" s="8">
        <f t="shared" si="38"/>
        <v>643.12795307190231</v>
      </c>
      <c r="BO50" s="24">
        <f>BO38+BO44</f>
        <v>3214.9895049875972</v>
      </c>
      <c r="BP50" s="24">
        <f t="shared" ref="BP50:BT50" si="39">BP38+BP44</f>
        <v>2976.081697383217</v>
      </c>
      <c r="BQ50" s="24">
        <f t="shared" si="39"/>
        <v>2586.4635091299997</v>
      </c>
      <c r="BR50" s="24">
        <f t="shared" si="39"/>
        <v>2445.3072464599991</v>
      </c>
      <c r="BS50" s="24">
        <f t="shared" si="39"/>
        <v>2778.8845159399998</v>
      </c>
      <c r="BT50" s="24">
        <f t="shared" si="39"/>
        <v>3026.1899538299999</v>
      </c>
    </row>
    <row r="51" spans="1:72" outlineLevel="1" x14ac:dyDescent="0.25">
      <c r="A51" s="11"/>
      <c r="C51" s="2" t="s">
        <v>1</v>
      </c>
      <c r="D51" s="8">
        <f t="shared" ref="D51:AY53" si="40">D39+D45</f>
        <v>5.5511019800000003</v>
      </c>
      <c r="E51" s="8">
        <f t="shared" si="40"/>
        <v>5.8093217499999987</v>
      </c>
      <c r="F51" s="8">
        <f t="shared" si="40"/>
        <v>3.5129200399999991</v>
      </c>
      <c r="G51" s="8">
        <f t="shared" si="40"/>
        <v>3.7988202300000005</v>
      </c>
      <c r="H51" s="8">
        <f t="shared" si="40"/>
        <v>4.5856838299999989</v>
      </c>
      <c r="I51" s="8">
        <f t="shared" si="40"/>
        <v>5.8494494699999997</v>
      </c>
      <c r="J51" s="8">
        <f t="shared" si="40"/>
        <v>6.3052425100000002</v>
      </c>
      <c r="K51" s="8">
        <f t="shared" si="40"/>
        <v>5.9096427500000006</v>
      </c>
      <c r="L51" s="8">
        <f t="shared" si="40"/>
        <v>6.918098839999999</v>
      </c>
      <c r="M51" s="8">
        <f t="shared" si="40"/>
        <v>5.8604514200000013</v>
      </c>
      <c r="N51" s="8">
        <f t="shared" si="40"/>
        <v>6.2826142100000011</v>
      </c>
      <c r="O51" s="8">
        <f t="shared" si="40"/>
        <v>5.8343757200000015</v>
      </c>
      <c r="P51" s="8">
        <f t="shared" si="40"/>
        <v>5.8102770499999998</v>
      </c>
      <c r="Q51" s="8">
        <f t="shared" si="40"/>
        <v>6.0891964899999991</v>
      </c>
      <c r="R51" s="8">
        <f t="shared" si="40"/>
        <v>4.1078218200000007</v>
      </c>
      <c r="S51" s="8">
        <f t="shared" si="40"/>
        <v>4.9573856599999999</v>
      </c>
      <c r="T51" s="8">
        <f t="shared" si="40"/>
        <v>3.8074050899999987</v>
      </c>
      <c r="U51" s="8">
        <f t="shared" si="40"/>
        <v>3.2964625999999999</v>
      </c>
      <c r="V51" s="8">
        <f t="shared" si="40"/>
        <v>3.0084884000000001</v>
      </c>
      <c r="W51" s="8">
        <f t="shared" si="40"/>
        <v>2.4585395300000012</v>
      </c>
      <c r="X51" s="8">
        <f t="shared" si="40"/>
        <v>2.7584397899999988</v>
      </c>
      <c r="Y51" s="8">
        <f t="shared" si="40"/>
        <v>2.7822556699999987</v>
      </c>
      <c r="Z51" s="8">
        <f t="shared" si="40"/>
        <v>2.2677943899999997</v>
      </c>
      <c r="AA51" s="8">
        <f t="shared" si="40"/>
        <v>2.04970929</v>
      </c>
      <c r="AB51" s="8">
        <f t="shared" si="40"/>
        <v>4.0716292999999997</v>
      </c>
      <c r="AC51" s="8">
        <f t="shared" si="40"/>
        <v>4.9813794900000001</v>
      </c>
      <c r="AD51" s="8">
        <f t="shared" si="40"/>
        <v>5.4492151</v>
      </c>
      <c r="AE51" s="8">
        <f t="shared" si="40"/>
        <v>6.6160738800000001</v>
      </c>
      <c r="AF51" s="8">
        <f t="shared" si="40"/>
        <v>6.4691552399999992</v>
      </c>
      <c r="AG51" s="8">
        <f t="shared" si="40"/>
        <v>7.2730201500000007</v>
      </c>
      <c r="AH51" s="8">
        <f t="shared" si="40"/>
        <v>7.0339859499999999</v>
      </c>
      <c r="AI51" s="8">
        <f t="shared" si="40"/>
        <v>8.192231679999999</v>
      </c>
      <c r="AJ51" s="8">
        <f t="shared" si="40"/>
        <v>7.783934529999998</v>
      </c>
      <c r="AK51" s="8">
        <f t="shared" si="40"/>
        <v>8.7753961400000016</v>
      </c>
      <c r="AL51" s="8">
        <f t="shared" si="40"/>
        <v>8.5588868399999978</v>
      </c>
      <c r="AM51" s="8">
        <f t="shared" si="40"/>
        <v>7.5894070000000031</v>
      </c>
      <c r="AN51" s="8">
        <f t="shared" si="40"/>
        <v>8.4305601699999997</v>
      </c>
      <c r="AO51" s="8">
        <f t="shared" si="40"/>
        <v>9.9282360100000027</v>
      </c>
      <c r="AP51" s="8">
        <f t="shared" si="40"/>
        <v>7.2297106099999962</v>
      </c>
      <c r="AQ51" s="8">
        <f t="shared" si="40"/>
        <v>8.5456049400000005</v>
      </c>
      <c r="AR51" s="8">
        <f t="shared" si="40"/>
        <v>8.8831935099999999</v>
      </c>
      <c r="AS51" s="8">
        <f t="shared" si="40"/>
        <v>8.9532698800000006</v>
      </c>
      <c r="AT51" s="8">
        <f t="shared" si="40"/>
        <v>0</v>
      </c>
      <c r="AU51" s="8">
        <f t="shared" si="40"/>
        <v>0</v>
      </c>
      <c r="AV51" s="8">
        <f t="shared" si="40"/>
        <v>0</v>
      </c>
      <c r="AW51" s="8">
        <f t="shared" si="40"/>
        <v>0</v>
      </c>
      <c r="AX51" s="8">
        <f t="shared" si="40"/>
        <v>0</v>
      </c>
      <c r="AY51" s="8">
        <f t="shared" si="40"/>
        <v>0</v>
      </c>
      <c r="AZ51" s="8">
        <f t="shared" si="38"/>
        <v>7.0335622106363385</v>
      </c>
      <c r="BA51" s="8">
        <f t="shared" si="38"/>
        <v>8.0871260259949516</v>
      </c>
      <c r="BB51" s="8">
        <f t="shared" si="38"/>
        <v>7.2395399643120033</v>
      </c>
      <c r="BC51" s="8">
        <f t="shared" si="38"/>
        <v>7.6972124795372512</v>
      </c>
      <c r="BD51" s="8">
        <f t="shared" si="38"/>
        <v>7.4268526469070668</v>
      </c>
      <c r="BE51" s="8">
        <f t="shared" si="38"/>
        <v>7.8559918256769627</v>
      </c>
      <c r="BF51" s="8">
        <f t="shared" si="38"/>
        <v>7.7713303089015833</v>
      </c>
      <c r="BG51" s="8">
        <f t="shared" si="38"/>
        <v>7.8848754986972125</v>
      </c>
      <c r="BH51" s="8">
        <f t="shared" si="38"/>
        <v>8.0949698142583877</v>
      </c>
      <c r="BI51" s="8">
        <f t="shared" si="38"/>
        <v>8.0906846033842328</v>
      </c>
      <c r="BJ51" s="8">
        <f t="shared" si="38"/>
        <v>8.3024363491270918</v>
      </c>
      <c r="BK51" s="8">
        <f t="shared" si="38"/>
        <v>8.2136285907295417</v>
      </c>
      <c r="BO51" s="24">
        <f t="shared" ref="BO51:BT52" si="41">BO39+BO45</f>
        <v>43.017305239999992</v>
      </c>
      <c r="BP51" s="24">
        <f t="shared" si="41"/>
        <v>37.484293327387604</v>
      </c>
      <c r="BQ51" s="24">
        <f t="shared" si="41"/>
        <v>34.134111729999994</v>
      </c>
      <c r="BR51" s="24">
        <f t="shared" si="41"/>
        <v>27.587453010000004</v>
      </c>
      <c r="BS51" s="24">
        <f t="shared" si="41"/>
        <v>24.772086110000004</v>
      </c>
      <c r="BT51" s="24">
        <f t="shared" si="41"/>
        <v>23.257847830000003</v>
      </c>
    </row>
    <row r="52" spans="1:72" outlineLevel="1" x14ac:dyDescent="0.25">
      <c r="A52" s="11"/>
      <c r="C52" s="2" t="s">
        <v>45</v>
      </c>
      <c r="D52" s="8">
        <f t="shared" si="40"/>
        <v>-9.4543141699999982</v>
      </c>
      <c r="E52" s="8">
        <f t="shared" si="40"/>
        <v>9.5657000700000019</v>
      </c>
      <c r="F52" s="8">
        <f t="shared" si="40"/>
        <v>-16.242136919999997</v>
      </c>
      <c r="G52" s="8">
        <f t="shared" si="40"/>
        <v>-6.1549664400000026</v>
      </c>
      <c r="H52" s="8">
        <f t="shared" si="40"/>
        <v>-13.962082380000002</v>
      </c>
      <c r="I52" s="8">
        <f t="shared" si="40"/>
        <v>-7.2377948800000027</v>
      </c>
      <c r="J52" s="8">
        <f t="shared" si="40"/>
        <v>-12.724165339999999</v>
      </c>
      <c r="K52" s="8">
        <f t="shared" si="40"/>
        <v>-15.395245130000003</v>
      </c>
      <c r="L52" s="8">
        <f t="shared" si="40"/>
        <v>-12.599021369999999</v>
      </c>
      <c r="M52" s="8">
        <f t="shared" si="40"/>
        <v>-13.216692539999997</v>
      </c>
      <c r="N52" s="8">
        <f t="shared" si="40"/>
        <v>-16.354392160000003</v>
      </c>
      <c r="O52" s="8">
        <f t="shared" si="40"/>
        <v>-14.017215520000004</v>
      </c>
      <c r="P52" s="8">
        <f t="shared" si="40"/>
        <v>-17.331808519999996</v>
      </c>
      <c r="Q52" s="8">
        <f t="shared" si="40"/>
        <v>-15.45767013</v>
      </c>
      <c r="R52" s="8">
        <f t="shared" si="40"/>
        <v>-10.947337890000002</v>
      </c>
      <c r="S52" s="8">
        <f t="shared" si="40"/>
        <v>-7.5554604600000008</v>
      </c>
      <c r="T52" s="8">
        <f t="shared" si="40"/>
        <v>-7.5466132500000009</v>
      </c>
      <c r="U52" s="8">
        <f t="shared" si="40"/>
        <v>-4.1438864799999982</v>
      </c>
      <c r="V52" s="8">
        <f t="shared" si="40"/>
        <v>-4.1957556199999999</v>
      </c>
      <c r="W52" s="8">
        <f t="shared" si="40"/>
        <v>-5.7267015899999993</v>
      </c>
      <c r="X52" s="8">
        <f t="shared" si="40"/>
        <v>-9.6499296599999997</v>
      </c>
      <c r="Y52" s="8">
        <f t="shared" si="40"/>
        <v>-8.842800089999999</v>
      </c>
      <c r="Z52" s="8">
        <f t="shared" si="40"/>
        <v>-6.2221475700000006</v>
      </c>
      <c r="AA52" s="8">
        <f t="shared" si="40"/>
        <v>-5.9417058200000028</v>
      </c>
      <c r="AB52" s="8">
        <f t="shared" si="40"/>
        <v>-10.389520259999998</v>
      </c>
      <c r="AC52" s="8">
        <f t="shared" si="40"/>
        <v>-8.9420603800000009</v>
      </c>
      <c r="AD52" s="8">
        <f t="shared" si="40"/>
        <v>-11.172956850000004</v>
      </c>
      <c r="AE52" s="8">
        <f t="shared" si="40"/>
        <v>-10.831082139999999</v>
      </c>
      <c r="AF52" s="8">
        <f t="shared" si="40"/>
        <v>-11.227473120000001</v>
      </c>
      <c r="AG52" s="8">
        <f t="shared" si="40"/>
        <v>-12.776557150000002</v>
      </c>
      <c r="AH52" s="8">
        <f t="shared" si="40"/>
        <v>-12.026648600000001</v>
      </c>
      <c r="AI52" s="8">
        <f t="shared" si="40"/>
        <v>-9.234436989999999</v>
      </c>
      <c r="AJ52" s="8">
        <f t="shared" si="40"/>
        <v>4.8882861599999963</v>
      </c>
      <c r="AK52" s="8">
        <f t="shared" si="40"/>
        <v>-20.698497289999999</v>
      </c>
      <c r="AL52" s="8">
        <f t="shared" si="40"/>
        <v>-11.024801539999999</v>
      </c>
      <c r="AM52" s="8">
        <f t="shared" si="40"/>
        <v>-12.065168770000003</v>
      </c>
      <c r="AN52" s="8">
        <f t="shared" si="40"/>
        <v>-12.529862629999997</v>
      </c>
      <c r="AO52" s="8">
        <f t="shared" si="40"/>
        <v>-10.620847869999995</v>
      </c>
      <c r="AP52" s="8">
        <f t="shared" si="40"/>
        <v>-7.3575054699999978</v>
      </c>
      <c r="AQ52" s="8">
        <f t="shared" si="40"/>
        <v>-11.700432599999999</v>
      </c>
      <c r="AR52" s="8">
        <f t="shared" si="40"/>
        <v>-12.558174970000003</v>
      </c>
      <c r="AS52" s="8">
        <f t="shared" si="40"/>
        <v>-5.02315179</v>
      </c>
      <c r="AT52" s="8">
        <f t="shared" si="40"/>
        <v>0</v>
      </c>
      <c r="AU52" s="8">
        <f t="shared" si="40"/>
        <v>0</v>
      </c>
      <c r="AV52" s="8">
        <f t="shared" si="40"/>
        <v>0</v>
      </c>
      <c r="AW52" s="8">
        <f t="shared" si="40"/>
        <v>0</v>
      </c>
      <c r="AX52" s="8">
        <f t="shared" si="40"/>
        <v>0</v>
      </c>
      <c r="AY52" s="8">
        <f t="shared" si="40"/>
        <v>0</v>
      </c>
      <c r="AZ52" s="8">
        <f t="shared" si="38"/>
        <v>3.8522981842885251</v>
      </c>
      <c r="BA52" s="8">
        <f t="shared" si="38"/>
        <v>5.8112862249793817</v>
      </c>
      <c r="BB52" s="8">
        <f t="shared" si="38"/>
        <v>4.2845987604739761</v>
      </c>
      <c r="BC52" s="8">
        <f t="shared" si="38"/>
        <v>5.1134287740878115</v>
      </c>
      <c r="BD52" s="8">
        <f t="shared" si="38"/>
        <v>4.7011349001526721</v>
      </c>
      <c r="BE52" s="8">
        <f t="shared" si="38"/>
        <v>5.5134607319018745</v>
      </c>
      <c r="BF52" s="8">
        <f t="shared" si="38"/>
        <v>5.3396470854576901</v>
      </c>
      <c r="BG52" s="8">
        <f t="shared" si="38"/>
        <v>5.5772384332824281</v>
      </c>
      <c r="BH52" s="8">
        <f t="shared" si="38"/>
        <v>6.1711521531425877</v>
      </c>
      <c r="BI52" s="8">
        <f t="shared" si="38"/>
        <v>6.1858742670499733</v>
      </c>
      <c r="BJ52" s="8">
        <f t="shared" si="38"/>
        <v>6.7602874854877477</v>
      </c>
      <c r="BK52" s="8">
        <f t="shared" si="38"/>
        <v>6.6568798657895538</v>
      </c>
      <c r="BO52" s="24">
        <f t="shared" si="41"/>
        <v>-54.76682353999999</v>
      </c>
      <c r="BP52" s="24">
        <f t="shared" si="41"/>
        <v>23.76274684398237</v>
      </c>
      <c r="BQ52" s="24">
        <f t="shared" si="41"/>
        <v>-42.208648569999994</v>
      </c>
      <c r="BR52" s="24">
        <f t="shared" si="41"/>
        <v>-52.563092749999996</v>
      </c>
      <c r="BS52" s="24">
        <f t="shared" si="41"/>
        <v>-58.838890250000006</v>
      </c>
      <c r="BT52" s="24">
        <f t="shared" si="41"/>
        <v>-36.247799839999985</v>
      </c>
    </row>
    <row r="53" spans="1:72" x14ac:dyDescent="0.25">
      <c r="C53" s="3" t="s">
        <v>66</v>
      </c>
      <c r="D53" s="10">
        <f t="shared" si="40"/>
        <v>587.75755798000023</v>
      </c>
      <c r="E53" s="10">
        <f t="shared" si="40"/>
        <v>697.15386243000012</v>
      </c>
      <c r="F53" s="10">
        <f t="shared" si="40"/>
        <v>557.54258760999983</v>
      </c>
      <c r="G53" s="10">
        <f t="shared" si="40"/>
        <v>608.76699082000039</v>
      </c>
      <c r="H53" s="10">
        <f t="shared" si="40"/>
        <v>561.9790029799999</v>
      </c>
      <c r="I53" s="10">
        <f t="shared" si="40"/>
        <v>621.99444900000003</v>
      </c>
      <c r="J53" s="10">
        <f t="shared" si="40"/>
        <v>581.03910654999993</v>
      </c>
      <c r="K53" s="10">
        <f t="shared" si="40"/>
        <v>574.01301165000007</v>
      </c>
      <c r="L53" s="10">
        <f t="shared" si="40"/>
        <v>606.78063104999978</v>
      </c>
      <c r="M53" s="10">
        <f t="shared" si="40"/>
        <v>555.37622590000001</v>
      </c>
      <c r="N53" s="10">
        <f t="shared" si="40"/>
        <v>565.82771993000006</v>
      </c>
      <c r="O53" s="10">
        <f t="shared" si="40"/>
        <v>529.3433686699999</v>
      </c>
      <c r="P53" s="10">
        <f t="shared" si="40"/>
        <v>520.80548404000001</v>
      </c>
      <c r="Q53" s="10">
        <f t="shared" si="40"/>
        <v>588.79927459999988</v>
      </c>
      <c r="R53" s="10">
        <f t="shared" si="40"/>
        <v>532.54182892000017</v>
      </c>
      <c r="S53" s="10">
        <f t="shared" si="40"/>
        <v>560.21024669999974</v>
      </c>
      <c r="T53" s="10">
        <f t="shared" si="40"/>
        <v>542.4608775399995</v>
      </c>
      <c r="U53" s="10">
        <f t="shared" si="40"/>
        <v>587.80030972999998</v>
      </c>
      <c r="V53" s="10">
        <f t="shared" si="40"/>
        <v>551.67371814999944</v>
      </c>
      <c r="W53" s="10">
        <f t="shared" si="40"/>
        <v>555.01786065999988</v>
      </c>
      <c r="X53" s="10">
        <f t="shared" si="40"/>
        <v>581.04619241999978</v>
      </c>
      <c r="Y53" s="10">
        <f t="shared" si="40"/>
        <v>571.76677424000002</v>
      </c>
      <c r="Z53" s="10">
        <f t="shared" si="40"/>
        <v>553.30648941999982</v>
      </c>
      <c r="AA53" s="10">
        <f t="shared" si="40"/>
        <v>486.77918576999991</v>
      </c>
      <c r="AB53" s="10">
        <f t="shared" si="40"/>
        <v>480.05379744999971</v>
      </c>
      <c r="AC53" s="10">
        <f t="shared" si="40"/>
        <v>523.71007423000015</v>
      </c>
      <c r="AD53" s="10">
        <f t="shared" si="40"/>
        <v>464.7056316300002</v>
      </c>
      <c r="AE53" s="10">
        <f t="shared" si="40"/>
        <v>482.63740607000011</v>
      </c>
      <c r="AF53" s="10">
        <f t="shared" si="40"/>
        <v>469.22469733999992</v>
      </c>
      <c r="AG53" s="10">
        <f t="shared" si="40"/>
        <v>495.26559143999975</v>
      </c>
      <c r="AH53" s="10">
        <f t="shared" si="40"/>
        <v>525.47355627000024</v>
      </c>
      <c r="AI53" s="10">
        <f t="shared" si="40"/>
        <v>553.01548402000003</v>
      </c>
      <c r="AJ53" s="10">
        <f t="shared" si="40"/>
        <v>630.96805710000012</v>
      </c>
      <c r="AK53" s="10">
        <f t="shared" si="40"/>
        <v>630.80338202999997</v>
      </c>
      <c r="AL53" s="10">
        <f t="shared" si="40"/>
        <v>657.98062836000031</v>
      </c>
      <c r="AM53" s="10">
        <f t="shared" si="40"/>
        <v>635.83485285999973</v>
      </c>
      <c r="AN53" s="10">
        <f t="shared" si="40"/>
        <v>603.86405797999998</v>
      </c>
      <c r="AO53" s="10">
        <f t="shared" si="40"/>
        <v>685.32809452999993</v>
      </c>
      <c r="AP53" s="10">
        <f t="shared" si="40"/>
        <v>628.1671466600003</v>
      </c>
      <c r="AQ53" s="10">
        <f t="shared" si="40"/>
        <v>661.02967311999964</v>
      </c>
      <c r="AR53" s="10">
        <f t="shared" si="40"/>
        <v>624.85101439759717</v>
      </c>
      <c r="AS53" s="10">
        <f t="shared" si="40"/>
        <v>649.46437268999989</v>
      </c>
      <c r="AT53" s="10">
        <f t="shared" si="40"/>
        <v>0</v>
      </c>
      <c r="AU53" s="10">
        <f t="shared" si="40"/>
        <v>0</v>
      </c>
      <c r="AV53" s="10">
        <f t="shared" si="40"/>
        <v>0</v>
      </c>
      <c r="AW53" s="10">
        <f t="shared" si="40"/>
        <v>0</v>
      </c>
      <c r="AX53" s="10">
        <f t="shared" si="40"/>
        <v>0</v>
      </c>
      <c r="AY53" s="10">
        <f t="shared" si="40"/>
        <v>0</v>
      </c>
      <c r="AZ53" s="10">
        <f t="shared" si="38"/>
        <v>573.0821143081605</v>
      </c>
      <c r="BA53" s="10">
        <f t="shared" si="38"/>
        <v>651.73180849194989</v>
      </c>
      <c r="BB53" s="10">
        <f t="shared" si="38"/>
        <v>588.20194388280572</v>
      </c>
      <c r="BC53" s="10">
        <f t="shared" si="38"/>
        <v>622.48305140009268</v>
      </c>
      <c r="BD53" s="10">
        <f t="shared" si="38"/>
        <v>601.82981947157862</v>
      </c>
      <c r="BE53" s="10">
        <f t="shared" si="38"/>
        <v>633.79064313827757</v>
      </c>
      <c r="BF53" s="10">
        <f t="shared" si="38"/>
        <v>627.55589972690507</v>
      </c>
      <c r="BG53" s="10">
        <f t="shared" si="38"/>
        <v>635.89441986649229</v>
      </c>
      <c r="BH53" s="10">
        <f t="shared" si="38"/>
        <v>650.52022572699332</v>
      </c>
      <c r="BI53" s="10">
        <f t="shared" si="38"/>
        <v>650.08223244509088</v>
      </c>
      <c r="BJ53" s="10">
        <f t="shared" si="38"/>
        <v>664.949304386363</v>
      </c>
      <c r="BK53" s="10">
        <f t="shared" si="38"/>
        <v>657.99846152842133</v>
      </c>
      <c r="BO53" s="23">
        <f t="shared" ref="BO53:BT53" si="42">SUM(BO50:BO52)</f>
        <v>3203.2399866875971</v>
      </c>
      <c r="BP53" s="23">
        <f t="shared" si="42"/>
        <v>3037.328737554587</v>
      </c>
      <c r="BQ53" s="23">
        <f t="shared" si="42"/>
        <v>2578.3889722899994</v>
      </c>
      <c r="BR53" s="23">
        <f t="shared" si="42"/>
        <v>2420.3316067199989</v>
      </c>
      <c r="BS53" s="23">
        <f t="shared" si="42"/>
        <v>2744.8177117999999</v>
      </c>
      <c r="BT53" s="23">
        <f t="shared" si="42"/>
        <v>3013.2000018200001</v>
      </c>
    </row>
    <row r="54" spans="1:72" x14ac:dyDescent="0.25"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O54" s="18"/>
      <c r="BP54" s="18"/>
      <c r="BQ54" s="18"/>
      <c r="BR54" s="18"/>
      <c r="BS54" s="18"/>
      <c r="BT54" s="18"/>
    </row>
    <row r="55" spans="1:72" x14ac:dyDescent="0.25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O55" s="18"/>
      <c r="BP55" s="18"/>
      <c r="BQ55" s="18"/>
      <c r="BR55" s="18"/>
      <c r="BS55" s="18"/>
      <c r="BT55" s="18"/>
    </row>
    <row r="56" spans="1:72" outlineLevel="1" x14ac:dyDescent="0.25">
      <c r="A56" s="11" t="s">
        <v>64</v>
      </c>
      <c r="C56" s="2" t="s">
        <v>67</v>
      </c>
      <c r="D56" s="8">
        <f>IFERROR(
GETPIVOTDATA(
"[Base].[Importe]",
TDinamica_R!$A$5,
"[Calendario].[AñoMes]",
"[Calendario].[AñoMes].&amp;[" &amp; TEXT(D$6,"yyyymm") &amp; "]",
"[Base].[Metrica]",
"[Base].[Metrica].&amp;[" &amp; $A56 &amp; "]",
"[Base].[SEGMENTO_DESCRIP]",
"[Base].[SEGMENTO_DESCRIP].&amp;[" &amp; $C$6 &amp; "]",
"[Base].[SITUACION]",
"[Base].[SITUACION].&amp;[" &amp; $C56 &amp; "]"
),0)/1000</f>
        <v>-1019.7861599999883</v>
      </c>
      <c r="E56" s="8">
        <f>IFERROR(
GETPIVOTDATA(
"[Base].[Importe]",
TDinamica_R!$A$5,
"[Calendario].[AñoMes]",
"[Calendario].[AñoMes].&amp;[" &amp; TEXT(E$6,"yyyymm") &amp; "]",
"[Base].[Metrica]",
"[Base].[Metrica].&amp;[" &amp; $A56 &amp; "]",
"[Base].[SEGMENTO_DESCRIP]",
"[Base].[SEGMENTO_DESCRIP].&amp;[" &amp; $C$6 &amp; "]",
"[Base].[SITUACION]",
"[Base].[SITUACION].&amp;[" &amp; $C56 &amp; "]"
),0)/1000</f>
        <v>-387.40179999999043</v>
      </c>
      <c r="F56" s="8">
        <f>IFERROR(
GETPIVOTDATA(
"[Base].[Importe]",
TDinamica_R!$A$5,
"[Calendario].[AñoMes]",
"[Calendario].[AñoMes].&amp;[" &amp; TEXT(F$6,"yyyymm") &amp; "]",
"[Base].[Metrica]",
"[Base].[Metrica].&amp;[" &amp; $A56 &amp; "]",
"[Base].[SEGMENTO_DESCRIP]",
"[Base].[SEGMENTO_DESCRIP].&amp;[" &amp; $C$6 &amp; "]",
"[Base].[SITUACION]",
"[Base].[SITUACION].&amp;[" &amp; $C56 &amp; "]"
),0)/1000</f>
        <v>-666.71249999999964</v>
      </c>
      <c r="G56" s="8">
        <f>IFERROR(
GETPIVOTDATA(
"[Base].[Importe]",
TDinamica_R!$A$5,
"[Calendario].[AñoMes]",
"[Calendario].[AñoMes].&amp;[" &amp; TEXT(G$6,"yyyymm") &amp; "]",
"[Base].[Metrica]",
"[Base].[Metrica].&amp;[" &amp; $A56 &amp; "]",
"[Base].[SEGMENTO_DESCRIP]",
"[Base].[SEGMENTO_DESCRIP].&amp;[" &amp; $C$6 &amp; "]",
"[Base].[SITUACION]",
"[Base].[SITUACION].&amp;[" &amp; $C56 &amp; "]"
),0)/1000</f>
        <v>-891.47708999998758</v>
      </c>
      <c r="H56" s="8">
        <f>IFERROR(
GETPIVOTDATA(
"[Base].[Importe]",
TDinamica_R!$A$5,
"[Calendario].[AñoMes]",
"[Calendario].[AñoMes].&amp;[" &amp; TEXT(H$6,"yyyymm") &amp; "]",
"[Base].[Metrica]",
"[Base].[Metrica].&amp;[" &amp; $A56 &amp; "]",
"[Base].[SEGMENTO_DESCRIP]",
"[Base].[SEGMENTO_DESCRIP].&amp;[" &amp; $C$6 &amp; "]",
"[Base].[SITUACION]",
"[Base].[SITUACION].&amp;[" &amp; $C56 &amp; "]"
),0)/1000</f>
        <v>-567.06291000001079</v>
      </c>
      <c r="I56" s="8">
        <f>IFERROR(
GETPIVOTDATA(
"[Base].[Importe]",
TDinamica_R!$A$5,
"[Calendario].[AñoMes]",
"[Calendario].[AñoMes].&amp;[" &amp; TEXT(I$6,"yyyymm") &amp; "]",
"[Base].[Metrica]",
"[Base].[Metrica].&amp;[" &amp; $A56 &amp; "]",
"[Base].[SEGMENTO_DESCRIP]",
"[Base].[SEGMENTO_DESCRIP].&amp;[" &amp; $C$6 &amp; "]",
"[Base].[SITUACION]",
"[Base].[SITUACION].&amp;[" &amp; $C56 &amp; "]"
),0)/1000</f>
        <v>-629.2612300000003</v>
      </c>
      <c r="J56" s="8">
        <f>IFERROR(
GETPIVOTDATA(
"[Base].[Importe]",
TDinamica_R!$A$5,
"[Calendario].[AñoMes]",
"[Calendario].[AñoMes].&amp;[" &amp; TEXT(J$6,"yyyymm") &amp; "]",
"[Base].[Metrica]",
"[Base].[Metrica].&amp;[" &amp; $A56 &amp; "]",
"[Base].[SEGMENTO_DESCRIP]",
"[Base].[SEGMENTO_DESCRIP].&amp;[" &amp; $C$6 &amp; "]",
"[Base].[SITUACION]",
"[Base].[SITUACION].&amp;[" &amp; $C56 &amp; "]"
),0)/1000</f>
        <v>-400.95305000002048</v>
      </c>
      <c r="K56" s="8">
        <f>IFERROR(
GETPIVOTDATA(
"[Base].[Importe]",
TDinamica_R!$A$5,
"[Calendario].[AñoMes]",
"[Calendario].[AñoMes].&amp;[" &amp; TEXT(K$6,"yyyymm") &amp; "]",
"[Base].[Metrica]",
"[Base].[Metrica].&amp;[" &amp; $A56 &amp; "]",
"[Base].[SEGMENTO_DESCRIP]",
"[Base].[SEGMENTO_DESCRIP].&amp;[" &amp; $C$6 &amp; "]",
"[Base].[SITUACION]",
"[Base].[SITUACION].&amp;[" &amp; $C56 &amp; "]"
),0)/1000</f>
        <v>-825.50025999999968</v>
      </c>
      <c r="L56" s="8">
        <f>IFERROR(
GETPIVOTDATA(
"[Base].[Importe]",
TDinamica_R!$A$5,
"[Calendario].[AñoMes]",
"[Calendario].[AñoMes].&amp;[" &amp; TEXT(L$6,"yyyymm") &amp; "]",
"[Base].[Metrica]",
"[Base].[Metrica].&amp;[" &amp; $A56 &amp; "]",
"[Base].[SEGMENTO_DESCRIP]",
"[Base].[SEGMENTO_DESCRIP].&amp;[" &amp; $C$6 &amp; "]",
"[Base].[SITUACION]",
"[Base].[SITUACION].&amp;[" &amp; $C56 &amp; "]"
),0)/1000</f>
        <v>-358.536129999997</v>
      </c>
      <c r="M56" s="8">
        <f>IFERROR(
GETPIVOTDATA(
"[Base].[Importe]",
TDinamica_R!$A$5,
"[Calendario].[AñoMes]",
"[Calendario].[AñoMes].&amp;[" &amp; TEXT(M$6,"yyyymm") &amp; "]",
"[Base].[Metrica]",
"[Base].[Metrica].&amp;[" &amp; $A56 &amp; "]",
"[Base].[SEGMENTO_DESCRIP]",
"[Base].[SEGMENTO_DESCRIP].&amp;[" &amp; $C$6 &amp; "]",
"[Base].[SITUACION]",
"[Base].[SITUACION].&amp;[" &amp; $C56 &amp; "]"
),0)/1000</f>
        <v>-874.46266999998784</v>
      </c>
      <c r="N56" s="8">
        <f>IFERROR(
GETPIVOTDATA(
"[Base].[Importe]",
TDinamica_R!$A$5,
"[Calendario].[AñoMes]",
"[Calendario].[AñoMes].&amp;[" &amp; TEXT(N$6,"yyyymm") &amp; "]",
"[Base].[Metrica]",
"[Base].[Metrica].&amp;[" &amp; $A56 &amp; "]",
"[Base].[SEGMENTO_DESCRIP]",
"[Base].[SEGMENTO_DESCRIP].&amp;[" &amp; $C$6 &amp; "]",
"[Base].[SITUACION]",
"[Base].[SITUACION].&amp;[" &amp; $C56 &amp; "]"
),0)/1000</f>
        <v>-484.14785000000859</v>
      </c>
      <c r="O56" s="8">
        <f>IFERROR(
GETPIVOTDATA(
"[Base].[Importe]",
TDinamica_R!$A$5,
"[Calendario].[AñoMes]",
"[Calendario].[AñoMes].&amp;[" &amp; TEXT(O$6,"yyyymm") &amp; "]",
"[Base].[Metrica]",
"[Base].[Metrica].&amp;[" &amp; $A56 &amp; "]",
"[Base].[SEGMENTO_DESCRIP]",
"[Base].[SEGMENTO_DESCRIP].&amp;[" &amp; $C$6 &amp; "]",
"[Base].[SITUACION]",
"[Base].[SITUACION].&amp;[" &amp; $C56 &amp; "]"
),0)/1000</f>
        <v>-741.01851000000022</v>
      </c>
      <c r="P56" s="8">
        <f>IFERROR(
GETPIVOTDATA(
"[Base].[Importe]",
TDinamica_R!$A$5,
"[Calendario].[AñoMes]",
"[Calendario].[AñoMes].&amp;[" &amp; TEXT(P$6,"yyyymm") &amp; "]",
"[Base].[Metrica]",
"[Base].[Metrica].&amp;[" &amp; $A56 &amp; "]",
"[Base].[SEGMENTO_DESCRIP]",
"[Base].[SEGMENTO_DESCRIP].&amp;[" &amp; $C$6 &amp; "]",
"[Base].[SITUACION]",
"[Base].[SITUACION].&amp;[" &amp; $C56 &amp; "]"
),0)/1000</f>
        <v>-660.95105000000842</v>
      </c>
      <c r="Q56" s="8">
        <f>IFERROR(
GETPIVOTDATA(
"[Base].[Importe]",
TDinamica_R!$A$5,
"[Calendario].[AñoMes]",
"[Calendario].[AñoMes].&amp;[" &amp; TEXT(Q$6,"yyyymm") &amp; "]",
"[Base].[Metrica]",
"[Base].[Metrica].&amp;[" &amp; $A56 &amp; "]",
"[Base].[SEGMENTO_DESCRIP]",
"[Base].[SEGMENTO_DESCRIP].&amp;[" &amp; $C$6 &amp; "]",
"[Base].[SITUACION]",
"[Base].[SITUACION].&amp;[" &amp; $C56 &amp; "]"
),0)/1000</f>
        <v>-260.33647999999897</v>
      </c>
      <c r="R56" s="8">
        <f>IFERROR(
GETPIVOTDATA(
"[Base].[Importe]",
TDinamica_R!$A$5,
"[Calendario].[AñoMes]",
"[Calendario].[AñoMes].&amp;[" &amp; TEXT(R$6,"yyyymm") &amp; "]",
"[Base].[Metrica]",
"[Base].[Metrica].&amp;[" &amp; $A56 &amp; "]",
"[Base].[SEGMENTO_DESCRIP]",
"[Base].[SEGMENTO_DESCRIP].&amp;[" &amp; $C$6 &amp; "]",
"[Base].[SITUACION]",
"[Base].[SITUACION].&amp;[" &amp; $C56 &amp; "]"
),0)/1000</f>
        <v>-472.67843000000221</v>
      </c>
      <c r="S56" s="8">
        <f>IFERROR(
GETPIVOTDATA(
"[Base].[Importe]",
TDinamica_R!$A$5,
"[Calendario].[AñoMes]",
"[Calendario].[AñoMes].&amp;[" &amp; TEXT(S$6,"yyyymm") &amp; "]",
"[Base].[Metrica]",
"[Base].[Metrica].&amp;[" &amp; $A56 &amp; "]",
"[Base].[SEGMENTO_DESCRIP]",
"[Base].[SEGMENTO_DESCRIP].&amp;[" &amp; $C$6 &amp; "]",
"[Base].[SITUACION]",
"[Base].[SITUACION].&amp;[" &amp; $C56 &amp; "]"
),0)/1000</f>
        <v>-462.336490000011</v>
      </c>
      <c r="T56" s="8">
        <f>IFERROR(
GETPIVOTDATA(
"[Base].[Importe]",
TDinamica_R!$A$5,
"[Calendario].[AñoMes]",
"[Calendario].[AñoMes].&amp;[" &amp; TEXT(T$6,"yyyymm") &amp; "]",
"[Base].[Metrica]",
"[Base].[Metrica].&amp;[" &amp; $A56 &amp; "]",
"[Base].[SEGMENTO_DESCRIP]",
"[Base].[SEGMENTO_DESCRIP].&amp;[" &amp; $C$6 &amp; "]",
"[Base].[SITUACION]",
"[Base].[SITUACION].&amp;[" &amp; $C56 &amp; "]"
),0)/1000</f>
        <v>-285.22276999999997</v>
      </c>
      <c r="U56" s="8">
        <f>IFERROR(
GETPIVOTDATA(
"[Base].[Importe]",
TDinamica_R!$A$5,
"[Calendario].[AñoMes]",
"[Calendario].[AñoMes].&amp;[" &amp; TEXT(U$6,"yyyymm") &amp; "]",
"[Base].[Metrica]",
"[Base].[Metrica].&amp;[" &amp; $A56 &amp; "]",
"[Base].[SEGMENTO_DESCRIP]",
"[Base].[SEGMENTO_DESCRIP].&amp;[" &amp; $C$6 &amp; "]",
"[Base].[SITUACION]",
"[Base].[SITUACION].&amp;[" &amp; $C56 &amp; "]"
),0)/1000</f>
        <v>-494.65538000001101</v>
      </c>
      <c r="V56" s="8">
        <f>IFERROR(
GETPIVOTDATA(
"[Base].[Importe]",
TDinamica_R!$A$5,
"[Calendario].[AñoMes]",
"[Calendario].[AñoMes].&amp;[" &amp; TEXT(V$6,"yyyymm") &amp; "]",
"[Base].[Metrica]",
"[Base].[Metrica].&amp;[" &amp; $A56 &amp; "]",
"[Base].[SEGMENTO_DESCRIP]",
"[Base].[SEGMENTO_DESCRIP].&amp;[" &amp; $C$6 &amp; "]",
"[Base].[SITUACION]",
"[Base].[SITUACION].&amp;[" &amp; $C56 &amp; "]"
),0)/1000</f>
        <v>-608.06051999999067</v>
      </c>
      <c r="W56" s="8">
        <f>IFERROR(
GETPIVOTDATA(
"[Base].[Importe]",
TDinamica_R!$A$5,
"[Calendario].[AñoMes]",
"[Calendario].[AñoMes].&amp;[" &amp; TEXT(W$6,"yyyymm") &amp; "]",
"[Base].[Metrica]",
"[Base].[Metrica].&amp;[" &amp; $A56 &amp; "]",
"[Base].[SEGMENTO_DESCRIP]",
"[Base].[SEGMENTO_DESCRIP].&amp;[" &amp; $C$6 &amp; "]",
"[Base].[SITUACION]",
"[Base].[SITUACION].&amp;[" &amp; $C56 &amp; "]"
),0)/1000</f>
        <v>-337.99096000000918</v>
      </c>
      <c r="X56" s="8">
        <f>IFERROR(
GETPIVOTDATA(
"[Base].[Importe]",
TDinamica_R!$A$5,
"[Calendario].[AñoMes]",
"[Calendario].[AñoMes].&amp;[" &amp; TEXT(X$6,"yyyymm") &amp; "]",
"[Base].[Metrica]",
"[Base].[Metrica].&amp;[" &amp; $A56 &amp; "]",
"[Base].[SEGMENTO_DESCRIP]",
"[Base].[SEGMENTO_DESCRIP].&amp;[" &amp; $C$6 &amp; "]",
"[Base].[SITUACION]",
"[Base].[SITUACION].&amp;[" &amp; $C56 &amp; "]"
),0)/1000</f>
        <v>-363.86838999999128</v>
      </c>
      <c r="Y56" s="8">
        <f>IFERROR(
GETPIVOTDATA(
"[Base].[Importe]",
TDinamica_R!$A$5,
"[Calendario].[AñoMes]",
"[Calendario].[AñoMes].&amp;[" &amp; TEXT(Y$6,"yyyymm") &amp; "]",
"[Base].[Metrica]",
"[Base].[Metrica].&amp;[" &amp; $A56 &amp; "]",
"[Base].[SEGMENTO_DESCRIP]",
"[Base].[SEGMENTO_DESCRIP].&amp;[" &amp; $C$6 &amp; "]",
"[Base].[SITUACION]",
"[Base].[SITUACION].&amp;[" &amp; $C56 &amp; "]"
),0)/1000</f>
        <v>-366.94019999998841</v>
      </c>
      <c r="Z56" s="8">
        <f>IFERROR(
GETPIVOTDATA(
"[Base].[Importe]",
TDinamica_R!$A$5,
"[Calendario].[AñoMes]",
"[Calendario].[AñoMes].&amp;[" &amp; TEXT(Z$6,"yyyymm") &amp; "]",
"[Base].[Metrica]",
"[Base].[Metrica].&amp;[" &amp; $A56 &amp; "]",
"[Base].[SEGMENTO_DESCRIP]",
"[Base].[SEGMENTO_DESCRIP].&amp;[" &amp; $C$6 &amp; "]",
"[Base].[SITUACION]",
"[Base].[SITUACION].&amp;[" &amp; $C56 &amp; "]"
),0)/1000</f>
        <v>-278.43683999999945</v>
      </c>
      <c r="AA56" s="8">
        <f>IFERROR(
GETPIVOTDATA(
"[Base].[Importe]",
TDinamica_R!$A$5,
"[Calendario].[AñoMes]",
"[Calendario].[AñoMes].&amp;[" &amp; TEXT(AA$6,"yyyymm") &amp; "]",
"[Base].[Metrica]",
"[Base].[Metrica].&amp;[" &amp; $A56 &amp; "]",
"[Base].[SEGMENTO_DESCRIP]",
"[Base].[SEGMENTO_DESCRIP].&amp;[" &amp; $C$6 &amp; "]",
"[Base].[SITUACION]",
"[Base].[SITUACION].&amp;[" &amp; $C56 &amp; "]"
),0)/1000</f>
        <v>-403.56974999999824</v>
      </c>
      <c r="AB56" s="8">
        <f>IFERROR(
GETPIVOTDATA(
"[Base].[Importe]",
TDinamica_R!$A$5,
"[Calendario].[AñoMes]",
"[Calendario].[AñoMes].&amp;[" &amp; TEXT(AB$6,"yyyymm") &amp; "]",
"[Base].[Metrica]",
"[Base].[Metrica].&amp;[" &amp; $A56 &amp; "]",
"[Base].[SEGMENTO_DESCRIP]",
"[Base].[SEGMENTO_DESCRIP].&amp;[" &amp; $C$6 &amp; "]",
"[Base].[SITUACION]",
"[Base].[SITUACION].&amp;[" &amp; $C56 &amp; "]"
),0)/1000</f>
        <v>-581.74840999999049</v>
      </c>
      <c r="AC56" s="8">
        <f>IFERROR(
GETPIVOTDATA(
"[Base].[Importe]",
TDinamica_R!$A$5,
"[Calendario].[AñoMes]",
"[Calendario].[AñoMes].&amp;[" &amp; TEXT(AC$6,"yyyymm") &amp; "]",
"[Base].[Metrica]",
"[Base].[Metrica].&amp;[" &amp; $A56 &amp; "]",
"[Base].[SEGMENTO_DESCRIP]",
"[Base].[SEGMENTO_DESCRIP].&amp;[" &amp; $C$6 &amp; "]",
"[Base].[SITUACION]",
"[Base].[SITUACION].&amp;[" &amp; $C56 &amp; "]"
),0)/1000</f>
        <v>-302.62035000000935</v>
      </c>
      <c r="AD56" s="8">
        <f>IFERROR(
GETPIVOTDATA(
"[Base].[Importe]",
TDinamica_R!$A$5,
"[Calendario].[AñoMes]",
"[Calendario].[AñoMes].&amp;[" &amp; TEXT(AD$6,"yyyymm") &amp; "]",
"[Base].[Metrica]",
"[Base].[Metrica].&amp;[" &amp; $A56 &amp; "]",
"[Base].[SEGMENTO_DESCRIP]",
"[Base].[SEGMENTO_DESCRIP].&amp;[" &amp; $C$6 &amp; "]",
"[Base].[SITUACION]",
"[Base].[SITUACION].&amp;[" &amp; $C56 &amp; "]"
),0)/1000</f>
        <v>-368.31007</v>
      </c>
      <c r="AE56" s="8">
        <f>IFERROR(
GETPIVOTDATA(
"[Base].[Importe]",
TDinamica_R!$A$5,
"[Calendario].[AñoMes]",
"[Calendario].[AñoMes].&amp;[" &amp; TEXT(AE$6,"yyyymm") &amp; "]",
"[Base].[Metrica]",
"[Base].[Metrica].&amp;[" &amp; $A56 &amp; "]",
"[Base].[SEGMENTO_DESCRIP]",
"[Base].[SEGMENTO_DESCRIP].&amp;[" &amp; $C$6 &amp; "]",
"[Base].[SITUACION]",
"[Base].[SITUACION].&amp;[" &amp; $C56 &amp; "]"
),0)/1000</f>
        <v>-248.86352000000002</v>
      </c>
      <c r="AF56" s="8">
        <f>IFERROR(
GETPIVOTDATA(
"[Base].[Importe]",
TDinamica_R!$A$5,
"[Calendario].[AñoMes]",
"[Calendario].[AñoMes].&amp;[" &amp; TEXT(AF$6,"yyyymm") &amp; "]",
"[Base].[Metrica]",
"[Base].[Metrica].&amp;[" &amp; $A56 &amp; "]",
"[Base].[SEGMENTO_DESCRIP]",
"[Base].[SEGMENTO_DESCRIP].&amp;[" &amp; $C$6 &amp; "]",
"[Base].[SITUACION]",
"[Base].[SITUACION].&amp;[" &amp; $C56 &amp; "]"
),0)/1000</f>
        <v>-483.15438999999998</v>
      </c>
      <c r="AG56" s="8">
        <f>IFERROR(
GETPIVOTDATA(
"[Base].[Importe]",
TDinamica_R!$A$5,
"[Calendario].[AñoMes]",
"[Calendario].[AñoMes].&amp;[" &amp; TEXT(AG$6,"yyyymm") &amp; "]",
"[Base].[Metrica]",
"[Base].[Metrica].&amp;[" &amp; $A56 &amp; "]",
"[Base].[SEGMENTO_DESCRIP]",
"[Base].[SEGMENTO_DESCRIP].&amp;[" &amp; $C$6 &amp; "]",
"[Base].[SITUACION]",
"[Base].[SITUACION].&amp;[" &amp; $C56 &amp; "]"
),0)/1000</f>
        <v>-369.72550999999999</v>
      </c>
      <c r="AH56" s="8">
        <f>IFERROR(
GETPIVOTDATA(
"[Base].[Importe]",
TDinamica_R!$A$5,
"[Calendario].[AñoMes]",
"[Calendario].[AñoMes].&amp;[" &amp; TEXT(AH$6,"yyyymm") &amp; "]",
"[Base].[Metrica]",
"[Base].[Metrica].&amp;[" &amp; $A56 &amp; "]",
"[Base].[SEGMENTO_DESCRIP]",
"[Base].[SEGMENTO_DESCRIP].&amp;[" &amp; $C$6 &amp; "]",
"[Base].[SITUACION]",
"[Base].[SITUACION].&amp;[" &amp; $C56 &amp; "]"
),0)/1000</f>
        <v>-384.54640000000001</v>
      </c>
      <c r="AI56" s="8">
        <f>IFERROR(
GETPIVOTDATA(
"[Base].[Importe]",
TDinamica_R!$A$5,
"[Calendario].[AñoMes]",
"[Calendario].[AñoMes].&amp;[" &amp; TEXT(AI$6,"yyyymm") &amp; "]",
"[Base].[Metrica]",
"[Base].[Metrica].&amp;[" &amp; $A56 &amp; "]",
"[Base].[SEGMENTO_DESCRIP]",
"[Base].[SEGMENTO_DESCRIP].&amp;[" &amp; $C$6 &amp; "]",
"[Base].[SITUACION]",
"[Base].[SITUACION].&amp;[" &amp; $C56 &amp; "]"
),0)/1000</f>
        <v>-343.68763000000001</v>
      </c>
      <c r="AJ56" s="8">
        <f>IFERROR(
GETPIVOTDATA(
"[Base].[Importe]",
TDinamica_R!$A$5,
"[Calendario].[AñoMes]",
"[Calendario].[AñoMes].&amp;[" &amp; TEXT(AJ$6,"yyyymm") &amp; "]",
"[Base].[Metrica]",
"[Base].[Metrica].&amp;[" &amp; $A56 &amp; "]",
"[Base].[SEGMENTO_DESCRIP]",
"[Base].[SEGMENTO_DESCRIP].&amp;[" &amp; $C$6 &amp; "]",
"[Base].[SITUACION]",
"[Base].[SITUACION].&amp;[" &amp; $C56 &amp; "]"
),0)/1000</f>
        <v>-282.32396</v>
      </c>
      <c r="AK56" s="8">
        <f>IFERROR(
GETPIVOTDATA(
"[Base].[Importe]",
TDinamica_R!$A$5,
"[Calendario].[AñoMes]",
"[Calendario].[AñoMes].&amp;[" &amp; TEXT(AK$6,"yyyymm") &amp; "]",
"[Base].[Metrica]",
"[Base].[Metrica].&amp;[" &amp; $A56 &amp; "]",
"[Base].[SEGMENTO_DESCRIP]",
"[Base].[SEGMENTO_DESCRIP].&amp;[" &amp; $C$6 &amp; "]",
"[Base].[SITUACION]",
"[Base].[SITUACION].&amp;[" &amp; $C56 &amp; "]"
),0)/1000</f>
        <v>-628.09639000000004</v>
      </c>
      <c r="AL56" s="8">
        <f>IFERROR(
GETPIVOTDATA(
"[Base].[Importe]",
TDinamica_R!$A$5,
"[Calendario].[AñoMes]",
"[Calendario].[AñoMes].&amp;[" &amp; TEXT(AL$6,"yyyymm") &amp; "]",
"[Base].[Metrica]",
"[Base].[Metrica].&amp;[" &amp; $A56 &amp; "]",
"[Base].[SEGMENTO_DESCRIP]",
"[Base].[SEGMENTO_DESCRIP].&amp;[" &amp; $C$6 &amp; "]",
"[Base].[SITUACION]",
"[Base].[SITUACION].&amp;[" &amp; $C56 &amp; "]"
),0)/1000</f>
        <v>-181.95529999999999</v>
      </c>
      <c r="AM56" s="8">
        <f>IFERROR(
GETPIVOTDATA(
"[Base].[Importe]",
TDinamica_R!$A$5,
"[Calendario].[AñoMes]",
"[Calendario].[AñoMes].&amp;[" &amp; TEXT(AM$6,"yyyymm") &amp; "]",
"[Base].[Metrica]",
"[Base].[Metrica].&amp;[" &amp; $A56 &amp; "]",
"[Base].[SEGMENTO_DESCRIP]",
"[Base].[SEGMENTO_DESCRIP].&amp;[" &amp; $C$6 &amp; "]",
"[Base].[SITUACION]",
"[Base].[SITUACION].&amp;[" &amp; $C56 &amp; "]"
),0)/1000</f>
        <v>-453.88042999999999</v>
      </c>
      <c r="AN56" s="8">
        <f>IFERROR(
GETPIVOTDATA(
"[Base].[Importe]",
TDinamica_R!$A$5,
"[Calendario].[AñoMes]",
"[Calendario].[AñoMes].&amp;[" &amp; TEXT(AN$6,"yyyymm") &amp; "]",
"[Base].[Metrica]",
"[Base].[Metrica].&amp;[" &amp; $A56 &amp; "]",
"[Base].[SEGMENTO_DESCRIP]",
"[Base].[SEGMENTO_DESCRIP].&amp;[" &amp; $C$6 &amp; "]",
"[Base].[SITUACION]",
"[Base].[SITUACION].&amp;[" &amp; $C56 &amp; "]"
),0)/1000</f>
        <v>-232.0341</v>
      </c>
      <c r="AO56" s="8">
        <f>IFERROR(
GETPIVOTDATA(
"[Base].[Importe]",
TDinamica_R!$A$5,
"[Calendario].[AñoMes]",
"[Calendario].[AñoMes].&amp;[" &amp; TEXT(AO$6,"yyyymm") &amp; "]",
"[Base].[Metrica]",
"[Base].[Metrica].&amp;[" &amp; $A56 &amp; "]",
"[Base].[SEGMENTO_DESCRIP]",
"[Base].[SEGMENTO_DESCRIP].&amp;[" &amp; $C$6 &amp; "]",
"[Base].[SITUACION]",
"[Base].[SITUACION].&amp;[" &amp; $C56 &amp; "]"
),0)/1000</f>
        <v>-289.13427000000001</v>
      </c>
      <c r="AP56" s="8">
        <f>IFERROR(
GETPIVOTDATA(
"[Base].[Importe]",
TDinamica_R!$A$5,
"[Calendario].[AñoMes]",
"[Calendario].[AñoMes].&amp;[" &amp; TEXT(AP$6,"yyyymm") &amp; "]",
"[Base].[Metrica]",
"[Base].[Metrica].&amp;[" &amp; $A56 &amp; "]",
"[Base].[SEGMENTO_DESCRIP]",
"[Base].[SEGMENTO_DESCRIP].&amp;[" &amp; $C$6 &amp; "]",
"[Base].[SITUACION]",
"[Base].[SITUACION].&amp;[" &amp; $C56 &amp; "]"
),0)/1000</f>
        <v>-488.82056603327175</v>
      </c>
      <c r="AQ56" s="8">
        <f>IFERROR(
GETPIVOTDATA(
"[Base].[Importe]",
TDinamica_R!$A$5,
"[Calendario].[AñoMes]",
"[Calendario].[AñoMes].&amp;[" &amp; TEXT(AQ$6,"yyyymm") &amp; "]",
"[Base].[Metrica]",
"[Base].[Metrica].&amp;[" &amp; $A56 &amp; "]",
"[Base].[SEGMENTO_DESCRIP]",
"[Base].[SEGMENTO_DESCRIP].&amp;[" &amp; $C$6 &amp; "]",
"[Base].[SITUACION]",
"[Base].[SITUACION].&amp;[" &amp; $C56 &amp; "]"
),0)/1000</f>
        <v>-298.81979999999999</v>
      </c>
      <c r="AR56" s="8">
        <f>IFERROR(
GETPIVOTDATA(
"[Base].[Importe]",
TDinamica_R!$A$5,
"[Calendario].[AñoMes]",
"[Calendario].[AñoMes].&amp;[" &amp; TEXT(AR$6,"yyyymm") &amp; "]",
"[Base].[Metrica]",
"[Base].[Metrica].&amp;[" &amp; $A56 &amp; "]",
"[Base].[SEGMENTO_DESCRIP]",
"[Base].[SEGMENTO_DESCRIP].&amp;[" &amp; $C$6 &amp; "]",
"[Base].[SITUACION]",
"[Base].[SITUACION].&amp;[" &amp; $C56 &amp; "]"
),0)/1000</f>
        <v>-422.09020000000004</v>
      </c>
      <c r="AS56" s="8">
        <f>IFERROR(
GETPIVOTDATA(
"[Base].[Importe]",
TDinamica_R!$A$5,
"[Calendario].[AñoMes]",
"[Calendario].[AñoMes].&amp;[" &amp; TEXT(AS$6,"yyyymm") &amp; "]",
"[Base].[Metrica]",
"[Base].[Metrica].&amp;[" &amp; $A56 &amp; "]",
"[Base].[SEGMENTO_DESCRIP]",
"[Base].[SEGMENTO_DESCRIP].&amp;[" &amp; $C$6 &amp; "]",
"[Base].[SITUACION]",
"[Base].[SITUACION].&amp;[" &amp; $C56 &amp; "]"
),0)/1000</f>
        <v>-401.80409999999995</v>
      </c>
      <c r="AT56" s="8">
        <f>IFERROR(
GETPIVOTDATA(
"[Base].[Importe]",
TDinamica_R!$A$5,
"[Calendario].[AñoMes]",
"[Calendario].[AñoMes].&amp;[" &amp; TEXT(AT$6,"yyyymm")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U56" s="8">
        <f>IFERROR(
GETPIVOTDATA(
"[Base].[Importe]",
TDinamica_R!$A$5,
"[Calendario].[AñoMes]",
"[Calendario].[AñoMes].&amp;[" &amp; TEXT(AU$6,"yyyymm")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V56" s="8">
        <f>IFERROR(
GETPIVOTDATA(
"[Base].[Importe]",
TDinamica_R!$A$5,
"[Calendario].[AñoMes]",
"[Calendario].[AñoMes].&amp;[" &amp; TEXT(AV$6,"yyyymm")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W56" s="8">
        <f>IFERROR(
GETPIVOTDATA(
"[Base].[Importe]",
TDinamica_R!$A$5,
"[Calendario].[AñoMes]",
"[Calendario].[AñoMes].&amp;[" &amp; TEXT(AW$6,"yyyymm")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X56" s="8">
        <f>IFERROR(
GETPIVOTDATA(
"[Base].[Importe]",
TDinamica_R!$A$5,
"[Calendario].[AñoMes]",
"[Calendario].[AñoMes].&amp;[" &amp; TEXT(AX$6,"yyyymm")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Y56" s="8">
        <f>IFERROR(
GETPIVOTDATA(
"[Base].[Importe]",
TDinamica_R!$A$5,
"[Calendario].[AñoMes]",
"[Calendario].[AñoMes].&amp;[" &amp; TEXT(AY$6,"yyyymm")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Z56" s="8">
        <f>IFERROR(
GETPIVOTDATA(
"[BASE_CONVE_PPTO].[Importe]",
TDinamica_P!$A$5,
"[BASE_CONVE_PPTO].[Periodo]",
"[BASE_CONVE_PPTO].[Periodo].&amp;[" &amp; TEXT(AZ$6,"yyyymm")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-302.88433704511669</v>
      </c>
      <c r="BA56" s="8">
        <f>IFERROR(
GETPIVOTDATA(
"[BASE_CONVE_PPTO].[Importe]",
TDinamica_P!$A$5,
"[BASE_CONVE_PPTO].[Periodo]",
"[BASE_CONVE_PPTO].[Periodo].&amp;[" &amp; TEXT(BA$6,"yyyymm")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-298.97786376247939</v>
      </c>
      <c r="BB56" s="8">
        <f>IFERROR(
GETPIVOTDATA(
"[BASE_CONVE_PPTO].[Importe]",
TDinamica_P!$A$5,
"[BASE_CONVE_PPTO].[Periodo]",
"[BASE_CONVE_PPTO].[Periodo].&amp;[" &amp; TEXT(BB$6,"yyyymm")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-305.35549828732661</v>
      </c>
      <c r="BC56" s="8">
        <f>IFERROR(
GETPIVOTDATA(
"[BASE_CONVE_PPTO].[Importe]",
TDinamica_P!$A$5,
"[BASE_CONVE_PPTO].[Periodo]",
"[BASE_CONVE_PPTO].[Periodo].&amp;[" &amp; TEXT(BC$6,"yyyymm")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-283.42566536933776</v>
      </c>
      <c r="BD56" s="8">
        <f>IFERROR(
GETPIVOTDATA(
"[BASE_CONVE_PPTO].[Importe]",
TDinamica_P!$A$5,
"[BASE_CONVE_PPTO].[Periodo]",
"[BASE_CONVE_PPTO].[Periodo].&amp;[" &amp; TEXT(BD$6,"yyyymm")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-276.49665048590373</v>
      </c>
      <c r="BE56" s="8">
        <f>IFERROR(
GETPIVOTDATA(
"[BASE_CONVE_PPTO].[Importe]",
TDinamica_P!$A$5,
"[BASE_CONVE_PPTO].[Periodo]",
"[BASE_CONVE_PPTO].[Periodo].&amp;[" &amp; TEXT(BE$6,"yyyymm")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-283.39873923217124</v>
      </c>
      <c r="BF56" s="8">
        <f>IFERROR(
GETPIVOTDATA(
"[BASE_CONVE_PPTO].[Importe]",
TDinamica_P!$A$5,
"[BASE_CONVE_PPTO].[Periodo]",
"[BASE_CONVE_PPTO].[Periodo].&amp;[" &amp; TEXT(BF$6,"yyyymm")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-281.96850315106468</v>
      </c>
      <c r="BG56" s="8">
        <f>IFERROR(
GETPIVOTDATA(
"[BASE_CONVE_PPTO].[Importe]",
TDinamica_P!$A$5,
"[BASE_CONVE_PPTO].[Periodo]",
"[BASE_CONVE_PPTO].[Periodo].&amp;[" &amp; TEXT(BG$6,"yyyymm")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-353.18729209761881</v>
      </c>
      <c r="BH56" s="8">
        <f>IFERROR(
GETPIVOTDATA(
"[BASE_CONVE_PPTO].[Importe]",
TDinamica_P!$A$5,
"[BASE_CONVE_PPTO].[Periodo]",
"[BASE_CONVE_PPTO].[Periodo].&amp;[" &amp; TEXT(BH$6,"yyyymm")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-250.76050098505024</v>
      </c>
      <c r="BI56" s="8">
        <f>IFERROR(
GETPIVOTDATA(
"[BASE_CONVE_PPTO].[Importe]",
TDinamica_P!$A$5,
"[BASE_CONVE_PPTO].[Periodo]",
"[BASE_CONVE_PPTO].[Periodo].&amp;[" &amp; TEXT(BI$6,"yyyymm")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-270.3363088391522</v>
      </c>
      <c r="BJ56" s="8">
        <f>IFERROR(
GETPIVOTDATA(
"[BASE_CONVE_PPTO].[Importe]",
TDinamica_P!$A$5,
"[BASE_CONVE_PPTO].[Periodo]",
"[BASE_CONVE_PPTO].[Periodo].&amp;[" &amp; TEXT(BJ$6,"yyyymm")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-274.39304226602138</v>
      </c>
      <c r="BK56" s="8">
        <f>IFERROR(
GETPIVOTDATA(
"[BASE_CONVE_PPTO].[Importe]",
TDinamica_P!$A$5,
"[BASE_CONVE_PPTO].[Periodo]",
"[BASE_CONVE_PPTO].[Periodo].&amp;[" &amp; TEXT(BK$6,"yyyymm") &amp; "]",
"[BASE_CONVE_PPTO].[Metrica]",
"[BASE_CONVE_PPTO].[Metrica].&amp;[" &amp; $A56 &amp; "]",
"[BASE_CONVE_PPTO].[SEGMENTO_DESCRIP]",
"[BASE_CONVE_PPTO].[SEGMENTO_DESCRIP].&amp;[" &amp; $C$6 &amp; "]",
"[BASE_CONVE_PPTO].[SITUACION]",
"[BASE_CONVE_PPTO].[SITUACION].&amp;[" &amp; $C56 &amp; "]"),
0)</f>
        <v>-260.34411873913791</v>
      </c>
      <c r="BO56" s="24">
        <f t="shared" ref="BO56:BT57" si="43">SUMIFS($D56:$BM56,$D$6:$BM$6,"&gt;="&amp;BO$2,$D$6:$BM$6,"&lt;="&amp;BO$6,$D$5:$BM$5,BO$5)</f>
        <v>-1730.8989360332719</v>
      </c>
      <c r="BP56" s="24">
        <f t="shared" si="43"/>
        <v>-1467.1400149501642</v>
      </c>
      <c r="BQ56" s="24">
        <f t="shared" si="43"/>
        <v>-1308.8087360332718</v>
      </c>
      <c r="BR56" s="24">
        <f t="shared" si="43"/>
        <v>-1984.6967399999999</v>
      </c>
      <c r="BS56" s="24">
        <f t="shared" si="43"/>
        <v>-2141.5252200000205</v>
      </c>
      <c r="BT56" s="24">
        <f t="shared" si="43"/>
        <v>-3532.4404599999771</v>
      </c>
    </row>
    <row r="57" spans="1:72" outlineLevel="1" x14ac:dyDescent="0.25">
      <c r="A57" s="11" t="s">
        <v>65</v>
      </c>
      <c r="C57" s="2" t="s">
        <v>69</v>
      </c>
      <c r="D57" s="8">
        <f>IFERROR(
GETPIVOTDATA(
"[Base].[Importe]",
TDinamica_R!$A$5,
"[Calendario].[AñoMes]",
"[Calendario].[AñoMes].&amp;[" &amp; TEXT(D$6,"yyyymm") &amp; "]",
"[Base].[Metrica]",
"[Base].[Metrica].&amp;[" &amp; $A57 &amp; "]",
"[Base].[SEGMENTO_DESCRIP]",
"[Base].[SEGMENTO_DESCRIP].&amp;[" &amp; $C$6 &amp; "]",
"[Base].[SITUACION]",
"[Base].[SITUACION].&amp;[" &amp; $C57 &amp; "]"
),0)/1000</f>
        <v>295.81147767408373</v>
      </c>
      <c r="E57" s="8">
        <f>IFERROR(
GETPIVOTDATA(
"[Base].[Importe]",
TDinamica_R!$A$5,
"[Calendario].[AñoMes]",
"[Calendario].[AñoMes].&amp;[" &amp; TEXT(E$6,"yyyymm") &amp; "]",
"[Base].[Metrica]",
"[Base].[Metrica].&amp;[" &amp; $A57 &amp; "]",
"[Base].[SEGMENTO_DESCRIP]",
"[Base].[SEGMENTO_DESCRIP].&amp;[" &amp; $C$6 &amp; "]",
"[Base].[SITUACION]",
"[Base].[SITUACION].&amp;[" &amp; $C57 &amp; "]"
),0)/1000</f>
        <v>159.98317006048006</v>
      </c>
      <c r="F57" s="8">
        <f>IFERROR(
GETPIVOTDATA(
"[Base].[Importe]",
TDinamica_R!$A$5,
"[Calendario].[AñoMes]",
"[Calendario].[AñoMes].&amp;[" &amp; TEXT(F$6,"yyyymm") &amp; "]",
"[Base].[Metrica]",
"[Base].[Metrica].&amp;[" &amp; $A57 &amp; "]",
"[Base].[SEGMENTO_DESCRIP]",
"[Base].[SEGMENTO_DESCRIP].&amp;[" &amp; $C$6 &amp; "]",
"[Base].[SITUACION]",
"[Base].[SITUACION].&amp;[" &amp; $C57 &amp; "]"
),0)/1000</f>
        <v>210.38701165791923</v>
      </c>
      <c r="G57" s="8">
        <f>IFERROR(
GETPIVOTDATA(
"[Base].[Importe]",
TDinamica_R!$A$5,
"[Calendario].[AñoMes]",
"[Calendario].[AñoMes].&amp;[" &amp; TEXT(G$6,"yyyymm") &amp; "]",
"[Base].[Metrica]",
"[Base].[Metrica].&amp;[" &amp; $A57 &amp; "]",
"[Base].[SEGMENTO_DESCRIP]",
"[Base].[SEGMENTO_DESCRIP].&amp;[" &amp; $C$6 &amp; "]",
"[Base].[SITUACION]",
"[Base].[SITUACION].&amp;[" &amp; $C57 &amp; "]"
),0)/1000</f>
        <v>320.47281916518972</v>
      </c>
      <c r="H57" s="8">
        <f>IFERROR(
GETPIVOTDATA(
"[Base].[Importe]",
TDinamica_R!$A$5,
"[Calendario].[AñoMes]",
"[Calendario].[AñoMes].&amp;[" &amp; TEXT(H$6,"yyyymm") &amp; "]",
"[Base].[Metrica]",
"[Base].[Metrica].&amp;[" &amp; $A57 &amp; "]",
"[Base].[SEGMENTO_DESCRIP]",
"[Base].[SEGMENTO_DESCRIP].&amp;[" &amp; $C$6 &amp; "]",
"[Base].[SITUACION]",
"[Base].[SITUACION].&amp;[" &amp; $C57 &amp; "]"
),0)/1000</f>
        <v>307.59347087122592</v>
      </c>
      <c r="I57" s="8">
        <f>IFERROR(
GETPIVOTDATA(
"[Base].[Importe]",
TDinamica_R!$A$5,
"[Calendario].[AñoMes]",
"[Calendario].[AñoMes].&amp;[" &amp; TEXT(I$6,"yyyymm") &amp; "]",
"[Base].[Metrica]",
"[Base].[Metrica].&amp;[" &amp; $A57 &amp; "]",
"[Base].[SEGMENTO_DESCRIP]",
"[Base].[SEGMENTO_DESCRIP].&amp;[" &amp; $C$6 &amp; "]",
"[Base].[SITUACION]",
"[Base].[SITUACION].&amp;[" &amp; $C57 &amp; "]"
),0)/1000</f>
        <v>362.56213066862819</v>
      </c>
      <c r="J57" s="8">
        <f>IFERROR(
GETPIVOTDATA(
"[Base].[Importe]",
TDinamica_R!$A$5,
"[Calendario].[AñoMes]",
"[Calendario].[AñoMes].&amp;[" &amp; TEXT(J$6,"yyyymm") &amp; "]",
"[Base].[Metrica]",
"[Base].[Metrica].&amp;[" &amp; $A57 &amp; "]",
"[Base].[SEGMENTO_DESCRIP]",
"[Base].[SEGMENTO_DESCRIP].&amp;[" &amp; $C$6 &amp; "]",
"[Base].[SITUACION]",
"[Base].[SITUACION].&amp;[" &amp; $C57 &amp; "]"
),0)/1000</f>
        <v>172.11931692868734</v>
      </c>
      <c r="K57" s="8">
        <f>IFERROR(
GETPIVOTDATA(
"[Base].[Importe]",
TDinamica_R!$A$5,
"[Calendario].[AñoMes]",
"[Calendario].[AñoMes].&amp;[" &amp; TEXT(K$6,"yyyymm") &amp; "]",
"[Base].[Metrica]",
"[Base].[Metrica].&amp;[" &amp; $A57 &amp; "]",
"[Base].[SEGMENTO_DESCRIP]",
"[Base].[SEGMENTO_DESCRIP].&amp;[" &amp; $C$6 &amp; "]",
"[Base].[SITUACION]",
"[Base].[SITUACION].&amp;[" &amp; $C57 &amp; "]"
),0)/1000</f>
        <v>439.49040973131326</v>
      </c>
      <c r="L57" s="8">
        <f>IFERROR(
GETPIVOTDATA(
"[Base].[Importe]",
TDinamica_R!$A$5,
"[Calendario].[AñoMes]",
"[Calendario].[AñoMes].&amp;[" &amp; TEXT(L$6,"yyyymm") &amp; "]",
"[Base].[Metrica]",
"[Base].[Metrica].&amp;[" &amp; $A57 &amp; "]",
"[Base].[SEGMENTO_DESCRIP]",
"[Base].[SEGMENTO_DESCRIP].&amp;[" &amp; $C$6 &amp; "]",
"[Base].[SITUACION]",
"[Base].[SITUACION].&amp;[" &amp; $C57 &amp; "]"
),0)/1000</f>
        <v>239.70777790880555</v>
      </c>
      <c r="M57" s="8">
        <f>IFERROR(
GETPIVOTDATA(
"[Base].[Importe]",
TDinamica_R!$A$5,
"[Calendario].[AñoMes]",
"[Calendario].[AñoMes].&amp;[" &amp; TEXT(M$6,"yyyymm") &amp; "]",
"[Base].[Metrica]",
"[Base].[Metrica].&amp;[" &amp; $A57 &amp; "]",
"[Base].[SEGMENTO_DESCRIP]",
"[Base].[SEGMENTO_DESCRIP].&amp;[" &amp; $C$6 &amp; "]",
"[Base].[SITUACION]",
"[Base].[SITUACION].&amp;[" &amp; $C57 &amp; "]"
),0)/1000</f>
        <v>289.03526372236922</v>
      </c>
      <c r="N57" s="8">
        <f>IFERROR(
GETPIVOTDATA(
"[Base].[Importe]",
TDinamica_R!$A$5,
"[Calendario].[AñoMes]",
"[Calendario].[AñoMes].&amp;[" &amp; TEXT(N$6,"yyyymm") &amp; "]",
"[Base].[Metrica]",
"[Base].[Metrica].&amp;[" &amp; $A57 &amp; "]",
"[Base].[SEGMENTO_DESCRIP]",
"[Base].[SEGMENTO_DESCRIP].&amp;[" &amp; $C$6 &amp; "]",
"[Base].[SITUACION]",
"[Base].[SITUACION].&amp;[" &amp; $C57 &amp; "]"
),0)/1000</f>
        <v>226.6100106032265</v>
      </c>
      <c r="O57" s="8">
        <f>IFERROR(
GETPIVOTDATA(
"[Base].[Importe]",
TDinamica_R!$A$5,
"[Calendario].[AñoMes]",
"[Calendario].[AñoMes].&amp;[" &amp; TEXT(O$6,"yyyymm") &amp; "]",
"[Base].[Metrica]",
"[Base].[Metrica].&amp;[" &amp; $A57 &amp; "]",
"[Base].[SEGMENTO_DESCRIP]",
"[Base].[SEGMENTO_DESCRIP].&amp;[" &amp; $C$6 &amp; "]",
"[Base].[SITUACION]",
"[Base].[SITUACION].&amp;[" &amp; $C57 &amp; "]"
),0)/1000</f>
        <v>122.92017222678952</v>
      </c>
      <c r="P57" s="8">
        <f>IFERROR(
GETPIVOTDATA(
"[Base].[Importe]",
TDinamica_R!$A$5,
"[Calendario].[AñoMes]",
"[Calendario].[AñoMes].&amp;[" &amp; TEXT(P$6,"yyyymm") &amp; "]",
"[Base].[Metrica]",
"[Base].[Metrica].&amp;[" &amp; $A57 &amp; "]",
"[Base].[SEGMENTO_DESCRIP]",
"[Base].[SEGMENTO_DESCRIP].&amp;[" &amp; $C$6 &amp; "]",
"[Base].[SITUACION]",
"[Base].[SITUACION].&amp;[" &amp; $C57 &amp; "]"
),0)/1000</f>
        <v>181.98031</v>
      </c>
      <c r="Q57" s="8">
        <f>IFERROR(
GETPIVOTDATA(
"[Base].[Importe]",
TDinamica_R!$A$5,
"[Calendario].[AñoMes]",
"[Calendario].[AñoMes].&amp;[" &amp; TEXT(Q$6,"yyyymm") &amp; "]",
"[Base].[Metrica]",
"[Base].[Metrica].&amp;[" &amp; $A57 &amp; "]",
"[Base].[SEGMENTO_DESCRIP]",
"[Base].[SEGMENTO_DESCRIP].&amp;[" &amp; $C$6 &amp; "]",
"[Base].[SITUACION]",
"[Base].[SITUACION].&amp;[" &amp; $C57 &amp; "]"
),0)/1000</f>
        <v>214.99286999999998</v>
      </c>
      <c r="R57" s="8">
        <f>IFERROR(
GETPIVOTDATA(
"[Base].[Importe]",
TDinamica_R!$A$5,
"[Calendario].[AñoMes]",
"[Calendario].[AñoMes].&amp;[" &amp; TEXT(R$6,"yyyymm") &amp; "]",
"[Base].[Metrica]",
"[Base].[Metrica].&amp;[" &amp; $A57 &amp; "]",
"[Base].[SEGMENTO_DESCRIP]",
"[Base].[SEGMENTO_DESCRIP].&amp;[" &amp; $C$6 &amp; "]",
"[Base].[SITUACION]",
"[Base].[SITUACION].&amp;[" &amp; $C57 &amp; "]"
),0)/1000</f>
        <v>120.73649</v>
      </c>
      <c r="S57" s="8">
        <f>IFERROR(
GETPIVOTDATA(
"[Base].[Importe]",
TDinamica_R!$A$5,
"[Calendario].[AñoMes]",
"[Calendario].[AñoMes].&amp;[" &amp; TEXT(S$6,"yyyymm") &amp; "]",
"[Base].[Metrica]",
"[Base].[Metrica].&amp;[" &amp; $A57 &amp; "]",
"[Base].[SEGMENTO_DESCRIP]",
"[Base].[SEGMENTO_DESCRIP].&amp;[" &amp; $C$6 &amp; "]",
"[Base].[SITUACION]",
"[Base].[SITUACION].&amp;[" &amp; $C57 &amp; "]"
),0)/1000</f>
        <v>188.32679999999999</v>
      </c>
      <c r="T57" s="8">
        <f>IFERROR(
GETPIVOTDATA(
"[Base].[Importe]",
TDinamica_R!$A$5,
"[Calendario].[AñoMes]",
"[Calendario].[AñoMes].&amp;[" &amp; TEXT(T$6,"yyyymm") &amp; "]",
"[Base].[Metrica]",
"[Base].[Metrica].&amp;[" &amp; $A57 &amp; "]",
"[Base].[SEGMENTO_DESCRIP]",
"[Base].[SEGMENTO_DESCRIP].&amp;[" &amp; $C$6 &amp; "]",
"[Base].[SITUACION]",
"[Base].[SITUACION].&amp;[" &amp; $C57 &amp; "]"
),0)/1000</f>
        <v>222.20934</v>
      </c>
      <c r="U57" s="8">
        <f>IFERROR(
GETPIVOTDATA(
"[Base].[Importe]",
TDinamica_R!$A$5,
"[Calendario].[AñoMes]",
"[Calendario].[AñoMes].&amp;[" &amp; TEXT(U$6,"yyyymm") &amp; "]",
"[Base].[Metrica]",
"[Base].[Metrica].&amp;[" &amp; $A57 &amp; "]",
"[Base].[SEGMENTO_DESCRIP]",
"[Base].[SEGMENTO_DESCRIP].&amp;[" &amp; $C$6 &amp; "]",
"[Base].[SITUACION]",
"[Base].[SITUACION].&amp;[" &amp; $C57 &amp; "]"
),0)/1000</f>
        <v>154.44496000000001</v>
      </c>
      <c r="V57" s="8">
        <f>IFERROR(
GETPIVOTDATA(
"[Base].[Importe]",
TDinamica_R!$A$5,
"[Calendario].[AñoMes]",
"[Calendario].[AñoMes].&amp;[" &amp; TEXT(V$6,"yyyymm") &amp; "]",
"[Base].[Metrica]",
"[Base].[Metrica].&amp;[" &amp; $A57 &amp; "]",
"[Base].[SEGMENTO_DESCRIP]",
"[Base].[SEGMENTO_DESCRIP].&amp;[" &amp; $C$6 &amp; "]",
"[Base].[SITUACION]",
"[Base].[SITUACION].&amp;[" &amp; $C57 &amp; "]"
),0)/1000</f>
        <v>187.19062999999997</v>
      </c>
      <c r="W57" s="8">
        <f>IFERROR(
GETPIVOTDATA(
"[Base].[Importe]",
TDinamica_R!$A$5,
"[Calendario].[AñoMes]",
"[Calendario].[AñoMes].&amp;[" &amp; TEXT(W$6,"yyyymm") &amp; "]",
"[Base].[Metrica]",
"[Base].[Metrica].&amp;[" &amp; $A57 &amp; "]",
"[Base].[SEGMENTO_DESCRIP]",
"[Base].[SEGMENTO_DESCRIP].&amp;[" &amp; $C$6 &amp; "]",
"[Base].[SITUACION]",
"[Base].[SITUACION].&amp;[" &amp; $C57 &amp; "]"
),0)/1000</f>
        <v>194.06854999999999</v>
      </c>
      <c r="X57" s="8">
        <f>IFERROR(
GETPIVOTDATA(
"[Base].[Importe]",
TDinamica_R!$A$5,
"[Calendario].[AñoMes]",
"[Calendario].[AñoMes].&amp;[" &amp; TEXT(X$6,"yyyymm") &amp; "]",
"[Base].[Metrica]",
"[Base].[Metrica].&amp;[" &amp; $A57 &amp; "]",
"[Base].[SEGMENTO_DESCRIP]",
"[Base].[SEGMENTO_DESCRIP].&amp;[" &amp; $C$6 &amp; "]",
"[Base].[SITUACION]",
"[Base].[SITUACION].&amp;[" &amp; $C57 &amp; "]"
),0)/1000</f>
        <v>140.91485</v>
      </c>
      <c r="Y57" s="8">
        <f>IFERROR(
GETPIVOTDATA(
"[Base].[Importe]",
TDinamica_R!$A$5,
"[Calendario].[AñoMes]",
"[Calendario].[AñoMes].&amp;[" &amp; TEXT(Y$6,"yyyymm") &amp; "]",
"[Base].[Metrica]",
"[Base].[Metrica].&amp;[" &amp; $A57 &amp; "]",
"[Base].[SEGMENTO_DESCRIP]",
"[Base].[SEGMENTO_DESCRIP].&amp;[" &amp; $C$6 &amp; "]",
"[Base].[SITUACION]",
"[Base].[SITUACION].&amp;[" &amp; $C57 &amp; "]"
),0)/1000</f>
        <v>171.05065000000002</v>
      </c>
      <c r="Z57" s="8">
        <f>IFERROR(
GETPIVOTDATA(
"[Base].[Importe]",
TDinamica_R!$A$5,
"[Calendario].[AñoMes]",
"[Calendario].[AñoMes].&amp;[" &amp; TEXT(Z$6,"yyyymm") &amp; "]",
"[Base].[Metrica]",
"[Base].[Metrica].&amp;[" &amp; $A57 &amp; "]",
"[Base].[SEGMENTO_DESCRIP]",
"[Base].[SEGMENTO_DESCRIP].&amp;[" &amp; $C$6 &amp; "]",
"[Base].[SITUACION]",
"[Base].[SITUACION].&amp;[" &amp; $C57 &amp; "]"
),0)/1000</f>
        <v>210.32917</v>
      </c>
      <c r="AA57" s="8">
        <f>IFERROR(
GETPIVOTDATA(
"[Base].[Importe]",
TDinamica_R!$A$5,
"[Calendario].[AñoMes]",
"[Calendario].[AñoMes].&amp;[" &amp; TEXT(AA$6,"yyyymm") &amp; "]",
"[Base].[Metrica]",
"[Base].[Metrica].&amp;[" &amp; $A57 &amp; "]",
"[Base].[SEGMENTO_DESCRIP]",
"[Base].[SEGMENTO_DESCRIP].&amp;[" &amp; $C$6 &amp; "]",
"[Base].[SITUACION]",
"[Base].[SITUACION].&amp;[" &amp; $C57 &amp; "]"
),0)/1000</f>
        <v>106.29020000000001</v>
      </c>
      <c r="AB57" s="8">
        <f>IFERROR(
GETPIVOTDATA(
"[Base].[Importe]",
TDinamica_R!$A$5,
"[Calendario].[AñoMes]",
"[Calendario].[AñoMes].&amp;[" &amp; TEXT(AB$6,"yyyymm") &amp; "]",
"[Base].[Metrica]",
"[Base].[Metrica].&amp;[" &amp; $A57 &amp; "]",
"[Base].[SEGMENTO_DESCRIP]",
"[Base].[SEGMENTO_DESCRIP].&amp;[" &amp; $C$6 &amp; "]",
"[Base].[SITUACION]",
"[Base].[SITUACION].&amp;[" &amp; $C57 &amp; "]"
),0)/1000</f>
        <v>318.37099999999998</v>
      </c>
      <c r="AC57" s="8">
        <f>IFERROR(
GETPIVOTDATA(
"[Base].[Importe]",
TDinamica_R!$A$5,
"[Calendario].[AñoMes]",
"[Calendario].[AñoMes].&amp;[" &amp; TEXT(AC$6,"yyyymm") &amp; "]",
"[Base].[Metrica]",
"[Base].[Metrica].&amp;[" &amp; $A57 &amp; "]",
"[Base].[SEGMENTO_DESCRIP]",
"[Base].[SEGMENTO_DESCRIP].&amp;[" &amp; $C$6 &amp; "]",
"[Base].[SITUACION]",
"[Base].[SITUACION].&amp;[" &amp; $C57 &amp; "]"
),0)/1000</f>
        <v>182.39646999999999</v>
      </c>
      <c r="AD57" s="8">
        <f>IFERROR(
GETPIVOTDATA(
"[Base].[Importe]",
TDinamica_R!$A$5,
"[Calendario].[AñoMes]",
"[Calendario].[AñoMes].&amp;[" &amp; TEXT(AD$6,"yyyymm") &amp; "]",
"[Base].[Metrica]",
"[Base].[Metrica].&amp;[" &amp; $A57 &amp; "]",
"[Base].[SEGMENTO_DESCRIP]",
"[Base].[SEGMENTO_DESCRIP].&amp;[" &amp; $C$6 &amp; "]",
"[Base].[SITUACION]",
"[Base].[SITUACION].&amp;[" &amp; $C57 &amp; "]"
),0)/1000</f>
        <v>160.78278</v>
      </c>
      <c r="AE57" s="8">
        <f>IFERROR(
GETPIVOTDATA(
"[Base].[Importe]",
TDinamica_R!$A$5,
"[Calendario].[AñoMes]",
"[Calendario].[AñoMes].&amp;[" &amp; TEXT(AE$6,"yyyymm") &amp; "]",
"[Base].[Metrica]",
"[Base].[Metrica].&amp;[" &amp; $A57 &amp; "]",
"[Base].[SEGMENTO_DESCRIP]",
"[Base].[SEGMENTO_DESCRIP].&amp;[" &amp; $C$6 &amp; "]",
"[Base].[SITUACION]",
"[Base].[SITUACION].&amp;[" &amp; $C57 &amp; "]"
),0)/1000</f>
        <v>77.302989999999994</v>
      </c>
      <c r="AF57" s="8">
        <f>IFERROR(
GETPIVOTDATA(
"[Base].[Importe]",
TDinamica_R!$A$5,
"[Calendario].[AñoMes]",
"[Calendario].[AñoMes].&amp;[" &amp; TEXT(AF$6,"yyyymm") &amp; "]",
"[Base].[Metrica]",
"[Base].[Metrica].&amp;[" &amp; $A57 &amp; "]",
"[Base].[SEGMENTO_DESCRIP]",
"[Base].[SEGMENTO_DESCRIP].&amp;[" &amp; $C$6 &amp; "]",
"[Base].[SITUACION]",
"[Base].[SITUACION].&amp;[" &amp; $C57 &amp; "]"
),0)/1000</f>
        <v>73.556029999999993</v>
      </c>
      <c r="AG57" s="8">
        <f>IFERROR(
GETPIVOTDATA(
"[Base].[Importe]",
TDinamica_R!$A$5,
"[Calendario].[AñoMes]",
"[Calendario].[AñoMes].&amp;[" &amp; TEXT(AG$6,"yyyymm") &amp; "]",
"[Base].[Metrica]",
"[Base].[Metrica].&amp;[" &amp; $A57 &amp; "]",
"[Base].[SEGMENTO_DESCRIP]",
"[Base].[SEGMENTO_DESCRIP].&amp;[" &amp; $C$6 &amp; "]",
"[Base].[SITUACION]",
"[Base].[SITUACION].&amp;[" &amp; $C57 &amp; "]"
),0)/1000</f>
        <v>85.234940000000009</v>
      </c>
      <c r="AH57" s="8">
        <f>IFERROR(
GETPIVOTDATA(
"[Base].[Importe]",
TDinamica_R!$A$5,
"[Calendario].[AñoMes]",
"[Calendario].[AñoMes].&amp;[" &amp; TEXT(AH$6,"yyyymm") &amp; "]",
"[Base].[Metrica]",
"[Base].[Metrica].&amp;[" &amp; $A57 &amp; "]",
"[Base].[SEGMENTO_DESCRIP]",
"[Base].[SEGMENTO_DESCRIP].&amp;[" &amp; $C$6 &amp; "]",
"[Base].[SITUACION]",
"[Base].[SITUACION].&amp;[" &amp; $C57 &amp; "]"
),0)/1000</f>
        <v>59.551880000000004</v>
      </c>
      <c r="AI57" s="8">
        <f>IFERROR(
GETPIVOTDATA(
"[Base].[Importe]",
TDinamica_R!$A$5,
"[Calendario].[AñoMes]",
"[Calendario].[AñoMes].&amp;[" &amp; TEXT(AI$6,"yyyymm") &amp; "]",
"[Base].[Metrica]",
"[Base].[Metrica].&amp;[" &amp; $A57 &amp; "]",
"[Base].[SEGMENTO_DESCRIP]",
"[Base].[SEGMENTO_DESCRIP].&amp;[" &amp; $C$6 &amp; "]",
"[Base].[SITUACION]",
"[Base].[SITUACION].&amp;[" &amp; $C57 &amp; "]"
),0)/1000</f>
        <v>69.574029999999993</v>
      </c>
      <c r="AJ57" s="8">
        <f>IFERROR(
GETPIVOTDATA(
"[Base].[Importe]",
TDinamica_R!$A$5,
"[Calendario].[AñoMes]",
"[Calendario].[AñoMes].&amp;[" &amp; TEXT(AJ$6,"yyyymm") &amp; "]",
"[Base].[Metrica]",
"[Base].[Metrica].&amp;[" &amp; $A57 &amp; "]",
"[Base].[SEGMENTO_DESCRIP]",
"[Base].[SEGMENTO_DESCRIP].&amp;[" &amp; $C$6 &amp; "]",
"[Base].[SITUACION]",
"[Base].[SITUACION].&amp;[" &amp; $C57 &amp; "]"
),0)/1000</f>
        <v>70.489509999999996</v>
      </c>
      <c r="AK57" s="8">
        <f>IFERROR(
GETPIVOTDATA(
"[Base].[Importe]",
TDinamica_R!$A$5,
"[Calendario].[AñoMes]",
"[Calendario].[AñoMes].&amp;[" &amp; TEXT(AK$6,"yyyymm") &amp; "]",
"[Base].[Metrica]",
"[Base].[Metrica].&amp;[" &amp; $A57 &amp; "]",
"[Base].[SEGMENTO_DESCRIP]",
"[Base].[SEGMENTO_DESCRIP].&amp;[" &amp; $C$6 &amp; "]",
"[Base].[SITUACION]",
"[Base].[SITUACION].&amp;[" &amp; $C57 &amp; "]"
),0)/1000</f>
        <v>74.89755000000001</v>
      </c>
      <c r="AL57" s="8">
        <f>IFERROR(
GETPIVOTDATA(
"[Base].[Importe]",
TDinamica_R!$A$5,
"[Calendario].[AñoMes]",
"[Calendario].[AñoMes].&amp;[" &amp; TEXT(AL$6,"yyyymm") &amp; "]",
"[Base].[Metrica]",
"[Base].[Metrica].&amp;[" &amp; $A57 &amp; "]",
"[Base].[SEGMENTO_DESCRIP]",
"[Base].[SEGMENTO_DESCRIP].&amp;[" &amp; $C$6 &amp; "]",
"[Base].[SITUACION]",
"[Base].[SITUACION].&amp;[" &amp; $C57 &amp; "]"
),0)/1000</f>
        <v>60.522040000000004</v>
      </c>
      <c r="AM57" s="8">
        <f>IFERROR(
GETPIVOTDATA(
"[Base].[Importe]",
TDinamica_R!$A$5,
"[Calendario].[AñoMes]",
"[Calendario].[AñoMes].&amp;[" &amp; TEXT(AM$6,"yyyymm") &amp; "]",
"[Base].[Metrica]",
"[Base].[Metrica].&amp;[" &amp; $A57 &amp; "]",
"[Base].[SEGMENTO_DESCRIP]",
"[Base].[SEGMENTO_DESCRIP].&amp;[" &amp; $C$6 &amp; "]",
"[Base].[SITUACION]",
"[Base].[SITUACION].&amp;[" &amp; $C57 &amp; "]"
),0)/1000</f>
        <v>-9.1111000000029012</v>
      </c>
      <c r="AN57" s="8">
        <f>IFERROR(
GETPIVOTDATA(
"[Base].[Importe]",
TDinamica_R!$A$5,
"[Calendario].[AñoMes]",
"[Calendario].[AñoMes].&amp;[" &amp; TEXT(AN$6,"yyyymm") &amp; "]",
"[Base].[Metrica]",
"[Base].[Metrica].&amp;[" &amp; $A57 &amp; "]",
"[Base].[SEGMENTO_DESCRIP]",
"[Base].[SEGMENTO_DESCRIP].&amp;[" &amp; $C$6 &amp; "]",
"[Base].[SITUACION]",
"[Base].[SITUACION].&amp;[" &amp; $C57 &amp; "]"
),0)/1000</f>
        <v>67.621610000000004</v>
      </c>
      <c r="AO57" s="8">
        <f>IFERROR(
GETPIVOTDATA(
"[Base].[Importe]",
TDinamica_R!$A$5,
"[Calendario].[AñoMes]",
"[Calendario].[AñoMes].&amp;[" &amp; TEXT(AO$6,"yyyymm") &amp; "]",
"[Base].[Metrica]",
"[Base].[Metrica].&amp;[" &amp; $A57 &amp; "]",
"[Base].[SEGMENTO_DESCRIP]",
"[Base].[SEGMENTO_DESCRIP].&amp;[" &amp; $C$6 &amp; "]",
"[Base].[SITUACION]",
"[Base].[SITUACION].&amp;[" &amp; $C57 &amp; "]"
),0)/1000</f>
        <v>83.441369999999992</v>
      </c>
      <c r="AP57" s="8">
        <f>IFERROR(
GETPIVOTDATA(
"[Base].[Importe]",
TDinamica_R!$A$5,
"[Calendario].[AñoMes]",
"[Calendario].[AñoMes].&amp;[" &amp; TEXT(AP$6,"yyyymm") &amp; "]",
"[Base].[Metrica]",
"[Base].[Metrica].&amp;[" &amp; $A57 &amp; "]",
"[Base].[SEGMENTO_DESCRIP]",
"[Base].[SEGMENTO_DESCRIP].&amp;[" &amp; $C$6 &amp; "]",
"[Base].[SITUACION]",
"[Base].[SITUACION].&amp;[" &amp; $C57 &amp; "]"
),0)/1000</f>
        <v>72.598830000000007</v>
      </c>
      <c r="AQ57" s="8">
        <f>IFERROR(
GETPIVOTDATA(
"[Base].[Importe]",
TDinamica_R!$A$5,
"[Calendario].[AñoMes]",
"[Calendario].[AñoMes].&amp;[" &amp; TEXT(AQ$6,"yyyymm") &amp; "]",
"[Base].[Metrica]",
"[Base].[Metrica].&amp;[" &amp; $A57 &amp; "]",
"[Base].[SEGMENTO_DESCRIP]",
"[Base].[SEGMENTO_DESCRIP].&amp;[" &amp; $C$6 &amp; "]",
"[Base].[SITUACION]",
"[Base].[SITUACION].&amp;[" &amp; $C57 &amp; "]"
),0)/1000</f>
        <v>97.201630000000009</v>
      </c>
      <c r="AR57" s="8">
        <f>IFERROR(
GETPIVOTDATA(
"[Base].[Importe]",
TDinamica_R!$A$5,
"[Calendario].[AñoMes]",
"[Calendario].[AñoMes].&amp;[" &amp; TEXT(AR$6,"yyyymm") &amp; "]",
"[Base].[Metrica]",
"[Base].[Metrica].&amp;[" &amp; $A57 &amp; "]",
"[Base].[SEGMENTO_DESCRIP]",
"[Base].[SEGMENTO_DESCRIP].&amp;[" &amp; $C$6 &amp; "]",
"[Base].[SITUACION]",
"[Base].[SITUACION].&amp;[" &amp; $C57 &amp; "]"
),0)/1000</f>
        <v>88.716920000000002</v>
      </c>
      <c r="AS57" s="8">
        <f>IFERROR(
GETPIVOTDATA(
"[Base].[Importe]",
TDinamica_R!$A$5,
"[Calendario].[AñoMes]",
"[Calendario].[AñoMes].&amp;[" &amp; TEXT(AS$6,"yyyymm") &amp; "]",
"[Base].[Metrica]",
"[Base].[Metrica].&amp;[" &amp; $A57 &amp; "]",
"[Base].[SEGMENTO_DESCRIP]",
"[Base].[SEGMENTO_DESCRIP].&amp;[" &amp; $C$6 &amp; "]",
"[Base].[SITUACION]",
"[Base].[SITUACION].&amp;[" &amp; $C57 &amp; "]"
),0)/1000</f>
        <v>89.159589999999994</v>
      </c>
      <c r="AT57" s="8">
        <f>IFERROR(
GETPIVOTDATA(
"[Base].[Importe]",
TDinamica_R!$A$5,
"[Calendario].[AñoMes]",
"[Calendario].[AñoMes].&amp;[" &amp; TEXT(AT$6,"yyyymm")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U57" s="8">
        <f>IFERROR(
GETPIVOTDATA(
"[Base].[Importe]",
TDinamica_R!$A$5,
"[Calendario].[AñoMes]",
"[Calendario].[AñoMes].&amp;[" &amp; TEXT(AU$6,"yyyymm")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V57" s="8">
        <f>IFERROR(
GETPIVOTDATA(
"[Base].[Importe]",
TDinamica_R!$A$5,
"[Calendario].[AñoMes]",
"[Calendario].[AñoMes].&amp;[" &amp; TEXT(AV$6,"yyyymm")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W57" s="8">
        <f>IFERROR(
GETPIVOTDATA(
"[Base].[Importe]",
TDinamica_R!$A$5,
"[Calendario].[AñoMes]",
"[Calendario].[AñoMes].&amp;[" &amp; TEXT(AW$6,"yyyymm")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X57" s="8">
        <f>IFERROR(
GETPIVOTDATA(
"[Base].[Importe]",
TDinamica_R!$A$5,
"[Calendario].[AñoMes]",
"[Calendario].[AñoMes].&amp;[" &amp; TEXT(AX$6,"yyyymm")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Y57" s="8">
        <f>IFERROR(
GETPIVOTDATA(
"[Base].[Importe]",
TDinamica_R!$A$5,
"[Calendario].[AñoMes]",
"[Calendario].[AñoMes].&amp;[" &amp; TEXT(AY$6,"yyyymm")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Z57" s="8">
        <f>IFERROR(
GETPIVOTDATA(
"[BASE_CONVE_PPTO].[Importe]",
TDinamica_P!$A$5,
"[BASE_CONVE_PPTO].[Periodo]",
"[BASE_CONVE_PPTO].[Periodo].&amp;[" &amp; TEXT(AZ$6,"yyyymm")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139.67923106383125</v>
      </c>
      <c r="BA57" s="8">
        <f>IFERROR(
GETPIVOTDATA(
"[BASE_CONVE_PPTO].[Importe]",
TDinamica_P!$A$5,
"[BASE_CONVE_PPTO].[Periodo]",
"[BASE_CONVE_PPTO].[Periodo].&amp;[" &amp; TEXT(BA$6,"yyyymm")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182.35159483819572</v>
      </c>
      <c r="BB57" s="8">
        <f>IFERROR(
GETPIVOTDATA(
"[BASE_CONVE_PPTO].[Importe]",
TDinamica_P!$A$5,
"[BASE_CONVE_PPTO].[Periodo]",
"[BASE_CONVE_PPTO].[Periodo].&amp;[" &amp; TEXT(BB$6,"yyyymm")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111.18123777138717</v>
      </c>
      <c r="BC57" s="8">
        <f>IFERROR(
GETPIVOTDATA(
"[BASE_CONVE_PPTO].[Importe]",
TDinamica_P!$A$5,
"[BASE_CONVE_PPTO].[Periodo]",
"[BASE_CONVE_PPTO].[Periodo].&amp;[" &amp; TEXT(BC$6,"yyyymm")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134.03605514248358</v>
      </c>
      <c r="BD57" s="8">
        <f>IFERROR(
GETPIVOTDATA(
"[BASE_CONVE_PPTO].[Importe]",
TDinamica_P!$A$5,
"[BASE_CONVE_PPTO].[Periodo]",
"[BASE_CONVE_PPTO].[Periodo].&amp;[" &amp; TEXT(BD$6,"yyyymm")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216.15398742080291</v>
      </c>
      <c r="BE57" s="8">
        <f>IFERROR(
GETPIVOTDATA(
"[BASE_CONVE_PPTO].[Importe]",
TDinamica_P!$A$5,
"[BASE_CONVE_PPTO].[Periodo]",
"[BASE_CONVE_PPTO].[Periodo].&amp;[" &amp; TEXT(BE$6,"yyyymm")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186.82014661148656</v>
      </c>
      <c r="BF57" s="8">
        <f>IFERROR(
GETPIVOTDATA(
"[BASE_CONVE_PPTO].[Importe]",
TDinamica_P!$A$5,
"[BASE_CONVE_PPTO].[Periodo]",
"[BASE_CONVE_PPTO].[Periodo].&amp;[" &amp; TEXT(BF$6,"yyyymm")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95.64740482245314</v>
      </c>
      <c r="BG57" s="8">
        <f>IFERROR(
GETPIVOTDATA(
"[BASE_CONVE_PPTO].[Importe]",
TDinamica_P!$A$5,
"[BASE_CONVE_PPTO].[Periodo]",
"[BASE_CONVE_PPTO].[Periodo].&amp;[" &amp; TEXT(BG$6,"yyyymm")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111.35586403187666</v>
      </c>
      <c r="BH57" s="8">
        <f>IFERROR(
GETPIVOTDATA(
"[BASE_CONVE_PPTO].[Importe]",
TDinamica_P!$A$5,
"[BASE_CONVE_PPTO].[Periodo]",
"[BASE_CONVE_PPTO].[Periodo].&amp;[" &amp; TEXT(BH$6,"yyyymm")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291.35044810791339</v>
      </c>
      <c r="BI57" s="8">
        <f>IFERROR(
GETPIVOTDATA(
"[BASE_CONVE_PPTO].[Importe]",
TDinamica_P!$A$5,
"[BASE_CONVE_PPTO].[Periodo]",
"[BASE_CONVE_PPTO].[Periodo].&amp;[" &amp; TEXT(BI$6,"yyyymm")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290.64517716325099</v>
      </c>
      <c r="BJ57" s="8">
        <f>IFERROR(
GETPIVOTDATA(
"[BASE_CONVE_PPTO].[Importe]",
TDinamica_P!$A$5,
"[BASE_CONVE_PPTO].[Periodo]",
"[BASE_CONVE_PPTO].[Periodo].&amp;[" &amp; TEXT(BJ$6,"yyyymm")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155.36857137676512</v>
      </c>
      <c r="BK57" s="8">
        <f>IFERROR(
GETPIVOTDATA(
"[BASE_CONVE_PPTO].[Importe]",
TDinamica_P!$A$5,
"[BASE_CONVE_PPTO].[Periodo]",
"[BASE_CONVE_PPTO].[Periodo].&amp;[" &amp; TEXT(BK$6,"yyyymm") &amp; "]",
"[BASE_CONVE_PPTO].[Metrica]",
"[BASE_CONVE_PPTO].[Metrica].&amp;[" &amp; $A57 &amp; "]",
"[BASE_CONVE_PPTO].[SEGMENTO_DESCRIP]",
"[BASE_CONVE_PPTO].[SEGMENTO_DESCRIP].&amp;[" &amp; $C$6 &amp; "]",
"[BASE_CONVE_PPTO].[SITUACION]",
"[BASE_CONVE_PPTO].[SITUACION].&amp;[" &amp; $C57 &amp; "]"),
0)</f>
        <v>244.23006100084353</v>
      </c>
      <c r="BO57" s="24">
        <f t="shared" si="43"/>
        <v>409.58036000000004</v>
      </c>
      <c r="BP57" s="24">
        <f t="shared" si="43"/>
        <v>783.40210623670055</v>
      </c>
      <c r="BQ57" s="24">
        <f t="shared" si="43"/>
        <v>320.86344000000003</v>
      </c>
      <c r="BR57" s="24">
        <f t="shared" si="43"/>
        <v>812.40926999999999</v>
      </c>
      <c r="BS57" s="24">
        <f t="shared" si="43"/>
        <v>928.24581000000001</v>
      </c>
      <c r="BT57" s="24">
        <f t="shared" si="43"/>
        <v>1294.2479494288987</v>
      </c>
    </row>
    <row r="58" spans="1:72" x14ac:dyDescent="0.25">
      <c r="C58" s="3" t="s">
        <v>68</v>
      </c>
      <c r="D58" s="10">
        <f t="shared" ref="D58:AY58" si="44">SUM(D56:D57)</f>
        <v>-723.9746823259045</v>
      </c>
      <c r="E58" s="10">
        <f t="shared" si="44"/>
        <v>-227.41862993951037</v>
      </c>
      <c r="F58" s="10">
        <f t="shared" si="44"/>
        <v>-456.3254883420804</v>
      </c>
      <c r="G58" s="10">
        <f t="shared" si="44"/>
        <v>-571.00427083479781</v>
      </c>
      <c r="H58" s="10">
        <f t="shared" si="44"/>
        <v>-259.46943912878487</v>
      </c>
      <c r="I58" s="10">
        <f t="shared" si="44"/>
        <v>-266.69909933137211</v>
      </c>
      <c r="J58" s="10">
        <f t="shared" si="44"/>
        <v>-228.83373307133314</v>
      </c>
      <c r="K58" s="10">
        <f t="shared" si="44"/>
        <v>-386.00985026868642</v>
      </c>
      <c r="L58" s="10">
        <f t="shared" si="44"/>
        <v>-118.82835209119145</v>
      </c>
      <c r="M58" s="10">
        <f t="shared" si="44"/>
        <v>-585.42740627761862</v>
      </c>
      <c r="N58" s="10">
        <f t="shared" si="44"/>
        <v>-257.53783939678209</v>
      </c>
      <c r="O58" s="10">
        <f t="shared" si="44"/>
        <v>-618.09833777321069</v>
      </c>
      <c r="P58" s="10">
        <f t="shared" si="44"/>
        <v>-478.97074000000839</v>
      </c>
      <c r="Q58" s="10">
        <f t="shared" si="44"/>
        <v>-45.343609999998989</v>
      </c>
      <c r="R58" s="10">
        <f t="shared" si="44"/>
        <v>-351.94194000000221</v>
      </c>
      <c r="S58" s="10">
        <f t="shared" si="44"/>
        <v>-274.00969000001101</v>
      </c>
      <c r="T58" s="10">
        <f t="shared" si="44"/>
        <v>-63.013429999999971</v>
      </c>
      <c r="U58" s="10">
        <f t="shared" si="44"/>
        <v>-340.21042000001103</v>
      </c>
      <c r="V58" s="10">
        <f t="shared" si="44"/>
        <v>-420.86988999999073</v>
      </c>
      <c r="W58" s="10">
        <f t="shared" si="44"/>
        <v>-143.92241000000919</v>
      </c>
      <c r="X58" s="10">
        <f t="shared" si="44"/>
        <v>-222.95353999999128</v>
      </c>
      <c r="Y58" s="10">
        <f t="shared" si="44"/>
        <v>-195.88954999998839</v>
      </c>
      <c r="Z58" s="10">
        <f t="shared" si="44"/>
        <v>-68.107669999999445</v>
      </c>
      <c r="AA58" s="10">
        <f t="shared" si="44"/>
        <v>-297.27954999999821</v>
      </c>
      <c r="AB58" s="10">
        <f t="shared" si="44"/>
        <v>-263.3774099999905</v>
      </c>
      <c r="AC58" s="10">
        <f t="shared" si="44"/>
        <v>-120.22388000000936</v>
      </c>
      <c r="AD58" s="10">
        <f t="shared" si="44"/>
        <v>-207.52728999999999</v>
      </c>
      <c r="AE58" s="10">
        <f t="shared" si="44"/>
        <v>-171.56053000000003</v>
      </c>
      <c r="AF58" s="10">
        <f t="shared" si="44"/>
        <v>-409.59835999999996</v>
      </c>
      <c r="AG58" s="10">
        <f t="shared" si="44"/>
        <v>-284.49056999999999</v>
      </c>
      <c r="AH58" s="10">
        <f t="shared" si="44"/>
        <v>-324.99452000000002</v>
      </c>
      <c r="AI58" s="10">
        <f t="shared" si="44"/>
        <v>-274.11360000000002</v>
      </c>
      <c r="AJ58" s="10">
        <f t="shared" si="44"/>
        <v>-211.83445</v>
      </c>
      <c r="AK58" s="10">
        <f t="shared" si="44"/>
        <v>-553.19884000000002</v>
      </c>
      <c r="AL58" s="10">
        <f t="shared" si="44"/>
        <v>-121.43325999999999</v>
      </c>
      <c r="AM58" s="10">
        <f t="shared" si="44"/>
        <v>-462.99153000000291</v>
      </c>
      <c r="AN58" s="10">
        <f t="shared" si="44"/>
        <v>-164.41248999999999</v>
      </c>
      <c r="AO58" s="10">
        <f t="shared" si="44"/>
        <v>-205.69290000000001</v>
      </c>
      <c r="AP58" s="10">
        <f t="shared" si="44"/>
        <v>-416.22173603327172</v>
      </c>
      <c r="AQ58" s="10">
        <f t="shared" si="44"/>
        <v>-201.61816999999996</v>
      </c>
      <c r="AR58" s="10">
        <f t="shared" si="44"/>
        <v>-333.37328000000002</v>
      </c>
      <c r="AS58" s="10">
        <f t="shared" si="44"/>
        <v>-312.64450999999997</v>
      </c>
      <c r="AT58" s="10">
        <f t="shared" si="44"/>
        <v>0</v>
      </c>
      <c r="AU58" s="10">
        <f t="shared" si="44"/>
        <v>0</v>
      </c>
      <c r="AV58" s="10">
        <f t="shared" si="44"/>
        <v>0</v>
      </c>
      <c r="AW58" s="10">
        <f t="shared" si="44"/>
        <v>0</v>
      </c>
      <c r="AX58" s="10">
        <f t="shared" si="44"/>
        <v>0</v>
      </c>
      <c r="AY58" s="10">
        <f t="shared" si="44"/>
        <v>0</v>
      </c>
      <c r="AZ58" s="10">
        <f t="shared" ref="AZ58:BK58" si="45">SUM(AZ56:AZ57)</f>
        <v>-163.20510598128544</v>
      </c>
      <c r="BA58" s="10">
        <f t="shared" si="45"/>
        <v>-116.62626892428366</v>
      </c>
      <c r="BB58" s="10">
        <f t="shared" si="45"/>
        <v>-194.17426051593944</v>
      </c>
      <c r="BC58" s="10">
        <f t="shared" si="45"/>
        <v>-149.38961022685419</v>
      </c>
      <c r="BD58" s="10">
        <f t="shared" si="45"/>
        <v>-60.342663065100822</v>
      </c>
      <c r="BE58" s="10">
        <f t="shared" si="45"/>
        <v>-96.578592620684674</v>
      </c>
      <c r="BF58" s="10">
        <f t="shared" si="45"/>
        <v>-186.32109832861153</v>
      </c>
      <c r="BG58" s="10">
        <f t="shared" si="45"/>
        <v>-241.83142806574216</v>
      </c>
      <c r="BH58" s="10">
        <f t="shared" si="45"/>
        <v>40.589947122863151</v>
      </c>
      <c r="BI58" s="10">
        <f t="shared" si="45"/>
        <v>20.308868324098796</v>
      </c>
      <c r="BJ58" s="10">
        <f t="shared" si="45"/>
        <v>-119.02447088925626</v>
      </c>
      <c r="BK58" s="10">
        <f t="shared" si="45"/>
        <v>-16.114057738294377</v>
      </c>
      <c r="BO58" s="23">
        <f>SUM(BO56:BO57)</f>
        <v>-1321.3185760332717</v>
      </c>
      <c r="BP58" s="23">
        <f t="shared" ref="BP58:BT58" si="46">SUM(BP56:BP57)</f>
        <v>-683.73790871346364</v>
      </c>
      <c r="BQ58" s="23">
        <f t="shared" si="46"/>
        <v>-987.94529603327169</v>
      </c>
      <c r="BR58" s="23">
        <f t="shared" si="46"/>
        <v>-1172.2874699999998</v>
      </c>
      <c r="BS58" s="23">
        <f t="shared" si="46"/>
        <v>-1213.2794100000206</v>
      </c>
      <c r="BT58" s="23">
        <f t="shared" si="46"/>
        <v>-2238.1925105710784</v>
      </c>
    </row>
    <row r="60" spans="1:72" x14ac:dyDescent="0.25">
      <c r="C60" s="3" t="s">
        <v>70</v>
      </c>
      <c r="D60" s="10">
        <f>D53+D58</f>
        <v>-136.21712434590427</v>
      </c>
      <c r="E60" s="10">
        <f t="shared" ref="E60:BK60" si="47">E53+E58</f>
        <v>469.73523249048975</v>
      </c>
      <c r="F60" s="10">
        <f t="shared" si="47"/>
        <v>101.21709926791942</v>
      </c>
      <c r="G60" s="10">
        <f t="shared" si="47"/>
        <v>37.76271998520258</v>
      </c>
      <c r="H60" s="10">
        <f t="shared" si="47"/>
        <v>302.50956385121503</v>
      </c>
      <c r="I60" s="10">
        <f t="shared" si="47"/>
        <v>355.29534966862792</v>
      </c>
      <c r="J60" s="10">
        <f t="shared" si="47"/>
        <v>352.20537347866679</v>
      </c>
      <c r="K60" s="10">
        <f t="shared" si="47"/>
        <v>188.00316138131365</v>
      </c>
      <c r="L60" s="10">
        <f t="shared" si="47"/>
        <v>487.95227895880834</v>
      </c>
      <c r="M60" s="10">
        <f t="shared" si="47"/>
        <v>-30.051180377618607</v>
      </c>
      <c r="N60" s="10">
        <f t="shared" si="47"/>
        <v>308.28988053321797</v>
      </c>
      <c r="O60" s="10">
        <f t="shared" si="47"/>
        <v>-88.754969103210783</v>
      </c>
      <c r="P60" s="10">
        <f t="shared" si="47"/>
        <v>41.83474403999162</v>
      </c>
      <c r="Q60" s="10">
        <f t="shared" si="47"/>
        <v>543.45566460000089</v>
      </c>
      <c r="R60" s="10">
        <f t="shared" si="47"/>
        <v>180.59988891999797</v>
      </c>
      <c r="S60" s="10">
        <f t="shared" si="47"/>
        <v>286.20055669998874</v>
      </c>
      <c r="T60" s="10">
        <f t="shared" si="47"/>
        <v>479.44744753999953</v>
      </c>
      <c r="U60" s="10">
        <f t="shared" si="47"/>
        <v>247.58988972998895</v>
      </c>
      <c r="V60" s="10">
        <f t="shared" si="47"/>
        <v>130.80382815000871</v>
      </c>
      <c r="W60" s="10">
        <f t="shared" si="47"/>
        <v>411.09545065999066</v>
      </c>
      <c r="X60" s="10">
        <f t="shared" si="47"/>
        <v>358.09265242000851</v>
      </c>
      <c r="Y60" s="10">
        <f t="shared" si="47"/>
        <v>375.87722424001163</v>
      </c>
      <c r="Z60" s="10">
        <f t="shared" si="47"/>
        <v>485.1988194200004</v>
      </c>
      <c r="AA60" s="10">
        <f t="shared" si="47"/>
        <v>189.4996357700017</v>
      </c>
      <c r="AB60" s="10">
        <f t="shared" si="47"/>
        <v>216.6763874500092</v>
      </c>
      <c r="AC60" s="10">
        <f t="shared" si="47"/>
        <v>403.48619422999082</v>
      </c>
      <c r="AD60" s="10">
        <f t="shared" si="47"/>
        <v>257.1783416300002</v>
      </c>
      <c r="AE60" s="10">
        <f t="shared" si="47"/>
        <v>311.07687607000008</v>
      </c>
      <c r="AF60" s="10">
        <f t="shared" si="47"/>
        <v>59.626337339999964</v>
      </c>
      <c r="AG60" s="10">
        <f t="shared" si="47"/>
        <v>210.77502143999976</v>
      </c>
      <c r="AH60" s="10">
        <f t="shared" si="47"/>
        <v>200.47903627000022</v>
      </c>
      <c r="AI60" s="10">
        <f t="shared" si="47"/>
        <v>278.90188402000001</v>
      </c>
      <c r="AJ60" s="10">
        <f t="shared" si="47"/>
        <v>419.13360710000012</v>
      </c>
      <c r="AK60" s="10">
        <f t="shared" si="47"/>
        <v>77.604542029999948</v>
      </c>
      <c r="AL60" s="10">
        <f t="shared" si="47"/>
        <v>536.54736836000029</v>
      </c>
      <c r="AM60" s="10">
        <f t="shared" si="47"/>
        <v>172.84332285999682</v>
      </c>
      <c r="AN60" s="10">
        <f t="shared" si="47"/>
        <v>439.45156797999999</v>
      </c>
      <c r="AO60" s="10">
        <f t="shared" si="47"/>
        <v>479.63519452999992</v>
      </c>
      <c r="AP60" s="10">
        <f t="shared" si="47"/>
        <v>211.94541062672857</v>
      </c>
      <c r="AQ60" s="10">
        <f t="shared" si="47"/>
        <v>459.41150311999968</v>
      </c>
      <c r="AR60" s="10">
        <f t="shared" si="47"/>
        <v>291.47773439759715</v>
      </c>
      <c r="AS60" s="10">
        <f t="shared" si="47"/>
        <v>336.81986268999992</v>
      </c>
      <c r="AT60" s="10">
        <f t="shared" si="47"/>
        <v>0</v>
      </c>
      <c r="AU60" s="10">
        <f t="shared" si="47"/>
        <v>0</v>
      </c>
      <c r="AV60" s="10">
        <f t="shared" si="47"/>
        <v>0</v>
      </c>
      <c r="AW60" s="10">
        <f t="shared" si="47"/>
        <v>0</v>
      </c>
      <c r="AX60" s="10">
        <f t="shared" si="47"/>
        <v>0</v>
      </c>
      <c r="AY60" s="10">
        <f t="shared" si="47"/>
        <v>0</v>
      </c>
      <c r="AZ60" s="10">
        <f t="shared" si="47"/>
        <v>409.87700832687506</v>
      </c>
      <c r="BA60" s="10">
        <f t="shared" si="47"/>
        <v>535.10553956766626</v>
      </c>
      <c r="BB60" s="10">
        <f t="shared" si="47"/>
        <v>394.02768336686631</v>
      </c>
      <c r="BC60" s="10">
        <f t="shared" si="47"/>
        <v>473.09344117323849</v>
      </c>
      <c r="BD60" s="10">
        <f t="shared" si="47"/>
        <v>541.48715640647777</v>
      </c>
      <c r="BE60" s="10">
        <f t="shared" si="47"/>
        <v>537.21205051759284</v>
      </c>
      <c r="BF60" s="10">
        <f t="shared" si="47"/>
        <v>441.23480139829354</v>
      </c>
      <c r="BG60" s="10">
        <f t="shared" si="47"/>
        <v>394.06299180075013</v>
      </c>
      <c r="BH60" s="10">
        <f t="shared" si="47"/>
        <v>691.11017284985644</v>
      </c>
      <c r="BI60" s="10">
        <f t="shared" si="47"/>
        <v>670.39110076918973</v>
      </c>
      <c r="BJ60" s="10">
        <f t="shared" si="47"/>
        <v>545.92483349710676</v>
      </c>
      <c r="BK60" s="10">
        <f t="shared" si="47"/>
        <v>641.88440379012695</v>
      </c>
      <c r="BO60" s="23">
        <f>BO53+BO58</f>
        <v>1881.9214106543254</v>
      </c>
      <c r="BP60" s="23">
        <f t="shared" ref="BP60:BT60" si="48">BP53+BP58</f>
        <v>2353.5908288411233</v>
      </c>
      <c r="BQ60" s="23">
        <f t="shared" si="48"/>
        <v>1590.4436762567277</v>
      </c>
      <c r="BR60" s="23">
        <f t="shared" si="48"/>
        <v>1248.0441367199992</v>
      </c>
      <c r="BS60" s="23">
        <f t="shared" si="48"/>
        <v>1531.5383017999793</v>
      </c>
      <c r="BT60" s="23">
        <f t="shared" si="48"/>
        <v>775.00749124892172</v>
      </c>
    </row>
    <row r="63" spans="1:72" outlineLevel="1" x14ac:dyDescent="0.25">
      <c r="A63" s="11" t="s">
        <v>71</v>
      </c>
      <c r="C63" s="2" t="s">
        <v>74</v>
      </c>
      <c r="D63" s="8">
        <f>IFERROR(
GETPIVOTDATA(
"[Base].[Importe]",
TDinamica_R!$A$5,
"[Calendario].[AñoMes]",
"[Calendario].[AñoMes].&amp;[" &amp; TEXT(D$6,"yyyymm") &amp; "]",
"[Base].[Metrica]",
"[Base].[Metrica].&amp;[" &amp; $A63 &amp; "]",
"[Base].[SEGMENTO_DESCRIP]",
"[Base].[SEGMENTO_DESCRIP].&amp;[" &amp; $C$6 &amp; "]",
"[Base].[SITUACION]",
"[Base].[SITUACION].&amp;[" &amp; $C63 &amp; "]"
),0)/1000</f>
        <v>15.79771491</v>
      </c>
      <c r="E63" s="8">
        <f>IFERROR(
GETPIVOTDATA(
"[Base].[Importe]",
TDinamica_R!$A$5,
"[Calendario].[AñoMes]",
"[Calendario].[AñoMes].&amp;[" &amp; TEXT(E$6,"yyyymm") &amp; "]",
"[Base].[Metrica]",
"[Base].[Metrica].&amp;[" &amp; $A63 &amp; "]",
"[Base].[SEGMENTO_DESCRIP]",
"[Base].[SEGMENTO_DESCRIP].&amp;[" &amp; $C$6 &amp; "]",
"[Base].[SITUACION]",
"[Base].[SITUACION].&amp;[" &amp; $C63 &amp; "]"
),0)/1000</f>
        <v>12.92977447</v>
      </c>
      <c r="F63" s="8">
        <f>IFERROR(
GETPIVOTDATA(
"[Base].[Importe]",
TDinamica_R!$A$5,
"[Calendario].[AñoMes]",
"[Calendario].[AñoMes].&amp;[" &amp; TEXT(F$6,"yyyymm") &amp; "]",
"[Base].[Metrica]",
"[Base].[Metrica].&amp;[" &amp; $A63 &amp; "]",
"[Base].[SEGMENTO_DESCRIP]",
"[Base].[SEGMENTO_DESCRIP].&amp;[" &amp; $C$6 &amp; "]",
"[Base].[SITUACION]",
"[Base].[SITUACION].&amp;[" &amp; $C63 &amp; "]"
),0)/1000</f>
        <v>14.041589099999999</v>
      </c>
      <c r="G63" s="8">
        <f>IFERROR(
GETPIVOTDATA(
"[Base].[Importe]",
TDinamica_R!$A$5,
"[Calendario].[AñoMes]",
"[Calendario].[AñoMes].&amp;[" &amp; TEXT(G$6,"yyyymm") &amp; "]",
"[Base].[Metrica]",
"[Base].[Metrica].&amp;[" &amp; $A63 &amp; "]",
"[Base].[SEGMENTO_DESCRIP]",
"[Base].[SEGMENTO_DESCRIP].&amp;[" &amp; $C$6 &amp; "]",
"[Base].[SITUACION]",
"[Base].[SITUACION].&amp;[" &amp; $C63 &amp; "]"
),0)/1000</f>
        <v>14.129496</v>
      </c>
      <c r="H63" s="8">
        <f>IFERROR(
GETPIVOTDATA(
"[Base].[Importe]",
TDinamica_R!$A$5,
"[Calendario].[AñoMes]",
"[Calendario].[AñoMes].&amp;[" &amp; TEXT(H$6,"yyyymm") &amp; "]",
"[Base].[Metrica]",
"[Base].[Metrica].&amp;[" &amp; $A63 &amp; "]",
"[Base].[SEGMENTO_DESCRIP]",
"[Base].[SEGMENTO_DESCRIP].&amp;[" &amp; $C$6 &amp; "]",
"[Base].[SITUACION]",
"[Base].[SITUACION].&amp;[" &amp; $C63 &amp; "]"
),0)/1000</f>
        <v>14.37342997</v>
      </c>
      <c r="I63" s="8">
        <f>IFERROR(
GETPIVOTDATA(
"[Base].[Importe]",
TDinamica_R!$A$5,
"[Calendario].[AñoMes]",
"[Calendario].[AñoMes].&amp;[" &amp; TEXT(I$6,"yyyymm") &amp; "]",
"[Base].[Metrica]",
"[Base].[Metrica].&amp;[" &amp; $A63 &amp; "]",
"[Base].[SEGMENTO_DESCRIP]",
"[Base].[SEGMENTO_DESCRIP].&amp;[" &amp; $C$6 &amp; "]",
"[Base].[SITUACION]",
"[Base].[SITUACION].&amp;[" &amp; $C63 &amp; "]"
),0)/1000</f>
        <v>15.40168783</v>
      </c>
      <c r="J63" s="8">
        <f>IFERROR(
GETPIVOTDATA(
"[Base].[Importe]",
TDinamica_R!$A$5,
"[Calendario].[AñoMes]",
"[Calendario].[AñoMes].&amp;[" &amp; TEXT(J$6,"yyyymm") &amp; "]",
"[Base].[Metrica]",
"[Base].[Metrica].&amp;[" &amp; $A63 &amp; "]",
"[Base].[SEGMENTO_DESCRIP]",
"[Base].[SEGMENTO_DESCRIP].&amp;[" &amp; $C$6 &amp; "]",
"[Base].[SITUACION]",
"[Base].[SITUACION].&amp;[" &amp; $C63 &amp; "]"
),0)/1000</f>
        <v>15.409768420000001</v>
      </c>
      <c r="K63" s="8">
        <f>IFERROR(
GETPIVOTDATA(
"[Base].[Importe]",
TDinamica_R!$A$5,
"[Calendario].[AñoMes]",
"[Calendario].[AñoMes].&amp;[" &amp; TEXT(K$6,"yyyymm") &amp; "]",
"[Base].[Metrica]",
"[Base].[Metrica].&amp;[" &amp; $A63 &amp; "]",
"[Base].[SEGMENTO_DESCRIP]",
"[Base].[SEGMENTO_DESCRIP].&amp;[" &amp; $C$6 &amp; "]",
"[Base].[SITUACION]",
"[Base].[SITUACION].&amp;[" &amp; $C63 &amp; "]"
),0)/1000</f>
        <v>15.56046619</v>
      </c>
      <c r="L63" s="8">
        <f>IFERROR(
GETPIVOTDATA(
"[Base].[Importe]",
TDinamica_R!$A$5,
"[Calendario].[AñoMes]",
"[Calendario].[AñoMes].&amp;[" &amp; TEXT(L$6,"yyyymm") &amp; "]",
"[Base].[Metrica]",
"[Base].[Metrica].&amp;[" &amp; $A63 &amp; "]",
"[Base].[SEGMENTO_DESCRIP]",
"[Base].[SEGMENTO_DESCRIP].&amp;[" &amp; $C$6 &amp; "]",
"[Base].[SITUACION]",
"[Base].[SITUACION].&amp;[" &amp; $C63 &amp; "]"
),0)/1000</f>
        <v>15.654559040000001</v>
      </c>
      <c r="M63" s="8">
        <f>IFERROR(
GETPIVOTDATA(
"[Base].[Importe]",
TDinamica_R!$A$5,
"[Calendario].[AñoMes]",
"[Calendario].[AñoMes].&amp;[" &amp; TEXT(M$6,"yyyymm") &amp; "]",
"[Base].[Metrica]",
"[Base].[Metrica].&amp;[" &amp; $A63 &amp; "]",
"[Base].[SEGMENTO_DESCRIP]",
"[Base].[SEGMENTO_DESCRIP].&amp;[" &amp; $C$6 &amp; "]",
"[Base].[SITUACION]",
"[Base].[SITUACION].&amp;[" &amp; $C63 &amp; "]"
),0)/1000</f>
        <v>15.371513820000001</v>
      </c>
      <c r="N63" s="8">
        <f>IFERROR(
GETPIVOTDATA(
"[Base].[Importe]",
TDinamica_R!$A$5,
"[Calendario].[AñoMes]",
"[Calendario].[AñoMes].&amp;[" &amp; TEXT(N$6,"yyyymm") &amp; "]",
"[Base].[Metrica]",
"[Base].[Metrica].&amp;[" &amp; $A63 &amp; "]",
"[Base].[SEGMENTO_DESCRIP]",
"[Base].[SEGMENTO_DESCRIP].&amp;[" &amp; $C$6 &amp; "]",
"[Base].[SITUACION]",
"[Base].[SITUACION].&amp;[" &amp; $C63 &amp; "]"
),0)/1000</f>
        <v>15.2971875</v>
      </c>
      <c r="O63" s="8">
        <f>IFERROR(
GETPIVOTDATA(
"[Base].[Importe]",
TDinamica_R!$A$5,
"[Calendario].[AñoMes]",
"[Calendario].[AñoMes].&amp;[" &amp; TEXT(O$6,"yyyymm") &amp; "]",
"[Base].[Metrica]",
"[Base].[Metrica].&amp;[" &amp; $A63 &amp; "]",
"[Base].[SEGMENTO_DESCRIP]",
"[Base].[SEGMENTO_DESCRIP].&amp;[" &amp; $C$6 &amp; "]",
"[Base].[SITUACION]",
"[Base].[SITUACION].&amp;[" &amp; $C63 &amp; "]"
),0)/1000</f>
        <v>14.762978890000001</v>
      </c>
      <c r="P63" s="8">
        <f>IFERROR(
GETPIVOTDATA(
"[Base].[Importe]",
TDinamica_R!$A$5,
"[Calendario].[AñoMes]",
"[Calendario].[AñoMes].&amp;[" &amp; TEXT(P$6,"yyyymm") &amp; "]",
"[Base].[Metrica]",
"[Base].[Metrica].&amp;[" &amp; $A63 &amp; "]",
"[Base].[SEGMENTO_DESCRIP]",
"[Base].[SEGMENTO_DESCRIP].&amp;[" &amp; $C$6 &amp; "]",
"[Base].[SITUACION]",
"[Base].[SITUACION].&amp;[" &amp; $C63 &amp; "]"
),0)/1000</f>
        <v>14.581901400000001</v>
      </c>
      <c r="Q63" s="8">
        <f>IFERROR(
GETPIVOTDATA(
"[Base].[Importe]",
TDinamica_R!$A$5,
"[Calendario].[AñoMes]",
"[Calendario].[AñoMes].&amp;[" &amp; TEXT(Q$6,"yyyymm") &amp; "]",
"[Base].[Metrica]",
"[Base].[Metrica].&amp;[" &amp; $A63 &amp; "]",
"[Base].[SEGMENTO_DESCRIP]",
"[Base].[SEGMENTO_DESCRIP].&amp;[" &amp; $C$6 &amp; "]",
"[Base].[SITUACION]",
"[Base].[SITUACION].&amp;[" &amp; $C63 &amp; "]"
),0)/1000</f>
        <v>14.3238793</v>
      </c>
      <c r="R63" s="8">
        <f>IFERROR(
GETPIVOTDATA(
"[Base].[Importe]",
TDinamica_R!$A$5,
"[Calendario].[AñoMes]",
"[Calendario].[AñoMes].&amp;[" &amp; TEXT(R$6,"yyyymm") &amp; "]",
"[Base].[Metrica]",
"[Base].[Metrica].&amp;[" &amp; $A63 &amp; "]",
"[Base].[SEGMENTO_DESCRIP]",
"[Base].[SEGMENTO_DESCRIP].&amp;[" &amp; $C$6 &amp; "]",
"[Base].[SITUACION]",
"[Base].[SITUACION].&amp;[" &amp; $C63 &amp; "]"
),0)/1000</f>
        <v>14.16123015</v>
      </c>
      <c r="S63" s="8">
        <f>IFERROR(
GETPIVOTDATA(
"[Base].[Importe]",
TDinamica_R!$A$5,
"[Calendario].[AñoMes]",
"[Calendario].[AñoMes].&amp;[" &amp; TEXT(S$6,"yyyymm") &amp; "]",
"[Base].[Metrica]",
"[Base].[Metrica].&amp;[" &amp; $A63 &amp; "]",
"[Base].[SEGMENTO_DESCRIP]",
"[Base].[SEGMENTO_DESCRIP].&amp;[" &amp; $C$6 &amp; "]",
"[Base].[SITUACION]",
"[Base].[SITUACION].&amp;[" &amp; $C63 &amp; "]"
),0)/1000</f>
        <v>15.354631919999999</v>
      </c>
      <c r="T63" s="8">
        <f>IFERROR(
GETPIVOTDATA(
"[Base].[Importe]",
TDinamica_R!$A$5,
"[Calendario].[AñoMes]",
"[Calendario].[AñoMes].&amp;[" &amp; TEXT(T$6,"yyyymm") &amp; "]",
"[Base].[Metrica]",
"[Base].[Metrica].&amp;[" &amp; $A63 &amp; "]",
"[Base].[SEGMENTO_DESCRIP]",
"[Base].[SEGMENTO_DESCRIP].&amp;[" &amp; $C$6 &amp; "]",
"[Base].[SITUACION]",
"[Base].[SITUACION].&amp;[" &amp; $C63 &amp; "]"
),0)/1000</f>
        <v>13.8082748</v>
      </c>
      <c r="U63" s="8">
        <f>IFERROR(
GETPIVOTDATA(
"[Base].[Importe]",
TDinamica_R!$A$5,
"[Calendario].[AñoMes]",
"[Calendario].[AñoMes].&amp;[" &amp; TEXT(U$6,"yyyymm") &amp; "]",
"[Base].[Metrica]",
"[Base].[Metrica].&amp;[" &amp; $A63 &amp; "]",
"[Base].[SEGMENTO_DESCRIP]",
"[Base].[SEGMENTO_DESCRIP].&amp;[" &amp; $C$6 &amp; "]",
"[Base].[SITUACION]",
"[Base].[SITUACION].&amp;[" &amp; $C63 &amp; "]"
),0)/1000</f>
        <v>14.95704699</v>
      </c>
      <c r="V63" s="8">
        <f>IFERROR(
GETPIVOTDATA(
"[Base].[Importe]",
TDinamica_R!$A$5,
"[Calendario].[AñoMes]",
"[Calendario].[AñoMes].&amp;[" &amp; TEXT(V$6,"yyyymm") &amp; "]",
"[Base].[Metrica]",
"[Base].[Metrica].&amp;[" &amp; $A63 &amp; "]",
"[Base].[SEGMENTO_DESCRIP]",
"[Base].[SEGMENTO_DESCRIP].&amp;[" &amp; $C$6 &amp; "]",
"[Base].[SITUACION]",
"[Base].[SITUACION].&amp;[" &amp; $C63 &amp; "]"
),0)/1000</f>
        <v>14.6450683</v>
      </c>
      <c r="W63" s="8">
        <f>IFERROR(
GETPIVOTDATA(
"[Base].[Importe]",
TDinamica_R!$A$5,
"[Calendario].[AñoMes]",
"[Calendario].[AñoMes].&amp;[" &amp; TEXT(W$6,"yyyymm") &amp; "]",
"[Base].[Metrica]",
"[Base].[Metrica].&amp;[" &amp; $A63 &amp; "]",
"[Base].[SEGMENTO_DESCRIP]",
"[Base].[SEGMENTO_DESCRIP].&amp;[" &amp; $C$6 &amp; "]",
"[Base].[SITUACION]",
"[Base].[SITUACION].&amp;[" &amp; $C63 &amp; "]"
),0)/1000</f>
        <v>14.15530811</v>
      </c>
      <c r="X63" s="8">
        <f>IFERROR(
GETPIVOTDATA(
"[Base].[Importe]",
TDinamica_R!$A$5,
"[Calendario].[AñoMes]",
"[Calendario].[AñoMes].&amp;[" &amp; TEXT(X$6,"yyyymm") &amp; "]",
"[Base].[Metrica]",
"[Base].[Metrica].&amp;[" &amp; $A63 &amp; "]",
"[Base].[SEGMENTO_DESCRIP]",
"[Base].[SEGMENTO_DESCRIP].&amp;[" &amp; $C$6 &amp; "]",
"[Base].[SITUACION]",
"[Base].[SITUACION].&amp;[" &amp; $C63 &amp; "]"
),0)/1000</f>
        <v>29.173295549999999</v>
      </c>
      <c r="Y63" s="8">
        <f>IFERROR(
GETPIVOTDATA(
"[Base].[Importe]",
TDinamica_R!$A$5,
"[Calendario].[AñoMes]",
"[Calendario].[AñoMes].&amp;[" &amp; TEXT(Y$6,"yyyymm") &amp; "]",
"[Base].[Metrica]",
"[Base].[Metrica].&amp;[" &amp; $A63 &amp; "]",
"[Base].[SEGMENTO_DESCRIP]",
"[Base].[SEGMENTO_DESCRIP].&amp;[" &amp; $C$6 &amp; "]",
"[Base].[SITUACION]",
"[Base].[SITUACION].&amp;[" &amp; $C63 &amp; "]"
),0)/1000</f>
        <v>-0.43209397630000002</v>
      </c>
      <c r="Z63" s="8">
        <f>IFERROR(
GETPIVOTDATA(
"[Base].[Importe]",
TDinamica_R!$A$5,
"[Calendario].[AñoMes]",
"[Calendario].[AñoMes].&amp;[" &amp; TEXT(Z$6,"yyyymm") &amp; "]",
"[Base].[Metrica]",
"[Base].[Metrica].&amp;[" &amp; $A63 &amp; "]",
"[Base].[SEGMENTO_DESCRIP]",
"[Base].[SEGMENTO_DESCRIP].&amp;[" &amp; $C$6 &amp; "]",
"[Base].[SITUACION]",
"[Base].[SITUACION].&amp;[" &amp; $C63 &amp; "]"
),0)/1000</f>
        <v>13.33695732</v>
      </c>
      <c r="AA63" s="8">
        <f>IFERROR(
GETPIVOTDATA(
"[Base].[Importe]",
TDinamica_R!$A$5,
"[Calendario].[AñoMes]",
"[Calendario].[AñoMes].&amp;[" &amp; TEXT(AA$6,"yyyymm") &amp; "]",
"[Base].[Metrica]",
"[Base].[Metrica].&amp;[" &amp; $A63 &amp; "]",
"[Base].[SEGMENTO_DESCRIP]",
"[Base].[SEGMENTO_DESCRIP].&amp;[" &amp; $C$6 &amp; "]",
"[Base].[SITUACION]",
"[Base].[SITUACION].&amp;[" &amp; $C63 &amp; "]"
),0)/1000</f>
        <v>12.567969139999999</v>
      </c>
      <c r="AB63" s="8">
        <f>IFERROR(
GETPIVOTDATA(
"[Base].[Importe]",
TDinamica_R!$A$5,
"[Calendario].[AñoMes]",
"[Calendario].[AñoMes].&amp;[" &amp; TEXT(AB$6,"yyyymm") &amp; "]",
"[Base].[Metrica]",
"[Base].[Metrica].&amp;[" &amp; $A63 &amp; "]",
"[Base].[SEGMENTO_DESCRIP]",
"[Base].[SEGMENTO_DESCRIP].&amp;[" &amp; $C$6 &amp; "]",
"[Base].[SITUACION]",
"[Base].[SITUACION].&amp;[" &amp; $C63 &amp; "]"
),0)/1000</f>
        <v>12.757623449999999</v>
      </c>
      <c r="AC63" s="8">
        <f>IFERROR(
GETPIVOTDATA(
"[Base].[Importe]",
TDinamica_R!$A$5,
"[Calendario].[AñoMes]",
"[Calendario].[AñoMes].&amp;[" &amp; TEXT(AC$6,"yyyymm") &amp; "]",
"[Base].[Metrica]",
"[Base].[Metrica].&amp;[" &amp; $A63 &amp; "]",
"[Base].[SEGMENTO_DESCRIP]",
"[Base].[SEGMENTO_DESCRIP].&amp;[" &amp; $C$6 &amp; "]",
"[Base].[SITUACION]",
"[Base].[SITUACION].&amp;[" &amp; $C63 &amp; "]"
),0)/1000</f>
        <v>10.622873879999998</v>
      </c>
      <c r="AD63" s="8">
        <f>IFERROR(
GETPIVOTDATA(
"[Base].[Importe]",
TDinamica_R!$A$5,
"[Calendario].[AñoMes]",
"[Calendario].[AñoMes].&amp;[" &amp; TEXT(AD$6,"yyyymm") &amp; "]",
"[Base].[Metrica]",
"[Base].[Metrica].&amp;[" &amp; $A63 &amp; "]",
"[Base].[SEGMENTO_DESCRIP]",
"[Base].[SEGMENTO_DESCRIP].&amp;[" &amp; $C$6 &amp; "]",
"[Base].[SITUACION]",
"[Base].[SITUACION].&amp;[" &amp; $C63 &amp; "]"
),0)/1000</f>
        <v>10.47406984</v>
      </c>
      <c r="AE63" s="8">
        <f>IFERROR(
GETPIVOTDATA(
"[Base].[Importe]",
TDinamica_R!$A$5,
"[Calendario].[AñoMes]",
"[Calendario].[AñoMes].&amp;[" &amp; TEXT(AE$6,"yyyymm") &amp; "]",
"[Base].[Metrica]",
"[Base].[Metrica].&amp;[" &amp; $A63 &amp; "]",
"[Base].[SEGMENTO_DESCRIP]",
"[Base].[SEGMENTO_DESCRIP].&amp;[" &amp; $C$6 &amp; "]",
"[Base].[SITUACION]",
"[Base].[SITUACION].&amp;[" &amp; $C63 &amp; "]"
),0)/1000</f>
        <v>10.383447780000001</v>
      </c>
      <c r="AF63" s="8">
        <f>IFERROR(
GETPIVOTDATA(
"[Base].[Importe]",
TDinamica_R!$A$5,
"[Calendario].[AñoMes]",
"[Calendario].[AñoMes].&amp;[" &amp; TEXT(AF$6,"yyyymm") &amp; "]",
"[Base].[Metrica]",
"[Base].[Metrica].&amp;[" &amp; $A63 &amp; "]",
"[Base].[SEGMENTO_DESCRIP]",
"[Base].[SEGMENTO_DESCRIP].&amp;[" &amp; $C$6 &amp; "]",
"[Base].[SITUACION]",
"[Base].[SITUACION].&amp;[" &amp; $C63 &amp; "]"
),0)/1000</f>
        <v>10.132965120000001</v>
      </c>
      <c r="AG63" s="8">
        <f>IFERROR(
GETPIVOTDATA(
"[Base].[Importe]",
TDinamica_R!$A$5,
"[Calendario].[AñoMes]",
"[Calendario].[AñoMes].&amp;[" &amp; TEXT(AG$6,"yyyymm") &amp; "]",
"[Base].[Metrica]",
"[Base].[Metrica].&amp;[" &amp; $A63 &amp; "]",
"[Base].[SEGMENTO_DESCRIP]",
"[Base].[SEGMENTO_DESCRIP].&amp;[" &amp; $C$6 &amp; "]",
"[Base].[SITUACION]",
"[Base].[SITUACION].&amp;[" &amp; $C63 &amp; "]"
),0)/1000</f>
        <v>10.911012449999999</v>
      </c>
      <c r="AH63" s="8">
        <f>IFERROR(
GETPIVOTDATA(
"[Base].[Importe]",
TDinamica_R!$A$5,
"[Calendario].[AñoMes]",
"[Calendario].[AñoMes].&amp;[" &amp; TEXT(AH$6,"yyyymm") &amp; "]",
"[Base].[Metrica]",
"[Base].[Metrica].&amp;[" &amp; $A63 &amp; "]",
"[Base].[SEGMENTO_DESCRIP]",
"[Base].[SEGMENTO_DESCRIP].&amp;[" &amp; $C$6 &amp; "]",
"[Base].[SITUACION]",
"[Base].[SITUACION].&amp;[" &amp; $C63 &amp; "]"
),0)/1000</f>
        <v>11.15045407</v>
      </c>
      <c r="AI63" s="8">
        <f>IFERROR(
GETPIVOTDATA(
"[Base].[Importe]",
TDinamica_R!$A$5,
"[Calendario].[AñoMes]",
"[Calendario].[AñoMes].&amp;[" &amp; TEXT(AI$6,"yyyymm") &amp; "]",
"[Base].[Metrica]",
"[Base].[Metrica].&amp;[" &amp; $A63 &amp; "]",
"[Base].[SEGMENTO_DESCRIP]",
"[Base].[SEGMENTO_DESCRIP].&amp;[" &amp; $C$6 &amp; "]",
"[Base].[SITUACION]",
"[Base].[SITUACION].&amp;[" &amp; $C63 &amp; "]"
),0)/1000</f>
        <v>12.942377339999998</v>
      </c>
      <c r="AJ63" s="8">
        <f>IFERROR(
GETPIVOTDATA(
"[Base].[Importe]",
TDinamica_R!$A$5,
"[Calendario].[AñoMes]",
"[Calendario].[AñoMes].&amp;[" &amp; TEXT(AJ$6,"yyyymm") &amp; "]",
"[Base].[Metrica]",
"[Base].[Metrica].&amp;[" &amp; $A63 &amp; "]",
"[Base].[SEGMENTO_DESCRIP]",
"[Base].[SEGMENTO_DESCRIP].&amp;[" &amp; $C$6 &amp; "]",
"[Base].[SITUACION]",
"[Base].[SITUACION].&amp;[" &amp; $C63 &amp; "]"
),0)/1000</f>
        <v>12.88963525</v>
      </c>
      <c r="AK63" s="8">
        <f>IFERROR(
GETPIVOTDATA(
"[Base].[Importe]",
TDinamica_R!$A$5,
"[Calendario].[AñoMes]",
"[Calendario].[AñoMes].&amp;[" &amp; TEXT(AK$6,"yyyymm") &amp; "]",
"[Base].[Metrica]",
"[Base].[Metrica].&amp;[" &amp; $A63 &amp; "]",
"[Base].[SEGMENTO_DESCRIP]",
"[Base].[SEGMENTO_DESCRIP].&amp;[" &amp; $C$6 &amp; "]",
"[Base].[SITUACION]",
"[Base].[SITUACION].&amp;[" &amp; $C63 &amp; "]"
),0)/1000</f>
        <v>12.97273223</v>
      </c>
      <c r="AL63" s="8">
        <f>IFERROR(
GETPIVOTDATA(
"[Base].[Importe]",
TDinamica_R!$A$5,
"[Calendario].[AñoMes]",
"[Calendario].[AñoMes].&amp;[" &amp; TEXT(AL$6,"yyyymm") &amp; "]",
"[Base].[Metrica]",
"[Base].[Metrica].&amp;[" &amp; $A63 &amp; "]",
"[Base].[SEGMENTO_DESCRIP]",
"[Base].[SEGMENTO_DESCRIP].&amp;[" &amp; $C$6 &amp; "]",
"[Base].[SITUACION]",
"[Base].[SITUACION].&amp;[" &amp; $C63 &amp; "]"
),0)/1000</f>
        <v>14.585001850000001</v>
      </c>
      <c r="AM63" s="8">
        <f>IFERROR(
GETPIVOTDATA(
"[Base].[Importe]",
TDinamica_R!$A$5,
"[Calendario].[AñoMes]",
"[Calendario].[AñoMes].&amp;[" &amp; TEXT(AM$6,"yyyymm") &amp; "]",
"[Base].[Metrica]",
"[Base].[Metrica].&amp;[" &amp; $A63 &amp; "]",
"[Base].[SEGMENTO_DESCRIP]",
"[Base].[SEGMENTO_DESCRIP].&amp;[" &amp; $C$6 &amp; "]",
"[Base].[SITUACION]",
"[Base].[SITUACION].&amp;[" &amp; $C63 &amp; "]"
),0)/1000</f>
        <v>13.29867099</v>
      </c>
      <c r="AN63" s="8">
        <f>IFERROR(
GETPIVOTDATA(
"[Base].[Importe]",
TDinamica_R!$A$5,
"[Calendario].[AñoMes]",
"[Calendario].[AñoMes].&amp;[" &amp; TEXT(AN$6,"yyyymm") &amp; "]",
"[Base].[Metrica]",
"[Base].[Metrica].&amp;[" &amp; $A63 &amp; "]",
"[Base].[SEGMENTO_DESCRIP]",
"[Base].[SEGMENTO_DESCRIP].&amp;[" &amp; $C$6 &amp; "]",
"[Base].[SITUACION]",
"[Base].[SITUACION].&amp;[" &amp; $C63 &amp; "]"
),0)/1000</f>
        <v>13.026968970798281</v>
      </c>
      <c r="AO63" s="8">
        <f>IFERROR(
GETPIVOTDATA(
"[Base].[Importe]",
TDinamica_R!$A$5,
"[Calendario].[AñoMes]",
"[Calendario].[AñoMes].&amp;[" &amp; TEXT(AO$6,"yyyymm") &amp; "]",
"[Base].[Metrica]",
"[Base].[Metrica].&amp;[" &amp; $A63 &amp; "]",
"[Base].[SEGMENTO_DESCRIP]",
"[Base].[SEGMENTO_DESCRIP].&amp;[" &amp; $C$6 &amp; "]",
"[Base].[SITUACION]",
"[Base].[SITUACION].&amp;[" &amp; $C63 &amp; "]"
),0)/1000</f>
        <v>12.804100854823492</v>
      </c>
      <c r="AP63" s="8">
        <f>IFERROR(
GETPIVOTDATA(
"[Base].[Importe]",
TDinamica_R!$A$5,
"[Calendario].[AñoMes]",
"[Calendario].[AñoMes].&amp;[" &amp; TEXT(AP$6,"yyyymm") &amp; "]",
"[Base].[Metrica]",
"[Base].[Metrica].&amp;[" &amp; $A63 &amp; "]",
"[Base].[SEGMENTO_DESCRIP]",
"[Base].[SEGMENTO_DESCRIP].&amp;[" &amp; $C$6 &amp; "]",
"[Base].[SITUACION]",
"[Base].[SITUACION].&amp;[" &amp; $C63 &amp; "]"
),0)/1000</f>
        <v>12.853872165491076</v>
      </c>
      <c r="AQ63" s="8">
        <f>IFERROR(
GETPIVOTDATA(
"[Base].[Importe]",
TDinamica_R!$A$5,
"[Calendario].[AñoMes]",
"[Calendario].[AñoMes].&amp;[" &amp; TEXT(AQ$6,"yyyymm") &amp; "]",
"[Base].[Metrica]",
"[Base].[Metrica].&amp;[" &amp; $A63 &amp; "]",
"[Base].[SEGMENTO_DESCRIP]",
"[Base].[SEGMENTO_DESCRIP].&amp;[" &amp; $C$6 &amp; "]",
"[Base].[SITUACION]",
"[Base].[SITUACION].&amp;[" &amp; $C63 &amp; "]"
),0)/1000</f>
        <v>13.184485180645359</v>
      </c>
      <c r="AR63" s="8">
        <f>IFERROR(
GETPIVOTDATA(
"[Base].[Importe]",
TDinamica_R!$A$5,
"[Calendario].[AñoMes]",
"[Calendario].[AñoMes].&amp;[" &amp; TEXT(AR$6,"yyyymm") &amp; "]",
"[Base].[Metrica]",
"[Base].[Metrica].&amp;[" &amp; $A63 &amp; "]",
"[Base].[SEGMENTO_DESCRIP]",
"[Base].[SEGMENTO_DESCRIP].&amp;[" &amp; $C$6 &amp; "]",
"[Base].[SITUACION]",
"[Base].[SITUACION].&amp;[" &amp; $C63 &amp; "]"
),0)/1000</f>
        <v>13.372667718833821</v>
      </c>
      <c r="AS63" s="8">
        <f>IFERROR(
GETPIVOTDATA(
"[Base].[Importe]",
TDinamica_R!$A$5,
"[Calendario].[AñoMes]",
"[Calendario].[AñoMes].&amp;[" &amp; TEXT(AS$6,"yyyymm") &amp; "]",
"[Base].[Metrica]",
"[Base].[Metrica].&amp;[" &amp; $A63 &amp; "]",
"[Base].[SEGMENTO_DESCRIP]",
"[Base].[SEGMENTO_DESCRIP].&amp;[" &amp; $C$6 &amp; "]",
"[Base].[SITUACION]",
"[Base].[SITUACION].&amp;[" &amp; $C63 &amp; "]"
),0)/1000</f>
        <v>13.343449651652799</v>
      </c>
      <c r="AT63" s="8">
        <f>IFERROR(
GETPIVOTDATA(
"[Base].[Importe]",
TDinamica_R!$A$5,
"[Calendario].[AñoMes]",
"[Calendario].[AñoMes].&amp;[" &amp; TEXT(AT$6,"yyyymm")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U63" s="8">
        <f>IFERROR(
GETPIVOTDATA(
"[Base].[Importe]",
TDinamica_R!$A$5,
"[Calendario].[AñoMes]",
"[Calendario].[AñoMes].&amp;[" &amp; TEXT(AU$6,"yyyymm")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V63" s="8">
        <f>IFERROR(
GETPIVOTDATA(
"[Base].[Importe]",
TDinamica_R!$A$5,
"[Calendario].[AñoMes]",
"[Calendario].[AñoMes].&amp;[" &amp; TEXT(AV$6,"yyyymm")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W63" s="8">
        <f>IFERROR(
GETPIVOTDATA(
"[Base].[Importe]",
TDinamica_R!$A$5,
"[Calendario].[AñoMes]",
"[Calendario].[AñoMes].&amp;[" &amp; TEXT(AW$6,"yyyymm")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X63" s="8">
        <f>IFERROR(
GETPIVOTDATA(
"[Base].[Importe]",
TDinamica_R!$A$5,
"[Calendario].[AñoMes]",
"[Calendario].[AñoMes].&amp;[" &amp; TEXT(AX$6,"yyyymm")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Y63" s="8">
        <f>IFERROR(
GETPIVOTDATA(
"[Base].[Importe]",
TDinamica_R!$A$5,
"[Calendario].[AñoMes]",
"[Calendario].[AñoMes].&amp;[" &amp; TEXT(AY$6,"yyyymm")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Z63" s="8">
        <f>IFERROR(
GETPIVOTDATA(
"[BASE_CONVE_PPTO].[Importe]",
TDinamica_P!$A$5,
"[BASE_CONVE_PPTO].[Periodo]",
"[BASE_CONVE_PPTO].[Periodo].&amp;[" &amp; TEXT(AZ$6,"yyyymm")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11.697643977248386</v>
      </c>
      <c r="BA63" s="8">
        <f>IFERROR(
GETPIVOTDATA(
"[BASE_CONVE_PPTO].[Importe]",
TDinamica_P!$A$5,
"[BASE_CONVE_PPTO].[Periodo]",
"[BASE_CONVE_PPTO].[Periodo].&amp;[" &amp; TEXT(BA$6,"yyyymm")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11.858111157377669</v>
      </c>
      <c r="BB63" s="8">
        <f>IFERROR(
GETPIVOTDATA(
"[BASE_CONVE_PPTO].[Importe]",
TDinamica_P!$A$5,
"[BASE_CONVE_PPTO].[Periodo]",
"[BASE_CONVE_PPTO].[Periodo].&amp;[" &amp; TEXT(BB$6,"yyyymm")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12.020973406836294</v>
      </c>
      <c r="BC63" s="8">
        <f>IFERROR(
GETPIVOTDATA(
"[BASE_CONVE_PPTO].[Importe]",
TDinamica_P!$A$5,
"[BASE_CONVE_PPTO].[Periodo]",
"[BASE_CONVE_PPTO].[Periodo].&amp;[" &amp; TEXT(BC$6,"yyyymm")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12.087920057103958</v>
      </c>
      <c r="BD63" s="8">
        <f>IFERROR(
GETPIVOTDATA(
"[BASE_CONVE_PPTO].[Importe]",
TDinamica_P!$A$5,
"[BASE_CONVE_PPTO].[Periodo]",
"[BASE_CONVE_PPTO].[Periodo].&amp;[" &amp; TEXT(BD$6,"yyyymm")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12.079026287929377</v>
      </c>
      <c r="BE63" s="8">
        <f>IFERROR(
GETPIVOTDATA(
"[BASE_CONVE_PPTO].[Importe]",
TDinamica_P!$A$5,
"[BASE_CONVE_PPTO].[Periodo]",
"[BASE_CONVE_PPTO].[Periodo].&amp;[" &amp; TEXT(BE$6,"yyyymm")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12.011200098677635</v>
      </c>
      <c r="BF63" s="8">
        <f>IFERROR(
GETPIVOTDATA(
"[BASE_CONVE_PPTO].[Importe]",
TDinamica_P!$A$5,
"[BASE_CONVE_PPTO].[Periodo]",
"[BASE_CONVE_PPTO].[Periodo].&amp;[" &amp; TEXT(BF$6,"yyyymm")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12.095656203214153</v>
      </c>
      <c r="BG63" s="8">
        <f>IFERROR(
GETPIVOTDATA(
"[BASE_CONVE_PPTO].[Importe]",
TDinamica_P!$A$5,
"[BASE_CONVE_PPTO].[Periodo]",
"[BASE_CONVE_PPTO].[Periodo].&amp;[" &amp; TEXT(BG$6,"yyyymm")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12.178369317041311</v>
      </c>
      <c r="BH63" s="8">
        <f>IFERROR(
GETPIVOTDATA(
"[BASE_CONVE_PPTO].[Importe]",
TDinamica_P!$A$5,
"[BASE_CONVE_PPTO].[Periodo]",
"[BASE_CONVE_PPTO].[Periodo].&amp;[" &amp; TEXT(BH$6,"yyyymm")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12.269635072734856</v>
      </c>
      <c r="BI63" s="8">
        <f>IFERROR(
GETPIVOTDATA(
"[BASE_CONVE_PPTO].[Importe]",
TDinamica_P!$A$5,
"[BASE_CONVE_PPTO].[Periodo]",
"[BASE_CONVE_PPTO].[Periodo].&amp;[" &amp; TEXT(BI$6,"yyyymm")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12.338504726126109</v>
      </c>
      <c r="BJ63" s="8">
        <f>IFERROR(
GETPIVOTDATA(
"[BASE_CONVE_PPTO].[Importe]",
TDinamica_P!$A$5,
"[BASE_CONVE_PPTO].[Periodo]",
"[BASE_CONVE_PPTO].[Periodo].&amp;[" &amp; TEXT(BJ$6,"yyyymm")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12.395605089110823</v>
      </c>
      <c r="BK63" s="8">
        <f>IFERROR(
GETPIVOTDATA(
"[BASE_CONVE_PPTO].[Importe]",
TDinamica_P!$A$5,
"[BASE_CONVE_PPTO].[Periodo]",
"[BASE_CONVE_PPTO].[Periodo].&amp;[" &amp; TEXT(BK$6,"yyyymm") &amp; "]",
"[BASE_CONVE_PPTO].[Metrica]",
"[BASE_CONVE_PPTO].[Metrica].&amp;[" &amp; $A63 &amp; "]",
"[BASE_CONVE_PPTO].[SEGMENTO_DESCRIP]",
"[BASE_CONVE_PPTO].[SEGMENTO_DESCRIP].&amp;[" &amp; $C$6 &amp; "]",
"[BASE_CONVE_PPTO].[SITUACION]",
"[BASE_CONVE_PPTO].[SITUACION].&amp;[" &amp; $C63 &amp; "]"),
0)</f>
        <v>12.427003289393459</v>
      </c>
      <c r="BO63" s="24">
        <f t="shared" ref="BO63:BT72" si="49">SUMIFS($D63:$BM63,$D$6:$BM$6,"&gt;="&amp;BO$2,$D$6:$BM$6,"&lt;="&amp;BO$6,$D$5:$BM$5,BO$5)</f>
        <v>65.242094890592028</v>
      </c>
      <c r="BP63" s="24">
        <f t="shared" si="49"/>
        <v>59.743674886495683</v>
      </c>
      <c r="BQ63" s="24">
        <f t="shared" si="49"/>
        <v>51.869427171758211</v>
      </c>
      <c r="BR63" s="24">
        <f t="shared" si="49"/>
        <v>54.370980069999995</v>
      </c>
      <c r="BS63" s="24">
        <f t="shared" si="49"/>
        <v>72.229917569999998</v>
      </c>
      <c r="BT63" s="24">
        <f t="shared" si="49"/>
        <v>71.272004450000011</v>
      </c>
    </row>
    <row r="64" spans="1:72" outlineLevel="1" x14ac:dyDescent="0.25">
      <c r="A64" s="11" t="s">
        <v>71</v>
      </c>
      <c r="C64" s="2" t="s">
        <v>72</v>
      </c>
      <c r="D64" s="8">
        <f>IFERROR(
GETPIVOTDATA(
"[Base].[Importe]",
TDinamica_R!$A$5,
"[Calendario].[AñoMes]",
"[Calendario].[AñoMes].&amp;[" &amp; TEXT(D$6,"yyyymm") &amp; "]",
"[Base].[Metrica]",
"[Base].[Metrica].&amp;[" &amp; $A64 &amp; "]",
"[Base].[SEGMENTO_DESCRIP]",
"[Base].[SEGMENTO_DESCRIP].&amp;[" &amp; $C$6 &amp; "]",
"[Base].[SITUACION]",
"[Base].[SITUACION].&amp;[" &amp; $C64 &amp; "]"
),0)/1000</f>
        <v>25.481310000000001</v>
      </c>
      <c r="E64" s="8">
        <f>IFERROR(
GETPIVOTDATA(
"[Base].[Importe]",
TDinamica_R!$A$5,
"[Calendario].[AñoMes]",
"[Calendario].[AñoMes].&amp;[" &amp; TEXT(E$6,"yyyymm") &amp; "]",
"[Base].[Metrica]",
"[Base].[Metrica].&amp;[" &amp; $A64 &amp; "]",
"[Base].[SEGMENTO_DESCRIP]",
"[Base].[SEGMENTO_DESCRIP].&amp;[" &amp; $C$6 &amp; "]",
"[Base].[SITUACION]",
"[Base].[SITUACION].&amp;[" &amp; $C64 &amp; "]"
),0)/1000</f>
        <v>26.34253</v>
      </c>
      <c r="F64" s="8">
        <f>IFERROR(
GETPIVOTDATA(
"[Base].[Importe]",
TDinamica_R!$A$5,
"[Calendario].[AñoMes]",
"[Calendario].[AñoMes].&amp;[" &amp; TEXT(F$6,"yyyymm") &amp; "]",
"[Base].[Metrica]",
"[Base].[Metrica].&amp;[" &amp; $A64 &amp; "]",
"[Base].[SEGMENTO_DESCRIP]",
"[Base].[SEGMENTO_DESCRIP].&amp;[" &amp; $C$6 &amp; "]",
"[Base].[SITUACION]",
"[Base].[SITUACION].&amp;[" &amp; $C64 &amp; "]"
),0)/1000</f>
        <v>25.520610000000001</v>
      </c>
      <c r="G64" s="8">
        <f>IFERROR(
GETPIVOTDATA(
"[Base].[Importe]",
TDinamica_R!$A$5,
"[Calendario].[AñoMes]",
"[Calendario].[AñoMes].&amp;[" &amp; TEXT(G$6,"yyyymm") &amp; "]",
"[Base].[Metrica]",
"[Base].[Metrica].&amp;[" &amp; $A64 &amp; "]",
"[Base].[SEGMENTO_DESCRIP]",
"[Base].[SEGMENTO_DESCRIP].&amp;[" &amp; $C$6 &amp; "]",
"[Base].[SITUACION]",
"[Base].[SITUACION].&amp;[" &amp; $C64 &amp; "]"
),0)/1000</f>
        <v>25.4101</v>
      </c>
      <c r="H64" s="8">
        <f>IFERROR(
GETPIVOTDATA(
"[Base].[Importe]",
TDinamica_R!$A$5,
"[Calendario].[AñoMes]",
"[Calendario].[AñoMes].&amp;[" &amp; TEXT(H$6,"yyyymm") &amp; "]",
"[Base].[Metrica]",
"[Base].[Metrica].&amp;[" &amp; $A64 &amp; "]",
"[Base].[SEGMENTO_DESCRIP]",
"[Base].[SEGMENTO_DESCRIP].&amp;[" &amp; $C$6 &amp; "]",
"[Base].[SITUACION]",
"[Base].[SITUACION].&amp;[" &amp; $C64 &amp; "]"
),0)/1000</f>
        <v>25.176369999999999</v>
      </c>
      <c r="I64" s="8">
        <f>IFERROR(
GETPIVOTDATA(
"[Base].[Importe]",
TDinamica_R!$A$5,
"[Calendario].[AñoMes]",
"[Calendario].[AñoMes].&amp;[" &amp; TEXT(I$6,"yyyymm") &amp; "]",
"[Base].[Metrica]",
"[Base].[Metrica].&amp;[" &amp; $A64 &amp; "]",
"[Base].[SEGMENTO_DESCRIP]",
"[Base].[SEGMENTO_DESCRIP].&amp;[" &amp; $C$6 &amp; "]",
"[Base].[SITUACION]",
"[Base].[SITUACION].&amp;[" &amp; $C64 &amp; "]"
),0)/1000</f>
        <v>25.603960000000001</v>
      </c>
      <c r="J64" s="8">
        <f>IFERROR(
GETPIVOTDATA(
"[Base].[Importe]",
TDinamica_R!$A$5,
"[Calendario].[AñoMes]",
"[Calendario].[AñoMes].&amp;[" &amp; TEXT(J$6,"yyyymm") &amp; "]",
"[Base].[Metrica]",
"[Base].[Metrica].&amp;[" &amp; $A64 &amp; "]",
"[Base].[SEGMENTO_DESCRIP]",
"[Base].[SEGMENTO_DESCRIP].&amp;[" &amp; $C$6 &amp; "]",
"[Base].[SITUACION]",
"[Base].[SITUACION].&amp;[" &amp; $C64 &amp; "]"
),0)/1000</f>
        <v>25.215630000000001</v>
      </c>
      <c r="K64" s="8">
        <f>IFERROR(
GETPIVOTDATA(
"[Base].[Importe]",
TDinamica_R!$A$5,
"[Calendario].[AñoMes]",
"[Calendario].[AñoMes].&amp;[" &amp; TEXT(K$6,"yyyymm") &amp; "]",
"[Base].[Metrica]",
"[Base].[Metrica].&amp;[" &amp; $A64 &amp; "]",
"[Base].[SEGMENTO_DESCRIP]",
"[Base].[SEGMENTO_DESCRIP].&amp;[" &amp; $C$6 &amp; "]",
"[Base].[SITUACION]",
"[Base].[SITUACION].&amp;[" &amp; $C64 &amp; "]"
),0)/1000</f>
        <v>25.488849999999999</v>
      </c>
      <c r="L64" s="8">
        <f>IFERROR(
GETPIVOTDATA(
"[Base].[Importe]",
TDinamica_R!$A$5,
"[Calendario].[AñoMes]",
"[Calendario].[AñoMes].&amp;[" &amp; TEXT(L$6,"yyyymm") &amp; "]",
"[Base].[Metrica]",
"[Base].[Metrica].&amp;[" &amp; $A64 &amp; "]",
"[Base].[SEGMENTO_DESCRIP]",
"[Base].[SEGMENTO_DESCRIP].&amp;[" &amp; $C$6 &amp; "]",
"[Base].[SITUACION]",
"[Base].[SITUACION].&amp;[" &amp; $C64 &amp; "]"
),0)/1000</f>
        <v>25.384580000000003</v>
      </c>
      <c r="M64" s="8">
        <f>IFERROR(
GETPIVOTDATA(
"[Base].[Importe]",
TDinamica_R!$A$5,
"[Calendario].[AñoMes]",
"[Calendario].[AñoMes].&amp;[" &amp; TEXT(M$6,"yyyymm") &amp; "]",
"[Base].[Metrica]",
"[Base].[Metrica].&amp;[" &amp; $A64 &amp; "]",
"[Base].[SEGMENTO_DESCRIP]",
"[Base].[SEGMENTO_DESCRIP].&amp;[" &amp; $C$6 &amp; "]",
"[Base].[SITUACION]",
"[Base].[SITUACION].&amp;[" &amp; $C64 &amp; "]"
),0)/1000</f>
        <v>24.80489</v>
      </c>
      <c r="N64" s="8">
        <f>IFERROR(
GETPIVOTDATA(
"[Base].[Importe]",
TDinamica_R!$A$5,
"[Calendario].[AñoMes]",
"[Calendario].[AñoMes].&amp;[" &amp; TEXT(N$6,"yyyymm") &amp; "]",
"[Base].[Metrica]",
"[Base].[Metrica].&amp;[" &amp; $A64 &amp; "]",
"[Base].[SEGMENTO_DESCRIP]",
"[Base].[SEGMENTO_DESCRIP].&amp;[" &amp; $C$6 &amp; "]",
"[Base].[SITUACION]",
"[Base].[SITUACION].&amp;[" &amp; $C64 &amp; "]"
),0)/1000</f>
        <v>25.004799999999999</v>
      </c>
      <c r="O64" s="8">
        <f>IFERROR(
GETPIVOTDATA(
"[Base].[Importe]",
TDinamica_R!$A$5,
"[Calendario].[AñoMes]",
"[Calendario].[AñoMes].&amp;[" &amp; TEXT(O$6,"yyyymm") &amp; "]",
"[Base].[Metrica]",
"[Base].[Metrica].&amp;[" &amp; $A64 &amp; "]",
"[Base].[SEGMENTO_DESCRIP]",
"[Base].[SEGMENTO_DESCRIP].&amp;[" &amp; $C$6 &amp; "]",
"[Base].[SITUACION]",
"[Base].[SITUACION].&amp;[" &amp; $C64 &amp; "]"
),0)/1000</f>
        <v>24.263270000000002</v>
      </c>
      <c r="P64" s="8">
        <f>IFERROR(
GETPIVOTDATA(
"[Base].[Importe]",
TDinamica_R!$A$5,
"[Calendario].[AñoMes]",
"[Calendario].[AñoMes].&amp;[" &amp; TEXT(P$6,"yyyymm") &amp; "]",
"[Base].[Metrica]",
"[Base].[Metrica].&amp;[" &amp; $A64 &amp; "]",
"[Base].[SEGMENTO_DESCRIP]",
"[Base].[SEGMENTO_DESCRIP].&amp;[" &amp; $C$6 &amp; "]",
"[Base].[SITUACION]",
"[Base].[SITUACION].&amp;[" &amp; $C64 &amp; "]"
),0)/1000</f>
        <v>24.239840000000001</v>
      </c>
      <c r="Q64" s="8">
        <f>IFERROR(
GETPIVOTDATA(
"[Base].[Importe]",
TDinamica_R!$A$5,
"[Calendario].[AñoMes]",
"[Calendario].[AñoMes].&amp;[" &amp; TEXT(Q$6,"yyyymm") &amp; "]",
"[Base].[Metrica]",
"[Base].[Metrica].&amp;[" &amp; $A64 &amp; "]",
"[Base].[SEGMENTO_DESCRIP]",
"[Base].[SEGMENTO_DESCRIP].&amp;[" &amp; $C$6 &amp; "]",
"[Base].[SITUACION]",
"[Base].[SITUACION].&amp;[" &amp; $C64 &amp; "]"
),0)/1000</f>
        <v>24.257860000000001</v>
      </c>
      <c r="R64" s="8">
        <f>IFERROR(
GETPIVOTDATA(
"[Base].[Importe]",
TDinamica_R!$A$5,
"[Calendario].[AñoMes]",
"[Calendario].[AñoMes].&amp;[" &amp; TEXT(R$6,"yyyymm") &amp; "]",
"[Base].[Metrica]",
"[Base].[Metrica].&amp;[" &amp; $A64 &amp; "]",
"[Base].[SEGMENTO_DESCRIP]",
"[Base].[SEGMENTO_DESCRIP].&amp;[" &amp; $C$6 &amp; "]",
"[Base].[SITUACION]",
"[Base].[SITUACION].&amp;[" &amp; $C64 &amp; "]"
),0)/1000</f>
        <v>23.823270000000001</v>
      </c>
      <c r="S64" s="8">
        <f>IFERROR(
GETPIVOTDATA(
"[Base].[Importe]",
TDinamica_R!$A$5,
"[Calendario].[AñoMes]",
"[Calendario].[AñoMes].&amp;[" &amp; TEXT(S$6,"yyyymm") &amp; "]",
"[Base].[Metrica]",
"[Base].[Metrica].&amp;[" &amp; $A64 &amp; "]",
"[Base].[SEGMENTO_DESCRIP]",
"[Base].[SEGMENTO_DESCRIP].&amp;[" &amp; $C$6 &amp; "]",
"[Base].[SITUACION]",
"[Base].[SITUACION].&amp;[" &amp; $C64 &amp; "]"
),0)/1000</f>
        <v>23.520880000000002</v>
      </c>
      <c r="T64" s="8">
        <f>IFERROR(
GETPIVOTDATA(
"[Base].[Importe]",
TDinamica_R!$A$5,
"[Calendario].[AñoMes]",
"[Calendario].[AñoMes].&amp;[" &amp; TEXT(T$6,"yyyymm") &amp; "]",
"[Base].[Metrica]",
"[Base].[Metrica].&amp;[" &amp; $A64 &amp; "]",
"[Base].[SEGMENTO_DESCRIP]",
"[Base].[SEGMENTO_DESCRIP].&amp;[" &amp; $C$6 &amp; "]",
"[Base].[SITUACION]",
"[Base].[SITUACION].&amp;[" &amp; $C64 &amp; "]"
),0)/1000</f>
        <v>23.724419999999999</v>
      </c>
      <c r="U64" s="8">
        <f>IFERROR(
GETPIVOTDATA(
"[Base].[Importe]",
TDinamica_R!$A$5,
"[Calendario].[AñoMes]",
"[Calendario].[AñoMes].&amp;[" &amp; TEXT(U$6,"yyyymm") &amp; "]",
"[Base].[Metrica]",
"[Base].[Metrica].&amp;[" &amp; $A64 &amp; "]",
"[Base].[SEGMENTO_DESCRIP]",
"[Base].[SEGMENTO_DESCRIP].&amp;[" &amp; $C$6 &amp; "]",
"[Base].[SITUACION]",
"[Base].[SITUACION].&amp;[" &amp; $C64 &amp; "]"
),0)/1000</f>
        <v>24.343820000000001</v>
      </c>
      <c r="V64" s="8">
        <f>IFERROR(
GETPIVOTDATA(
"[Base].[Importe]",
TDinamica_R!$A$5,
"[Calendario].[AñoMes]",
"[Calendario].[AñoMes].&amp;[" &amp; TEXT(V$6,"yyyymm") &amp; "]",
"[Base].[Metrica]",
"[Base].[Metrica].&amp;[" &amp; $A64 &amp; "]",
"[Base].[SEGMENTO_DESCRIP]",
"[Base].[SEGMENTO_DESCRIP].&amp;[" &amp; $C$6 &amp; "]",
"[Base].[SITUACION]",
"[Base].[SITUACION].&amp;[" &amp; $C64 &amp; "]"
),0)/1000</f>
        <v>23.87219</v>
      </c>
      <c r="W64" s="8">
        <f>IFERROR(
GETPIVOTDATA(
"[Base].[Importe]",
TDinamica_R!$A$5,
"[Calendario].[AñoMes]",
"[Calendario].[AñoMes].&amp;[" &amp; TEXT(W$6,"yyyymm") &amp; "]",
"[Base].[Metrica]",
"[Base].[Metrica].&amp;[" &amp; $A64 &amp; "]",
"[Base].[SEGMENTO_DESCRIP]",
"[Base].[SEGMENTO_DESCRIP].&amp;[" &amp; $C$6 &amp; "]",
"[Base].[SITUACION]",
"[Base].[SITUACION].&amp;[" &amp; $C64 &amp; "]"
),0)/1000</f>
        <v>23.649609999999999</v>
      </c>
      <c r="X64" s="8">
        <f>IFERROR(
GETPIVOTDATA(
"[Base].[Importe]",
TDinamica_R!$A$5,
"[Calendario].[AñoMes]",
"[Calendario].[AñoMes].&amp;[" &amp; TEXT(X$6,"yyyymm") &amp; "]",
"[Base].[Metrica]",
"[Base].[Metrica].&amp;[" &amp; $A64 &amp; "]",
"[Base].[SEGMENTO_DESCRIP]",
"[Base].[SEGMENTO_DESCRIP].&amp;[" &amp; $C$6 &amp; "]",
"[Base].[SITUACION]",
"[Base].[SITUACION].&amp;[" &amp; $C64 &amp; "]"
),0)/1000</f>
        <v>23.761599999999998</v>
      </c>
      <c r="Y64" s="8">
        <f>IFERROR(
GETPIVOTDATA(
"[Base].[Importe]",
TDinamica_R!$A$5,
"[Calendario].[AñoMes]",
"[Calendario].[AñoMes].&amp;[" &amp; TEXT(Y$6,"yyyymm") &amp; "]",
"[Base].[Metrica]",
"[Base].[Metrica].&amp;[" &amp; $A64 &amp; "]",
"[Base].[SEGMENTO_DESCRIP]",
"[Base].[SEGMENTO_DESCRIP].&amp;[" &amp; $C$6 &amp; "]",
"[Base].[SITUACION]",
"[Base].[SITUACION].&amp;[" &amp; $C64 &amp; "]"
),0)/1000</f>
        <v>23.30724</v>
      </c>
      <c r="Z64" s="8">
        <f>IFERROR(
GETPIVOTDATA(
"[Base].[Importe]",
TDinamica_R!$A$5,
"[Calendario].[AñoMes]",
"[Calendario].[AñoMes].&amp;[" &amp; TEXT(Z$6,"yyyymm") &amp; "]",
"[Base].[Metrica]",
"[Base].[Metrica].&amp;[" &amp; $A64 &amp; "]",
"[Base].[SEGMENTO_DESCRIP]",
"[Base].[SEGMENTO_DESCRIP].&amp;[" &amp; $C$6 &amp; "]",
"[Base].[SITUACION]",
"[Base].[SITUACION].&amp;[" &amp; $C64 &amp; "]"
),0)/1000</f>
        <v>23.349220000000003</v>
      </c>
      <c r="AA64" s="8">
        <f>IFERROR(
GETPIVOTDATA(
"[Base].[Importe]",
TDinamica_R!$A$5,
"[Calendario].[AñoMes]",
"[Calendario].[AñoMes].&amp;[" &amp; TEXT(AA$6,"yyyymm") &amp; "]",
"[Base].[Metrica]",
"[Base].[Metrica].&amp;[" &amp; $A64 &amp; "]",
"[Base].[SEGMENTO_DESCRIP]",
"[Base].[SEGMENTO_DESCRIP].&amp;[" &amp; $C$6 &amp; "]",
"[Base].[SITUACION]",
"[Base].[SITUACION].&amp;[" &amp; $C64 &amp; "]"
),0)/1000</f>
        <v>22.839599999999997</v>
      </c>
      <c r="AB64" s="8">
        <f>IFERROR(
GETPIVOTDATA(
"[Base].[Importe]",
TDinamica_R!$A$5,
"[Calendario].[AñoMes]",
"[Calendario].[AñoMes].&amp;[" &amp; TEXT(AB$6,"yyyymm") &amp; "]",
"[Base].[Metrica]",
"[Base].[Metrica].&amp;[" &amp; $A64 &amp; "]",
"[Base].[SEGMENTO_DESCRIP]",
"[Base].[SEGMENTO_DESCRIP].&amp;[" &amp; $C$6 &amp; "]",
"[Base].[SITUACION]",
"[Base].[SITUACION].&amp;[" &amp; $C64 &amp; "]"
),0)/1000</f>
        <v>22.296140000000001</v>
      </c>
      <c r="AC64" s="8">
        <f>IFERROR(
GETPIVOTDATA(
"[Base].[Importe]",
TDinamica_R!$A$5,
"[Calendario].[AñoMes]",
"[Calendario].[AñoMes].&amp;[" &amp; TEXT(AC$6,"yyyymm") &amp; "]",
"[Base].[Metrica]",
"[Base].[Metrica].&amp;[" &amp; $A64 &amp; "]",
"[Base].[SEGMENTO_DESCRIP]",
"[Base].[SEGMENTO_DESCRIP].&amp;[" &amp; $C$6 &amp; "]",
"[Base].[SITUACION]",
"[Base].[SITUACION].&amp;[" &amp; $C64 &amp; "]"
),0)/1000</f>
        <v>21.979369999999999</v>
      </c>
      <c r="AD64" s="8">
        <f>IFERROR(
GETPIVOTDATA(
"[Base].[Importe]",
TDinamica_R!$A$5,
"[Calendario].[AñoMes]",
"[Calendario].[AñoMes].&amp;[" &amp; TEXT(AD$6,"yyyymm") &amp; "]",
"[Base].[Metrica]",
"[Base].[Metrica].&amp;[" &amp; $A64 &amp; "]",
"[Base].[SEGMENTO_DESCRIP]",
"[Base].[SEGMENTO_DESCRIP].&amp;[" &amp; $C$6 &amp; "]",
"[Base].[SITUACION]",
"[Base].[SITUACION].&amp;[" &amp; $C64 &amp; "]"
),0)/1000</f>
        <v>21.31202</v>
      </c>
      <c r="AE64" s="8">
        <f>IFERROR(
GETPIVOTDATA(
"[Base].[Importe]",
TDinamica_R!$A$5,
"[Calendario].[AñoMes]",
"[Calendario].[AñoMes].&amp;[" &amp; TEXT(AE$6,"yyyymm") &amp; "]",
"[Base].[Metrica]",
"[Base].[Metrica].&amp;[" &amp; $A64 &amp; "]",
"[Base].[SEGMENTO_DESCRIP]",
"[Base].[SEGMENTO_DESCRIP].&amp;[" &amp; $C$6 &amp; "]",
"[Base].[SITUACION]",
"[Base].[SITUACION].&amp;[" &amp; $C64 &amp; "]"
),0)/1000</f>
        <v>20.379490000000001</v>
      </c>
      <c r="AF64" s="8">
        <f>IFERROR(
GETPIVOTDATA(
"[Base].[Importe]",
TDinamica_R!$A$5,
"[Calendario].[AñoMes]",
"[Calendario].[AñoMes].&amp;[" &amp; TEXT(AF$6,"yyyymm") &amp; "]",
"[Base].[Metrica]",
"[Base].[Metrica].&amp;[" &amp; $A64 &amp; "]",
"[Base].[SEGMENTO_DESCRIP]",
"[Base].[SEGMENTO_DESCRIP].&amp;[" &amp; $C$6 &amp; "]",
"[Base].[SITUACION]",
"[Base].[SITUACION].&amp;[" &amp; $C64 &amp; "]"
),0)/1000</f>
        <v>20.48282</v>
      </c>
      <c r="AG64" s="8">
        <f>IFERROR(
GETPIVOTDATA(
"[Base].[Importe]",
TDinamica_R!$A$5,
"[Calendario].[AñoMes]",
"[Calendario].[AñoMes].&amp;[" &amp; TEXT(AG$6,"yyyymm") &amp; "]",
"[Base].[Metrica]",
"[Base].[Metrica].&amp;[" &amp; $A64 &amp; "]",
"[Base].[SEGMENTO_DESCRIP]",
"[Base].[SEGMENTO_DESCRIP].&amp;[" &amp; $C$6 &amp; "]",
"[Base].[SITUACION]",
"[Base].[SITUACION].&amp;[" &amp; $C64 &amp; "]"
),0)/1000</f>
        <v>20.040419999999997</v>
      </c>
      <c r="AH64" s="8">
        <f>IFERROR(
GETPIVOTDATA(
"[Base].[Importe]",
TDinamica_R!$A$5,
"[Calendario].[AñoMes]",
"[Calendario].[AñoMes].&amp;[" &amp; TEXT(AH$6,"yyyymm") &amp; "]",
"[Base].[Metrica]",
"[Base].[Metrica].&amp;[" &amp; $A64 &amp; "]",
"[Base].[SEGMENTO_DESCRIP]",
"[Base].[SEGMENTO_DESCRIP].&amp;[" &amp; $C$6 &amp; "]",
"[Base].[SITUACION]",
"[Base].[SITUACION].&amp;[" &amp; $C64 &amp; "]"
),0)/1000</f>
        <v>20.580599999999997</v>
      </c>
      <c r="AI64" s="8">
        <f>IFERROR(
GETPIVOTDATA(
"[Base].[Importe]",
TDinamica_R!$A$5,
"[Calendario].[AñoMes]",
"[Calendario].[AñoMes].&amp;[" &amp; TEXT(AI$6,"yyyymm") &amp; "]",
"[Base].[Metrica]",
"[Base].[Metrica].&amp;[" &amp; $A64 &amp; "]",
"[Base].[SEGMENTO_DESCRIP]",
"[Base].[SEGMENTO_DESCRIP].&amp;[" &amp; $C$6 &amp; "]",
"[Base].[SITUACION]",
"[Base].[SITUACION].&amp;[" &amp; $C64 &amp; "]"
),0)/1000</f>
        <v>20.91891</v>
      </c>
      <c r="AJ64" s="8">
        <f>IFERROR(
GETPIVOTDATA(
"[Base].[Importe]",
TDinamica_R!$A$5,
"[Calendario].[AñoMes]",
"[Calendario].[AñoMes].&amp;[" &amp; TEXT(AJ$6,"yyyymm") &amp; "]",
"[Base].[Metrica]",
"[Base].[Metrica].&amp;[" &amp; $A64 &amp; "]",
"[Base].[SEGMENTO_DESCRIP]",
"[Base].[SEGMENTO_DESCRIP].&amp;[" &amp; $C$6 &amp; "]",
"[Base].[SITUACION]",
"[Base].[SITUACION].&amp;[" &amp; $C64 &amp; "]"
),0)/1000</f>
        <v>22.187549999999998</v>
      </c>
      <c r="AK64" s="8">
        <f>IFERROR(
GETPIVOTDATA(
"[Base].[Importe]",
TDinamica_R!$A$5,
"[Calendario].[AñoMes]",
"[Calendario].[AñoMes].&amp;[" &amp; TEXT(AK$6,"yyyymm") &amp; "]",
"[Base].[Metrica]",
"[Base].[Metrica].&amp;[" &amp; $A64 &amp; "]",
"[Base].[SEGMENTO_DESCRIP]",
"[Base].[SEGMENTO_DESCRIP].&amp;[" &amp; $C$6 &amp; "]",
"[Base].[SITUACION]",
"[Base].[SITUACION].&amp;[" &amp; $C64 &amp; "]"
),0)/1000</f>
        <v>21.985490000000002</v>
      </c>
      <c r="AL64" s="8">
        <f>IFERROR(
GETPIVOTDATA(
"[Base].[Importe]",
TDinamica_R!$A$5,
"[Calendario].[AñoMes]",
"[Calendario].[AñoMes].&amp;[" &amp; TEXT(AL$6,"yyyymm") &amp; "]",
"[Base].[Metrica]",
"[Base].[Metrica].&amp;[" &amp; $A64 &amp; "]",
"[Base].[SEGMENTO_DESCRIP]",
"[Base].[SEGMENTO_DESCRIP].&amp;[" &amp; $C$6 &amp; "]",
"[Base].[SITUACION]",
"[Base].[SITUACION].&amp;[" &amp; $C64 &amp; "]"
),0)/1000</f>
        <v>23.005650000000003</v>
      </c>
      <c r="AM64" s="8">
        <f>IFERROR(
GETPIVOTDATA(
"[Base].[Importe]",
TDinamica_R!$A$5,
"[Calendario].[AñoMes]",
"[Calendario].[AñoMes].&amp;[" &amp; TEXT(AM$6,"yyyymm") &amp; "]",
"[Base].[Metrica]",
"[Base].[Metrica].&amp;[" &amp; $A64 &amp; "]",
"[Base].[SEGMENTO_DESCRIP]",
"[Base].[SEGMENTO_DESCRIP].&amp;[" &amp; $C$6 &amp; "]",
"[Base].[SITUACION]",
"[Base].[SITUACION].&amp;[" &amp; $C64 &amp; "]"
),0)/1000</f>
        <v>23.051389999999998</v>
      </c>
      <c r="AN64" s="8">
        <f>IFERROR(
GETPIVOTDATA(
"[Base].[Importe]",
TDinamica_R!$A$5,
"[Calendario].[AñoMes]",
"[Calendario].[AñoMes].&amp;[" &amp; TEXT(AN$6,"yyyymm") &amp; "]",
"[Base].[Metrica]",
"[Base].[Metrica].&amp;[" &amp; $A64 &amp; "]",
"[Base].[SEGMENTO_DESCRIP]",
"[Base].[SEGMENTO_DESCRIP].&amp;[" &amp; $C$6 &amp; "]",
"[Base].[SITUACION]",
"[Base].[SITUACION].&amp;[" &amp; $C64 &amp; "]"
),0)/1000</f>
        <v>23.528479999999998</v>
      </c>
      <c r="AO64" s="8">
        <f>IFERROR(
GETPIVOTDATA(
"[Base].[Importe]",
TDinamica_R!$A$5,
"[Calendario].[AñoMes]",
"[Calendario].[AñoMes].&amp;[" &amp; TEXT(AO$6,"yyyymm") &amp; "]",
"[Base].[Metrica]",
"[Base].[Metrica].&amp;[" &amp; $A64 &amp; "]",
"[Base].[SEGMENTO_DESCRIP]",
"[Base].[SEGMENTO_DESCRIP].&amp;[" &amp; $C$6 &amp; "]",
"[Base].[SITUACION]",
"[Base].[SITUACION].&amp;[" &amp; $C64 &amp; "]"
),0)/1000</f>
        <v>22.849709999999995</v>
      </c>
      <c r="AP64" s="8">
        <f>IFERROR(
GETPIVOTDATA(
"[Base].[Importe]",
TDinamica_R!$A$5,
"[Calendario].[AñoMes]",
"[Calendario].[AñoMes].&amp;[" &amp; TEXT(AP$6,"yyyymm") &amp; "]",
"[Base].[Metrica]",
"[Base].[Metrica].&amp;[" &amp; $A64 &amp; "]",
"[Base].[SEGMENTO_DESCRIP]",
"[Base].[SEGMENTO_DESCRIP].&amp;[" &amp; $C$6 &amp; "]",
"[Base].[SITUACION]",
"[Base].[SITUACION].&amp;[" &amp; $C64 &amp; "]"
),0)/1000</f>
        <v>22.885910000000003</v>
      </c>
      <c r="AQ64" s="8">
        <f>IFERROR(
GETPIVOTDATA(
"[Base].[Importe]",
TDinamica_R!$A$5,
"[Calendario].[AñoMes]",
"[Calendario].[AñoMes].&amp;[" &amp; TEXT(AQ$6,"yyyymm") &amp; "]",
"[Base].[Metrica]",
"[Base].[Metrica].&amp;[" &amp; $A64 &amp; "]",
"[Base].[SEGMENTO_DESCRIP]",
"[Base].[SEGMENTO_DESCRIP].&amp;[" &amp; $C$6 &amp; "]",
"[Base].[SITUACION]",
"[Base].[SITUACION].&amp;[" &amp; $C64 &amp; "]"
),0)/1000</f>
        <v>22.61853</v>
      </c>
      <c r="AR64" s="8">
        <f>IFERROR(
GETPIVOTDATA(
"[Base].[Importe]",
TDinamica_R!$A$5,
"[Calendario].[AñoMes]",
"[Calendario].[AñoMes].&amp;[" &amp; TEXT(AR$6,"yyyymm") &amp; "]",
"[Base].[Metrica]",
"[Base].[Metrica].&amp;[" &amp; $A64 &amp; "]",
"[Base].[SEGMENTO_DESCRIP]",
"[Base].[SEGMENTO_DESCRIP].&amp;[" &amp; $C$6 &amp; "]",
"[Base].[SITUACION]",
"[Base].[SITUACION].&amp;[" &amp; $C64 &amp; "]"
),0)/1000</f>
        <v>23.224390000000003</v>
      </c>
      <c r="AS64" s="8">
        <f>IFERROR(
GETPIVOTDATA(
"[Base].[Importe]",
TDinamica_R!$A$5,
"[Calendario].[AñoMes]",
"[Calendario].[AñoMes].&amp;[" &amp; TEXT(AS$6,"yyyymm") &amp; "]",
"[Base].[Metrica]",
"[Base].[Metrica].&amp;[" &amp; $A64 &amp; "]",
"[Base].[SEGMENTO_DESCRIP]",
"[Base].[SEGMENTO_DESCRIP].&amp;[" &amp; $C$6 &amp; "]",
"[Base].[SITUACION]",
"[Base].[SITUACION].&amp;[" &amp; $C64 &amp; "]"
),0)/1000</f>
        <v>23.277410000000003</v>
      </c>
      <c r="AT64" s="8">
        <f>IFERROR(
GETPIVOTDATA(
"[Base].[Importe]",
TDinamica_R!$A$5,
"[Calendario].[AñoMes]",
"[Calendario].[AñoMes].&amp;[" &amp; TEXT(AT$6,"yyyymm")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U64" s="8">
        <f>IFERROR(
GETPIVOTDATA(
"[Base].[Importe]",
TDinamica_R!$A$5,
"[Calendario].[AñoMes]",
"[Calendario].[AñoMes].&amp;[" &amp; TEXT(AU$6,"yyyymm")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V64" s="8">
        <f>IFERROR(
GETPIVOTDATA(
"[Base].[Importe]",
TDinamica_R!$A$5,
"[Calendario].[AñoMes]",
"[Calendario].[AñoMes].&amp;[" &amp; TEXT(AV$6,"yyyymm")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W64" s="8">
        <f>IFERROR(
GETPIVOTDATA(
"[Base].[Importe]",
TDinamica_R!$A$5,
"[Calendario].[AñoMes]",
"[Calendario].[AñoMes].&amp;[" &amp; TEXT(AW$6,"yyyymm")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X64" s="8">
        <f>IFERROR(
GETPIVOTDATA(
"[Base].[Importe]",
TDinamica_R!$A$5,
"[Calendario].[AñoMes]",
"[Calendario].[AñoMes].&amp;[" &amp; TEXT(AX$6,"yyyymm")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Y64" s="8">
        <f>IFERROR(
GETPIVOTDATA(
"[Base].[Importe]",
TDinamica_R!$A$5,
"[Calendario].[AñoMes]",
"[Calendario].[AñoMes].&amp;[" &amp; TEXT(AY$6,"yyyymm")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Z64" s="8">
        <f>IFERROR(
GETPIVOTDATA(
"[BASE_CONVE_PPTO].[Importe]",
TDinamica_P!$A$5,
"[BASE_CONVE_PPTO].[Periodo]",
"[BASE_CONVE_PPTO].[Periodo].&amp;[" &amp; TEXT(AZ$6,"yyyymm")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20.882625115589942</v>
      </c>
      <c r="BA64" s="8">
        <f>IFERROR(
GETPIVOTDATA(
"[BASE_CONVE_PPTO].[Importe]",
TDinamica_P!$A$5,
"[BASE_CONVE_PPTO].[Periodo]",
"[BASE_CONVE_PPTO].[Periodo].&amp;[" &amp; TEXT(BA$6,"yyyymm")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20.823498037663882</v>
      </c>
      <c r="BB64" s="8">
        <f>IFERROR(
GETPIVOTDATA(
"[BASE_CONVE_PPTO].[Importe]",
TDinamica_P!$A$5,
"[BASE_CONVE_PPTO].[Periodo]",
"[BASE_CONVE_PPTO].[Periodo].&amp;[" &amp; TEXT(BB$6,"yyyymm")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20.838552380190851</v>
      </c>
      <c r="BC64" s="8">
        <f>IFERROR(
GETPIVOTDATA(
"[BASE_CONVE_PPTO].[Importe]",
TDinamica_P!$A$5,
"[BASE_CONVE_PPTO].[Periodo]",
"[BASE_CONVE_PPTO].[Periodo].&amp;[" &amp; TEXT(BC$6,"yyyymm")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20.801775659757251</v>
      </c>
      <c r="BD64" s="8">
        <f>IFERROR(
GETPIVOTDATA(
"[BASE_CONVE_PPTO].[Importe]",
TDinamica_P!$A$5,
"[BASE_CONVE_PPTO].[Periodo]",
"[BASE_CONVE_PPTO].[Periodo].&amp;[" &amp; TEXT(BD$6,"yyyymm")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20.721386396095077</v>
      </c>
      <c r="BE64" s="8">
        <f>IFERROR(
GETPIVOTDATA(
"[BASE_CONVE_PPTO].[Importe]",
TDinamica_P!$A$5,
"[BASE_CONVE_PPTO].[Periodo]",
"[BASE_CONVE_PPTO].[Periodo].&amp;[" &amp; TEXT(BE$6,"yyyymm")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20.452880902857864</v>
      </c>
      <c r="BF64" s="8">
        <f>IFERROR(
GETPIVOTDATA(
"[BASE_CONVE_PPTO].[Importe]",
TDinamica_P!$A$5,
"[BASE_CONVE_PPTO].[Periodo]",
"[BASE_CONVE_PPTO].[Periodo].&amp;[" &amp; TEXT(BF$6,"yyyymm")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20.354310161271055</v>
      </c>
      <c r="BG64" s="8">
        <f>IFERROR(
GETPIVOTDATA(
"[BASE_CONVE_PPTO].[Importe]",
TDinamica_P!$A$5,
"[BASE_CONVE_PPTO].[Periodo]",
"[BASE_CONVE_PPTO].[Periodo].&amp;[" &amp; TEXT(BG$6,"yyyymm")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20.264136950941733</v>
      </c>
      <c r="BH64" s="8">
        <f>IFERROR(
GETPIVOTDATA(
"[BASE_CONVE_PPTO].[Importe]",
TDinamica_P!$A$5,
"[BASE_CONVE_PPTO].[Periodo]",
"[BASE_CONVE_PPTO].[Periodo].&amp;[" &amp; TEXT(BH$6,"yyyymm")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20.17760208065652</v>
      </c>
      <c r="BI64" s="8">
        <f>IFERROR(
GETPIVOTDATA(
"[BASE_CONVE_PPTO].[Importe]",
TDinamica_P!$A$5,
"[BASE_CONVE_PPTO].[Periodo]",
"[BASE_CONVE_PPTO].[Periodo].&amp;[" &amp; TEXT(BI$6,"yyyymm")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20.087995204206372</v>
      </c>
      <c r="BJ64" s="8">
        <f>IFERROR(
GETPIVOTDATA(
"[BASE_CONVE_PPTO].[Importe]",
TDinamica_P!$A$5,
"[BASE_CONVE_PPTO].[Periodo]",
"[BASE_CONVE_PPTO].[Periodo].&amp;[" &amp; TEXT(BJ$6,"yyyymm")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19.994840252943391</v>
      </c>
      <c r="BK64" s="8">
        <f>IFERROR(
GETPIVOTDATA(
"[BASE_CONVE_PPTO].[Importe]",
TDinamica_P!$A$5,
"[BASE_CONVE_PPTO].[Periodo]",
"[BASE_CONVE_PPTO].[Periodo].&amp;[" &amp; TEXT(BK$6,"yyyymm") &amp; "]",
"[BASE_CONVE_PPTO].[Metrica]",
"[BASE_CONVE_PPTO].[Metrica].&amp;[" &amp; $A64 &amp; "]",
"[BASE_CONVE_PPTO].[SEGMENTO_DESCRIP]",
"[BASE_CONVE_PPTO].[SEGMENTO_DESCRIP].&amp;[" &amp; $C$6 &amp; "]",
"[BASE_CONVE_PPTO].[SITUACION]",
"[BASE_CONVE_PPTO].[SITUACION].&amp;[" &amp; $C64 &amp; "]"),
0)</f>
        <v>19.886683675753076</v>
      </c>
      <c r="BO64" s="24">
        <f t="shared" si="49"/>
        <v>115.10701999999998</v>
      </c>
      <c r="BP64" s="24">
        <f t="shared" si="49"/>
        <v>104.067837589297</v>
      </c>
      <c r="BQ64" s="24">
        <f t="shared" si="49"/>
        <v>91.882629999999978</v>
      </c>
      <c r="BR64" s="24">
        <f t="shared" si="49"/>
        <v>106.44984000000001</v>
      </c>
      <c r="BS64" s="24">
        <f t="shared" si="49"/>
        <v>119.56627</v>
      </c>
      <c r="BT64" s="24">
        <f t="shared" si="49"/>
        <v>127.93092000000001</v>
      </c>
    </row>
    <row r="65" spans="1:72" outlineLevel="1" x14ac:dyDescent="0.25">
      <c r="A65" s="11" t="s">
        <v>71</v>
      </c>
      <c r="C65" s="2" t="s">
        <v>73</v>
      </c>
      <c r="D65" s="8">
        <f>IFERROR(
GETPIVOTDATA(
"[Base].[Importe]",
TDinamica_R!$A$5,
"[Calendario].[AñoMes]",
"[Calendario].[AñoMes].&amp;[" &amp; TEXT(D$6,"yyyymm") &amp; "]",
"[Base].[Metrica]",
"[Base].[Metrica].&amp;[" &amp; $A65 &amp; "]",
"[Base].[SEGMENTO_DESCRIP]",
"[Base].[SEGMENTO_DESCRIP].&amp;[" &amp; $C$6 &amp; "]",
"[Base].[SITUACION]",
"[Base].[SITUACION].&amp;[" &amp; $C65 &amp; "]"
),0)/1000</f>
        <v>-16.984699339999999</v>
      </c>
      <c r="E65" s="8">
        <f>IFERROR(
GETPIVOTDATA(
"[Base].[Importe]",
TDinamica_R!$A$5,
"[Calendario].[AñoMes]",
"[Calendario].[AñoMes].&amp;[" &amp; TEXT(E$6,"yyyymm") &amp; "]",
"[Base].[Metrica]",
"[Base].[Metrica].&amp;[" &amp; $A65 &amp; "]",
"[Base].[SEGMENTO_DESCRIP]",
"[Base].[SEGMENTO_DESCRIP].&amp;[" &amp; $C$6 &amp; "]",
"[Base].[SITUACION]",
"[Base].[SITUACION].&amp;[" &amp; $C65 &amp; "]"
),0)/1000</f>
        <v>-16.946702191</v>
      </c>
      <c r="F65" s="8">
        <f>IFERROR(
GETPIVOTDATA(
"[Base].[Importe]",
TDinamica_R!$A$5,
"[Calendario].[AñoMes]",
"[Calendario].[AñoMes].&amp;[" &amp; TEXT(F$6,"yyyymm") &amp; "]",
"[Base].[Metrica]",
"[Base].[Metrica].&amp;[" &amp; $A65 &amp; "]",
"[Base].[SEGMENTO_DESCRIP]",
"[Base].[SEGMENTO_DESCRIP].&amp;[" &amp; $C$6 &amp; "]",
"[Base].[SITUACION]",
"[Base].[SITUACION].&amp;[" &amp; $C65 &amp; "]"
),0)/1000</f>
        <v>-16.817816946000001</v>
      </c>
      <c r="G65" s="8">
        <f>IFERROR(
GETPIVOTDATA(
"[Base].[Importe]",
TDinamica_R!$A$5,
"[Calendario].[AñoMes]",
"[Calendario].[AñoMes].&amp;[" &amp; TEXT(G$6,"yyyymm") &amp; "]",
"[Base].[Metrica]",
"[Base].[Metrica].&amp;[" &amp; $A65 &amp; "]",
"[Base].[SEGMENTO_DESCRIP]",
"[Base].[SEGMENTO_DESCRIP].&amp;[" &amp; $C$6 &amp; "]",
"[Base].[SITUACION]",
"[Base].[SITUACION].&amp;[" &amp; $C65 &amp; "]"
),0)/1000</f>
        <v>-10.693463054</v>
      </c>
      <c r="H65" s="8">
        <f>IFERROR(
GETPIVOTDATA(
"[Base].[Importe]",
TDinamica_R!$A$5,
"[Calendario].[AñoMes]",
"[Calendario].[AñoMes].&amp;[" &amp; TEXT(H$6,"yyyymm") &amp; "]",
"[Base].[Metrica]",
"[Base].[Metrica].&amp;[" &amp; $A65 &amp; "]",
"[Base].[SEGMENTO_DESCRIP]",
"[Base].[SEGMENTO_DESCRIP].&amp;[" &amp; $C$6 &amp; "]",
"[Base].[SITUACION]",
"[Base].[SITUACION].&amp;[" &amp; $C65 &amp; "]"
),0)/1000</f>
        <v>-17.097613939000002</v>
      </c>
      <c r="I65" s="8">
        <f>IFERROR(
GETPIVOTDATA(
"[Base].[Importe]",
TDinamica_R!$A$5,
"[Calendario].[AñoMes]",
"[Calendario].[AñoMes].&amp;[" &amp; TEXT(I$6,"yyyymm") &amp; "]",
"[Base].[Metrica]",
"[Base].[Metrica].&amp;[" &amp; $A65 &amp; "]",
"[Base].[SEGMENTO_DESCRIP]",
"[Base].[SEGMENTO_DESCRIP].&amp;[" &amp; $C$6 &amp; "]",
"[Base].[SITUACION]",
"[Base].[SITUACION].&amp;[" &amp; $C65 &amp; "]"
),0)/1000</f>
        <v>-17.215760932999999</v>
      </c>
      <c r="J65" s="8">
        <f>IFERROR(
GETPIVOTDATA(
"[Base].[Importe]",
TDinamica_R!$A$5,
"[Calendario].[AñoMes]",
"[Calendario].[AñoMes].&amp;[" &amp; TEXT(J$6,"yyyymm") &amp; "]",
"[Base].[Metrica]",
"[Base].[Metrica].&amp;[" &amp; $A65 &amp; "]",
"[Base].[SEGMENTO_DESCRIP]",
"[Base].[SEGMENTO_DESCRIP].&amp;[" &amp; $C$6 &amp; "]",
"[Base].[SITUACION]",
"[Base].[SITUACION].&amp;[" &amp; $C65 &amp; "]"
),0)/1000</f>
        <v>-18.246437859999997</v>
      </c>
      <c r="K65" s="8">
        <f>IFERROR(
GETPIVOTDATA(
"[Base].[Importe]",
TDinamica_R!$A$5,
"[Calendario].[AñoMes]",
"[Calendario].[AñoMes].&amp;[" &amp; TEXT(K$6,"yyyymm") &amp; "]",
"[Base].[Metrica]",
"[Base].[Metrica].&amp;[" &amp; $A65 &amp; "]",
"[Base].[SEGMENTO_DESCRIP]",
"[Base].[SEGMENTO_DESCRIP].&amp;[" &amp; $C$6 &amp; "]",
"[Base].[SITUACION]",
"[Base].[SITUACION].&amp;[" &amp; $C65 &amp; "]"
),0)/1000</f>
        <v>-17.323879155</v>
      </c>
      <c r="L65" s="8">
        <f>IFERROR(
GETPIVOTDATA(
"[Base].[Importe]",
TDinamica_R!$A$5,
"[Calendario].[AñoMes]",
"[Calendario].[AñoMes].&amp;[" &amp; TEXT(L$6,"yyyymm") &amp; "]",
"[Base].[Metrica]",
"[Base].[Metrica].&amp;[" &amp; $A65 &amp; "]",
"[Base].[SEGMENTO_DESCRIP]",
"[Base].[SEGMENTO_DESCRIP].&amp;[" &amp; $C$6 &amp; "]",
"[Base].[SITUACION]",
"[Base].[SITUACION].&amp;[" &amp; $C65 &amp; "]"
),0)/1000</f>
        <v>-15.571674851999999</v>
      </c>
      <c r="M65" s="8">
        <f>IFERROR(
GETPIVOTDATA(
"[Base].[Importe]",
TDinamica_R!$A$5,
"[Calendario].[AñoMes]",
"[Calendario].[AñoMes].&amp;[" &amp; TEXT(M$6,"yyyymm") &amp; "]",
"[Base].[Metrica]",
"[Base].[Metrica].&amp;[" &amp; $A65 &amp; "]",
"[Base].[SEGMENTO_DESCRIP]",
"[Base].[SEGMENTO_DESCRIP].&amp;[" &amp; $C$6 &amp; "]",
"[Base].[SITUACION]",
"[Base].[SITUACION].&amp;[" &amp; $C65 &amp; "]"
),0)/1000</f>
        <v>-21.783486583000002</v>
      </c>
      <c r="N65" s="8">
        <f>IFERROR(
GETPIVOTDATA(
"[Base].[Importe]",
TDinamica_R!$A$5,
"[Calendario].[AñoMes]",
"[Calendario].[AñoMes].&amp;[" &amp; TEXT(N$6,"yyyymm") &amp; "]",
"[Base].[Metrica]",
"[Base].[Metrica].&amp;[" &amp; $A65 &amp; "]",
"[Base].[SEGMENTO_DESCRIP]",
"[Base].[SEGMENTO_DESCRIP].&amp;[" &amp; $C$6 &amp; "]",
"[Base].[SITUACION]",
"[Base].[SITUACION].&amp;[" &amp; $C65 &amp; "]"
),0)/1000</f>
        <v>-8.8091410650000004</v>
      </c>
      <c r="O65" s="8">
        <f>IFERROR(
GETPIVOTDATA(
"[Base].[Importe]",
TDinamica_R!$A$5,
"[Calendario].[AñoMes]",
"[Calendario].[AñoMes].&amp;[" &amp; TEXT(O$6,"yyyymm") &amp; "]",
"[Base].[Metrica]",
"[Base].[Metrica].&amp;[" &amp; $A65 &amp; "]",
"[Base].[SEGMENTO_DESCRIP]",
"[Base].[SEGMENTO_DESCRIP].&amp;[" &amp; $C$6 &amp; "]",
"[Base].[SITUACION]",
"[Base].[SITUACION].&amp;[" &amp; $C65 &amp; "]"
),0)/1000</f>
        <v>-22.256614515000003</v>
      </c>
      <c r="P65" s="8">
        <f>IFERROR(
GETPIVOTDATA(
"[Base].[Importe]",
TDinamica_R!$A$5,
"[Calendario].[AñoMes]",
"[Calendario].[AñoMes].&amp;[" &amp; TEXT(P$6,"yyyymm") &amp; "]",
"[Base].[Metrica]",
"[Base].[Metrica].&amp;[" &amp; $A65 &amp; "]",
"[Base].[SEGMENTO_DESCRIP]",
"[Base].[SEGMENTO_DESCRIP].&amp;[" &amp; $C$6 &amp; "]",
"[Base].[SITUACION]",
"[Base].[SITUACION].&amp;[" &amp; $C65 &amp; "]"
),0)/1000</f>
        <v>3.1388758366</v>
      </c>
      <c r="Q65" s="8">
        <f>IFERROR(
GETPIVOTDATA(
"[Base].[Importe]",
TDinamica_R!$A$5,
"[Calendario].[AñoMes]",
"[Calendario].[AñoMes].&amp;[" &amp; TEXT(Q$6,"yyyymm") &amp; "]",
"[Base].[Metrica]",
"[Base].[Metrica].&amp;[" &amp; $A65 &amp; "]",
"[Base].[SEGMENTO_DESCRIP]",
"[Base].[SEGMENTO_DESCRIP].&amp;[" &amp; $C$6 &amp; "]",
"[Base].[SITUACION]",
"[Base].[SITUACION].&amp;[" &amp; $C65 &amp; "]"
),0)/1000</f>
        <v>-14.798889860999999</v>
      </c>
      <c r="R65" s="8">
        <f>IFERROR(
GETPIVOTDATA(
"[Base].[Importe]",
TDinamica_R!$A$5,
"[Calendario].[AñoMes]",
"[Calendario].[AñoMes].&amp;[" &amp; TEXT(R$6,"yyyymm") &amp; "]",
"[Base].[Metrica]",
"[Base].[Metrica].&amp;[" &amp; $A65 &amp; "]",
"[Base].[SEGMENTO_DESCRIP]",
"[Base].[SEGMENTO_DESCRIP].&amp;[" &amp; $C$6 &amp; "]",
"[Base].[SITUACION]",
"[Base].[SITUACION].&amp;[" &amp; $C65 &amp; "]"
),0)/1000</f>
        <v>-14.492721503999999</v>
      </c>
      <c r="S65" s="8">
        <f>IFERROR(
GETPIVOTDATA(
"[Base].[Importe]",
TDinamica_R!$A$5,
"[Calendario].[AñoMes]",
"[Calendario].[AñoMes].&amp;[" &amp; TEXT(S$6,"yyyymm") &amp; "]",
"[Base].[Metrica]",
"[Base].[Metrica].&amp;[" &amp; $A65 &amp; "]",
"[Base].[SEGMENTO_DESCRIP]",
"[Base].[SEGMENTO_DESCRIP].&amp;[" &amp; $C$6 &amp; "]",
"[Base].[SITUACION]",
"[Base].[SITUACION].&amp;[" &amp; $C65 &amp; "]"
),0)/1000</f>
        <v>-18.915011516</v>
      </c>
      <c r="T65" s="8">
        <f>IFERROR(
GETPIVOTDATA(
"[Base].[Importe]",
TDinamica_R!$A$5,
"[Calendario].[AñoMes]",
"[Calendario].[AñoMes].&amp;[" &amp; TEXT(T$6,"yyyymm") &amp; "]",
"[Base].[Metrica]",
"[Base].[Metrica].&amp;[" &amp; $A65 &amp; "]",
"[Base].[SEGMENTO_DESCRIP]",
"[Base].[SEGMENTO_DESCRIP].&amp;[" &amp; $C$6 &amp; "]",
"[Base].[SITUACION]",
"[Base].[SITUACION].&amp;[" &amp; $C65 &amp; "]"
),0)/1000</f>
        <v>-15.205450294000002</v>
      </c>
      <c r="U65" s="8">
        <f>IFERROR(
GETPIVOTDATA(
"[Base].[Importe]",
TDinamica_R!$A$5,
"[Calendario].[AñoMes]",
"[Calendario].[AñoMes].&amp;[" &amp; TEXT(U$6,"yyyymm") &amp; "]",
"[Base].[Metrica]",
"[Base].[Metrica].&amp;[" &amp; $A65 &amp; "]",
"[Base].[SEGMENTO_DESCRIP]",
"[Base].[SEGMENTO_DESCRIP].&amp;[" &amp; $C$6 &amp; "]",
"[Base].[SITUACION]",
"[Base].[SITUACION].&amp;[" &amp; $C65 &amp; "]"
),0)/1000</f>
        <v>-13.172266079000002</v>
      </c>
      <c r="V65" s="8">
        <f>IFERROR(
GETPIVOTDATA(
"[Base].[Importe]",
TDinamica_R!$A$5,
"[Calendario].[AñoMes]",
"[Calendario].[AñoMes].&amp;[" &amp; TEXT(V$6,"yyyymm") &amp; "]",
"[Base].[Metrica]",
"[Base].[Metrica].&amp;[" &amp; $A65 &amp; "]",
"[Base].[SEGMENTO_DESCRIP]",
"[Base].[SEGMENTO_DESCRIP].&amp;[" &amp; $C$6 &amp; "]",
"[Base].[SITUACION]",
"[Base].[SITUACION].&amp;[" &amp; $C65 &amp; "]"
),0)/1000</f>
        <v>-12.697822987</v>
      </c>
      <c r="W65" s="8">
        <f>IFERROR(
GETPIVOTDATA(
"[Base].[Importe]",
TDinamica_R!$A$5,
"[Calendario].[AñoMes]",
"[Calendario].[AñoMes].&amp;[" &amp; TEXT(W$6,"yyyymm") &amp; "]",
"[Base].[Metrica]",
"[Base].[Metrica].&amp;[" &amp; $A65 &amp; "]",
"[Base].[SEGMENTO_DESCRIP]",
"[Base].[SEGMENTO_DESCRIP].&amp;[" &amp; $C$6 &amp; "]",
"[Base].[SITUACION]",
"[Base].[SITUACION].&amp;[" &amp; $C65 &amp; "]"
),0)/1000</f>
        <v>-16.911322650000002</v>
      </c>
      <c r="X65" s="8">
        <f>IFERROR(
GETPIVOTDATA(
"[Base].[Importe]",
TDinamica_R!$A$5,
"[Calendario].[AñoMes]",
"[Calendario].[AñoMes].&amp;[" &amp; TEXT(X$6,"yyyymm") &amp; "]",
"[Base].[Metrica]",
"[Base].[Metrica].&amp;[" &amp; $A65 &amp; "]",
"[Base].[SEGMENTO_DESCRIP]",
"[Base].[SEGMENTO_DESCRIP].&amp;[" &amp; $C$6 &amp; "]",
"[Base].[SITUACION]",
"[Base].[SITUACION].&amp;[" &amp; $C65 &amp; "]"
),0)/1000</f>
        <v>-15.484899352000001</v>
      </c>
      <c r="Y65" s="8">
        <f>IFERROR(
GETPIVOTDATA(
"[Base].[Importe]",
TDinamica_R!$A$5,
"[Calendario].[AñoMes]",
"[Calendario].[AñoMes].&amp;[" &amp; TEXT(Y$6,"yyyymm") &amp; "]",
"[Base].[Metrica]",
"[Base].[Metrica].&amp;[" &amp; $A65 &amp; "]",
"[Base].[SEGMENTO_DESCRIP]",
"[Base].[SEGMENTO_DESCRIP].&amp;[" &amp; $C$6 &amp; "]",
"[Base].[SITUACION]",
"[Base].[SITUACION].&amp;[" &amp; $C65 &amp; "]"
),0)/1000</f>
        <v>-13.030070566999999</v>
      </c>
      <c r="Z65" s="8">
        <f>IFERROR(
GETPIVOTDATA(
"[Base].[Importe]",
TDinamica_R!$A$5,
"[Calendario].[AñoMes]",
"[Calendario].[AñoMes].&amp;[" &amp; TEXT(Z$6,"yyyymm") &amp; "]",
"[Base].[Metrica]",
"[Base].[Metrica].&amp;[" &amp; $A65 &amp; "]",
"[Base].[SEGMENTO_DESCRIP]",
"[Base].[SEGMENTO_DESCRIP].&amp;[" &amp; $C$6 &amp; "]",
"[Base].[SITUACION]",
"[Base].[SITUACION].&amp;[" &amp; $C65 &amp; "]"
),0)/1000</f>
        <v>-20.184750031</v>
      </c>
      <c r="AA65" s="8">
        <f>IFERROR(
GETPIVOTDATA(
"[Base].[Importe]",
TDinamica_R!$A$5,
"[Calendario].[AñoMes]",
"[Calendario].[AñoMes].&amp;[" &amp; TEXT(AA$6,"yyyymm") &amp; "]",
"[Base].[Metrica]",
"[Base].[Metrica].&amp;[" &amp; $A65 &amp; "]",
"[Base].[SEGMENTO_DESCRIP]",
"[Base].[SEGMENTO_DESCRIP].&amp;[" &amp; $C$6 &amp; "]",
"[Base].[SITUACION]",
"[Base].[SITUACION].&amp;[" &amp; $C65 &amp; "]"
),0)/1000</f>
        <v>-3.0464083692529997</v>
      </c>
      <c r="AB65" s="8">
        <f>IFERROR(
GETPIVOTDATA(
"[Base].[Importe]",
TDinamica_R!$A$5,
"[Calendario].[AñoMes]",
"[Calendario].[AñoMes].&amp;[" &amp; TEXT(AB$6,"yyyymm") &amp; "]",
"[Base].[Metrica]",
"[Base].[Metrica].&amp;[" &amp; $A65 &amp; "]",
"[Base].[SEGMENTO_DESCRIP]",
"[Base].[SEGMENTO_DESCRIP].&amp;[" &amp; $C$6 &amp; "]",
"[Base].[SITUACION]",
"[Base].[SITUACION].&amp;[" &amp; $C65 &amp; "]"
),0)/1000</f>
        <v>-14.879674189000001</v>
      </c>
      <c r="AC65" s="8">
        <f>IFERROR(
GETPIVOTDATA(
"[Base].[Importe]",
TDinamica_R!$A$5,
"[Calendario].[AñoMes]",
"[Calendario].[AñoMes].&amp;[" &amp; TEXT(AC$6,"yyyymm") &amp; "]",
"[Base].[Metrica]",
"[Base].[Metrica].&amp;[" &amp; $A65 &amp; "]",
"[Base].[SEGMENTO_DESCRIP]",
"[Base].[SEGMENTO_DESCRIP].&amp;[" &amp; $C$6 &amp; "]",
"[Base].[SITUACION]",
"[Base].[SITUACION].&amp;[" &amp; $C65 &amp; "]"
),0)/1000</f>
        <v>-12.665998388</v>
      </c>
      <c r="AD65" s="8">
        <f>IFERROR(
GETPIVOTDATA(
"[Base].[Importe]",
TDinamica_R!$A$5,
"[Calendario].[AñoMes]",
"[Calendario].[AñoMes].&amp;[" &amp; TEXT(AD$6,"yyyymm") &amp; "]",
"[Base].[Metrica]",
"[Base].[Metrica].&amp;[" &amp; $A65 &amp; "]",
"[Base].[SEGMENTO_DESCRIP]",
"[Base].[SEGMENTO_DESCRIP].&amp;[" &amp; $C$6 &amp; "]",
"[Base].[SITUACION]",
"[Base].[SITUACION].&amp;[" &amp; $C65 &amp; "]"
),0)/1000</f>
        <v>-12.381772582</v>
      </c>
      <c r="AE65" s="8">
        <f>IFERROR(
GETPIVOTDATA(
"[Base].[Importe]",
TDinamica_R!$A$5,
"[Calendario].[AñoMes]",
"[Calendario].[AñoMes].&amp;[" &amp; TEXT(AE$6,"yyyymm") &amp; "]",
"[Base].[Metrica]",
"[Base].[Metrica].&amp;[" &amp; $A65 &amp; "]",
"[Base].[SEGMENTO_DESCRIP]",
"[Base].[SEGMENTO_DESCRIP].&amp;[" &amp; $C$6 &amp; "]",
"[Base].[SITUACION]",
"[Base].[SITUACION].&amp;[" &amp; $C65 &amp; "]"
),0)/1000</f>
        <v>-13.371746189</v>
      </c>
      <c r="AF65" s="8">
        <f>IFERROR(
GETPIVOTDATA(
"[Base].[Importe]",
TDinamica_R!$A$5,
"[Calendario].[AñoMes]",
"[Calendario].[AñoMes].&amp;[" &amp; TEXT(AF$6,"yyyymm") &amp; "]",
"[Base].[Metrica]",
"[Base].[Metrica].&amp;[" &amp; $A65 &amp; "]",
"[Base].[SEGMENTO_DESCRIP]",
"[Base].[SEGMENTO_DESCRIP].&amp;[" &amp; $C$6 &amp; "]",
"[Base].[SITUACION]",
"[Base].[SITUACION].&amp;[" &amp; $C65 &amp; "]"
),0)/1000</f>
        <v>-7.0569058120000001</v>
      </c>
      <c r="AG65" s="8">
        <f>IFERROR(
GETPIVOTDATA(
"[Base].[Importe]",
TDinamica_R!$A$5,
"[Calendario].[AñoMes]",
"[Calendario].[AñoMes].&amp;[" &amp; TEXT(AG$6,"yyyymm") &amp; "]",
"[Base].[Metrica]",
"[Base].[Metrica].&amp;[" &amp; $A65 &amp; "]",
"[Base].[SEGMENTO_DESCRIP]",
"[Base].[SEGMENTO_DESCRIP].&amp;[" &amp; $C$6 &amp; "]",
"[Base].[SITUACION]",
"[Base].[SITUACION].&amp;[" &amp; $C65 &amp; "]"
),0)/1000</f>
        <v>-6.1071366011999997</v>
      </c>
      <c r="AH65" s="8">
        <f>IFERROR(
GETPIVOTDATA(
"[Base].[Importe]",
TDinamica_R!$A$5,
"[Calendario].[AñoMes]",
"[Calendario].[AñoMes].&amp;[" &amp; TEXT(AH$6,"yyyymm") &amp; "]",
"[Base].[Metrica]",
"[Base].[Metrica].&amp;[" &amp; $A65 &amp; "]",
"[Base].[SEGMENTO_DESCRIP]",
"[Base].[SEGMENTO_DESCRIP].&amp;[" &amp; $C$6 &amp; "]",
"[Base].[SITUACION]",
"[Base].[SITUACION].&amp;[" &amp; $C65 &amp; "]"
),0)/1000</f>
        <v>-9.5337975669999988</v>
      </c>
      <c r="AI65" s="8">
        <f>IFERROR(
GETPIVOTDATA(
"[Base].[Importe]",
TDinamica_R!$A$5,
"[Calendario].[AñoMes]",
"[Calendario].[AñoMes].&amp;[" &amp; TEXT(AI$6,"yyyymm") &amp; "]",
"[Base].[Metrica]",
"[Base].[Metrica].&amp;[" &amp; $A65 &amp; "]",
"[Base].[SEGMENTO_DESCRIP]",
"[Base].[SEGMENTO_DESCRIP].&amp;[" &amp; $C$6 &amp; "]",
"[Base].[SITUACION]",
"[Base].[SITUACION].&amp;[" &amp; $C65 &amp; "]"
),0)/1000</f>
        <v>-5.3906012109999999</v>
      </c>
      <c r="AJ65" s="8">
        <f>IFERROR(
GETPIVOTDATA(
"[Base].[Importe]",
TDinamica_R!$A$5,
"[Calendario].[AñoMes]",
"[Calendario].[AñoMes].&amp;[" &amp; TEXT(AJ$6,"yyyymm") &amp; "]",
"[Base].[Metrica]",
"[Base].[Metrica].&amp;[" &amp; $A65 &amp; "]",
"[Base].[SEGMENTO_DESCRIP]",
"[Base].[SEGMENTO_DESCRIP].&amp;[" &amp; $C$6 &amp; "]",
"[Base].[SITUACION]",
"[Base].[SITUACION].&amp;[" &amp; $C65 &amp; "]"
),0)/1000</f>
        <v>2.3285277993999998</v>
      </c>
      <c r="AK65" s="8">
        <f>IFERROR(
GETPIVOTDATA(
"[Base].[Importe]",
TDinamica_R!$A$5,
"[Calendario].[AñoMes]",
"[Calendario].[AñoMes].&amp;[" &amp; TEXT(AK$6,"yyyymm") &amp; "]",
"[Base].[Metrica]",
"[Base].[Metrica].&amp;[" &amp; $A65 &amp; "]",
"[Base].[SEGMENTO_DESCRIP]",
"[Base].[SEGMENTO_DESCRIP].&amp;[" &amp; $C$6 &amp; "]",
"[Base].[SITUACION]",
"[Base].[SITUACION].&amp;[" &amp; $C65 &amp; "]"
),0)/1000</f>
        <v>-8.0532349765000006</v>
      </c>
      <c r="AL65" s="8">
        <f>IFERROR(
GETPIVOTDATA(
"[Base].[Importe]",
TDinamica_R!$A$5,
"[Calendario].[AñoMes]",
"[Calendario].[AñoMes].&amp;[" &amp; TEXT(AL$6,"yyyymm") &amp; "]",
"[Base].[Metrica]",
"[Base].[Metrica].&amp;[" &amp; $A65 &amp; "]",
"[Base].[SEGMENTO_DESCRIP]",
"[Base].[SEGMENTO_DESCRIP].&amp;[" &amp; $C$6 &amp; "]",
"[Base].[SITUACION]",
"[Base].[SITUACION].&amp;[" &amp; $C65 &amp; "]"
),0)/1000</f>
        <v>-8.6912918090000009</v>
      </c>
      <c r="AM65" s="8">
        <f>IFERROR(
GETPIVOTDATA(
"[Base].[Importe]",
TDinamica_R!$A$5,
"[Calendario].[AñoMes]",
"[Calendario].[AñoMes].&amp;[" &amp; TEXT(AM$6,"yyyymm") &amp; "]",
"[Base].[Metrica]",
"[Base].[Metrica].&amp;[" &amp; $A65 &amp; "]",
"[Base].[SEGMENTO_DESCRIP]",
"[Base].[SEGMENTO_DESCRIP].&amp;[" &amp; $C$6 &amp; "]",
"[Base].[SITUACION]",
"[Base].[SITUACION].&amp;[" &amp; $C65 &amp; "]"
),0)/1000</f>
        <v>-7.9611265220000007</v>
      </c>
      <c r="AN65" s="8">
        <f>IFERROR(
GETPIVOTDATA(
"[Base].[Importe]",
TDinamica_R!$A$5,
"[Calendario].[AñoMes]",
"[Calendario].[AñoMes].&amp;[" &amp; TEXT(AN$6,"yyyymm") &amp; "]",
"[Base].[Metrica]",
"[Base].[Metrica].&amp;[" &amp; $A65 &amp; "]",
"[Base].[SEGMENTO_DESCRIP]",
"[Base].[SEGMENTO_DESCRIP].&amp;[" &amp; $C$6 &amp; "]",
"[Base].[SITUACION]",
"[Base].[SITUACION].&amp;[" &amp; $C65 &amp; "]"
),0)/1000</f>
        <v>-13.609301604336629</v>
      </c>
      <c r="AO65" s="8">
        <f>IFERROR(
GETPIVOTDATA(
"[Base].[Importe]",
TDinamica_R!$A$5,
"[Calendario].[AñoMes]",
"[Calendario].[AñoMes].&amp;[" &amp; TEXT(AO$6,"yyyymm") &amp; "]",
"[Base].[Metrica]",
"[Base].[Metrica].&amp;[" &amp; $A65 &amp; "]",
"[Base].[SEGMENTO_DESCRIP]",
"[Base].[SEGMENTO_DESCRIP].&amp;[" &amp; $C$6 &amp; "]",
"[Base].[SITUACION]",
"[Base].[SITUACION].&amp;[" &amp; $C65 &amp; "]"
),0)/1000</f>
        <v>-3.297115750140462</v>
      </c>
      <c r="AP65" s="8">
        <f>IFERROR(
GETPIVOTDATA(
"[Base].[Importe]",
TDinamica_R!$A$5,
"[Calendario].[AñoMes]",
"[Calendario].[AñoMes].&amp;[" &amp; TEXT(AP$6,"yyyymm") &amp; "]",
"[Base].[Metrica]",
"[Base].[Metrica].&amp;[" &amp; $A65 &amp; "]",
"[Base].[SEGMENTO_DESCRIP]",
"[Base].[SEGMENTO_DESCRIP].&amp;[" &amp; $C$6 &amp; "]",
"[Base].[SITUACION]",
"[Base].[SITUACION].&amp;[" &amp; $C65 &amp; "]"
),0)/1000</f>
        <v>-18.23594606015201</v>
      </c>
      <c r="AQ65" s="8">
        <f>IFERROR(
GETPIVOTDATA(
"[Base].[Importe]",
TDinamica_R!$A$5,
"[Calendario].[AñoMes]",
"[Calendario].[AñoMes].&amp;[" &amp; TEXT(AQ$6,"yyyymm") &amp; "]",
"[Base].[Metrica]",
"[Base].[Metrica].&amp;[" &amp; $A65 &amp; "]",
"[Base].[SEGMENTO_DESCRIP]",
"[Base].[SEGMENTO_DESCRIP].&amp;[" &amp; $C$6 &amp; "]",
"[Base].[SITUACION]",
"[Base].[SITUACION].&amp;[" &amp; $C65 &amp; "]"
),0)/1000</f>
        <v>0.309086511552983</v>
      </c>
      <c r="AR65" s="8">
        <f>IFERROR(
GETPIVOTDATA(
"[Base].[Importe]",
TDinamica_R!$A$5,
"[Calendario].[AñoMes]",
"[Calendario].[AñoMes].&amp;[" &amp; TEXT(AR$6,"yyyymm") &amp; "]",
"[Base].[Metrica]",
"[Base].[Metrica].&amp;[" &amp; $A65 &amp; "]",
"[Base].[SEGMENTO_DESCRIP]",
"[Base].[SEGMENTO_DESCRIP].&amp;[" &amp; $C$6 &amp; "]",
"[Base].[SITUACION]",
"[Base].[SITUACION].&amp;[" &amp; $C65 &amp; "]"
),0)/1000</f>
        <v>-14.220089054447214</v>
      </c>
      <c r="AS65" s="8">
        <f>IFERROR(
GETPIVOTDATA(
"[Base].[Importe]",
TDinamica_R!$A$5,
"[Calendario].[AñoMes]",
"[Calendario].[AñoMes].&amp;[" &amp; TEXT(AS$6,"yyyymm") &amp; "]",
"[Base].[Metrica]",
"[Base].[Metrica].&amp;[" &amp; $A65 &amp; "]",
"[Base].[SEGMENTO_DESCRIP]",
"[Base].[SEGMENTO_DESCRIP].&amp;[" &amp; $C$6 &amp; "]",
"[Base].[SITUACION]",
"[Base].[SITUACION].&amp;[" &amp; $C65 &amp; "]"
),0)/1000</f>
        <v>-6.5688649464305389</v>
      </c>
      <c r="AT65" s="8">
        <f>IFERROR(
GETPIVOTDATA(
"[Base].[Importe]",
TDinamica_R!$A$5,
"[Calendario].[AñoMes]",
"[Calendario].[AñoMes].&amp;[" &amp; TEXT(AT$6,"yyyymm")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U65" s="8">
        <f>IFERROR(
GETPIVOTDATA(
"[Base].[Importe]",
TDinamica_R!$A$5,
"[Calendario].[AñoMes]",
"[Calendario].[AñoMes].&amp;[" &amp; TEXT(AU$6,"yyyymm")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V65" s="8">
        <f>IFERROR(
GETPIVOTDATA(
"[Base].[Importe]",
TDinamica_R!$A$5,
"[Calendario].[AñoMes]",
"[Calendario].[AñoMes].&amp;[" &amp; TEXT(AV$6,"yyyymm")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W65" s="8">
        <f>IFERROR(
GETPIVOTDATA(
"[Base].[Importe]",
TDinamica_R!$A$5,
"[Calendario].[AñoMes]",
"[Calendario].[AñoMes].&amp;[" &amp; TEXT(AW$6,"yyyymm")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X65" s="8">
        <f>IFERROR(
GETPIVOTDATA(
"[Base].[Importe]",
TDinamica_R!$A$5,
"[Calendario].[AñoMes]",
"[Calendario].[AñoMes].&amp;[" &amp; TEXT(AX$6,"yyyymm")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Y65" s="8">
        <f>IFERROR(
GETPIVOTDATA(
"[Base].[Importe]",
TDinamica_R!$A$5,
"[Calendario].[AñoMes]",
"[Calendario].[AñoMes].&amp;[" &amp; TEXT(AY$6,"yyyymm")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Z65" s="8">
        <f>IFERROR(
GETPIVOTDATA(
"[BASE_CONVE_PPTO].[Importe]",
TDinamica_P!$A$5,
"[BASE_CONVE_PPTO].[Periodo]",
"[BASE_CONVE_PPTO].[Periodo].&amp;[" &amp; TEXT(AZ$6,"yyyymm")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-10.141349278637422</v>
      </c>
      <c r="BA65" s="8">
        <f>IFERROR(
GETPIVOTDATA(
"[BASE_CONVE_PPTO].[Importe]",
TDinamica_P!$A$5,
"[BASE_CONVE_PPTO].[Periodo]",
"[BASE_CONVE_PPTO].[Periodo].&amp;[" &amp; TEXT(BA$6,"yyyymm")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-9.7471263999540287</v>
      </c>
      <c r="BB65" s="8">
        <f>IFERROR(
GETPIVOTDATA(
"[BASE_CONVE_PPTO].[Importe]",
TDinamica_P!$A$5,
"[BASE_CONVE_PPTO].[Periodo]",
"[BASE_CONVE_PPTO].[Periodo].&amp;[" &amp; TEXT(BB$6,"yyyymm")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-9.9408373499849958</v>
      </c>
      <c r="BC65" s="8">
        <f>IFERROR(
GETPIVOTDATA(
"[BASE_CONVE_PPTO].[Importe]",
TDinamica_P!$A$5,
"[BASE_CONVE_PPTO].[Periodo]",
"[BASE_CONVE_PPTO].[Periodo].&amp;[" &amp; TEXT(BC$6,"yyyymm")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-9.0718821496107545</v>
      </c>
      <c r="BD65" s="8">
        <f>IFERROR(
GETPIVOTDATA(
"[BASE_CONVE_PPTO].[Importe]",
TDinamica_P!$A$5,
"[BASE_CONVE_PPTO].[Periodo]",
"[BASE_CONVE_PPTO].[Periodo].&amp;[" &amp; TEXT(BD$6,"yyyymm")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-12.23847083744997</v>
      </c>
      <c r="BE65" s="8">
        <f>IFERROR(
GETPIVOTDATA(
"[BASE_CONVE_PPTO].[Importe]",
TDinamica_P!$A$5,
"[BASE_CONVE_PPTO].[Periodo]",
"[BASE_CONVE_PPTO].[Periodo].&amp;[" &amp; TEXT(BE$6,"yyyymm")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-13.375061952319356</v>
      </c>
      <c r="BF65" s="8">
        <f>IFERROR(
GETPIVOTDATA(
"[BASE_CONVE_PPTO].[Importe]",
TDinamica_P!$A$5,
"[BASE_CONVE_PPTO].[Periodo]",
"[BASE_CONVE_PPTO].[Periodo].&amp;[" &amp; TEXT(BF$6,"yyyymm")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-14.666576100537013</v>
      </c>
      <c r="BG65" s="8">
        <f>IFERROR(
GETPIVOTDATA(
"[BASE_CONVE_PPTO].[Importe]",
TDinamica_P!$A$5,
"[BASE_CONVE_PPTO].[Periodo]",
"[BASE_CONVE_PPTO].[Periodo].&amp;[" &amp; TEXT(BG$6,"yyyymm")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-14.747087739715434</v>
      </c>
      <c r="BH65" s="8">
        <f>IFERROR(
GETPIVOTDATA(
"[BASE_CONVE_PPTO].[Importe]",
TDinamica_P!$A$5,
"[BASE_CONVE_PPTO].[Periodo]",
"[BASE_CONVE_PPTO].[Periodo].&amp;[" &amp; TEXT(BH$6,"yyyymm")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-15.953364017294534</v>
      </c>
      <c r="BI65" s="8">
        <f>IFERROR(
GETPIVOTDATA(
"[BASE_CONVE_PPTO].[Importe]",
TDinamica_P!$A$5,
"[BASE_CONVE_PPTO].[Periodo]",
"[BASE_CONVE_PPTO].[Periodo].&amp;[" &amp; TEXT(BI$6,"yyyymm")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-15.894071167783524</v>
      </c>
      <c r="BJ65" s="8">
        <f>IFERROR(
GETPIVOTDATA(
"[BASE_CONVE_PPTO].[Importe]",
TDinamica_P!$A$5,
"[BASE_CONVE_PPTO].[Periodo]",
"[BASE_CONVE_PPTO].[Periodo].&amp;[" &amp; TEXT(BJ$6,"yyyymm")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-18.192599202736965</v>
      </c>
      <c r="BK65" s="8">
        <f>IFERROR(
GETPIVOTDATA(
"[BASE_CONVE_PPTO].[Importe]",
TDinamica_P!$A$5,
"[BASE_CONVE_PPTO].[Periodo]",
"[BASE_CONVE_PPTO].[Periodo].&amp;[" &amp; TEXT(BK$6,"yyyymm") &amp; "]",
"[BASE_CONVE_PPTO].[Metrica]",
"[BASE_CONVE_PPTO].[Metrica].&amp;[" &amp; $A65 &amp; "]",
"[BASE_CONVE_PPTO].[SEGMENTO_DESCRIP]",
"[BASE_CONVE_PPTO].[SEGMENTO_DESCRIP].&amp;[" &amp; $C$6 &amp; "]",
"[BASE_CONVE_PPTO].[SITUACION]",
"[BASE_CONVE_PPTO].[SITUACION].&amp;[" &amp; $C65 &amp; "]"),
0)</f>
        <v>-18.156315162054764</v>
      </c>
      <c r="BO65" s="24">
        <f t="shared" si="49"/>
        <v>-49.053365957523333</v>
      </c>
      <c r="BP65" s="24">
        <f t="shared" si="49"/>
        <v>-51.139666015637175</v>
      </c>
      <c r="BQ65" s="24">
        <f t="shared" si="49"/>
        <v>-34.833276903076118</v>
      </c>
      <c r="BR65" s="24">
        <f t="shared" si="49"/>
        <v>-60.356097160000004</v>
      </c>
      <c r="BS65" s="24">
        <f t="shared" si="49"/>
        <v>-60.273197338399996</v>
      </c>
      <c r="BT65" s="24">
        <f t="shared" si="49"/>
        <v>-78.540295470000004</v>
      </c>
    </row>
    <row r="66" spans="1:72" outlineLevel="1" x14ac:dyDescent="0.25">
      <c r="A66" s="11" t="s">
        <v>71</v>
      </c>
      <c r="C66" s="2"/>
      <c r="D66" s="8">
        <f>IFERROR(
GETPIVOTDATA(
"[Base].[Importe]",
TDinamica_R!$A$5,
"[Calendario].[AñoMes]",
"[Calendario].[AñoMes].&amp;[" &amp; TEXT(D$6,"yyyymm")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E66" s="8">
        <f>IFERROR(
GETPIVOTDATA(
"[Base].[Importe]",
TDinamica_R!$A$5,
"[Calendario].[AñoMes]",
"[Calendario].[AñoMes].&amp;[" &amp; TEXT(E$6,"yyyymm")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F66" s="8">
        <f>IFERROR(
GETPIVOTDATA(
"[Base].[Importe]",
TDinamica_R!$A$5,
"[Calendario].[AñoMes]",
"[Calendario].[AñoMes].&amp;[" &amp; TEXT(F$6,"yyyymm")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G66" s="8">
        <f>IFERROR(
GETPIVOTDATA(
"[Base].[Importe]",
TDinamica_R!$A$5,
"[Calendario].[AñoMes]",
"[Calendario].[AñoMes].&amp;[" &amp; TEXT(G$6,"yyyymm")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H66" s="8">
        <f>IFERROR(
GETPIVOTDATA(
"[Base].[Importe]",
TDinamica_R!$A$5,
"[Calendario].[AñoMes]",
"[Calendario].[AñoMes].&amp;[" &amp; TEXT(H$6,"yyyymm")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I66" s="8">
        <f>IFERROR(
GETPIVOTDATA(
"[Base].[Importe]",
TDinamica_R!$A$5,
"[Calendario].[AñoMes]",
"[Calendario].[AñoMes].&amp;[" &amp; TEXT(I$6,"yyyymm")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J66" s="8">
        <f>IFERROR(
GETPIVOTDATA(
"[Base].[Importe]",
TDinamica_R!$A$5,
"[Calendario].[AñoMes]",
"[Calendario].[AñoMes].&amp;[" &amp; TEXT(J$6,"yyyymm")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K66" s="8">
        <f>IFERROR(
GETPIVOTDATA(
"[Base].[Importe]",
TDinamica_R!$A$5,
"[Calendario].[AñoMes]",
"[Calendario].[AñoMes].&amp;[" &amp; TEXT(K$6,"yyyymm")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L66" s="8">
        <f>IFERROR(
GETPIVOTDATA(
"[Base].[Importe]",
TDinamica_R!$A$5,
"[Calendario].[AñoMes]",
"[Calendario].[AñoMes].&amp;[" &amp; TEXT(L$6,"yyyymm")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M66" s="8">
        <f>IFERROR(
GETPIVOTDATA(
"[Base].[Importe]",
TDinamica_R!$A$5,
"[Calendario].[AñoMes]",
"[Calendario].[AñoMes].&amp;[" &amp; TEXT(M$6,"yyyymm")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N66" s="8">
        <f>IFERROR(
GETPIVOTDATA(
"[Base].[Importe]",
TDinamica_R!$A$5,
"[Calendario].[AñoMes]",
"[Calendario].[AñoMes].&amp;[" &amp; TEXT(N$6,"yyyymm")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O66" s="8">
        <f>IFERROR(
GETPIVOTDATA(
"[Base].[Importe]",
TDinamica_R!$A$5,
"[Calendario].[AñoMes]",
"[Calendario].[AñoMes].&amp;[" &amp; TEXT(O$6,"yyyymm")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P66" s="8">
        <f>IFERROR(
GETPIVOTDATA(
"[Base].[Importe]",
TDinamica_R!$A$5,
"[Calendario].[AñoMes]",
"[Calendario].[AñoMes].&amp;[" &amp; TEXT(P$6,"yyyymm")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Q66" s="8">
        <f>IFERROR(
GETPIVOTDATA(
"[Base].[Importe]",
TDinamica_R!$A$5,
"[Calendario].[AñoMes]",
"[Calendario].[AñoMes].&amp;[" &amp; TEXT(Q$6,"yyyymm")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R66" s="8">
        <f>IFERROR(
GETPIVOTDATA(
"[Base].[Importe]",
TDinamica_R!$A$5,
"[Calendario].[AñoMes]",
"[Calendario].[AñoMes].&amp;[" &amp; TEXT(R$6,"yyyymm")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S66" s="8">
        <f>IFERROR(
GETPIVOTDATA(
"[Base].[Importe]",
TDinamica_R!$A$5,
"[Calendario].[AñoMes]",
"[Calendario].[AñoMes].&amp;[" &amp; TEXT(S$6,"yyyymm")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T66" s="8">
        <f>IFERROR(
GETPIVOTDATA(
"[Base].[Importe]",
TDinamica_R!$A$5,
"[Calendario].[AñoMes]",
"[Calendario].[AñoMes].&amp;[" &amp; TEXT(T$6,"yyyymm")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U66" s="8">
        <f>IFERROR(
GETPIVOTDATA(
"[Base].[Importe]",
TDinamica_R!$A$5,
"[Calendario].[AñoMes]",
"[Calendario].[AñoMes].&amp;[" &amp; TEXT(U$6,"yyyymm")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V66" s="8">
        <f>IFERROR(
GETPIVOTDATA(
"[Base].[Importe]",
TDinamica_R!$A$5,
"[Calendario].[AñoMes]",
"[Calendario].[AñoMes].&amp;[" &amp; TEXT(V$6,"yyyymm")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W66" s="8">
        <f>IFERROR(
GETPIVOTDATA(
"[Base].[Importe]",
TDinamica_R!$A$5,
"[Calendario].[AñoMes]",
"[Calendario].[AñoMes].&amp;[" &amp; TEXT(W$6,"yyyymm")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X66" s="8">
        <f>IFERROR(
GETPIVOTDATA(
"[Base].[Importe]",
TDinamica_R!$A$5,
"[Calendario].[AñoMes]",
"[Calendario].[AñoMes].&amp;[" &amp; TEXT(X$6,"yyyymm")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Y66" s="8">
        <f>IFERROR(
GETPIVOTDATA(
"[Base].[Importe]",
TDinamica_R!$A$5,
"[Calendario].[AñoMes]",
"[Calendario].[AñoMes].&amp;[" &amp; TEXT(Y$6,"yyyymm")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Z66" s="8">
        <f>IFERROR(
GETPIVOTDATA(
"[Base].[Importe]",
TDinamica_R!$A$5,
"[Calendario].[AñoMes]",
"[Calendario].[AñoMes].&amp;[" &amp; TEXT(Z$6,"yyyymm")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A66" s="8">
        <f>IFERROR(
GETPIVOTDATA(
"[Base].[Importe]",
TDinamica_R!$A$5,
"[Calendario].[AñoMes]",
"[Calendario].[AñoMes].&amp;[" &amp; TEXT(AA$6,"yyyymm")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B66" s="8">
        <f>IFERROR(
GETPIVOTDATA(
"[Base].[Importe]",
TDinamica_R!$A$5,
"[Calendario].[AñoMes]",
"[Calendario].[AñoMes].&amp;[" &amp; TEXT(AB$6,"yyyymm")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C66" s="8">
        <f>IFERROR(
GETPIVOTDATA(
"[Base].[Importe]",
TDinamica_R!$A$5,
"[Calendario].[AñoMes]",
"[Calendario].[AñoMes].&amp;[" &amp; TEXT(AC$6,"yyyymm")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D66" s="8">
        <f>IFERROR(
GETPIVOTDATA(
"[Base].[Importe]",
TDinamica_R!$A$5,
"[Calendario].[AñoMes]",
"[Calendario].[AñoMes].&amp;[" &amp; TEXT(AD$6,"yyyymm")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E66" s="8">
        <f>IFERROR(
GETPIVOTDATA(
"[Base].[Importe]",
TDinamica_R!$A$5,
"[Calendario].[AñoMes]",
"[Calendario].[AñoMes].&amp;[" &amp; TEXT(AE$6,"yyyymm")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F66" s="8">
        <f>IFERROR(
GETPIVOTDATA(
"[Base].[Importe]",
TDinamica_R!$A$5,
"[Calendario].[AñoMes]",
"[Calendario].[AñoMes].&amp;[" &amp; TEXT(AF$6,"yyyymm")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G66" s="8">
        <f>IFERROR(
GETPIVOTDATA(
"[Base].[Importe]",
TDinamica_R!$A$5,
"[Calendario].[AñoMes]",
"[Calendario].[AñoMes].&amp;[" &amp; TEXT(AG$6,"yyyymm")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H66" s="8">
        <f>IFERROR(
GETPIVOTDATA(
"[Base].[Importe]",
TDinamica_R!$A$5,
"[Calendario].[AñoMes]",
"[Calendario].[AñoMes].&amp;[" &amp; TEXT(AH$6,"yyyymm")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I66" s="8">
        <f>IFERROR(
GETPIVOTDATA(
"[Base].[Importe]",
TDinamica_R!$A$5,
"[Calendario].[AñoMes]",
"[Calendario].[AñoMes].&amp;[" &amp; TEXT(AI$6,"yyyymm")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J66" s="8">
        <f>IFERROR(
GETPIVOTDATA(
"[Base].[Importe]",
TDinamica_R!$A$5,
"[Calendario].[AñoMes]",
"[Calendario].[AñoMes].&amp;[" &amp; TEXT(AJ$6,"yyyymm")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K66" s="8">
        <f>IFERROR(
GETPIVOTDATA(
"[Base].[Importe]",
TDinamica_R!$A$5,
"[Calendario].[AñoMes]",
"[Calendario].[AñoMes].&amp;[" &amp; TEXT(AK$6,"yyyymm")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L66" s="8">
        <f>IFERROR(
GETPIVOTDATA(
"[Base].[Importe]",
TDinamica_R!$A$5,
"[Calendario].[AñoMes]",
"[Calendario].[AñoMes].&amp;[" &amp; TEXT(AL$6,"yyyymm")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M66" s="8">
        <f>IFERROR(
GETPIVOTDATA(
"[Base].[Importe]",
TDinamica_R!$A$5,
"[Calendario].[AñoMes]",
"[Calendario].[AñoMes].&amp;[" &amp; TEXT(AM$6,"yyyymm")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N66" s="8">
        <f>IFERROR(
GETPIVOTDATA(
"[Base].[Importe]",
TDinamica_R!$A$5,
"[Calendario].[AñoMes]",
"[Calendario].[AñoMes].&amp;[" &amp; TEXT(AN$6,"yyyymm")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O66" s="8">
        <f>IFERROR(
GETPIVOTDATA(
"[Base].[Importe]",
TDinamica_R!$A$5,
"[Calendario].[AñoMes]",
"[Calendario].[AñoMes].&amp;[" &amp; TEXT(AO$6,"yyyymm")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P66" s="8">
        <f>IFERROR(
GETPIVOTDATA(
"[Base].[Importe]",
TDinamica_R!$A$5,
"[Calendario].[AñoMes]",
"[Calendario].[AñoMes].&amp;[" &amp; TEXT(AP$6,"yyyymm")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Q66" s="8">
        <f>IFERROR(
GETPIVOTDATA(
"[Base].[Importe]",
TDinamica_R!$A$5,
"[Calendario].[AñoMes]",
"[Calendario].[AñoMes].&amp;[" &amp; TEXT(AQ$6,"yyyymm")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R66" s="8">
        <f>IFERROR(
GETPIVOTDATA(
"[Base].[Importe]",
TDinamica_R!$A$5,
"[Calendario].[AñoMes]",
"[Calendario].[AñoMes].&amp;[" &amp; TEXT(AR$6,"yyyymm")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S66" s="8">
        <f>IFERROR(
GETPIVOTDATA(
"[Base].[Importe]",
TDinamica_R!$A$5,
"[Calendario].[AñoMes]",
"[Calendario].[AñoMes].&amp;[" &amp; TEXT(AS$6,"yyyymm")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T66" s="8">
        <f>IFERROR(
GETPIVOTDATA(
"[Base].[Importe]",
TDinamica_R!$A$5,
"[Calendario].[AñoMes]",
"[Calendario].[AñoMes].&amp;[" &amp; TEXT(AT$6,"yyyymm")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U66" s="8">
        <f>IFERROR(
GETPIVOTDATA(
"[Base].[Importe]",
TDinamica_R!$A$5,
"[Calendario].[AñoMes]",
"[Calendario].[AñoMes].&amp;[" &amp; TEXT(AU$6,"yyyymm")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V66" s="8">
        <f>IFERROR(
GETPIVOTDATA(
"[Base].[Importe]",
TDinamica_R!$A$5,
"[Calendario].[AñoMes]",
"[Calendario].[AñoMes].&amp;[" &amp; TEXT(AV$6,"yyyymm")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W66" s="8">
        <f>IFERROR(
GETPIVOTDATA(
"[Base].[Importe]",
TDinamica_R!$A$5,
"[Calendario].[AñoMes]",
"[Calendario].[AñoMes].&amp;[" &amp; TEXT(AW$6,"yyyymm")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X66" s="8">
        <f>IFERROR(
GETPIVOTDATA(
"[Base].[Importe]",
TDinamica_R!$A$5,
"[Calendario].[AñoMes]",
"[Calendario].[AñoMes].&amp;[" &amp; TEXT(AX$6,"yyyymm")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Y66" s="8">
        <f>IFERROR(
GETPIVOTDATA(
"[Base].[Importe]",
TDinamica_R!$A$5,
"[Calendario].[AñoMes]",
"[Calendario].[AñoMes].&amp;[" &amp; TEXT(AY$6,"yyyymm")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Z66" s="8">
        <f>IFERROR(
GETPIVOTDATA(
"[BASE_CONVE_PPTO].[Importe]",
TDinamica_P!$A$5,
"[BASE_CONVE_PPTO].[Periodo]",
"[BASE_CONVE_PPTO].[Periodo].&amp;[" &amp; TEXT(AZ$6,"yyyymm")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A66" s="8">
        <f>IFERROR(
GETPIVOTDATA(
"[BASE_CONVE_PPTO].[Importe]",
TDinamica_P!$A$5,
"[BASE_CONVE_PPTO].[Periodo]",
"[BASE_CONVE_PPTO].[Periodo].&amp;[" &amp; TEXT(BA$6,"yyyymm")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B66" s="8">
        <f>IFERROR(
GETPIVOTDATA(
"[BASE_CONVE_PPTO].[Importe]",
TDinamica_P!$A$5,
"[BASE_CONVE_PPTO].[Periodo]",
"[BASE_CONVE_PPTO].[Periodo].&amp;[" &amp; TEXT(BB$6,"yyyymm")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C66" s="8">
        <f>IFERROR(
GETPIVOTDATA(
"[BASE_CONVE_PPTO].[Importe]",
TDinamica_P!$A$5,
"[BASE_CONVE_PPTO].[Periodo]",
"[BASE_CONVE_PPTO].[Periodo].&amp;[" &amp; TEXT(BC$6,"yyyymm")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D66" s="8">
        <f>IFERROR(
GETPIVOTDATA(
"[BASE_CONVE_PPTO].[Importe]",
TDinamica_P!$A$5,
"[BASE_CONVE_PPTO].[Periodo]",
"[BASE_CONVE_PPTO].[Periodo].&amp;[" &amp; TEXT(BD$6,"yyyymm")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E66" s="8">
        <f>IFERROR(
GETPIVOTDATA(
"[BASE_CONVE_PPTO].[Importe]",
TDinamica_P!$A$5,
"[BASE_CONVE_PPTO].[Periodo]",
"[BASE_CONVE_PPTO].[Periodo].&amp;[" &amp; TEXT(BE$6,"yyyymm")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F66" s="8">
        <f>IFERROR(
GETPIVOTDATA(
"[BASE_CONVE_PPTO].[Importe]",
TDinamica_P!$A$5,
"[BASE_CONVE_PPTO].[Periodo]",
"[BASE_CONVE_PPTO].[Periodo].&amp;[" &amp; TEXT(BF$6,"yyyymm")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G66" s="8">
        <f>IFERROR(
GETPIVOTDATA(
"[BASE_CONVE_PPTO].[Importe]",
TDinamica_P!$A$5,
"[BASE_CONVE_PPTO].[Periodo]",
"[BASE_CONVE_PPTO].[Periodo].&amp;[" &amp; TEXT(BG$6,"yyyymm")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H66" s="8">
        <f>IFERROR(
GETPIVOTDATA(
"[BASE_CONVE_PPTO].[Importe]",
TDinamica_P!$A$5,
"[BASE_CONVE_PPTO].[Periodo]",
"[BASE_CONVE_PPTO].[Periodo].&amp;[" &amp; TEXT(BH$6,"yyyymm")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I66" s="8">
        <f>IFERROR(
GETPIVOTDATA(
"[BASE_CONVE_PPTO].[Importe]",
TDinamica_P!$A$5,
"[BASE_CONVE_PPTO].[Periodo]",
"[BASE_CONVE_PPTO].[Periodo].&amp;[" &amp; TEXT(BI$6,"yyyymm")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J66" s="8">
        <f>IFERROR(
GETPIVOTDATA(
"[BASE_CONVE_PPTO].[Importe]",
TDinamica_P!$A$5,
"[BASE_CONVE_PPTO].[Periodo]",
"[BASE_CONVE_PPTO].[Periodo].&amp;[" &amp; TEXT(BJ$6,"yyyymm")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K66" s="8">
        <f>IFERROR(
GETPIVOTDATA(
"[BASE_CONVE_PPTO].[Importe]",
TDinamica_P!$A$5,
"[BASE_CONVE_PPTO].[Periodo]",
"[BASE_CONVE_PPTO].[Periodo].&amp;[" &amp; TEXT(BK$6,"yyyymm") &amp; "]",
"[BASE_CONVE_PPTO].[Metrica]",
"[BASE_CONVE_PPTO].[Metrica].&amp;[" &amp; $A66 &amp; "]",
"[BASE_CONVE_PPTO].[SEGMENTO_DESCRIP]",
"[BASE_CONVE_PPTO].[SEGMENTO_DESCRIP].&amp;[" &amp; $C$6 &amp; "]",
"[BASE_CONVE_PPTO].[SITUACION]",
"[BASE_CONVE_PPTO].[SITUACION].&amp;[" &amp; $C66 &amp; "]"),
0)</f>
        <v>0</v>
      </c>
      <c r="BO66" s="24">
        <f t="shared" si="49"/>
        <v>0</v>
      </c>
      <c r="BP66" s="24">
        <f t="shared" si="49"/>
        <v>0</v>
      </c>
      <c r="BQ66" s="24">
        <f t="shared" si="49"/>
        <v>0</v>
      </c>
      <c r="BR66" s="24">
        <f t="shared" si="49"/>
        <v>0</v>
      </c>
      <c r="BS66" s="24">
        <f t="shared" si="49"/>
        <v>0</v>
      </c>
      <c r="BT66" s="24">
        <f t="shared" si="49"/>
        <v>0</v>
      </c>
    </row>
    <row r="67" spans="1:72" outlineLevel="1" x14ac:dyDescent="0.25">
      <c r="A67" s="11" t="s">
        <v>71</v>
      </c>
      <c r="C67" s="2"/>
      <c r="D67" s="8">
        <f>IFERROR(
GETPIVOTDATA(
"[Base].[Importe]",
TDinamica_R!$A$5,
"[Calendario].[AñoMes]",
"[Calendario].[AñoMes].&amp;[" &amp; TEXT(D$6,"yyyymm")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E67" s="8">
        <f>IFERROR(
GETPIVOTDATA(
"[Base].[Importe]",
TDinamica_R!$A$5,
"[Calendario].[AñoMes]",
"[Calendario].[AñoMes].&amp;[" &amp; TEXT(E$6,"yyyymm")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F67" s="8">
        <f>IFERROR(
GETPIVOTDATA(
"[Base].[Importe]",
TDinamica_R!$A$5,
"[Calendario].[AñoMes]",
"[Calendario].[AñoMes].&amp;[" &amp; TEXT(F$6,"yyyymm")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G67" s="8">
        <f>IFERROR(
GETPIVOTDATA(
"[Base].[Importe]",
TDinamica_R!$A$5,
"[Calendario].[AñoMes]",
"[Calendario].[AñoMes].&amp;[" &amp; TEXT(G$6,"yyyymm")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H67" s="8">
        <f>IFERROR(
GETPIVOTDATA(
"[Base].[Importe]",
TDinamica_R!$A$5,
"[Calendario].[AñoMes]",
"[Calendario].[AñoMes].&amp;[" &amp; TEXT(H$6,"yyyymm")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I67" s="8">
        <f>IFERROR(
GETPIVOTDATA(
"[Base].[Importe]",
TDinamica_R!$A$5,
"[Calendario].[AñoMes]",
"[Calendario].[AñoMes].&amp;[" &amp; TEXT(I$6,"yyyymm")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J67" s="8">
        <f>IFERROR(
GETPIVOTDATA(
"[Base].[Importe]",
TDinamica_R!$A$5,
"[Calendario].[AñoMes]",
"[Calendario].[AñoMes].&amp;[" &amp; TEXT(J$6,"yyyymm")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K67" s="8">
        <f>IFERROR(
GETPIVOTDATA(
"[Base].[Importe]",
TDinamica_R!$A$5,
"[Calendario].[AñoMes]",
"[Calendario].[AñoMes].&amp;[" &amp; TEXT(K$6,"yyyymm")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L67" s="8">
        <f>IFERROR(
GETPIVOTDATA(
"[Base].[Importe]",
TDinamica_R!$A$5,
"[Calendario].[AñoMes]",
"[Calendario].[AñoMes].&amp;[" &amp; TEXT(L$6,"yyyymm")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M67" s="8">
        <f>IFERROR(
GETPIVOTDATA(
"[Base].[Importe]",
TDinamica_R!$A$5,
"[Calendario].[AñoMes]",
"[Calendario].[AñoMes].&amp;[" &amp; TEXT(M$6,"yyyymm")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N67" s="8">
        <f>IFERROR(
GETPIVOTDATA(
"[Base].[Importe]",
TDinamica_R!$A$5,
"[Calendario].[AñoMes]",
"[Calendario].[AñoMes].&amp;[" &amp; TEXT(N$6,"yyyymm")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O67" s="8">
        <f>IFERROR(
GETPIVOTDATA(
"[Base].[Importe]",
TDinamica_R!$A$5,
"[Calendario].[AñoMes]",
"[Calendario].[AñoMes].&amp;[" &amp; TEXT(O$6,"yyyymm")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P67" s="8">
        <f>IFERROR(
GETPIVOTDATA(
"[Base].[Importe]",
TDinamica_R!$A$5,
"[Calendario].[AñoMes]",
"[Calendario].[AñoMes].&amp;[" &amp; TEXT(P$6,"yyyymm")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Q67" s="8">
        <f>IFERROR(
GETPIVOTDATA(
"[Base].[Importe]",
TDinamica_R!$A$5,
"[Calendario].[AñoMes]",
"[Calendario].[AñoMes].&amp;[" &amp; TEXT(Q$6,"yyyymm")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R67" s="8">
        <f>IFERROR(
GETPIVOTDATA(
"[Base].[Importe]",
TDinamica_R!$A$5,
"[Calendario].[AñoMes]",
"[Calendario].[AñoMes].&amp;[" &amp; TEXT(R$6,"yyyymm")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S67" s="8">
        <f>IFERROR(
GETPIVOTDATA(
"[Base].[Importe]",
TDinamica_R!$A$5,
"[Calendario].[AñoMes]",
"[Calendario].[AñoMes].&amp;[" &amp; TEXT(S$6,"yyyymm")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T67" s="8">
        <f>IFERROR(
GETPIVOTDATA(
"[Base].[Importe]",
TDinamica_R!$A$5,
"[Calendario].[AñoMes]",
"[Calendario].[AñoMes].&amp;[" &amp; TEXT(T$6,"yyyymm")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U67" s="8">
        <f>IFERROR(
GETPIVOTDATA(
"[Base].[Importe]",
TDinamica_R!$A$5,
"[Calendario].[AñoMes]",
"[Calendario].[AñoMes].&amp;[" &amp; TEXT(U$6,"yyyymm")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V67" s="8">
        <f>IFERROR(
GETPIVOTDATA(
"[Base].[Importe]",
TDinamica_R!$A$5,
"[Calendario].[AñoMes]",
"[Calendario].[AñoMes].&amp;[" &amp; TEXT(V$6,"yyyymm")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W67" s="8">
        <f>IFERROR(
GETPIVOTDATA(
"[Base].[Importe]",
TDinamica_R!$A$5,
"[Calendario].[AñoMes]",
"[Calendario].[AñoMes].&amp;[" &amp; TEXT(W$6,"yyyymm")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X67" s="8">
        <f>IFERROR(
GETPIVOTDATA(
"[Base].[Importe]",
TDinamica_R!$A$5,
"[Calendario].[AñoMes]",
"[Calendario].[AñoMes].&amp;[" &amp; TEXT(X$6,"yyyymm")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Y67" s="8">
        <f>IFERROR(
GETPIVOTDATA(
"[Base].[Importe]",
TDinamica_R!$A$5,
"[Calendario].[AñoMes]",
"[Calendario].[AñoMes].&amp;[" &amp; TEXT(Y$6,"yyyymm")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Z67" s="8">
        <f>IFERROR(
GETPIVOTDATA(
"[Base].[Importe]",
TDinamica_R!$A$5,
"[Calendario].[AñoMes]",
"[Calendario].[AñoMes].&amp;[" &amp; TEXT(Z$6,"yyyymm")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A67" s="8">
        <f>IFERROR(
GETPIVOTDATA(
"[Base].[Importe]",
TDinamica_R!$A$5,
"[Calendario].[AñoMes]",
"[Calendario].[AñoMes].&amp;[" &amp; TEXT(AA$6,"yyyymm")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B67" s="8">
        <f>IFERROR(
GETPIVOTDATA(
"[Base].[Importe]",
TDinamica_R!$A$5,
"[Calendario].[AñoMes]",
"[Calendario].[AñoMes].&amp;[" &amp; TEXT(AB$6,"yyyymm")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C67" s="8">
        <f>IFERROR(
GETPIVOTDATA(
"[Base].[Importe]",
TDinamica_R!$A$5,
"[Calendario].[AñoMes]",
"[Calendario].[AñoMes].&amp;[" &amp; TEXT(AC$6,"yyyymm")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D67" s="8">
        <f>IFERROR(
GETPIVOTDATA(
"[Base].[Importe]",
TDinamica_R!$A$5,
"[Calendario].[AñoMes]",
"[Calendario].[AñoMes].&amp;[" &amp; TEXT(AD$6,"yyyymm")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E67" s="8">
        <f>IFERROR(
GETPIVOTDATA(
"[Base].[Importe]",
TDinamica_R!$A$5,
"[Calendario].[AñoMes]",
"[Calendario].[AñoMes].&amp;[" &amp; TEXT(AE$6,"yyyymm")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F67" s="8">
        <f>IFERROR(
GETPIVOTDATA(
"[Base].[Importe]",
TDinamica_R!$A$5,
"[Calendario].[AñoMes]",
"[Calendario].[AñoMes].&amp;[" &amp; TEXT(AF$6,"yyyymm")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G67" s="8">
        <f>IFERROR(
GETPIVOTDATA(
"[Base].[Importe]",
TDinamica_R!$A$5,
"[Calendario].[AñoMes]",
"[Calendario].[AñoMes].&amp;[" &amp; TEXT(AG$6,"yyyymm")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H67" s="8">
        <f>IFERROR(
GETPIVOTDATA(
"[Base].[Importe]",
TDinamica_R!$A$5,
"[Calendario].[AñoMes]",
"[Calendario].[AñoMes].&amp;[" &amp; TEXT(AH$6,"yyyymm")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I67" s="8">
        <f>IFERROR(
GETPIVOTDATA(
"[Base].[Importe]",
TDinamica_R!$A$5,
"[Calendario].[AñoMes]",
"[Calendario].[AñoMes].&amp;[" &amp; TEXT(AI$6,"yyyymm")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J67" s="8">
        <f>IFERROR(
GETPIVOTDATA(
"[Base].[Importe]",
TDinamica_R!$A$5,
"[Calendario].[AñoMes]",
"[Calendario].[AñoMes].&amp;[" &amp; TEXT(AJ$6,"yyyymm")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K67" s="8">
        <f>IFERROR(
GETPIVOTDATA(
"[Base].[Importe]",
TDinamica_R!$A$5,
"[Calendario].[AñoMes]",
"[Calendario].[AñoMes].&amp;[" &amp; TEXT(AK$6,"yyyymm")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L67" s="8">
        <f>IFERROR(
GETPIVOTDATA(
"[Base].[Importe]",
TDinamica_R!$A$5,
"[Calendario].[AñoMes]",
"[Calendario].[AñoMes].&amp;[" &amp; TEXT(AL$6,"yyyymm")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M67" s="8">
        <f>IFERROR(
GETPIVOTDATA(
"[Base].[Importe]",
TDinamica_R!$A$5,
"[Calendario].[AñoMes]",
"[Calendario].[AñoMes].&amp;[" &amp; TEXT(AM$6,"yyyymm")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N67" s="8">
        <f>IFERROR(
GETPIVOTDATA(
"[Base].[Importe]",
TDinamica_R!$A$5,
"[Calendario].[AñoMes]",
"[Calendario].[AñoMes].&amp;[" &amp; TEXT(AN$6,"yyyymm")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O67" s="8">
        <f>IFERROR(
GETPIVOTDATA(
"[Base].[Importe]",
TDinamica_R!$A$5,
"[Calendario].[AñoMes]",
"[Calendario].[AñoMes].&amp;[" &amp; TEXT(AO$6,"yyyymm")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P67" s="8">
        <f>IFERROR(
GETPIVOTDATA(
"[Base].[Importe]",
TDinamica_R!$A$5,
"[Calendario].[AñoMes]",
"[Calendario].[AñoMes].&amp;[" &amp; TEXT(AP$6,"yyyymm")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Q67" s="8">
        <f>IFERROR(
GETPIVOTDATA(
"[Base].[Importe]",
TDinamica_R!$A$5,
"[Calendario].[AñoMes]",
"[Calendario].[AñoMes].&amp;[" &amp; TEXT(AQ$6,"yyyymm")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R67" s="8">
        <f>IFERROR(
GETPIVOTDATA(
"[Base].[Importe]",
TDinamica_R!$A$5,
"[Calendario].[AñoMes]",
"[Calendario].[AñoMes].&amp;[" &amp; TEXT(AR$6,"yyyymm")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S67" s="8">
        <f>IFERROR(
GETPIVOTDATA(
"[Base].[Importe]",
TDinamica_R!$A$5,
"[Calendario].[AñoMes]",
"[Calendario].[AñoMes].&amp;[" &amp; TEXT(AS$6,"yyyymm")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T67" s="8">
        <f>IFERROR(
GETPIVOTDATA(
"[Base].[Importe]",
TDinamica_R!$A$5,
"[Calendario].[AñoMes]",
"[Calendario].[AñoMes].&amp;[" &amp; TEXT(AT$6,"yyyymm")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U67" s="8">
        <f>IFERROR(
GETPIVOTDATA(
"[Base].[Importe]",
TDinamica_R!$A$5,
"[Calendario].[AñoMes]",
"[Calendario].[AñoMes].&amp;[" &amp; TEXT(AU$6,"yyyymm")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V67" s="8">
        <f>IFERROR(
GETPIVOTDATA(
"[Base].[Importe]",
TDinamica_R!$A$5,
"[Calendario].[AñoMes]",
"[Calendario].[AñoMes].&amp;[" &amp; TEXT(AV$6,"yyyymm")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W67" s="8">
        <f>IFERROR(
GETPIVOTDATA(
"[Base].[Importe]",
TDinamica_R!$A$5,
"[Calendario].[AñoMes]",
"[Calendario].[AñoMes].&amp;[" &amp; TEXT(AW$6,"yyyymm")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X67" s="8">
        <f>IFERROR(
GETPIVOTDATA(
"[Base].[Importe]",
TDinamica_R!$A$5,
"[Calendario].[AñoMes]",
"[Calendario].[AñoMes].&amp;[" &amp; TEXT(AX$6,"yyyymm")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Y67" s="8">
        <f>IFERROR(
GETPIVOTDATA(
"[Base].[Importe]",
TDinamica_R!$A$5,
"[Calendario].[AñoMes]",
"[Calendario].[AñoMes].&amp;[" &amp; TEXT(AY$6,"yyyymm")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Z67" s="8">
        <f>IFERROR(
GETPIVOTDATA(
"[BASE_CONVE_PPTO].[Importe]",
TDinamica_P!$A$5,
"[BASE_CONVE_PPTO].[Periodo]",
"[BASE_CONVE_PPTO].[Periodo].&amp;[" &amp; TEXT(AZ$6,"yyyymm")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A67" s="8">
        <f>IFERROR(
GETPIVOTDATA(
"[BASE_CONVE_PPTO].[Importe]",
TDinamica_P!$A$5,
"[BASE_CONVE_PPTO].[Periodo]",
"[BASE_CONVE_PPTO].[Periodo].&amp;[" &amp; TEXT(BA$6,"yyyymm")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B67" s="8">
        <f>IFERROR(
GETPIVOTDATA(
"[BASE_CONVE_PPTO].[Importe]",
TDinamica_P!$A$5,
"[BASE_CONVE_PPTO].[Periodo]",
"[BASE_CONVE_PPTO].[Periodo].&amp;[" &amp; TEXT(BB$6,"yyyymm")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C67" s="8">
        <f>IFERROR(
GETPIVOTDATA(
"[BASE_CONVE_PPTO].[Importe]",
TDinamica_P!$A$5,
"[BASE_CONVE_PPTO].[Periodo]",
"[BASE_CONVE_PPTO].[Periodo].&amp;[" &amp; TEXT(BC$6,"yyyymm")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D67" s="8">
        <f>IFERROR(
GETPIVOTDATA(
"[BASE_CONVE_PPTO].[Importe]",
TDinamica_P!$A$5,
"[BASE_CONVE_PPTO].[Periodo]",
"[BASE_CONVE_PPTO].[Periodo].&amp;[" &amp; TEXT(BD$6,"yyyymm")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E67" s="8">
        <f>IFERROR(
GETPIVOTDATA(
"[BASE_CONVE_PPTO].[Importe]",
TDinamica_P!$A$5,
"[BASE_CONVE_PPTO].[Periodo]",
"[BASE_CONVE_PPTO].[Periodo].&amp;[" &amp; TEXT(BE$6,"yyyymm")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F67" s="8">
        <f>IFERROR(
GETPIVOTDATA(
"[BASE_CONVE_PPTO].[Importe]",
TDinamica_P!$A$5,
"[BASE_CONVE_PPTO].[Periodo]",
"[BASE_CONVE_PPTO].[Periodo].&amp;[" &amp; TEXT(BF$6,"yyyymm")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G67" s="8">
        <f>IFERROR(
GETPIVOTDATA(
"[BASE_CONVE_PPTO].[Importe]",
TDinamica_P!$A$5,
"[BASE_CONVE_PPTO].[Periodo]",
"[BASE_CONVE_PPTO].[Periodo].&amp;[" &amp; TEXT(BG$6,"yyyymm")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H67" s="8">
        <f>IFERROR(
GETPIVOTDATA(
"[BASE_CONVE_PPTO].[Importe]",
TDinamica_P!$A$5,
"[BASE_CONVE_PPTO].[Periodo]",
"[BASE_CONVE_PPTO].[Periodo].&amp;[" &amp; TEXT(BH$6,"yyyymm")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I67" s="8">
        <f>IFERROR(
GETPIVOTDATA(
"[BASE_CONVE_PPTO].[Importe]",
TDinamica_P!$A$5,
"[BASE_CONVE_PPTO].[Periodo]",
"[BASE_CONVE_PPTO].[Periodo].&amp;[" &amp; TEXT(BI$6,"yyyymm")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J67" s="8">
        <f>IFERROR(
GETPIVOTDATA(
"[BASE_CONVE_PPTO].[Importe]",
TDinamica_P!$A$5,
"[BASE_CONVE_PPTO].[Periodo]",
"[BASE_CONVE_PPTO].[Periodo].&amp;[" &amp; TEXT(BJ$6,"yyyymm")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K67" s="8">
        <f>IFERROR(
GETPIVOTDATA(
"[BASE_CONVE_PPTO].[Importe]",
TDinamica_P!$A$5,
"[BASE_CONVE_PPTO].[Periodo]",
"[BASE_CONVE_PPTO].[Periodo].&amp;[" &amp; TEXT(BK$6,"yyyymm") &amp; "]",
"[BASE_CONVE_PPTO].[Metrica]",
"[BASE_CONVE_PPTO].[Metrica].&amp;[" &amp; $A67 &amp; "]",
"[BASE_CONVE_PPTO].[SEGMENTO_DESCRIP]",
"[BASE_CONVE_PPTO].[SEGMENTO_DESCRIP].&amp;[" &amp; $C$6 &amp; "]",
"[BASE_CONVE_PPTO].[SITUACION]",
"[BASE_CONVE_PPTO].[SITUACION].&amp;[" &amp; $C67 &amp; "]"),
0)</f>
        <v>0</v>
      </c>
      <c r="BO67" s="24">
        <f t="shared" si="49"/>
        <v>0</v>
      </c>
      <c r="BP67" s="24">
        <f t="shared" si="49"/>
        <v>0</v>
      </c>
      <c r="BQ67" s="24">
        <f t="shared" si="49"/>
        <v>0</v>
      </c>
      <c r="BR67" s="24">
        <f t="shared" si="49"/>
        <v>0</v>
      </c>
      <c r="BS67" s="24">
        <f t="shared" si="49"/>
        <v>0</v>
      </c>
      <c r="BT67" s="24">
        <f t="shared" si="49"/>
        <v>0</v>
      </c>
    </row>
    <row r="68" spans="1:72" outlineLevel="1" x14ac:dyDescent="0.25">
      <c r="A68" s="11" t="s">
        <v>71</v>
      </c>
      <c r="C68" s="2"/>
      <c r="D68" s="8">
        <f>IFERROR(
GETPIVOTDATA(
"[Base].[Importe]",
TDinamica_R!$A$5,
"[Calendario].[AñoMes]",
"[Calendario].[AñoMes].&amp;[" &amp; TEXT(D$6,"yyyymm")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E68" s="8">
        <f>IFERROR(
GETPIVOTDATA(
"[Base].[Importe]",
TDinamica_R!$A$5,
"[Calendario].[AñoMes]",
"[Calendario].[AñoMes].&amp;[" &amp; TEXT(E$6,"yyyymm")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F68" s="8">
        <f>IFERROR(
GETPIVOTDATA(
"[Base].[Importe]",
TDinamica_R!$A$5,
"[Calendario].[AñoMes]",
"[Calendario].[AñoMes].&amp;[" &amp; TEXT(F$6,"yyyymm")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G68" s="8">
        <f>IFERROR(
GETPIVOTDATA(
"[Base].[Importe]",
TDinamica_R!$A$5,
"[Calendario].[AñoMes]",
"[Calendario].[AñoMes].&amp;[" &amp; TEXT(G$6,"yyyymm")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H68" s="8">
        <f>IFERROR(
GETPIVOTDATA(
"[Base].[Importe]",
TDinamica_R!$A$5,
"[Calendario].[AñoMes]",
"[Calendario].[AñoMes].&amp;[" &amp; TEXT(H$6,"yyyymm")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I68" s="8">
        <f>IFERROR(
GETPIVOTDATA(
"[Base].[Importe]",
TDinamica_R!$A$5,
"[Calendario].[AñoMes]",
"[Calendario].[AñoMes].&amp;[" &amp; TEXT(I$6,"yyyymm")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J68" s="8">
        <f>IFERROR(
GETPIVOTDATA(
"[Base].[Importe]",
TDinamica_R!$A$5,
"[Calendario].[AñoMes]",
"[Calendario].[AñoMes].&amp;[" &amp; TEXT(J$6,"yyyymm")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K68" s="8">
        <f>IFERROR(
GETPIVOTDATA(
"[Base].[Importe]",
TDinamica_R!$A$5,
"[Calendario].[AñoMes]",
"[Calendario].[AñoMes].&amp;[" &amp; TEXT(K$6,"yyyymm")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L68" s="8">
        <f>IFERROR(
GETPIVOTDATA(
"[Base].[Importe]",
TDinamica_R!$A$5,
"[Calendario].[AñoMes]",
"[Calendario].[AñoMes].&amp;[" &amp; TEXT(L$6,"yyyymm")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M68" s="8">
        <f>IFERROR(
GETPIVOTDATA(
"[Base].[Importe]",
TDinamica_R!$A$5,
"[Calendario].[AñoMes]",
"[Calendario].[AñoMes].&amp;[" &amp; TEXT(M$6,"yyyymm")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N68" s="8">
        <f>IFERROR(
GETPIVOTDATA(
"[Base].[Importe]",
TDinamica_R!$A$5,
"[Calendario].[AñoMes]",
"[Calendario].[AñoMes].&amp;[" &amp; TEXT(N$6,"yyyymm")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O68" s="8">
        <f>IFERROR(
GETPIVOTDATA(
"[Base].[Importe]",
TDinamica_R!$A$5,
"[Calendario].[AñoMes]",
"[Calendario].[AñoMes].&amp;[" &amp; TEXT(O$6,"yyyymm")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P68" s="8">
        <f>IFERROR(
GETPIVOTDATA(
"[Base].[Importe]",
TDinamica_R!$A$5,
"[Calendario].[AñoMes]",
"[Calendario].[AñoMes].&amp;[" &amp; TEXT(P$6,"yyyymm")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Q68" s="8">
        <f>IFERROR(
GETPIVOTDATA(
"[Base].[Importe]",
TDinamica_R!$A$5,
"[Calendario].[AñoMes]",
"[Calendario].[AñoMes].&amp;[" &amp; TEXT(Q$6,"yyyymm")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R68" s="8">
        <f>IFERROR(
GETPIVOTDATA(
"[Base].[Importe]",
TDinamica_R!$A$5,
"[Calendario].[AñoMes]",
"[Calendario].[AñoMes].&amp;[" &amp; TEXT(R$6,"yyyymm")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S68" s="8">
        <f>IFERROR(
GETPIVOTDATA(
"[Base].[Importe]",
TDinamica_R!$A$5,
"[Calendario].[AñoMes]",
"[Calendario].[AñoMes].&amp;[" &amp; TEXT(S$6,"yyyymm")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T68" s="8">
        <f>IFERROR(
GETPIVOTDATA(
"[Base].[Importe]",
TDinamica_R!$A$5,
"[Calendario].[AñoMes]",
"[Calendario].[AñoMes].&amp;[" &amp; TEXT(T$6,"yyyymm")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U68" s="8">
        <f>IFERROR(
GETPIVOTDATA(
"[Base].[Importe]",
TDinamica_R!$A$5,
"[Calendario].[AñoMes]",
"[Calendario].[AñoMes].&amp;[" &amp; TEXT(U$6,"yyyymm")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V68" s="8">
        <f>IFERROR(
GETPIVOTDATA(
"[Base].[Importe]",
TDinamica_R!$A$5,
"[Calendario].[AñoMes]",
"[Calendario].[AñoMes].&amp;[" &amp; TEXT(V$6,"yyyymm")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W68" s="8">
        <f>IFERROR(
GETPIVOTDATA(
"[Base].[Importe]",
TDinamica_R!$A$5,
"[Calendario].[AñoMes]",
"[Calendario].[AñoMes].&amp;[" &amp; TEXT(W$6,"yyyymm")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X68" s="8">
        <f>IFERROR(
GETPIVOTDATA(
"[Base].[Importe]",
TDinamica_R!$A$5,
"[Calendario].[AñoMes]",
"[Calendario].[AñoMes].&amp;[" &amp; TEXT(X$6,"yyyymm")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Y68" s="8">
        <f>IFERROR(
GETPIVOTDATA(
"[Base].[Importe]",
TDinamica_R!$A$5,
"[Calendario].[AñoMes]",
"[Calendario].[AñoMes].&amp;[" &amp; TEXT(Y$6,"yyyymm")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Z68" s="8">
        <f>IFERROR(
GETPIVOTDATA(
"[Base].[Importe]",
TDinamica_R!$A$5,
"[Calendario].[AñoMes]",
"[Calendario].[AñoMes].&amp;[" &amp; TEXT(Z$6,"yyyymm")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A68" s="8">
        <f>IFERROR(
GETPIVOTDATA(
"[Base].[Importe]",
TDinamica_R!$A$5,
"[Calendario].[AñoMes]",
"[Calendario].[AñoMes].&amp;[" &amp; TEXT(AA$6,"yyyymm")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B68" s="8">
        <f>IFERROR(
GETPIVOTDATA(
"[Base].[Importe]",
TDinamica_R!$A$5,
"[Calendario].[AñoMes]",
"[Calendario].[AñoMes].&amp;[" &amp; TEXT(AB$6,"yyyymm")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C68" s="8">
        <f>IFERROR(
GETPIVOTDATA(
"[Base].[Importe]",
TDinamica_R!$A$5,
"[Calendario].[AñoMes]",
"[Calendario].[AñoMes].&amp;[" &amp; TEXT(AC$6,"yyyymm")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D68" s="8">
        <f>IFERROR(
GETPIVOTDATA(
"[Base].[Importe]",
TDinamica_R!$A$5,
"[Calendario].[AñoMes]",
"[Calendario].[AñoMes].&amp;[" &amp; TEXT(AD$6,"yyyymm")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E68" s="8">
        <f>IFERROR(
GETPIVOTDATA(
"[Base].[Importe]",
TDinamica_R!$A$5,
"[Calendario].[AñoMes]",
"[Calendario].[AñoMes].&amp;[" &amp; TEXT(AE$6,"yyyymm")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F68" s="8">
        <f>IFERROR(
GETPIVOTDATA(
"[Base].[Importe]",
TDinamica_R!$A$5,
"[Calendario].[AñoMes]",
"[Calendario].[AñoMes].&amp;[" &amp; TEXT(AF$6,"yyyymm")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G68" s="8">
        <f>IFERROR(
GETPIVOTDATA(
"[Base].[Importe]",
TDinamica_R!$A$5,
"[Calendario].[AñoMes]",
"[Calendario].[AñoMes].&amp;[" &amp; TEXT(AG$6,"yyyymm")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H68" s="8">
        <f>IFERROR(
GETPIVOTDATA(
"[Base].[Importe]",
TDinamica_R!$A$5,
"[Calendario].[AñoMes]",
"[Calendario].[AñoMes].&amp;[" &amp; TEXT(AH$6,"yyyymm")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I68" s="8">
        <f>IFERROR(
GETPIVOTDATA(
"[Base].[Importe]",
TDinamica_R!$A$5,
"[Calendario].[AñoMes]",
"[Calendario].[AñoMes].&amp;[" &amp; TEXT(AI$6,"yyyymm")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J68" s="8">
        <f>IFERROR(
GETPIVOTDATA(
"[Base].[Importe]",
TDinamica_R!$A$5,
"[Calendario].[AñoMes]",
"[Calendario].[AñoMes].&amp;[" &amp; TEXT(AJ$6,"yyyymm")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K68" s="8">
        <f>IFERROR(
GETPIVOTDATA(
"[Base].[Importe]",
TDinamica_R!$A$5,
"[Calendario].[AñoMes]",
"[Calendario].[AñoMes].&amp;[" &amp; TEXT(AK$6,"yyyymm")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L68" s="8">
        <f>IFERROR(
GETPIVOTDATA(
"[Base].[Importe]",
TDinamica_R!$A$5,
"[Calendario].[AñoMes]",
"[Calendario].[AñoMes].&amp;[" &amp; TEXT(AL$6,"yyyymm")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M68" s="8">
        <f>IFERROR(
GETPIVOTDATA(
"[Base].[Importe]",
TDinamica_R!$A$5,
"[Calendario].[AñoMes]",
"[Calendario].[AñoMes].&amp;[" &amp; TEXT(AM$6,"yyyymm")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N68" s="8">
        <f>IFERROR(
GETPIVOTDATA(
"[Base].[Importe]",
TDinamica_R!$A$5,
"[Calendario].[AñoMes]",
"[Calendario].[AñoMes].&amp;[" &amp; TEXT(AN$6,"yyyymm")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O68" s="8">
        <f>IFERROR(
GETPIVOTDATA(
"[Base].[Importe]",
TDinamica_R!$A$5,
"[Calendario].[AñoMes]",
"[Calendario].[AñoMes].&amp;[" &amp; TEXT(AO$6,"yyyymm")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P68" s="8">
        <f>IFERROR(
GETPIVOTDATA(
"[Base].[Importe]",
TDinamica_R!$A$5,
"[Calendario].[AñoMes]",
"[Calendario].[AñoMes].&amp;[" &amp; TEXT(AP$6,"yyyymm")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Q68" s="8">
        <f>IFERROR(
GETPIVOTDATA(
"[Base].[Importe]",
TDinamica_R!$A$5,
"[Calendario].[AñoMes]",
"[Calendario].[AñoMes].&amp;[" &amp; TEXT(AQ$6,"yyyymm")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R68" s="8">
        <f>IFERROR(
GETPIVOTDATA(
"[Base].[Importe]",
TDinamica_R!$A$5,
"[Calendario].[AñoMes]",
"[Calendario].[AñoMes].&amp;[" &amp; TEXT(AR$6,"yyyymm")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S68" s="8">
        <f>IFERROR(
GETPIVOTDATA(
"[Base].[Importe]",
TDinamica_R!$A$5,
"[Calendario].[AñoMes]",
"[Calendario].[AñoMes].&amp;[" &amp; TEXT(AS$6,"yyyymm")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T68" s="8">
        <f>IFERROR(
GETPIVOTDATA(
"[Base].[Importe]",
TDinamica_R!$A$5,
"[Calendario].[AñoMes]",
"[Calendario].[AñoMes].&amp;[" &amp; TEXT(AT$6,"yyyymm")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U68" s="8">
        <f>IFERROR(
GETPIVOTDATA(
"[Base].[Importe]",
TDinamica_R!$A$5,
"[Calendario].[AñoMes]",
"[Calendario].[AñoMes].&amp;[" &amp; TEXT(AU$6,"yyyymm")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V68" s="8">
        <f>IFERROR(
GETPIVOTDATA(
"[Base].[Importe]",
TDinamica_R!$A$5,
"[Calendario].[AñoMes]",
"[Calendario].[AñoMes].&amp;[" &amp; TEXT(AV$6,"yyyymm")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W68" s="8">
        <f>IFERROR(
GETPIVOTDATA(
"[Base].[Importe]",
TDinamica_R!$A$5,
"[Calendario].[AñoMes]",
"[Calendario].[AñoMes].&amp;[" &amp; TEXT(AW$6,"yyyymm")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X68" s="8">
        <f>IFERROR(
GETPIVOTDATA(
"[Base].[Importe]",
TDinamica_R!$A$5,
"[Calendario].[AñoMes]",
"[Calendario].[AñoMes].&amp;[" &amp; TEXT(AX$6,"yyyymm")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Y68" s="8">
        <f>IFERROR(
GETPIVOTDATA(
"[Base].[Importe]",
TDinamica_R!$A$5,
"[Calendario].[AñoMes]",
"[Calendario].[AñoMes].&amp;[" &amp; TEXT(AY$6,"yyyymm")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Z68" s="8">
        <f>IFERROR(
GETPIVOTDATA(
"[BASE_CONVE_PPTO].[Importe]",
TDinamica_P!$A$5,
"[BASE_CONVE_PPTO].[Periodo]",
"[BASE_CONVE_PPTO].[Periodo].&amp;[" &amp; TEXT(AZ$6,"yyyymm")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A68" s="8">
        <f>IFERROR(
GETPIVOTDATA(
"[BASE_CONVE_PPTO].[Importe]",
TDinamica_P!$A$5,
"[BASE_CONVE_PPTO].[Periodo]",
"[BASE_CONVE_PPTO].[Periodo].&amp;[" &amp; TEXT(BA$6,"yyyymm")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B68" s="8">
        <f>IFERROR(
GETPIVOTDATA(
"[BASE_CONVE_PPTO].[Importe]",
TDinamica_P!$A$5,
"[BASE_CONVE_PPTO].[Periodo]",
"[BASE_CONVE_PPTO].[Periodo].&amp;[" &amp; TEXT(BB$6,"yyyymm")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C68" s="8">
        <f>IFERROR(
GETPIVOTDATA(
"[BASE_CONVE_PPTO].[Importe]",
TDinamica_P!$A$5,
"[BASE_CONVE_PPTO].[Periodo]",
"[BASE_CONVE_PPTO].[Periodo].&amp;[" &amp; TEXT(BC$6,"yyyymm")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D68" s="8">
        <f>IFERROR(
GETPIVOTDATA(
"[BASE_CONVE_PPTO].[Importe]",
TDinamica_P!$A$5,
"[BASE_CONVE_PPTO].[Periodo]",
"[BASE_CONVE_PPTO].[Periodo].&amp;[" &amp; TEXT(BD$6,"yyyymm")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E68" s="8">
        <f>IFERROR(
GETPIVOTDATA(
"[BASE_CONVE_PPTO].[Importe]",
TDinamica_P!$A$5,
"[BASE_CONVE_PPTO].[Periodo]",
"[BASE_CONVE_PPTO].[Periodo].&amp;[" &amp; TEXT(BE$6,"yyyymm")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F68" s="8">
        <f>IFERROR(
GETPIVOTDATA(
"[BASE_CONVE_PPTO].[Importe]",
TDinamica_P!$A$5,
"[BASE_CONVE_PPTO].[Periodo]",
"[BASE_CONVE_PPTO].[Periodo].&amp;[" &amp; TEXT(BF$6,"yyyymm")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G68" s="8">
        <f>IFERROR(
GETPIVOTDATA(
"[BASE_CONVE_PPTO].[Importe]",
TDinamica_P!$A$5,
"[BASE_CONVE_PPTO].[Periodo]",
"[BASE_CONVE_PPTO].[Periodo].&amp;[" &amp; TEXT(BG$6,"yyyymm")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H68" s="8">
        <f>IFERROR(
GETPIVOTDATA(
"[BASE_CONVE_PPTO].[Importe]",
TDinamica_P!$A$5,
"[BASE_CONVE_PPTO].[Periodo]",
"[BASE_CONVE_PPTO].[Periodo].&amp;[" &amp; TEXT(BH$6,"yyyymm")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I68" s="8">
        <f>IFERROR(
GETPIVOTDATA(
"[BASE_CONVE_PPTO].[Importe]",
TDinamica_P!$A$5,
"[BASE_CONVE_PPTO].[Periodo]",
"[BASE_CONVE_PPTO].[Periodo].&amp;[" &amp; TEXT(BI$6,"yyyymm")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J68" s="8">
        <f>IFERROR(
GETPIVOTDATA(
"[BASE_CONVE_PPTO].[Importe]",
TDinamica_P!$A$5,
"[BASE_CONVE_PPTO].[Periodo]",
"[BASE_CONVE_PPTO].[Periodo].&amp;[" &amp; TEXT(BJ$6,"yyyymm")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K68" s="8">
        <f>IFERROR(
GETPIVOTDATA(
"[BASE_CONVE_PPTO].[Importe]",
TDinamica_P!$A$5,
"[BASE_CONVE_PPTO].[Periodo]",
"[BASE_CONVE_PPTO].[Periodo].&amp;[" &amp; TEXT(BK$6,"yyyymm") &amp; "]",
"[BASE_CONVE_PPTO].[Metrica]",
"[BASE_CONVE_PPTO].[Metrica].&amp;[" &amp; $A68 &amp; "]",
"[BASE_CONVE_PPTO].[SEGMENTO_DESCRIP]",
"[BASE_CONVE_PPTO].[SEGMENTO_DESCRIP].&amp;[" &amp; $C$6 &amp; "]",
"[BASE_CONVE_PPTO].[SITUACION]",
"[BASE_CONVE_PPTO].[SITUACION].&amp;[" &amp; $C68 &amp; "]"),
0)</f>
        <v>0</v>
      </c>
      <c r="BO68" s="24">
        <f t="shared" si="49"/>
        <v>0</v>
      </c>
      <c r="BP68" s="24">
        <f t="shared" si="49"/>
        <v>0</v>
      </c>
      <c r="BQ68" s="24">
        <f t="shared" si="49"/>
        <v>0</v>
      </c>
      <c r="BR68" s="24">
        <f t="shared" si="49"/>
        <v>0</v>
      </c>
      <c r="BS68" s="24">
        <f t="shared" si="49"/>
        <v>0</v>
      </c>
      <c r="BT68" s="24">
        <f t="shared" si="49"/>
        <v>0</v>
      </c>
    </row>
    <row r="69" spans="1:72" outlineLevel="1" x14ac:dyDescent="0.25">
      <c r="A69" s="11" t="s">
        <v>71</v>
      </c>
      <c r="C69" s="2"/>
      <c r="D69" s="8">
        <f>IFERROR(
GETPIVOTDATA(
"[Base].[Importe]",
TDinamica_R!$A$5,
"[Calendario].[AñoMes]",
"[Calendario].[AñoMes].&amp;[" &amp; TEXT(D$6,"yyyymm")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E69" s="8">
        <f>IFERROR(
GETPIVOTDATA(
"[Base].[Importe]",
TDinamica_R!$A$5,
"[Calendario].[AñoMes]",
"[Calendario].[AñoMes].&amp;[" &amp; TEXT(E$6,"yyyymm")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F69" s="8">
        <f>IFERROR(
GETPIVOTDATA(
"[Base].[Importe]",
TDinamica_R!$A$5,
"[Calendario].[AñoMes]",
"[Calendario].[AñoMes].&amp;[" &amp; TEXT(F$6,"yyyymm")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G69" s="8">
        <f>IFERROR(
GETPIVOTDATA(
"[Base].[Importe]",
TDinamica_R!$A$5,
"[Calendario].[AñoMes]",
"[Calendario].[AñoMes].&amp;[" &amp; TEXT(G$6,"yyyymm")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H69" s="8">
        <f>IFERROR(
GETPIVOTDATA(
"[Base].[Importe]",
TDinamica_R!$A$5,
"[Calendario].[AñoMes]",
"[Calendario].[AñoMes].&amp;[" &amp; TEXT(H$6,"yyyymm")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I69" s="8">
        <f>IFERROR(
GETPIVOTDATA(
"[Base].[Importe]",
TDinamica_R!$A$5,
"[Calendario].[AñoMes]",
"[Calendario].[AñoMes].&amp;[" &amp; TEXT(I$6,"yyyymm")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J69" s="8">
        <f>IFERROR(
GETPIVOTDATA(
"[Base].[Importe]",
TDinamica_R!$A$5,
"[Calendario].[AñoMes]",
"[Calendario].[AñoMes].&amp;[" &amp; TEXT(J$6,"yyyymm")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K69" s="8">
        <f>IFERROR(
GETPIVOTDATA(
"[Base].[Importe]",
TDinamica_R!$A$5,
"[Calendario].[AñoMes]",
"[Calendario].[AñoMes].&amp;[" &amp; TEXT(K$6,"yyyymm")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L69" s="8">
        <f>IFERROR(
GETPIVOTDATA(
"[Base].[Importe]",
TDinamica_R!$A$5,
"[Calendario].[AñoMes]",
"[Calendario].[AñoMes].&amp;[" &amp; TEXT(L$6,"yyyymm")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M69" s="8">
        <f>IFERROR(
GETPIVOTDATA(
"[Base].[Importe]",
TDinamica_R!$A$5,
"[Calendario].[AñoMes]",
"[Calendario].[AñoMes].&amp;[" &amp; TEXT(M$6,"yyyymm")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N69" s="8">
        <f>IFERROR(
GETPIVOTDATA(
"[Base].[Importe]",
TDinamica_R!$A$5,
"[Calendario].[AñoMes]",
"[Calendario].[AñoMes].&amp;[" &amp; TEXT(N$6,"yyyymm")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O69" s="8">
        <f>IFERROR(
GETPIVOTDATA(
"[Base].[Importe]",
TDinamica_R!$A$5,
"[Calendario].[AñoMes]",
"[Calendario].[AñoMes].&amp;[" &amp; TEXT(O$6,"yyyymm")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P69" s="8">
        <f>IFERROR(
GETPIVOTDATA(
"[Base].[Importe]",
TDinamica_R!$A$5,
"[Calendario].[AñoMes]",
"[Calendario].[AñoMes].&amp;[" &amp; TEXT(P$6,"yyyymm")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Q69" s="8">
        <f>IFERROR(
GETPIVOTDATA(
"[Base].[Importe]",
TDinamica_R!$A$5,
"[Calendario].[AñoMes]",
"[Calendario].[AñoMes].&amp;[" &amp; TEXT(Q$6,"yyyymm")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R69" s="8">
        <f>IFERROR(
GETPIVOTDATA(
"[Base].[Importe]",
TDinamica_R!$A$5,
"[Calendario].[AñoMes]",
"[Calendario].[AñoMes].&amp;[" &amp; TEXT(R$6,"yyyymm")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S69" s="8">
        <f>IFERROR(
GETPIVOTDATA(
"[Base].[Importe]",
TDinamica_R!$A$5,
"[Calendario].[AñoMes]",
"[Calendario].[AñoMes].&amp;[" &amp; TEXT(S$6,"yyyymm")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T69" s="8">
        <f>IFERROR(
GETPIVOTDATA(
"[Base].[Importe]",
TDinamica_R!$A$5,
"[Calendario].[AñoMes]",
"[Calendario].[AñoMes].&amp;[" &amp; TEXT(T$6,"yyyymm")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U69" s="8">
        <f>IFERROR(
GETPIVOTDATA(
"[Base].[Importe]",
TDinamica_R!$A$5,
"[Calendario].[AñoMes]",
"[Calendario].[AñoMes].&amp;[" &amp; TEXT(U$6,"yyyymm")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V69" s="8">
        <f>IFERROR(
GETPIVOTDATA(
"[Base].[Importe]",
TDinamica_R!$A$5,
"[Calendario].[AñoMes]",
"[Calendario].[AñoMes].&amp;[" &amp; TEXT(V$6,"yyyymm")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W69" s="8">
        <f>IFERROR(
GETPIVOTDATA(
"[Base].[Importe]",
TDinamica_R!$A$5,
"[Calendario].[AñoMes]",
"[Calendario].[AñoMes].&amp;[" &amp; TEXT(W$6,"yyyymm")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X69" s="8">
        <f>IFERROR(
GETPIVOTDATA(
"[Base].[Importe]",
TDinamica_R!$A$5,
"[Calendario].[AñoMes]",
"[Calendario].[AñoMes].&amp;[" &amp; TEXT(X$6,"yyyymm")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Y69" s="8">
        <f>IFERROR(
GETPIVOTDATA(
"[Base].[Importe]",
TDinamica_R!$A$5,
"[Calendario].[AñoMes]",
"[Calendario].[AñoMes].&amp;[" &amp; TEXT(Y$6,"yyyymm")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Z69" s="8">
        <f>IFERROR(
GETPIVOTDATA(
"[Base].[Importe]",
TDinamica_R!$A$5,
"[Calendario].[AñoMes]",
"[Calendario].[AñoMes].&amp;[" &amp; TEXT(Z$6,"yyyymm")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A69" s="8">
        <f>IFERROR(
GETPIVOTDATA(
"[Base].[Importe]",
TDinamica_R!$A$5,
"[Calendario].[AñoMes]",
"[Calendario].[AñoMes].&amp;[" &amp; TEXT(AA$6,"yyyymm")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B69" s="8">
        <f>IFERROR(
GETPIVOTDATA(
"[Base].[Importe]",
TDinamica_R!$A$5,
"[Calendario].[AñoMes]",
"[Calendario].[AñoMes].&amp;[" &amp; TEXT(AB$6,"yyyymm")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C69" s="8">
        <f>IFERROR(
GETPIVOTDATA(
"[Base].[Importe]",
TDinamica_R!$A$5,
"[Calendario].[AñoMes]",
"[Calendario].[AñoMes].&amp;[" &amp; TEXT(AC$6,"yyyymm")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D69" s="8">
        <f>IFERROR(
GETPIVOTDATA(
"[Base].[Importe]",
TDinamica_R!$A$5,
"[Calendario].[AñoMes]",
"[Calendario].[AñoMes].&amp;[" &amp; TEXT(AD$6,"yyyymm")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E69" s="8">
        <f>IFERROR(
GETPIVOTDATA(
"[Base].[Importe]",
TDinamica_R!$A$5,
"[Calendario].[AñoMes]",
"[Calendario].[AñoMes].&amp;[" &amp; TEXT(AE$6,"yyyymm")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F69" s="8">
        <f>IFERROR(
GETPIVOTDATA(
"[Base].[Importe]",
TDinamica_R!$A$5,
"[Calendario].[AñoMes]",
"[Calendario].[AñoMes].&amp;[" &amp; TEXT(AF$6,"yyyymm")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G69" s="8">
        <f>IFERROR(
GETPIVOTDATA(
"[Base].[Importe]",
TDinamica_R!$A$5,
"[Calendario].[AñoMes]",
"[Calendario].[AñoMes].&amp;[" &amp; TEXT(AG$6,"yyyymm")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H69" s="8">
        <f>IFERROR(
GETPIVOTDATA(
"[Base].[Importe]",
TDinamica_R!$A$5,
"[Calendario].[AñoMes]",
"[Calendario].[AñoMes].&amp;[" &amp; TEXT(AH$6,"yyyymm")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I69" s="8">
        <f>IFERROR(
GETPIVOTDATA(
"[Base].[Importe]",
TDinamica_R!$A$5,
"[Calendario].[AñoMes]",
"[Calendario].[AñoMes].&amp;[" &amp; TEXT(AI$6,"yyyymm")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J69" s="8">
        <f>IFERROR(
GETPIVOTDATA(
"[Base].[Importe]",
TDinamica_R!$A$5,
"[Calendario].[AñoMes]",
"[Calendario].[AñoMes].&amp;[" &amp; TEXT(AJ$6,"yyyymm")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K69" s="8">
        <f>IFERROR(
GETPIVOTDATA(
"[Base].[Importe]",
TDinamica_R!$A$5,
"[Calendario].[AñoMes]",
"[Calendario].[AñoMes].&amp;[" &amp; TEXT(AK$6,"yyyymm")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L69" s="8">
        <f>IFERROR(
GETPIVOTDATA(
"[Base].[Importe]",
TDinamica_R!$A$5,
"[Calendario].[AñoMes]",
"[Calendario].[AñoMes].&amp;[" &amp; TEXT(AL$6,"yyyymm")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M69" s="8">
        <f>IFERROR(
GETPIVOTDATA(
"[Base].[Importe]",
TDinamica_R!$A$5,
"[Calendario].[AñoMes]",
"[Calendario].[AñoMes].&amp;[" &amp; TEXT(AM$6,"yyyymm")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N69" s="8">
        <f>IFERROR(
GETPIVOTDATA(
"[Base].[Importe]",
TDinamica_R!$A$5,
"[Calendario].[AñoMes]",
"[Calendario].[AñoMes].&amp;[" &amp; TEXT(AN$6,"yyyymm")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O69" s="8">
        <f>IFERROR(
GETPIVOTDATA(
"[Base].[Importe]",
TDinamica_R!$A$5,
"[Calendario].[AñoMes]",
"[Calendario].[AñoMes].&amp;[" &amp; TEXT(AO$6,"yyyymm")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P69" s="8">
        <f>IFERROR(
GETPIVOTDATA(
"[Base].[Importe]",
TDinamica_R!$A$5,
"[Calendario].[AñoMes]",
"[Calendario].[AñoMes].&amp;[" &amp; TEXT(AP$6,"yyyymm")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Q69" s="8">
        <f>IFERROR(
GETPIVOTDATA(
"[Base].[Importe]",
TDinamica_R!$A$5,
"[Calendario].[AñoMes]",
"[Calendario].[AñoMes].&amp;[" &amp; TEXT(AQ$6,"yyyymm")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R69" s="8">
        <f>IFERROR(
GETPIVOTDATA(
"[Base].[Importe]",
TDinamica_R!$A$5,
"[Calendario].[AñoMes]",
"[Calendario].[AñoMes].&amp;[" &amp; TEXT(AR$6,"yyyymm")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S69" s="8">
        <f>IFERROR(
GETPIVOTDATA(
"[Base].[Importe]",
TDinamica_R!$A$5,
"[Calendario].[AñoMes]",
"[Calendario].[AñoMes].&amp;[" &amp; TEXT(AS$6,"yyyymm")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T69" s="8">
        <f>IFERROR(
GETPIVOTDATA(
"[Base].[Importe]",
TDinamica_R!$A$5,
"[Calendario].[AñoMes]",
"[Calendario].[AñoMes].&amp;[" &amp; TEXT(AT$6,"yyyymm")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U69" s="8">
        <f>IFERROR(
GETPIVOTDATA(
"[Base].[Importe]",
TDinamica_R!$A$5,
"[Calendario].[AñoMes]",
"[Calendario].[AñoMes].&amp;[" &amp; TEXT(AU$6,"yyyymm")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V69" s="8">
        <f>IFERROR(
GETPIVOTDATA(
"[Base].[Importe]",
TDinamica_R!$A$5,
"[Calendario].[AñoMes]",
"[Calendario].[AñoMes].&amp;[" &amp; TEXT(AV$6,"yyyymm")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W69" s="8">
        <f>IFERROR(
GETPIVOTDATA(
"[Base].[Importe]",
TDinamica_R!$A$5,
"[Calendario].[AñoMes]",
"[Calendario].[AñoMes].&amp;[" &amp; TEXT(AW$6,"yyyymm")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X69" s="8">
        <f>IFERROR(
GETPIVOTDATA(
"[Base].[Importe]",
TDinamica_R!$A$5,
"[Calendario].[AñoMes]",
"[Calendario].[AñoMes].&amp;[" &amp; TEXT(AX$6,"yyyymm")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Y69" s="8">
        <f>IFERROR(
GETPIVOTDATA(
"[Base].[Importe]",
TDinamica_R!$A$5,
"[Calendario].[AñoMes]",
"[Calendario].[AñoMes].&amp;[" &amp; TEXT(AY$6,"yyyymm")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Z69" s="8">
        <f>IFERROR(
GETPIVOTDATA(
"[BASE_CONVE_PPTO].[Importe]",
TDinamica_P!$A$5,
"[BASE_CONVE_PPTO].[Periodo]",
"[BASE_CONVE_PPTO].[Periodo].&amp;[" &amp; TEXT(AZ$6,"yyyymm")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A69" s="8">
        <f>IFERROR(
GETPIVOTDATA(
"[BASE_CONVE_PPTO].[Importe]",
TDinamica_P!$A$5,
"[BASE_CONVE_PPTO].[Periodo]",
"[BASE_CONVE_PPTO].[Periodo].&amp;[" &amp; TEXT(BA$6,"yyyymm")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B69" s="8">
        <f>IFERROR(
GETPIVOTDATA(
"[BASE_CONVE_PPTO].[Importe]",
TDinamica_P!$A$5,
"[BASE_CONVE_PPTO].[Periodo]",
"[BASE_CONVE_PPTO].[Periodo].&amp;[" &amp; TEXT(BB$6,"yyyymm")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C69" s="8">
        <f>IFERROR(
GETPIVOTDATA(
"[BASE_CONVE_PPTO].[Importe]",
TDinamica_P!$A$5,
"[BASE_CONVE_PPTO].[Periodo]",
"[BASE_CONVE_PPTO].[Periodo].&amp;[" &amp; TEXT(BC$6,"yyyymm")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D69" s="8">
        <f>IFERROR(
GETPIVOTDATA(
"[BASE_CONVE_PPTO].[Importe]",
TDinamica_P!$A$5,
"[BASE_CONVE_PPTO].[Periodo]",
"[BASE_CONVE_PPTO].[Periodo].&amp;[" &amp; TEXT(BD$6,"yyyymm")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E69" s="8">
        <f>IFERROR(
GETPIVOTDATA(
"[BASE_CONVE_PPTO].[Importe]",
TDinamica_P!$A$5,
"[BASE_CONVE_PPTO].[Periodo]",
"[BASE_CONVE_PPTO].[Periodo].&amp;[" &amp; TEXT(BE$6,"yyyymm")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F69" s="8">
        <f>IFERROR(
GETPIVOTDATA(
"[BASE_CONVE_PPTO].[Importe]",
TDinamica_P!$A$5,
"[BASE_CONVE_PPTO].[Periodo]",
"[BASE_CONVE_PPTO].[Periodo].&amp;[" &amp; TEXT(BF$6,"yyyymm")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G69" s="8">
        <f>IFERROR(
GETPIVOTDATA(
"[BASE_CONVE_PPTO].[Importe]",
TDinamica_P!$A$5,
"[BASE_CONVE_PPTO].[Periodo]",
"[BASE_CONVE_PPTO].[Periodo].&amp;[" &amp; TEXT(BG$6,"yyyymm")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H69" s="8">
        <f>IFERROR(
GETPIVOTDATA(
"[BASE_CONVE_PPTO].[Importe]",
TDinamica_P!$A$5,
"[BASE_CONVE_PPTO].[Periodo]",
"[BASE_CONVE_PPTO].[Periodo].&amp;[" &amp; TEXT(BH$6,"yyyymm")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I69" s="8">
        <f>IFERROR(
GETPIVOTDATA(
"[BASE_CONVE_PPTO].[Importe]",
TDinamica_P!$A$5,
"[BASE_CONVE_PPTO].[Periodo]",
"[BASE_CONVE_PPTO].[Periodo].&amp;[" &amp; TEXT(BI$6,"yyyymm")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J69" s="8">
        <f>IFERROR(
GETPIVOTDATA(
"[BASE_CONVE_PPTO].[Importe]",
TDinamica_P!$A$5,
"[BASE_CONVE_PPTO].[Periodo]",
"[BASE_CONVE_PPTO].[Periodo].&amp;[" &amp; TEXT(BJ$6,"yyyymm")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K69" s="8">
        <f>IFERROR(
GETPIVOTDATA(
"[BASE_CONVE_PPTO].[Importe]",
TDinamica_P!$A$5,
"[BASE_CONVE_PPTO].[Periodo]",
"[BASE_CONVE_PPTO].[Periodo].&amp;[" &amp; TEXT(BK$6,"yyyymm") &amp; "]",
"[BASE_CONVE_PPTO].[Metrica]",
"[BASE_CONVE_PPTO].[Metrica].&amp;[" &amp; $A69 &amp; "]",
"[BASE_CONVE_PPTO].[SEGMENTO_DESCRIP]",
"[BASE_CONVE_PPTO].[SEGMENTO_DESCRIP].&amp;[" &amp; $C$6 &amp; "]",
"[BASE_CONVE_PPTO].[SITUACION]",
"[BASE_CONVE_PPTO].[SITUACION].&amp;[" &amp; $C69 &amp; "]"),
0)</f>
        <v>0</v>
      </c>
      <c r="BO69" s="24">
        <f t="shared" si="49"/>
        <v>0</v>
      </c>
      <c r="BP69" s="24">
        <f t="shared" si="49"/>
        <v>0</v>
      </c>
      <c r="BQ69" s="24">
        <f t="shared" si="49"/>
        <v>0</v>
      </c>
      <c r="BR69" s="24">
        <f t="shared" si="49"/>
        <v>0</v>
      </c>
      <c r="BS69" s="24">
        <f t="shared" si="49"/>
        <v>0</v>
      </c>
      <c r="BT69" s="24">
        <f t="shared" si="49"/>
        <v>0</v>
      </c>
    </row>
    <row r="70" spans="1:72" outlineLevel="1" x14ac:dyDescent="0.25">
      <c r="A70" s="11" t="s">
        <v>71</v>
      </c>
      <c r="C70" s="2"/>
      <c r="D70" s="8">
        <f>IFERROR(
GETPIVOTDATA(
"[Base].[Importe]",
TDinamica_R!$A$5,
"[Calendario].[AñoMes]",
"[Calendario].[AñoMes].&amp;[" &amp; TEXT(D$6,"yyyymm")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E70" s="8">
        <f>IFERROR(
GETPIVOTDATA(
"[Base].[Importe]",
TDinamica_R!$A$5,
"[Calendario].[AñoMes]",
"[Calendario].[AñoMes].&amp;[" &amp; TEXT(E$6,"yyyymm")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F70" s="8">
        <f>IFERROR(
GETPIVOTDATA(
"[Base].[Importe]",
TDinamica_R!$A$5,
"[Calendario].[AñoMes]",
"[Calendario].[AñoMes].&amp;[" &amp; TEXT(F$6,"yyyymm")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G70" s="8">
        <f>IFERROR(
GETPIVOTDATA(
"[Base].[Importe]",
TDinamica_R!$A$5,
"[Calendario].[AñoMes]",
"[Calendario].[AñoMes].&amp;[" &amp; TEXT(G$6,"yyyymm")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H70" s="8">
        <f>IFERROR(
GETPIVOTDATA(
"[Base].[Importe]",
TDinamica_R!$A$5,
"[Calendario].[AñoMes]",
"[Calendario].[AñoMes].&amp;[" &amp; TEXT(H$6,"yyyymm")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I70" s="8">
        <f>IFERROR(
GETPIVOTDATA(
"[Base].[Importe]",
TDinamica_R!$A$5,
"[Calendario].[AñoMes]",
"[Calendario].[AñoMes].&amp;[" &amp; TEXT(I$6,"yyyymm")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J70" s="8">
        <f>IFERROR(
GETPIVOTDATA(
"[Base].[Importe]",
TDinamica_R!$A$5,
"[Calendario].[AñoMes]",
"[Calendario].[AñoMes].&amp;[" &amp; TEXT(J$6,"yyyymm")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K70" s="8">
        <f>IFERROR(
GETPIVOTDATA(
"[Base].[Importe]",
TDinamica_R!$A$5,
"[Calendario].[AñoMes]",
"[Calendario].[AñoMes].&amp;[" &amp; TEXT(K$6,"yyyymm")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L70" s="8">
        <f>IFERROR(
GETPIVOTDATA(
"[Base].[Importe]",
TDinamica_R!$A$5,
"[Calendario].[AñoMes]",
"[Calendario].[AñoMes].&amp;[" &amp; TEXT(L$6,"yyyymm")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M70" s="8">
        <f>IFERROR(
GETPIVOTDATA(
"[Base].[Importe]",
TDinamica_R!$A$5,
"[Calendario].[AñoMes]",
"[Calendario].[AñoMes].&amp;[" &amp; TEXT(M$6,"yyyymm")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N70" s="8">
        <f>IFERROR(
GETPIVOTDATA(
"[Base].[Importe]",
TDinamica_R!$A$5,
"[Calendario].[AñoMes]",
"[Calendario].[AñoMes].&amp;[" &amp; TEXT(N$6,"yyyymm")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O70" s="8">
        <f>IFERROR(
GETPIVOTDATA(
"[Base].[Importe]",
TDinamica_R!$A$5,
"[Calendario].[AñoMes]",
"[Calendario].[AñoMes].&amp;[" &amp; TEXT(O$6,"yyyymm")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P70" s="8">
        <f>IFERROR(
GETPIVOTDATA(
"[Base].[Importe]",
TDinamica_R!$A$5,
"[Calendario].[AñoMes]",
"[Calendario].[AñoMes].&amp;[" &amp; TEXT(P$6,"yyyymm")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Q70" s="8">
        <f>IFERROR(
GETPIVOTDATA(
"[Base].[Importe]",
TDinamica_R!$A$5,
"[Calendario].[AñoMes]",
"[Calendario].[AñoMes].&amp;[" &amp; TEXT(Q$6,"yyyymm")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R70" s="8">
        <f>IFERROR(
GETPIVOTDATA(
"[Base].[Importe]",
TDinamica_R!$A$5,
"[Calendario].[AñoMes]",
"[Calendario].[AñoMes].&amp;[" &amp; TEXT(R$6,"yyyymm")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S70" s="8">
        <f>IFERROR(
GETPIVOTDATA(
"[Base].[Importe]",
TDinamica_R!$A$5,
"[Calendario].[AñoMes]",
"[Calendario].[AñoMes].&amp;[" &amp; TEXT(S$6,"yyyymm")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T70" s="8">
        <f>IFERROR(
GETPIVOTDATA(
"[Base].[Importe]",
TDinamica_R!$A$5,
"[Calendario].[AñoMes]",
"[Calendario].[AñoMes].&amp;[" &amp; TEXT(T$6,"yyyymm")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U70" s="8">
        <f>IFERROR(
GETPIVOTDATA(
"[Base].[Importe]",
TDinamica_R!$A$5,
"[Calendario].[AñoMes]",
"[Calendario].[AñoMes].&amp;[" &amp; TEXT(U$6,"yyyymm")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V70" s="8">
        <f>IFERROR(
GETPIVOTDATA(
"[Base].[Importe]",
TDinamica_R!$A$5,
"[Calendario].[AñoMes]",
"[Calendario].[AñoMes].&amp;[" &amp; TEXT(V$6,"yyyymm")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W70" s="8">
        <f>IFERROR(
GETPIVOTDATA(
"[Base].[Importe]",
TDinamica_R!$A$5,
"[Calendario].[AñoMes]",
"[Calendario].[AñoMes].&amp;[" &amp; TEXT(W$6,"yyyymm")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X70" s="8">
        <f>IFERROR(
GETPIVOTDATA(
"[Base].[Importe]",
TDinamica_R!$A$5,
"[Calendario].[AñoMes]",
"[Calendario].[AñoMes].&amp;[" &amp; TEXT(X$6,"yyyymm")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Y70" s="8">
        <f>IFERROR(
GETPIVOTDATA(
"[Base].[Importe]",
TDinamica_R!$A$5,
"[Calendario].[AñoMes]",
"[Calendario].[AñoMes].&amp;[" &amp; TEXT(Y$6,"yyyymm")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Z70" s="8">
        <f>IFERROR(
GETPIVOTDATA(
"[Base].[Importe]",
TDinamica_R!$A$5,
"[Calendario].[AñoMes]",
"[Calendario].[AñoMes].&amp;[" &amp; TEXT(Z$6,"yyyymm")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A70" s="8">
        <f>IFERROR(
GETPIVOTDATA(
"[Base].[Importe]",
TDinamica_R!$A$5,
"[Calendario].[AñoMes]",
"[Calendario].[AñoMes].&amp;[" &amp; TEXT(AA$6,"yyyymm")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B70" s="8">
        <f>IFERROR(
GETPIVOTDATA(
"[Base].[Importe]",
TDinamica_R!$A$5,
"[Calendario].[AñoMes]",
"[Calendario].[AñoMes].&amp;[" &amp; TEXT(AB$6,"yyyymm")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C70" s="8">
        <f>IFERROR(
GETPIVOTDATA(
"[Base].[Importe]",
TDinamica_R!$A$5,
"[Calendario].[AñoMes]",
"[Calendario].[AñoMes].&amp;[" &amp; TEXT(AC$6,"yyyymm")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D70" s="8">
        <f>IFERROR(
GETPIVOTDATA(
"[Base].[Importe]",
TDinamica_R!$A$5,
"[Calendario].[AñoMes]",
"[Calendario].[AñoMes].&amp;[" &amp; TEXT(AD$6,"yyyymm")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E70" s="8">
        <f>IFERROR(
GETPIVOTDATA(
"[Base].[Importe]",
TDinamica_R!$A$5,
"[Calendario].[AñoMes]",
"[Calendario].[AñoMes].&amp;[" &amp; TEXT(AE$6,"yyyymm")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F70" s="8">
        <f>IFERROR(
GETPIVOTDATA(
"[Base].[Importe]",
TDinamica_R!$A$5,
"[Calendario].[AñoMes]",
"[Calendario].[AñoMes].&amp;[" &amp; TEXT(AF$6,"yyyymm")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G70" s="8">
        <f>IFERROR(
GETPIVOTDATA(
"[Base].[Importe]",
TDinamica_R!$A$5,
"[Calendario].[AñoMes]",
"[Calendario].[AñoMes].&amp;[" &amp; TEXT(AG$6,"yyyymm")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H70" s="8">
        <f>IFERROR(
GETPIVOTDATA(
"[Base].[Importe]",
TDinamica_R!$A$5,
"[Calendario].[AñoMes]",
"[Calendario].[AñoMes].&amp;[" &amp; TEXT(AH$6,"yyyymm")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I70" s="8">
        <f>IFERROR(
GETPIVOTDATA(
"[Base].[Importe]",
TDinamica_R!$A$5,
"[Calendario].[AñoMes]",
"[Calendario].[AñoMes].&amp;[" &amp; TEXT(AI$6,"yyyymm")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J70" s="8">
        <f>IFERROR(
GETPIVOTDATA(
"[Base].[Importe]",
TDinamica_R!$A$5,
"[Calendario].[AñoMes]",
"[Calendario].[AñoMes].&amp;[" &amp; TEXT(AJ$6,"yyyymm")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K70" s="8">
        <f>IFERROR(
GETPIVOTDATA(
"[Base].[Importe]",
TDinamica_R!$A$5,
"[Calendario].[AñoMes]",
"[Calendario].[AñoMes].&amp;[" &amp; TEXT(AK$6,"yyyymm")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L70" s="8">
        <f>IFERROR(
GETPIVOTDATA(
"[Base].[Importe]",
TDinamica_R!$A$5,
"[Calendario].[AñoMes]",
"[Calendario].[AñoMes].&amp;[" &amp; TEXT(AL$6,"yyyymm")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M70" s="8">
        <f>IFERROR(
GETPIVOTDATA(
"[Base].[Importe]",
TDinamica_R!$A$5,
"[Calendario].[AñoMes]",
"[Calendario].[AñoMes].&amp;[" &amp; TEXT(AM$6,"yyyymm")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N70" s="8">
        <f>IFERROR(
GETPIVOTDATA(
"[Base].[Importe]",
TDinamica_R!$A$5,
"[Calendario].[AñoMes]",
"[Calendario].[AñoMes].&amp;[" &amp; TEXT(AN$6,"yyyymm")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O70" s="8">
        <f>IFERROR(
GETPIVOTDATA(
"[Base].[Importe]",
TDinamica_R!$A$5,
"[Calendario].[AñoMes]",
"[Calendario].[AñoMes].&amp;[" &amp; TEXT(AO$6,"yyyymm")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P70" s="8">
        <f>IFERROR(
GETPIVOTDATA(
"[Base].[Importe]",
TDinamica_R!$A$5,
"[Calendario].[AñoMes]",
"[Calendario].[AñoMes].&amp;[" &amp; TEXT(AP$6,"yyyymm")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Q70" s="8">
        <f>IFERROR(
GETPIVOTDATA(
"[Base].[Importe]",
TDinamica_R!$A$5,
"[Calendario].[AñoMes]",
"[Calendario].[AñoMes].&amp;[" &amp; TEXT(AQ$6,"yyyymm")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R70" s="8">
        <f>IFERROR(
GETPIVOTDATA(
"[Base].[Importe]",
TDinamica_R!$A$5,
"[Calendario].[AñoMes]",
"[Calendario].[AñoMes].&amp;[" &amp; TEXT(AR$6,"yyyymm")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S70" s="8">
        <f>IFERROR(
GETPIVOTDATA(
"[Base].[Importe]",
TDinamica_R!$A$5,
"[Calendario].[AñoMes]",
"[Calendario].[AñoMes].&amp;[" &amp; TEXT(AS$6,"yyyymm")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T70" s="8">
        <f>IFERROR(
GETPIVOTDATA(
"[Base].[Importe]",
TDinamica_R!$A$5,
"[Calendario].[AñoMes]",
"[Calendario].[AñoMes].&amp;[" &amp; TEXT(AT$6,"yyyymm")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U70" s="8">
        <f>IFERROR(
GETPIVOTDATA(
"[Base].[Importe]",
TDinamica_R!$A$5,
"[Calendario].[AñoMes]",
"[Calendario].[AñoMes].&amp;[" &amp; TEXT(AU$6,"yyyymm")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V70" s="8">
        <f>IFERROR(
GETPIVOTDATA(
"[Base].[Importe]",
TDinamica_R!$A$5,
"[Calendario].[AñoMes]",
"[Calendario].[AñoMes].&amp;[" &amp; TEXT(AV$6,"yyyymm")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W70" s="8">
        <f>IFERROR(
GETPIVOTDATA(
"[Base].[Importe]",
TDinamica_R!$A$5,
"[Calendario].[AñoMes]",
"[Calendario].[AñoMes].&amp;[" &amp; TEXT(AW$6,"yyyymm")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X70" s="8">
        <f>IFERROR(
GETPIVOTDATA(
"[Base].[Importe]",
TDinamica_R!$A$5,
"[Calendario].[AñoMes]",
"[Calendario].[AñoMes].&amp;[" &amp; TEXT(AX$6,"yyyymm")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Y70" s="8">
        <f>IFERROR(
GETPIVOTDATA(
"[Base].[Importe]",
TDinamica_R!$A$5,
"[Calendario].[AñoMes]",
"[Calendario].[AñoMes].&amp;[" &amp; TEXT(AY$6,"yyyymm")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Z70" s="8">
        <f>IFERROR(
GETPIVOTDATA(
"[BASE_CONVE_PPTO].[Importe]",
TDinamica_P!$A$5,
"[BASE_CONVE_PPTO].[Periodo]",
"[BASE_CONVE_PPTO].[Periodo].&amp;[" &amp; TEXT(AZ$6,"yyyymm")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A70" s="8">
        <f>IFERROR(
GETPIVOTDATA(
"[BASE_CONVE_PPTO].[Importe]",
TDinamica_P!$A$5,
"[BASE_CONVE_PPTO].[Periodo]",
"[BASE_CONVE_PPTO].[Periodo].&amp;[" &amp; TEXT(BA$6,"yyyymm")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B70" s="8">
        <f>IFERROR(
GETPIVOTDATA(
"[BASE_CONVE_PPTO].[Importe]",
TDinamica_P!$A$5,
"[BASE_CONVE_PPTO].[Periodo]",
"[BASE_CONVE_PPTO].[Periodo].&amp;[" &amp; TEXT(BB$6,"yyyymm")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C70" s="8">
        <f>IFERROR(
GETPIVOTDATA(
"[BASE_CONVE_PPTO].[Importe]",
TDinamica_P!$A$5,
"[BASE_CONVE_PPTO].[Periodo]",
"[BASE_CONVE_PPTO].[Periodo].&amp;[" &amp; TEXT(BC$6,"yyyymm")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D70" s="8">
        <f>IFERROR(
GETPIVOTDATA(
"[BASE_CONVE_PPTO].[Importe]",
TDinamica_P!$A$5,
"[BASE_CONVE_PPTO].[Periodo]",
"[BASE_CONVE_PPTO].[Periodo].&amp;[" &amp; TEXT(BD$6,"yyyymm")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E70" s="8">
        <f>IFERROR(
GETPIVOTDATA(
"[BASE_CONVE_PPTO].[Importe]",
TDinamica_P!$A$5,
"[BASE_CONVE_PPTO].[Periodo]",
"[BASE_CONVE_PPTO].[Periodo].&amp;[" &amp; TEXT(BE$6,"yyyymm")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F70" s="8">
        <f>IFERROR(
GETPIVOTDATA(
"[BASE_CONVE_PPTO].[Importe]",
TDinamica_P!$A$5,
"[BASE_CONVE_PPTO].[Periodo]",
"[BASE_CONVE_PPTO].[Periodo].&amp;[" &amp; TEXT(BF$6,"yyyymm")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G70" s="8">
        <f>IFERROR(
GETPIVOTDATA(
"[BASE_CONVE_PPTO].[Importe]",
TDinamica_P!$A$5,
"[BASE_CONVE_PPTO].[Periodo]",
"[BASE_CONVE_PPTO].[Periodo].&amp;[" &amp; TEXT(BG$6,"yyyymm")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H70" s="8">
        <f>IFERROR(
GETPIVOTDATA(
"[BASE_CONVE_PPTO].[Importe]",
TDinamica_P!$A$5,
"[BASE_CONVE_PPTO].[Periodo]",
"[BASE_CONVE_PPTO].[Periodo].&amp;[" &amp; TEXT(BH$6,"yyyymm")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I70" s="8">
        <f>IFERROR(
GETPIVOTDATA(
"[BASE_CONVE_PPTO].[Importe]",
TDinamica_P!$A$5,
"[BASE_CONVE_PPTO].[Periodo]",
"[BASE_CONVE_PPTO].[Periodo].&amp;[" &amp; TEXT(BI$6,"yyyymm")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J70" s="8">
        <f>IFERROR(
GETPIVOTDATA(
"[BASE_CONVE_PPTO].[Importe]",
TDinamica_P!$A$5,
"[BASE_CONVE_PPTO].[Periodo]",
"[BASE_CONVE_PPTO].[Periodo].&amp;[" &amp; TEXT(BJ$6,"yyyymm")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K70" s="8">
        <f>IFERROR(
GETPIVOTDATA(
"[BASE_CONVE_PPTO].[Importe]",
TDinamica_P!$A$5,
"[BASE_CONVE_PPTO].[Periodo]",
"[BASE_CONVE_PPTO].[Periodo].&amp;[" &amp; TEXT(BK$6,"yyyymm") &amp; "]",
"[BASE_CONVE_PPTO].[Metrica]",
"[BASE_CONVE_PPTO].[Metrica].&amp;[" &amp; $A70 &amp; "]",
"[BASE_CONVE_PPTO].[SEGMENTO_DESCRIP]",
"[BASE_CONVE_PPTO].[SEGMENTO_DESCRIP].&amp;[" &amp; $C$6 &amp; "]",
"[BASE_CONVE_PPTO].[SITUACION]",
"[BASE_CONVE_PPTO].[SITUACION].&amp;[" &amp; $C70 &amp; "]"),
0)</f>
        <v>0</v>
      </c>
      <c r="BO70" s="24">
        <f t="shared" si="49"/>
        <v>0</v>
      </c>
      <c r="BP70" s="24">
        <f t="shared" si="49"/>
        <v>0</v>
      </c>
      <c r="BQ70" s="24">
        <f t="shared" si="49"/>
        <v>0</v>
      </c>
      <c r="BR70" s="24">
        <f t="shared" si="49"/>
        <v>0</v>
      </c>
      <c r="BS70" s="24">
        <f t="shared" si="49"/>
        <v>0</v>
      </c>
      <c r="BT70" s="24">
        <f t="shared" si="49"/>
        <v>0</v>
      </c>
    </row>
    <row r="71" spans="1:72" outlineLevel="1" x14ac:dyDescent="0.25">
      <c r="A71" s="11" t="s">
        <v>71</v>
      </c>
      <c r="C71" s="2"/>
      <c r="D71" s="8">
        <f>IFERROR(
GETPIVOTDATA(
"[Base].[Importe]",
TDinamica_R!$A$5,
"[Calendario].[AñoMes]",
"[Calendario].[AñoMes].&amp;[" &amp; TEXT(D$6,"yyyymm")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E71" s="8">
        <f>IFERROR(
GETPIVOTDATA(
"[Base].[Importe]",
TDinamica_R!$A$5,
"[Calendario].[AñoMes]",
"[Calendario].[AñoMes].&amp;[" &amp; TEXT(E$6,"yyyymm")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F71" s="8">
        <f>IFERROR(
GETPIVOTDATA(
"[Base].[Importe]",
TDinamica_R!$A$5,
"[Calendario].[AñoMes]",
"[Calendario].[AñoMes].&amp;[" &amp; TEXT(F$6,"yyyymm")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G71" s="8">
        <f>IFERROR(
GETPIVOTDATA(
"[Base].[Importe]",
TDinamica_R!$A$5,
"[Calendario].[AñoMes]",
"[Calendario].[AñoMes].&amp;[" &amp; TEXT(G$6,"yyyymm")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H71" s="8">
        <f>IFERROR(
GETPIVOTDATA(
"[Base].[Importe]",
TDinamica_R!$A$5,
"[Calendario].[AñoMes]",
"[Calendario].[AñoMes].&amp;[" &amp; TEXT(H$6,"yyyymm")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I71" s="8">
        <f>IFERROR(
GETPIVOTDATA(
"[Base].[Importe]",
TDinamica_R!$A$5,
"[Calendario].[AñoMes]",
"[Calendario].[AñoMes].&amp;[" &amp; TEXT(I$6,"yyyymm")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J71" s="8">
        <f>IFERROR(
GETPIVOTDATA(
"[Base].[Importe]",
TDinamica_R!$A$5,
"[Calendario].[AñoMes]",
"[Calendario].[AñoMes].&amp;[" &amp; TEXT(J$6,"yyyymm")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K71" s="8">
        <f>IFERROR(
GETPIVOTDATA(
"[Base].[Importe]",
TDinamica_R!$A$5,
"[Calendario].[AñoMes]",
"[Calendario].[AñoMes].&amp;[" &amp; TEXT(K$6,"yyyymm")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L71" s="8">
        <f>IFERROR(
GETPIVOTDATA(
"[Base].[Importe]",
TDinamica_R!$A$5,
"[Calendario].[AñoMes]",
"[Calendario].[AñoMes].&amp;[" &amp; TEXT(L$6,"yyyymm")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M71" s="8">
        <f>IFERROR(
GETPIVOTDATA(
"[Base].[Importe]",
TDinamica_R!$A$5,
"[Calendario].[AñoMes]",
"[Calendario].[AñoMes].&amp;[" &amp; TEXT(M$6,"yyyymm")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N71" s="8">
        <f>IFERROR(
GETPIVOTDATA(
"[Base].[Importe]",
TDinamica_R!$A$5,
"[Calendario].[AñoMes]",
"[Calendario].[AñoMes].&amp;[" &amp; TEXT(N$6,"yyyymm")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O71" s="8">
        <f>IFERROR(
GETPIVOTDATA(
"[Base].[Importe]",
TDinamica_R!$A$5,
"[Calendario].[AñoMes]",
"[Calendario].[AñoMes].&amp;[" &amp; TEXT(O$6,"yyyymm")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P71" s="8">
        <f>IFERROR(
GETPIVOTDATA(
"[Base].[Importe]",
TDinamica_R!$A$5,
"[Calendario].[AñoMes]",
"[Calendario].[AñoMes].&amp;[" &amp; TEXT(P$6,"yyyymm")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Q71" s="8">
        <f>IFERROR(
GETPIVOTDATA(
"[Base].[Importe]",
TDinamica_R!$A$5,
"[Calendario].[AñoMes]",
"[Calendario].[AñoMes].&amp;[" &amp; TEXT(Q$6,"yyyymm")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R71" s="8">
        <f>IFERROR(
GETPIVOTDATA(
"[Base].[Importe]",
TDinamica_R!$A$5,
"[Calendario].[AñoMes]",
"[Calendario].[AñoMes].&amp;[" &amp; TEXT(R$6,"yyyymm")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S71" s="8">
        <f>IFERROR(
GETPIVOTDATA(
"[Base].[Importe]",
TDinamica_R!$A$5,
"[Calendario].[AñoMes]",
"[Calendario].[AñoMes].&amp;[" &amp; TEXT(S$6,"yyyymm")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T71" s="8">
        <f>IFERROR(
GETPIVOTDATA(
"[Base].[Importe]",
TDinamica_R!$A$5,
"[Calendario].[AñoMes]",
"[Calendario].[AñoMes].&amp;[" &amp; TEXT(T$6,"yyyymm")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U71" s="8">
        <f>IFERROR(
GETPIVOTDATA(
"[Base].[Importe]",
TDinamica_R!$A$5,
"[Calendario].[AñoMes]",
"[Calendario].[AñoMes].&amp;[" &amp; TEXT(U$6,"yyyymm")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V71" s="8">
        <f>IFERROR(
GETPIVOTDATA(
"[Base].[Importe]",
TDinamica_R!$A$5,
"[Calendario].[AñoMes]",
"[Calendario].[AñoMes].&amp;[" &amp; TEXT(V$6,"yyyymm")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W71" s="8">
        <f>IFERROR(
GETPIVOTDATA(
"[Base].[Importe]",
TDinamica_R!$A$5,
"[Calendario].[AñoMes]",
"[Calendario].[AñoMes].&amp;[" &amp; TEXT(W$6,"yyyymm")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X71" s="8">
        <f>IFERROR(
GETPIVOTDATA(
"[Base].[Importe]",
TDinamica_R!$A$5,
"[Calendario].[AñoMes]",
"[Calendario].[AñoMes].&amp;[" &amp; TEXT(X$6,"yyyymm")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Y71" s="8">
        <f>IFERROR(
GETPIVOTDATA(
"[Base].[Importe]",
TDinamica_R!$A$5,
"[Calendario].[AñoMes]",
"[Calendario].[AñoMes].&amp;[" &amp; TEXT(Y$6,"yyyymm")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Z71" s="8">
        <f>IFERROR(
GETPIVOTDATA(
"[Base].[Importe]",
TDinamica_R!$A$5,
"[Calendario].[AñoMes]",
"[Calendario].[AñoMes].&amp;[" &amp; TEXT(Z$6,"yyyymm")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A71" s="8">
        <f>IFERROR(
GETPIVOTDATA(
"[Base].[Importe]",
TDinamica_R!$A$5,
"[Calendario].[AñoMes]",
"[Calendario].[AñoMes].&amp;[" &amp; TEXT(AA$6,"yyyymm")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B71" s="8">
        <f>IFERROR(
GETPIVOTDATA(
"[Base].[Importe]",
TDinamica_R!$A$5,
"[Calendario].[AñoMes]",
"[Calendario].[AñoMes].&amp;[" &amp; TEXT(AB$6,"yyyymm")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C71" s="8">
        <f>IFERROR(
GETPIVOTDATA(
"[Base].[Importe]",
TDinamica_R!$A$5,
"[Calendario].[AñoMes]",
"[Calendario].[AñoMes].&amp;[" &amp; TEXT(AC$6,"yyyymm")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D71" s="8">
        <f>IFERROR(
GETPIVOTDATA(
"[Base].[Importe]",
TDinamica_R!$A$5,
"[Calendario].[AñoMes]",
"[Calendario].[AñoMes].&amp;[" &amp; TEXT(AD$6,"yyyymm")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E71" s="8">
        <f>IFERROR(
GETPIVOTDATA(
"[Base].[Importe]",
TDinamica_R!$A$5,
"[Calendario].[AñoMes]",
"[Calendario].[AñoMes].&amp;[" &amp; TEXT(AE$6,"yyyymm")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F71" s="8">
        <f>IFERROR(
GETPIVOTDATA(
"[Base].[Importe]",
TDinamica_R!$A$5,
"[Calendario].[AñoMes]",
"[Calendario].[AñoMes].&amp;[" &amp; TEXT(AF$6,"yyyymm")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G71" s="8">
        <f>IFERROR(
GETPIVOTDATA(
"[Base].[Importe]",
TDinamica_R!$A$5,
"[Calendario].[AñoMes]",
"[Calendario].[AñoMes].&amp;[" &amp; TEXT(AG$6,"yyyymm")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H71" s="8">
        <f>IFERROR(
GETPIVOTDATA(
"[Base].[Importe]",
TDinamica_R!$A$5,
"[Calendario].[AñoMes]",
"[Calendario].[AñoMes].&amp;[" &amp; TEXT(AH$6,"yyyymm")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I71" s="8">
        <f>IFERROR(
GETPIVOTDATA(
"[Base].[Importe]",
TDinamica_R!$A$5,
"[Calendario].[AñoMes]",
"[Calendario].[AñoMes].&amp;[" &amp; TEXT(AI$6,"yyyymm")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J71" s="8">
        <f>IFERROR(
GETPIVOTDATA(
"[Base].[Importe]",
TDinamica_R!$A$5,
"[Calendario].[AñoMes]",
"[Calendario].[AñoMes].&amp;[" &amp; TEXT(AJ$6,"yyyymm")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K71" s="8">
        <f>IFERROR(
GETPIVOTDATA(
"[Base].[Importe]",
TDinamica_R!$A$5,
"[Calendario].[AñoMes]",
"[Calendario].[AñoMes].&amp;[" &amp; TEXT(AK$6,"yyyymm")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L71" s="8">
        <f>IFERROR(
GETPIVOTDATA(
"[Base].[Importe]",
TDinamica_R!$A$5,
"[Calendario].[AñoMes]",
"[Calendario].[AñoMes].&amp;[" &amp; TEXT(AL$6,"yyyymm")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M71" s="8">
        <f>IFERROR(
GETPIVOTDATA(
"[Base].[Importe]",
TDinamica_R!$A$5,
"[Calendario].[AñoMes]",
"[Calendario].[AñoMes].&amp;[" &amp; TEXT(AM$6,"yyyymm")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N71" s="8">
        <f>IFERROR(
GETPIVOTDATA(
"[Base].[Importe]",
TDinamica_R!$A$5,
"[Calendario].[AñoMes]",
"[Calendario].[AñoMes].&amp;[" &amp; TEXT(AN$6,"yyyymm")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O71" s="8">
        <f>IFERROR(
GETPIVOTDATA(
"[Base].[Importe]",
TDinamica_R!$A$5,
"[Calendario].[AñoMes]",
"[Calendario].[AñoMes].&amp;[" &amp; TEXT(AO$6,"yyyymm")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P71" s="8">
        <f>IFERROR(
GETPIVOTDATA(
"[Base].[Importe]",
TDinamica_R!$A$5,
"[Calendario].[AñoMes]",
"[Calendario].[AñoMes].&amp;[" &amp; TEXT(AP$6,"yyyymm")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Q71" s="8">
        <f>IFERROR(
GETPIVOTDATA(
"[Base].[Importe]",
TDinamica_R!$A$5,
"[Calendario].[AñoMes]",
"[Calendario].[AñoMes].&amp;[" &amp; TEXT(AQ$6,"yyyymm")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R71" s="8">
        <f>IFERROR(
GETPIVOTDATA(
"[Base].[Importe]",
TDinamica_R!$A$5,
"[Calendario].[AñoMes]",
"[Calendario].[AñoMes].&amp;[" &amp; TEXT(AR$6,"yyyymm")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S71" s="8">
        <f>IFERROR(
GETPIVOTDATA(
"[Base].[Importe]",
TDinamica_R!$A$5,
"[Calendario].[AñoMes]",
"[Calendario].[AñoMes].&amp;[" &amp; TEXT(AS$6,"yyyymm")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T71" s="8">
        <f>IFERROR(
GETPIVOTDATA(
"[Base].[Importe]",
TDinamica_R!$A$5,
"[Calendario].[AñoMes]",
"[Calendario].[AñoMes].&amp;[" &amp; TEXT(AT$6,"yyyymm")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U71" s="8">
        <f>IFERROR(
GETPIVOTDATA(
"[Base].[Importe]",
TDinamica_R!$A$5,
"[Calendario].[AñoMes]",
"[Calendario].[AñoMes].&amp;[" &amp; TEXT(AU$6,"yyyymm")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V71" s="8">
        <f>IFERROR(
GETPIVOTDATA(
"[Base].[Importe]",
TDinamica_R!$A$5,
"[Calendario].[AñoMes]",
"[Calendario].[AñoMes].&amp;[" &amp; TEXT(AV$6,"yyyymm")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W71" s="8">
        <f>IFERROR(
GETPIVOTDATA(
"[Base].[Importe]",
TDinamica_R!$A$5,
"[Calendario].[AñoMes]",
"[Calendario].[AñoMes].&amp;[" &amp; TEXT(AW$6,"yyyymm")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X71" s="8">
        <f>IFERROR(
GETPIVOTDATA(
"[Base].[Importe]",
TDinamica_R!$A$5,
"[Calendario].[AñoMes]",
"[Calendario].[AñoMes].&amp;[" &amp; TEXT(AX$6,"yyyymm")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Y71" s="8">
        <f>IFERROR(
GETPIVOTDATA(
"[Base].[Importe]",
TDinamica_R!$A$5,
"[Calendario].[AñoMes]",
"[Calendario].[AñoMes].&amp;[" &amp; TEXT(AY$6,"yyyymm")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Z71" s="8">
        <f>IFERROR(
GETPIVOTDATA(
"[BASE_CONVE_PPTO].[Importe]",
TDinamica_P!$A$5,
"[BASE_CONVE_PPTO].[Periodo]",
"[BASE_CONVE_PPTO].[Periodo].&amp;[" &amp; TEXT(AZ$6,"yyyymm")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A71" s="8">
        <f>IFERROR(
GETPIVOTDATA(
"[BASE_CONVE_PPTO].[Importe]",
TDinamica_P!$A$5,
"[BASE_CONVE_PPTO].[Periodo]",
"[BASE_CONVE_PPTO].[Periodo].&amp;[" &amp; TEXT(BA$6,"yyyymm")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B71" s="8">
        <f>IFERROR(
GETPIVOTDATA(
"[BASE_CONVE_PPTO].[Importe]",
TDinamica_P!$A$5,
"[BASE_CONVE_PPTO].[Periodo]",
"[BASE_CONVE_PPTO].[Periodo].&amp;[" &amp; TEXT(BB$6,"yyyymm")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C71" s="8">
        <f>IFERROR(
GETPIVOTDATA(
"[BASE_CONVE_PPTO].[Importe]",
TDinamica_P!$A$5,
"[BASE_CONVE_PPTO].[Periodo]",
"[BASE_CONVE_PPTO].[Periodo].&amp;[" &amp; TEXT(BC$6,"yyyymm")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D71" s="8">
        <f>IFERROR(
GETPIVOTDATA(
"[BASE_CONVE_PPTO].[Importe]",
TDinamica_P!$A$5,
"[BASE_CONVE_PPTO].[Periodo]",
"[BASE_CONVE_PPTO].[Periodo].&amp;[" &amp; TEXT(BD$6,"yyyymm")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E71" s="8">
        <f>IFERROR(
GETPIVOTDATA(
"[BASE_CONVE_PPTO].[Importe]",
TDinamica_P!$A$5,
"[BASE_CONVE_PPTO].[Periodo]",
"[BASE_CONVE_PPTO].[Periodo].&amp;[" &amp; TEXT(BE$6,"yyyymm")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F71" s="8">
        <f>IFERROR(
GETPIVOTDATA(
"[BASE_CONVE_PPTO].[Importe]",
TDinamica_P!$A$5,
"[BASE_CONVE_PPTO].[Periodo]",
"[BASE_CONVE_PPTO].[Periodo].&amp;[" &amp; TEXT(BF$6,"yyyymm")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G71" s="8">
        <f>IFERROR(
GETPIVOTDATA(
"[BASE_CONVE_PPTO].[Importe]",
TDinamica_P!$A$5,
"[BASE_CONVE_PPTO].[Periodo]",
"[BASE_CONVE_PPTO].[Periodo].&amp;[" &amp; TEXT(BG$6,"yyyymm")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H71" s="8">
        <f>IFERROR(
GETPIVOTDATA(
"[BASE_CONVE_PPTO].[Importe]",
TDinamica_P!$A$5,
"[BASE_CONVE_PPTO].[Periodo]",
"[BASE_CONVE_PPTO].[Periodo].&amp;[" &amp; TEXT(BH$6,"yyyymm")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I71" s="8">
        <f>IFERROR(
GETPIVOTDATA(
"[BASE_CONVE_PPTO].[Importe]",
TDinamica_P!$A$5,
"[BASE_CONVE_PPTO].[Periodo]",
"[BASE_CONVE_PPTO].[Periodo].&amp;[" &amp; TEXT(BI$6,"yyyymm")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J71" s="8">
        <f>IFERROR(
GETPIVOTDATA(
"[BASE_CONVE_PPTO].[Importe]",
TDinamica_P!$A$5,
"[BASE_CONVE_PPTO].[Periodo]",
"[BASE_CONVE_PPTO].[Periodo].&amp;[" &amp; TEXT(BJ$6,"yyyymm")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K71" s="8">
        <f>IFERROR(
GETPIVOTDATA(
"[BASE_CONVE_PPTO].[Importe]",
TDinamica_P!$A$5,
"[BASE_CONVE_PPTO].[Periodo]",
"[BASE_CONVE_PPTO].[Periodo].&amp;[" &amp; TEXT(BK$6,"yyyymm") &amp; "]",
"[BASE_CONVE_PPTO].[Metrica]",
"[BASE_CONVE_PPTO].[Metrica].&amp;[" &amp; $A71 &amp; "]",
"[BASE_CONVE_PPTO].[SEGMENTO_DESCRIP]",
"[BASE_CONVE_PPTO].[SEGMENTO_DESCRIP].&amp;[" &amp; $C$6 &amp; "]",
"[BASE_CONVE_PPTO].[SITUACION]",
"[BASE_CONVE_PPTO].[SITUACION].&amp;[" &amp; $C71 &amp; "]"),
0)</f>
        <v>0</v>
      </c>
      <c r="BO71" s="24">
        <f t="shared" si="49"/>
        <v>0</v>
      </c>
      <c r="BP71" s="24">
        <f t="shared" si="49"/>
        <v>0</v>
      </c>
      <c r="BQ71" s="24">
        <f t="shared" si="49"/>
        <v>0</v>
      </c>
      <c r="BR71" s="24">
        <f t="shared" si="49"/>
        <v>0</v>
      </c>
      <c r="BS71" s="24">
        <f t="shared" si="49"/>
        <v>0</v>
      </c>
      <c r="BT71" s="24">
        <f t="shared" si="49"/>
        <v>0</v>
      </c>
    </row>
    <row r="72" spans="1:72" outlineLevel="1" x14ac:dyDescent="0.25">
      <c r="A72" s="11" t="s">
        <v>71</v>
      </c>
      <c r="C72" s="2"/>
      <c r="D72" s="8">
        <f>IFERROR(
GETPIVOTDATA(
"[Base].[Importe]",
TDinamica_R!$A$5,
"[Calendario].[AñoMes]",
"[Calendario].[AñoMes].&amp;[" &amp; TEXT(D$6,"yyyymm")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E72" s="8">
        <f>IFERROR(
GETPIVOTDATA(
"[Base].[Importe]",
TDinamica_R!$A$5,
"[Calendario].[AñoMes]",
"[Calendario].[AñoMes].&amp;[" &amp; TEXT(E$6,"yyyymm")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F72" s="8">
        <f>IFERROR(
GETPIVOTDATA(
"[Base].[Importe]",
TDinamica_R!$A$5,
"[Calendario].[AñoMes]",
"[Calendario].[AñoMes].&amp;[" &amp; TEXT(F$6,"yyyymm")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G72" s="8">
        <f>IFERROR(
GETPIVOTDATA(
"[Base].[Importe]",
TDinamica_R!$A$5,
"[Calendario].[AñoMes]",
"[Calendario].[AñoMes].&amp;[" &amp; TEXT(G$6,"yyyymm")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H72" s="8">
        <f>IFERROR(
GETPIVOTDATA(
"[Base].[Importe]",
TDinamica_R!$A$5,
"[Calendario].[AñoMes]",
"[Calendario].[AñoMes].&amp;[" &amp; TEXT(H$6,"yyyymm")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I72" s="8">
        <f>IFERROR(
GETPIVOTDATA(
"[Base].[Importe]",
TDinamica_R!$A$5,
"[Calendario].[AñoMes]",
"[Calendario].[AñoMes].&amp;[" &amp; TEXT(I$6,"yyyymm")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J72" s="8">
        <f>IFERROR(
GETPIVOTDATA(
"[Base].[Importe]",
TDinamica_R!$A$5,
"[Calendario].[AñoMes]",
"[Calendario].[AñoMes].&amp;[" &amp; TEXT(J$6,"yyyymm")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K72" s="8">
        <f>IFERROR(
GETPIVOTDATA(
"[Base].[Importe]",
TDinamica_R!$A$5,
"[Calendario].[AñoMes]",
"[Calendario].[AñoMes].&amp;[" &amp; TEXT(K$6,"yyyymm")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L72" s="8">
        <f>IFERROR(
GETPIVOTDATA(
"[Base].[Importe]",
TDinamica_R!$A$5,
"[Calendario].[AñoMes]",
"[Calendario].[AñoMes].&amp;[" &amp; TEXT(L$6,"yyyymm")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M72" s="8">
        <f>IFERROR(
GETPIVOTDATA(
"[Base].[Importe]",
TDinamica_R!$A$5,
"[Calendario].[AñoMes]",
"[Calendario].[AñoMes].&amp;[" &amp; TEXT(M$6,"yyyymm")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N72" s="8">
        <f>IFERROR(
GETPIVOTDATA(
"[Base].[Importe]",
TDinamica_R!$A$5,
"[Calendario].[AñoMes]",
"[Calendario].[AñoMes].&amp;[" &amp; TEXT(N$6,"yyyymm")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O72" s="8">
        <f>IFERROR(
GETPIVOTDATA(
"[Base].[Importe]",
TDinamica_R!$A$5,
"[Calendario].[AñoMes]",
"[Calendario].[AñoMes].&amp;[" &amp; TEXT(O$6,"yyyymm")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P72" s="8">
        <f>IFERROR(
GETPIVOTDATA(
"[Base].[Importe]",
TDinamica_R!$A$5,
"[Calendario].[AñoMes]",
"[Calendario].[AñoMes].&amp;[" &amp; TEXT(P$6,"yyyymm")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Q72" s="8">
        <f>IFERROR(
GETPIVOTDATA(
"[Base].[Importe]",
TDinamica_R!$A$5,
"[Calendario].[AñoMes]",
"[Calendario].[AñoMes].&amp;[" &amp; TEXT(Q$6,"yyyymm")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R72" s="8">
        <f>IFERROR(
GETPIVOTDATA(
"[Base].[Importe]",
TDinamica_R!$A$5,
"[Calendario].[AñoMes]",
"[Calendario].[AñoMes].&amp;[" &amp; TEXT(R$6,"yyyymm")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S72" s="8">
        <f>IFERROR(
GETPIVOTDATA(
"[Base].[Importe]",
TDinamica_R!$A$5,
"[Calendario].[AñoMes]",
"[Calendario].[AñoMes].&amp;[" &amp; TEXT(S$6,"yyyymm")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T72" s="8">
        <f>IFERROR(
GETPIVOTDATA(
"[Base].[Importe]",
TDinamica_R!$A$5,
"[Calendario].[AñoMes]",
"[Calendario].[AñoMes].&amp;[" &amp; TEXT(T$6,"yyyymm")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U72" s="8">
        <f>IFERROR(
GETPIVOTDATA(
"[Base].[Importe]",
TDinamica_R!$A$5,
"[Calendario].[AñoMes]",
"[Calendario].[AñoMes].&amp;[" &amp; TEXT(U$6,"yyyymm")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V72" s="8">
        <f>IFERROR(
GETPIVOTDATA(
"[Base].[Importe]",
TDinamica_R!$A$5,
"[Calendario].[AñoMes]",
"[Calendario].[AñoMes].&amp;[" &amp; TEXT(V$6,"yyyymm")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W72" s="8">
        <f>IFERROR(
GETPIVOTDATA(
"[Base].[Importe]",
TDinamica_R!$A$5,
"[Calendario].[AñoMes]",
"[Calendario].[AñoMes].&amp;[" &amp; TEXT(W$6,"yyyymm")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X72" s="8">
        <f>IFERROR(
GETPIVOTDATA(
"[Base].[Importe]",
TDinamica_R!$A$5,
"[Calendario].[AñoMes]",
"[Calendario].[AñoMes].&amp;[" &amp; TEXT(X$6,"yyyymm")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Y72" s="8">
        <f>IFERROR(
GETPIVOTDATA(
"[Base].[Importe]",
TDinamica_R!$A$5,
"[Calendario].[AñoMes]",
"[Calendario].[AñoMes].&amp;[" &amp; TEXT(Y$6,"yyyymm")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Z72" s="8">
        <f>IFERROR(
GETPIVOTDATA(
"[Base].[Importe]",
TDinamica_R!$A$5,
"[Calendario].[AñoMes]",
"[Calendario].[AñoMes].&amp;[" &amp; TEXT(Z$6,"yyyymm")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A72" s="8">
        <f>IFERROR(
GETPIVOTDATA(
"[Base].[Importe]",
TDinamica_R!$A$5,
"[Calendario].[AñoMes]",
"[Calendario].[AñoMes].&amp;[" &amp; TEXT(AA$6,"yyyymm")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B72" s="8">
        <f>IFERROR(
GETPIVOTDATA(
"[Base].[Importe]",
TDinamica_R!$A$5,
"[Calendario].[AñoMes]",
"[Calendario].[AñoMes].&amp;[" &amp; TEXT(AB$6,"yyyymm")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C72" s="8">
        <f>IFERROR(
GETPIVOTDATA(
"[Base].[Importe]",
TDinamica_R!$A$5,
"[Calendario].[AñoMes]",
"[Calendario].[AñoMes].&amp;[" &amp; TEXT(AC$6,"yyyymm")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D72" s="8">
        <f>IFERROR(
GETPIVOTDATA(
"[Base].[Importe]",
TDinamica_R!$A$5,
"[Calendario].[AñoMes]",
"[Calendario].[AñoMes].&amp;[" &amp; TEXT(AD$6,"yyyymm")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E72" s="8">
        <f>IFERROR(
GETPIVOTDATA(
"[Base].[Importe]",
TDinamica_R!$A$5,
"[Calendario].[AñoMes]",
"[Calendario].[AñoMes].&amp;[" &amp; TEXT(AE$6,"yyyymm")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F72" s="8">
        <f>IFERROR(
GETPIVOTDATA(
"[Base].[Importe]",
TDinamica_R!$A$5,
"[Calendario].[AñoMes]",
"[Calendario].[AñoMes].&amp;[" &amp; TEXT(AF$6,"yyyymm")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G72" s="8">
        <f>IFERROR(
GETPIVOTDATA(
"[Base].[Importe]",
TDinamica_R!$A$5,
"[Calendario].[AñoMes]",
"[Calendario].[AñoMes].&amp;[" &amp; TEXT(AG$6,"yyyymm")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H72" s="8">
        <f>IFERROR(
GETPIVOTDATA(
"[Base].[Importe]",
TDinamica_R!$A$5,
"[Calendario].[AñoMes]",
"[Calendario].[AñoMes].&amp;[" &amp; TEXT(AH$6,"yyyymm")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I72" s="8">
        <f>IFERROR(
GETPIVOTDATA(
"[Base].[Importe]",
TDinamica_R!$A$5,
"[Calendario].[AñoMes]",
"[Calendario].[AñoMes].&amp;[" &amp; TEXT(AI$6,"yyyymm")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J72" s="8">
        <f>IFERROR(
GETPIVOTDATA(
"[Base].[Importe]",
TDinamica_R!$A$5,
"[Calendario].[AñoMes]",
"[Calendario].[AñoMes].&amp;[" &amp; TEXT(AJ$6,"yyyymm")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K72" s="8">
        <f>IFERROR(
GETPIVOTDATA(
"[Base].[Importe]",
TDinamica_R!$A$5,
"[Calendario].[AñoMes]",
"[Calendario].[AñoMes].&amp;[" &amp; TEXT(AK$6,"yyyymm")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L72" s="8">
        <f>IFERROR(
GETPIVOTDATA(
"[Base].[Importe]",
TDinamica_R!$A$5,
"[Calendario].[AñoMes]",
"[Calendario].[AñoMes].&amp;[" &amp; TEXT(AL$6,"yyyymm")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M72" s="8">
        <f>IFERROR(
GETPIVOTDATA(
"[Base].[Importe]",
TDinamica_R!$A$5,
"[Calendario].[AñoMes]",
"[Calendario].[AñoMes].&amp;[" &amp; TEXT(AM$6,"yyyymm")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N72" s="8">
        <f>IFERROR(
GETPIVOTDATA(
"[Base].[Importe]",
TDinamica_R!$A$5,
"[Calendario].[AñoMes]",
"[Calendario].[AñoMes].&amp;[" &amp; TEXT(AN$6,"yyyymm")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O72" s="8">
        <f>IFERROR(
GETPIVOTDATA(
"[Base].[Importe]",
TDinamica_R!$A$5,
"[Calendario].[AñoMes]",
"[Calendario].[AñoMes].&amp;[" &amp; TEXT(AO$6,"yyyymm")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P72" s="8">
        <f>IFERROR(
GETPIVOTDATA(
"[Base].[Importe]",
TDinamica_R!$A$5,
"[Calendario].[AñoMes]",
"[Calendario].[AñoMes].&amp;[" &amp; TEXT(AP$6,"yyyymm")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Q72" s="8">
        <f>IFERROR(
GETPIVOTDATA(
"[Base].[Importe]",
TDinamica_R!$A$5,
"[Calendario].[AñoMes]",
"[Calendario].[AñoMes].&amp;[" &amp; TEXT(AQ$6,"yyyymm")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R72" s="8">
        <f>IFERROR(
GETPIVOTDATA(
"[Base].[Importe]",
TDinamica_R!$A$5,
"[Calendario].[AñoMes]",
"[Calendario].[AñoMes].&amp;[" &amp; TEXT(AR$6,"yyyymm")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S72" s="8">
        <f>IFERROR(
GETPIVOTDATA(
"[Base].[Importe]",
TDinamica_R!$A$5,
"[Calendario].[AñoMes]",
"[Calendario].[AñoMes].&amp;[" &amp; TEXT(AS$6,"yyyymm")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T72" s="8">
        <f>IFERROR(
GETPIVOTDATA(
"[Base].[Importe]",
TDinamica_R!$A$5,
"[Calendario].[AñoMes]",
"[Calendario].[AñoMes].&amp;[" &amp; TEXT(AT$6,"yyyymm")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U72" s="8">
        <f>IFERROR(
GETPIVOTDATA(
"[Base].[Importe]",
TDinamica_R!$A$5,
"[Calendario].[AñoMes]",
"[Calendario].[AñoMes].&amp;[" &amp; TEXT(AU$6,"yyyymm")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V72" s="8">
        <f>IFERROR(
GETPIVOTDATA(
"[Base].[Importe]",
TDinamica_R!$A$5,
"[Calendario].[AñoMes]",
"[Calendario].[AñoMes].&amp;[" &amp; TEXT(AV$6,"yyyymm")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W72" s="8">
        <f>IFERROR(
GETPIVOTDATA(
"[Base].[Importe]",
TDinamica_R!$A$5,
"[Calendario].[AñoMes]",
"[Calendario].[AñoMes].&amp;[" &amp; TEXT(AW$6,"yyyymm")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X72" s="8">
        <f>IFERROR(
GETPIVOTDATA(
"[Base].[Importe]",
TDinamica_R!$A$5,
"[Calendario].[AñoMes]",
"[Calendario].[AñoMes].&amp;[" &amp; TEXT(AX$6,"yyyymm")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Y72" s="8">
        <f>IFERROR(
GETPIVOTDATA(
"[Base].[Importe]",
TDinamica_R!$A$5,
"[Calendario].[AñoMes]",
"[Calendario].[AñoMes].&amp;[" &amp; TEXT(AY$6,"yyyymm")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Z72" s="8">
        <f>IFERROR(
GETPIVOTDATA(
"[BASE_CONVE_PPTO].[Importe]",
TDinamica_P!$A$5,
"[BASE_CONVE_PPTO].[Periodo]",
"[BASE_CONVE_PPTO].[Periodo].&amp;[" &amp; TEXT(AZ$6,"yyyymm")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A72" s="8">
        <f>IFERROR(
GETPIVOTDATA(
"[BASE_CONVE_PPTO].[Importe]",
TDinamica_P!$A$5,
"[BASE_CONVE_PPTO].[Periodo]",
"[BASE_CONVE_PPTO].[Periodo].&amp;[" &amp; TEXT(BA$6,"yyyymm")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B72" s="8">
        <f>IFERROR(
GETPIVOTDATA(
"[BASE_CONVE_PPTO].[Importe]",
TDinamica_P!$A$5,
"[BASE_CONVE_PPTO].[Periodo]",
"[BASE_CONVE_PPTO].[Periodo].&amp;[" &amp; TEXT(BB$6,"yyyymm")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C72" s="8">
        <f>IFERROR(
GETPIVOTDATA(
"[BASE_CONVE_PPTO].[Importe]",
TDinamica_P!$A$5,
"[BASE_CONVE_PPTO].[Periodo]",
"[BASE_CONVE_PPTO].[Periodo].&amp;[" &amp; TEXT(BC$6,"yyyymm")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D72" s="8">
        <f>IFERROR(
GETPIVOTDATA(
"[BASE_CONVE_PPTO].[Importe]",
TDinamica_P!$A$5,
"[BASE_CONVE_PPTO].[Periodo]",
"[BASE_CONVE_PPTO].[Periodo].&amp;[" &amp; TEXT(BD$6,"yyyymm")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E72" s="8">
        <f>IFERROR(
GETPIVOTDATA(
"[BASE_CONVE_PPTO].[Importe]",
TDinamica_P!$A$5,
"[BASE_CONVE_PPTO].[Periodo]",
"[BASE_CONVE_PPTO].[Periodo].&amp;[" &amp; TEXT(BE$6,"yyyymm")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F72" s="8">
        <f>IFERROR(
GETPIVOTDATA(
"[BASE_CONVE_PPTO].[Importe]",
TDinamica_P!$A$5,
"[BASE_CONVE_PPTO].[Periodo]",
"[BASE_CONVE_PPTO].[Periodo].&amp;[" &amp; TEXT(BF$6,"yyyymm")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G72" s="8">
        <f>IFERROR(
GETPIVOTDATA(
"[BASE_CONVE_PPTO].[Importe]",
TDinamica_P!$A$5,
"[BASE_CONVE_PPTO].[Periodo]",
"[BASE_CONVE_PPTO].[Periodo].&amp;[" &amp; TEXT(BG$6,"yyyymm")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H72" s="8">
        <f>IFERROR(
GETPIVOTDATA(
"[BASE_CONVE_PPTO].[Importe]",
TDinamica_P!$A$5,
"[BASE_CONVE_PPTO].[Periodo]",
"[BASE_CONVE_PPTO].[Periodo].&amp;[" &amp; TEXT(BH$6,"yyyymm")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I72" s="8">
        <f>IFERROR(
GETPIVOTDATA(
"[BASE_CONVE_PPTO].[Importe]",
TDinamica_P!$A$5,
"[BASE_CONVE_PPTO].[Periodo]",
"[BASE_CONVE_PPTO].[Periodo].&amp;[" &amp; TEXT(BI$6,"yyyymm")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J72" s="8">
        <f>IFERROR(
GETPIVOTDATA(
"[BASE_CONVE_PPTO].[Importe]",
TDinamica_P!$A$5,
"[BASE_CONVE_PPTO].[Periodo]",
"[BASE_CONVE_PPTO].[Periodo].&amp;[" &amp; TEXT(BJ$6,"yyyymm")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K72" s="8">
        <f>IFERROR(
GETPIVOTDATA(
"[BASE_CONVE_PPTO].[Importe]",
TDinamica_P!$A$5,
"[BASE_CONVE_PPTO].[Periodo]",
"[BASE_CONVE_PPTO].[Periodo].&amp;[" &amp; TEXT(BK$6,"yyyymm") &amp; "]",
"[BASE_CONVE_PPTO].[Metrica]",
"[BASE_CONVE_PPTO].[Metrica].&amp;[" &amp; $A72 &amp; "]",
"[BASE_CONVE_PPTO].[SEGMENTO_DESCRIP]",
"[BASE_CONVE_PPTO].[SEGMENTO_DESCRIP].&amp;[" &amp; $C$6 &amp; "]",
"[BASE_CONVE_PPTO].[SITUACION]",
"[BASE_CONVE_PPTO].[SITUACION].&amp;[" &amp; $C72 &amp; "]"),
0)</f>
        <v>0</v>
      </c>
      <c r="BO72" s="24">
        <f t="shared" si="49"/>
        <v>0</v>
      </c>
      <c r="BP72" s="24">
        <f t="shared" si="49"/>
        <v>0</v>
      </c>
      <c r="BQ72" s="24">
        <f t="shared" si="49"/>
        <v>0</v>
      </c>
      <c r="BR72" s="24">
        <f t="shared" si="49"/>
        <v>0</v>
      </c>
      <c r="BS72" s="24">
        <f t="shared" si="49"/>
        <v>0</v>
      </c>
      <c r="BT72" s="24">
        <f t="shared" si="49"/>
        <v>0</v>
      </c>
    </row>
    <row r="73" spans="1:72" outlineLevel="1" x14ac:dyDescent="0.25">
      <c r="A73" s="11" t="s">
        <v>71</v>
      </c>
      <c r="C73" s="2"/>
      <c r="D73" s="8">
        <f>IFERROR(
GETPIVOTDATA(
"[Base].[Importe]",
TDinamica_R!$A$5,
"[Calendario].[AñoMes]",
"[Calendario].[AñoMes].&amp;[" &amp; TEXT(D$6,"yyyymm")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E73" s="8">
        <f>IFERROR(
GETPIVOTDATA(
"[Base].[Importe]",
TDinamica_R!$A$5,
"[Calendario].[AñoMes]",
"[Calendario].[AñoMes].&amp;[" &amp; TEXT(E$6,"yyyymm")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F73" s="8">
        <f>IFERROR(
GETPIVOTDATA(
"[Base].[Importe]",
TDinamica_R!$A$5,
"[Calendario].[AñoMes]",
"[Calendario].[AñoMes].&amp;[" &amp; TEXT(F$6,"yyyymm")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G73" s="8">
        <f>IFERROR(
GETPIVOTDATA(
"[Base].[Importe]",
TDinamica_R!$A$5,
"[Calendario].[AñoMes]",
"[Calendario].[AñoMes].&amp;[" &amp; TEXT(G$6,"yyyymm")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H73" s="8">
        <f>IFERROR(
GETPIVOTDATA(
"[Base].[Importe]",
TDinamica_R!$A$5,
"[Calendario].[AñoMes]",
"[Calendario].[AñoMes].&amp;[" &amp; TEXT(H$6,"yyyymm")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I73" s="8">
        <f>IFERROR(
GETPIVOTDATA(
"[Base].[Importe]",
TDinamica_R!$A$5,
"[Calendario].[AñoMes]",
"[Calendario].[AñoMes].&amp;[" &amp; TEXT(I$6,"yyyymm")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J73" s="8">
        <f>IFERROR(
GETPIVOTDATA(
"[Base].[Importe]",
TDinamica_R!$A$5,
"[Calendario].[AñoMes]",
"[Calendario].[AñoMes].&amp;[" &amp; TEXT(J$6,"yyyymm")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K73" s="8">
        <f>IFERROR(
GETPIVOTDATA(
"[Base].[Importe]",
TDinamica_R!$A$5,
"[Calendario].[AñoMes]",
"[Calendario].[AñoMes].&amp;[" &amp; TEXT(K$6,"yyyymm")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L73" s="8">
        <f>IFERROR(
GETPIVOTDATA(
"[Base].[Importe]",
TDinamica_R!$A$5,
"[Calendario].[AñoMes]",
"[Calendario].[AñoMes].&amp;[" &amp; TEXT(L$6,"yyyymm")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M73" s="8">
        <f>IFERROR(
GETPIVOTDATA(
"[Base].[Importe]",
TDinamica_R!$A$5,
"[Calendario].[AñoMes]",
"[Calendario].[AñoMes].&amp;[" &amp; TEXT(M$6,"yyyymm")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N73" s="8">
        <f>IFERROR(
GETPIVOTDATA(
"[Base].[Importe]",
TDinamica_R!$A$5,
"[Calendario].[AñoMes]",
"[Calendario].[AñoMes].&amp;[" &amp; TEXT(N$6,"yyyymm")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O73" s="8">
        <f>IFERROR(
GETPIVOTDATA(
"[Base].[Importe]",
TDinamica_R!$A$5,
"[Calendario].[AñoMes]",
"[Calendario].[AñoMes].&amp;[" &amp; TEXT(O$6,"yyyymm")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P73" s="8">
        <f>IFERROR(
GETPIVOTDATA(
"[Base].[Importe]",
TDinamica_R!$A$5,
"[Calendario].[AñoMes]",
"[Calendario].[AñoMes].&amp;[" &amp; TEXT(P$6,"yyyymm")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Q73" s="8">
        <f>IFERROR(
GETPIVOTDATA(
"[Base].[Importe]",
TDinamica_R!$A$5,
"[Calendario].[AñoMes]",
"[Calendario].[AñoMes].&amp;[" &amp; TEXT(Q$6,"yyyymm")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R73" s="8">
        <f>IFERROR(
GETPIVOTDATA(
"[Base].[Importe]",
TDinamica_R!$A$5,
"[Calendario].[AñoMes]",
"[Calendario].[AñoMes].&amp;[" &amp; TEXT(R$6,"yyyymm")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S73" s="8">
        <f>IFERROR(
GETPIVOTDATA(
"[Base].[Importe]",
TDinamica_R!$A$5,
"[Calendario].[AñoMes]",
"[Calendario].[AñoMes].&amp;[" &amp; TEXT(S$6,"yyyymm")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T73" s="8">
        <f>IFERROR(
GETPIVOTDATA(
"[Base].[Importe]",
TDinamica_R!$A$5,
"[Calendario].[AñoMes]",
"[Calendario].[AñoMes].&amp;[" &amp; TEXT(T$6,"yyyymm")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U73" s="8">
        <f>IFERROR(
GETPIVOTDATA(
"[Base].[Importe]",
TDinamica_R!$A$5,
"[Calendario].[AñoMes]",
"[Calendario].[AñoMes].&amp;[" &amp; TEXT(U$6,"yyyymm")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V73" s="8">
        <f>IFERROR(
GETPIVOTDATA(
"[Base].[Importe]",
TDinamica_R!$A$5,
"[Calendario].[AñoMes]",
"[Calendario].[AñoMes].&amp;[" &amp; TEXT(V$6,"yyyymm")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W73" s="8">
        <f>IFERROR(
GETPIVOTDATA(
"[Base].[Importe]",
TDinamica_R!$A$5,
"[Calendario].[AñoMes]",
"[Calendario].[AñoMes].&amp;[" &amp; TEXT(W$6,"yyyymm")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X73" s="8">
        <f>IFERROR(
GETPIVOTDATA(
"[Base].[Importe]",
TDinamica_R!$A$5,
"[Calendario].[AñoMes]",
"[Calendario].[AñoMes].&amp;[" &amp; TEXT(X$6,"yyyymm")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Y73" s="8">
        <f>IFERROR(
GETPIVOTDATA(
"[Base].[Importe]",
TDinamica_R!$A$5,
"[Calendario].[AñoMes]",
"[Calendario].[AñoMes].&amp;[" &amp; TEXT(Y$6,"yyyymm")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Z73" s="8">
        <f>IFERROR(
GETPIVOTDATA(
"[Base].[Importe]",
TDinamica_R!$A$5,
"[Calendario].[AñoMes]",
"[Calendario].[AñoMes].&amp;[" &amp; TEXT(Z$6,"yyyymm")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A73" s="8">
        <f>IFERROR(
GETPIVOTDATA(
"[Base].[Importe]",
TDinamica_R!$A$5,
"[Calendario].[AñoMes]",
"[Calendario].[AñoMes].&amp;[" &amp; TEXT(AA$6,"yyyymm")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B73" s="8">
        <f>IFERROR(
GETPIVOTDATA(
"[Base].[Importe]",
TDinamica_R!$A$5,
"[Calendario].[AñoMes]",
"[Calendario].[AñoMes].&amp;[" &amp; TEXT(AB$6,"yyyymm")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C73" s="8">
        <f>IFERROR(
GETPIVOTDATA(
"[Base].[Importe]",
TDinamica_R!$A$5,
"[Calendario].[AñoMes]",
"[Calendario].[AñoMes].&amp;[" &amp; TEXT(AC$6,"yyyymm")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D73" s="8">
        <f>IFERROR(
GETPIVOTDATA(
"[Base].[Importe]",
TDinamica_R!$A$5,
"[Calendario].[AñoMes]",
"[Calendario].[AñoMes].&amp;[" &amp; TEXT(AD$6,"yyyymm")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E73" s="8">
        <f>IFERROR(
GETPIVOTDATA(
"[Base].[Importe]",
TDinamica_R!$A$5,
"[Calendario].[AñoMes]",
"[Calendario].[AñoMes].&amp;[" &amp; TEXT(AE$6,"yyyymm")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F73" s="8">
        <f>IFERROR(
GETPIVOTDATA(
"[Base].[Importe]",
TDinamica_R!$A$5,
"[Calendario].[AñoMes]",
"[Calendario].[AñoMes].&amp;[" &amp; TEXT(AF$6,"yyyymm")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G73" s="8">
        <f>IFERROR(
GETPIVOTDATA(
"[Base].[Importe]",
TDinamica_R!$A$5,
"[Calendario].[AñoMes]",
"[Calendario].[AñoMes].&amp;[" &amp; TEXT(AG$6,"yyyymm")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H73" s="8">
        <f>IFERROR(
GETPIVOTDATA(
"[Base].[Importe]",
TDinamica_R!$A$5,
"[Calendario].[AñoMes]",
"[Calendario].[AñoMes].&amp;[" &amp; TEXT(AH$6,"yyyymm")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I73" s="8">
        <f>IFERROR(
GETPIVOTDATA(
"[Base].[Importe]",
TDinamica_R!$A$5,
"[Calendario].[AñoMes]",
"[Calendario].[AñoMes].&amp;[" &amp; TEXT(AI$6,"yyyymm")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J73" s="8">
        <f>IFERROR(
GETPIVOTDATA(
"[Base].[Importe]",
TDinamica_R!$A$5,
"[Calendario].[AñoMes]",
"[Calendario].[AñoMes].&amp;[" &amp; TEXT(AJ$6,"yyyymm")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K73" s="8">
        <f>IFERROR(
GETPIVOTDATA(
"[Base].[Importe]",
TDinamica_R!$A$5,
"[Calendario].[AñoMes]",
"[Calendario].[AñoMes].&amp;[" &amp; TEXT(AK$6,"yyyymm")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L73" s="8">
        <f>IFERROR(
GETPIVOTDATA(
"[Base].[Importe]",
TDinamica_R!$A$5,
"[Calendario].[AñoMes]",
"[Calendario].[AñoMes].&amp;[" &amp; TEXT(AL$6,"yyyymm")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M73" s="8">
        <f>IFERROR(
GETPIVOTDATA(
"[Base].[Importe]",
TDinamica_R!$A$5,
"[Calendario].[AñoMes]",
"[Calendario].[AñoMes].&amp;[" &amp; TEXT(AM$6,"yyyymm")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N73" s="8">
        <f>IFERROR(
GETPIVOTDATA(
"[Base].[Importe]",
TDinamica_R!$A$5,
"[Calendario].[AñoMes]",
"[Calendario].[AñoMes].&amp;[" &amp; TEXT(AN$6,"yyyymm")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O73" s="8">
        <f>IFERROR(
GETPIVOTDATA(
"[Base].[Importe]",
TDinamica_R!$A$5,
"[Calendario].[AñoMes]",
"[Calendario].[AñoMes].&amp;[" &amp; TEXT(AO$6,"yyyymm")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P73" s="8">
        <f>IFERROR(
GETPIVOTDATA(
"[Base].[Importe]",
TDinamica_R!$A$5,
"[Calendario].[AñoMes]",
"[Calendario].[AñoMes].&amp;[" &amp; TEXT(AP$6,"yyyymm")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Q73" s="8">
        <f>IFERROR(
GETPIVOTDATA(
"[Base].[Importe]",
TDinamica_R!$A$5,
"[Calendario].[AñoMes]",
"[Calendario].[AñoMes].&amp;[" &amp; TEXT(AQ$6,"yyyymm")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R73" s="8">
        <f>IFERROR(
GETPIVOTDATA(
"[Base].[Importe]",
TDinamica_R!$A$5,
"[Calendario].[AñoMes]",
"[Calendario].[AñoMes].&amp;[" &amp; TEXT(AR$6,"yyyymm")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S73" s="8">
        <f>IFERROR(
GETPIVOTDATA(
"[Base].[Importe]",
TDinamica_R!$A$5,
"[Calendario].[AñoMes]",
"[Calendario].[AñoMes].&amp;[" &amp; TEXT(AS$6,"yyyymm")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T73" s="8">
        <f>IFERROR(
GETPIVOTDATA(
"[Base].[Importe]",
TDinamica_R!$A$5,
"[Calendario].[AñoMes]",
"[Calendario].[AñoMes].&amp;[" &amp; TEXT(AT$6,"yyyymm")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U73" s="8">
        <f>IFERROR(
GETPIVOTDATA(
"[Base].[Importe]",
TDinamica_R!$A$5,
"[Calendario].[AñoMes]",
"[Calendario].[AñoMes].&amp;[" &amp; TEXT(AU$6,"yyyymm")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V73" s="8">
        <f>IFERROR(
GETPIVOTDATA(
"[Base].[Importe]",
TDinamica_R!$A$5,
"[Calendario].[AñoMes]",
"[Calendario].[AñoMes].&amp;[" &amp; TEXT(AV$6,"yyyymm")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W73" s="8">
        <f>IFERROR(
GETPIVOTDATA(
"[Base].[Importe]",
TDinamica_R!$A$5,
"[Calendario].[AñoMes]",
"[Calendario].[AñoMes].&amp;[" &amp; TEXT(AW$6,"yyyymm")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X73" s="8">
        <f>IFERROR(
GETPIVOTDATA(
"[Base].[Importe]",
TDinamica_R!$A$5,
"[Calendario].[AñoMes]",
"[Calendario].[AñoMes].&amp;[" &amp; TEXT(AX$6,"yyyymm")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Y73" s="8">
        <f>IFERROR(
GETPIVOTDATA(
"[Base].[Importe]",
TDinamica_R!$A$5,
"[Calendario].[AñoMes]",
"[Calendario].[AñoMes].&amp;[" &amp; TEXT(AY$6,"yyyymm")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Z73" s="8">
        <f>IFERROR(
GETPIVOTDATA(
"[BASE_CONVE_PPTO].[Importe]",
TDinamica_P!$A$5,
"[BASE_CONVE_PPTO].[Periodo]",
"[BASE_CONVE_PPTO].[Periodo].&amp;[" &amp; TEXT(AZ$6,"yyyymm")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A73" s="8">
        <f>IFERROR(
GETPIVOTDATA(
"[BASE_CONVE_PPTO].[Importe]",
TDinamica_P!$A$5,
"[BASE_CONVE_PPTO].[Periodo]",
"[BASE_CONVE_PPTO].[Periodo].&amp;[" &amp; TEXT(BA$6,"yyyymm")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B73" s="8">
        <f>IFERROR(
GETPIVOTDATA(
"[BASE_CONVE_PPTO].[Importe]",
TDinamica_P!$A$5,
"[BASE_CONVE_PPTO].[Periodo]",
"[BASE_CONVE_PPTO].[Periodo].&amp;[" &amp; TEXT(BB$6,"yyyymm")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C73" s="8">
        <f>IFERROR(
GETPIVOTDATA(
"[BASE_CONVE_PPTO].[Importe]",
TDinamica_P!$A$5,
"[BASE_CONVE_PPTO].[Periodo]",
"[BASE_CONVE_PPTO].[Periodo].&amp;[" &amp; TEXT(BC$6,"yyyymm")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D73" s="8">
        <f>IFERROR(
GETPIVOTDATA(
"[BASE_CONVE_PPTO].[Importe]",
TDinamica_P!$A$5,
"[BASE_CONVE_PPTO].[Periodo]",
"[BASE_CONVE_PPTO].[Periodo].&amp;[" &amp; TEXT(BD$6,"yyyymm")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E73" s="8">
        <f>IFERROR(
GETPIVOTDATA(
"[BASE_CONVE_PPTO].[Importe]",
TDinamica_P!$A$5,
"[BASE_CONVE_PPTO].[Periodo]",
"[BASE_CONVE_PPTO].[Periodo].&amp;[" &amp; TEXT(BE$6,"yyyymm")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F73" s="8">
        <f>IFERROR(
GETPIVOTDATA(
"[BASE_CONVE_PPTO].[Importe]",
TDinamica_P!$A$5,
"[BASE_CONVE_PPTO].[Periodo]",
"[BASE_CONVE_PPTO].[Periodo].&amp;[" &amp; TEXT(BF$6,"yyyymm")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G73" s="8">
        <f>IFERROR(
GETPIVOTDATA(
"[BASE_CONVE_PPTO].[Importe]",
TDinamica_P!$A$5,
"[BASE_CONVE_PPTO].[Periodo]",
"[BASE_CONVE_PPTO].[Periodo].&amp;[" &amp; TEXT(BG$6,"yyyymm")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H73" s="8">
        <f>IFERROR(
GETPIVOTDATA(
"[BASE_CONVE_PPTO].[Importe]",
TDinamica_P!$A$5,
"[BASE_CONVE_PPTO].[Periodo]",
"[BASE_CONVE_PPTO].[Periodo].&amp;[" &amp; TEXT(BH$6,"yyyymm")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I73" s="8">
        <f>IFERROR(
GETPIVOTDATA(
"[BASE_CONVE_PPTO].[Importe]",
TDinamica_P!$A$5,
"[BASE_CONVE_PPTO].[Periodo]",
"[BASE_CONVE_PPTO].[Periodo].&amp;[" &amp; TEXT(BI$6,"yyyymm")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J73" s="8">
        <f>IFERROR(
GETPIVOTDATA(
"[BASE_CONVE_PPTO].[Importe]",
TDinamica_P!$A$5,
"[BASE_CONVE_PPTO].[Periodo]",
"[BASE_CONVE_PPTO].[Periodo].&amp;[" &amp; TEXT(BJ$6,"yyyymm")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K73" s="8">
        <f>IFERROR(
GETPIVOTDATA(
"[BASE_CONVE_PPTO].[Importe]",
TDinamica_P!$A$5,
"[BASE_CONVE_PPTO].[Periodo]",
"[BASE_CONVE_PPTO].[Periodo].&amp;[" &amp; TEXT(BK$6,"yyyymm") &amp; "]",
"[BASE_CONVE_PPTO].[Metrica]",
"[BASE_CONVE_PPTO].[Metrica].&amp;[" &amp; $A73 &amp; "]",
"[BASE_CONVE_PPTO].[SEGMENTO_DESCRIP]",
"[BASE_CONVE_PPTO].[SEGMENTO_DESCRIP].&amp;[" &amp; $C$6 &amp; "]",
"[BASE_CONVE_PPTO].[SITUACION]",
"[BASE_CONVE_PPTO].[SITUACION].&amp;[" &amp; $C73 &amp; "]"),
0)</f>
        <v>0</v>
      </c>
      <c r="BO73" s="24">
        <f t="shared" ref="BO73:BT82" si="50">SUMIFS($D73:$BM73,$D$6:$BM$6,"&gt;="&amp;BO$2,$D$6:$BM$6,"&lt;="&amp;BO$6,$D$5:$BM$5,BO$5)</f>
        <v>0</v>
      </c>
      <c r="BP73" s="24">
        <f t="shared" si="50"/>
        <v>0</v>
      </c>
      <c r="BQ73" s="24">
        <f t="shared" si="50"/>
        <v>0</v>
      </c>
      <c r="BR73" s="24">
        <f t="shared" si="50"/>
        <v>0</v>
      </c>
      <c r="BS73" s="24">
        <f t="shared" si="50"/>
        <v>0</v>
      </c>
      <c r="BT73" s="24">
        <f t="shared" si="50"/>
        <v>0</v>
      </c>
    </row>
    <row r="74" spans="1:72" outlineLevel="1" x14ac:dyDescent="0.25">
      <c r="A74" s="11" t="s">
        <v>71</v>
      </c>
      <c r="C74" s="2"/>
      <c r="D74" s="8">
        <f>IFERROR(
GETPIVOTDATA(
"[Base].[Importe]",
TDinamica_R!$A$5,
"[Calendario].[AñoMes]",
"[Calendario].[AñoMes].&amp;[" &amp; TEXT(D$6,"yyyymm")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E74" s="8">
        <f>IFERROR(
GETPIVOTDATA(
"[Base].[Importe]",
TDinamica_R!$A$5,
"[Calendario].[AñoMes]",
"[Calendario].[AñoMes].&amp;[" &amp; TEXT(E$6,"yyyymm")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F74" s="8">
        <f>IFERROR(
GETPIVOTDATA(
"[Base].[Importe]",
TDinamica_R!$A$5,
"[Calendario].[AñoMes]",
"[Calendario].[AñoMes].&amp;[" &amp; TEXT(F$6,"yyyymm")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G74" s="8">
        <f>IFERROR(
GETPIVOTDATA(
"[Base].[Importe]",
TDinamica_R!$A$5,
"[Calendario].[AñoMes]",
"[Calendario].[AñoMes].&amp;[" &amp; TEXT(G$6,"yyyymm")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H74" s="8">
        <f>IFERROR(
GETPIVOTDATA(
"[Base].[Importe]",
TDinamica_R!$A$5,
"[Calendario].[AñoMes]",
"[Calendario].[AñoMes].&amp;[" &amp; TEXT(H$6,"yyyymm")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I74" s="8">
        <f>IFERROR(
GETPIVOTDATA(
"[Base].[Importe]",
TDinamica_R!$A$5,
"[Calendario].[AñoMes]",
"[Calendario].[AñoMes].&amp;[" &amp; TEXT(I$6,"yyyymm")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J74" s="8">
        <f>IFERROR(
GETPIVOTDATA(
"[Base].[Importe]",
TDinamica_R!$A$5,
"[Calendario].[AñoMes]",
"[Calendario].[AñoMes].&amp;[" &amp; TEXT(J$6,"yyyymm")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K74" s="8">
        <f>IFERROR(
GETPIVOTDATA(
"[Base].[Importe]",
TDinamica_R!$A$5,
"[Calendario].[AñoMes]",
"[Calendario].[AñoMes].&amp;[" &amp; TEXT(K$6,"yyyymm")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L74" s="8">
        <f>IFERROR(
GETPIVOTDATA(
"[Base].[Importe]",
TDinamica_R!$A$5,
"[Calendario].[AñoMes]",
"[Calendario].[AñoMes].&amp;[" &amp; TEXT(L$6,"yyyymm")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M74" s="8">
        <f>IFERROR(
GETPIVOTDATA(
"[Base].[Importe]",
TDinamica_R!$A$5,
"[Calendario].[AñoMes]",
"[Calendario].[AñoMes].&amp;[" &amp; TEXT(M$6,"yyyymm")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N74" s="8">
        <f>IFERROR(
GETPIVOTDATA(
"[Base].[Importe]",
TDinamica_R!$A$5,
"[Calendario].[AñoMes]",
"[Calendario].[AñoMes].&amp;[" &amp; TEXT(N$6,"yyyymm")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O74" s="8">
        <f>IFERROR(
GETPIVOTDATA(
"[Base].[Importe]",
TDinamica_R!$A$5,
"[Calendario].[AñoMes]",
"[Calendario].[AñoMes].&amp;[" &amp; TEXT(O$6,"yyyymm")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P74" s="8">
        <f>IFERROR(
GETPIVOTDATA(
"[Base].[Importe]",
TDinamica_R!$A$5,
"[Calendario].[AñoMes]",
"[Calendario].[AñoMes].&amp;[" &amp; TEXT(P$6,"yyyymm")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Q74" s="8">
        <f>IFERROR(
GETPIVOTDATA(
"[Base].[Importe]",
TDinamica_R!$A$5,
"[Calendario].[AñoMes]",
"[Calendario].[AñoMes].&amp;[" &amp; TEXT(Q$6,"yyyymm")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R74" s="8">
        <f>IFERROR(
GETPIVOTDATA(
"[Base].[Importe]",
TDinamica_R!$A$5,
"[Calendario].[AñoMes]",
"[Calendario].[AñoMes].&amp;[" &amp; TEXT(R$6,"yyyymm")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S74" s="8">
        <f>IFERROR(
GETPIVOTDATA(
"[Base].[Importe]",
TDinamica_R!$A$5,
"[Calendario].[AñoMes]",
"[Calendario].[AñoMes].&amp;[" &amp; TEXT(S$6,"yyyymm")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T74" s="8">
        <f>IFERROR(
GETPIVOTDATA(
"[Base].[Importe]",
TDinamica_R!$A$5,
"[Calendario].[AñoMes]",
"[Calendario].[AñoMes].&amp;[" &amp; TEXT(T$6,"yyyymm")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U74" s="8">
        <f>IFERROR(
GETPIVOTDATA(
"[Base].[Importe]",
TDinamica_R!$A$5,
"[Calendario].[AñoMes]",
"[Calendario].[AñoMes].&amp;[" &amp; TEXT(U$6,"yyyymm")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V74" s="8">
        <f>IFERROR(
GETPIVOTDATA(
"[Base].[Importe]",
TDinamica_R!$A$5,
"[Calendario].[AñoMes]",
"[Calendario].[AñoMes].&amp;[" &amp; TEXT(V$6,"yyyymm")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W74" s="8">
        <f>IFERROR(
GETPIVOTDATA(
"[Base].[Importe]",
TDinamica_R!$A$5,
"[Calendario].[AñoMes]",
"[Calendario].[AñoMes].&amp;[" &amp; TEXT(W$6,"yyyymm")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X74" s="8">
        <f>IFERROR(
GETPIVOTDATA(
"[Base].[Importe]",
TDinamica_R!$A$5,
"[Calendario].[AñoMes]",
"[Calendario].[AñoMes].&amp;[" &amp; TEXT(X$6,"yyyymm")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Y74" s="8">
        <f>IFERROR(
GETPIVOTDATA(
"[Base].[Importe]",
TDinamica_R!$A$5,
"[Calendario].[AñoMes]",
"[Calendario].[AñoMes].&amp;[" &amp; TEXT(Y$6,"yyyymm")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Z74" s="8">
        <f>IFERROR(
GETPIVOTDATA(
"[Base].[Importe]",
TDinamica_R!$A$5,
"[Calendario].[AñoMes]",
"[Calendario].[AñoMes].&amp;[" &amp; TEXT(Z$6,"yyyymm")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A74" s="8">
        <f>IFERROR(
GETPIVOTDATA(
"[Base].[Importe]",
TDinamica_R!$A$5,
"[Calendario].[AñoMes]",
"[Calendario].[AñoMes].&amp;[" &amp; TEXT(AA$6,"yyyymm")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B74" s="8">
        <f>IFERROR(
GETPIVOTDATA(
"[Base].[Importe]",
TDinamica_R!$A$5,
"[Calendario].[AñoMes]",
"[Calendario].[AñoMes].&amp;[" &amp; TEXT(AB$6,"yyyymm")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C74" s="8">
        <f>IFERROR(
GETPIVOTDATA(
"[Base].[Importe]",
TDinamica_R!$A$5,
"[Calendario].[AñoMes]",
"[Calendario].[AñoMes].&amp;[" &amp; TEXT(AC$6,"yyyymm")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D74" s="8">
        <f>IFERROR(
GETPIVOTDATA(
"[Base].[Importe]",
TDinamica_R!$A$5,
"[Calendario].[AñoMes]",
"[Calendario].[AñoMes].&amp;[" &amp; TEXT(AD$6,"yyyymm")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E74" s="8">
        <f>IFERROR(
GETPIVOTDATA(
"[Base].[Importe]",
TDinamica_R!$A$5,
"[Calendario].[AñoMes]",
"[Calendario].[AñoMes].&amp;[" &amp; TEXT(AE$6,"yyyymm")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F74" s="8">
        <f>IFERROR(
GETPIVOTDATA(
"[Base].[Importe]",
TDinamica_R!$A$5,
"[Calendario].[AñoMes]",
"[Calendario].[AñoMes].&amp;[" &amp; TEXT(AF$6,"yyyymm")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G74" s="8">
        <f>IFERROR(
GETPIVOTDATA(
"[Base].[Importe]",
TDinamica_R!$A$5,
"[Calendario].[AñoMes]",
"[Calendario].[AñoMes].&amp;[" &amp; TEXT(AG$6,"yyyymm")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H74" s="8">
        <f>IFERROR(
GETPIVOTDATA(
"[Base].[Importe]",
TDinamica_R!$A$5,
"[Calendario].[AñoMes]",
"[Calendario].[AñoMes].&amp;[" &amp; TEXT(AH$6,"yyyymm")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I74" s="8">
        <f>IFERROR(
GETPIVOTDATA(
"[Base].[Importe]",
TDinamica_R!$A$5,
"[Calendario].[AñoMes]",
"[Calendario].[AñoMes].&amp;[" &amp; TEXT(AI$6,"yyyymm")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J74" s="8">
        <f>IFERROR(
GETPIVOTDATA(
"[Base].[Importe]",
TDinamica_R!$A$5,
"[Calendario].[AñoMes]",
"[Calendario].[AñoMes].&amp;[" &amp; TEXT(AJ$6,"yyyymm")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K74" s="8">
        <f>IFERROR(
GETPIVOTDATA(
"[Base].[Importe]",
TDinamica_R!$A$5,
"[Calendario].[AñoMes]",
"[Calendario].[AñoMes].&amp;[" &amp; TEXT(AK$6,"yyyymm")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L74" s="8">
        <f>IFERROR(
GETPIVOTDATA(
"[Base].[Importe]",
TDinamica_R!$A$5,
"[Calendario].[AñoMes]",
"[Calendario].[AñoMes].&amp;[" &amp; TEXT(AL$6,"yyyymm")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M74" s="8">
        <f>IFERROR(
GETPIVOTDATA(
"[Base].[Importe]",
TDinamica_R!$A$5,
"[Calendario].[AñoMes]",
"[Calendario].[AñoMes].&amp;[" &amp; TEXT(AM$6,"yyyymm")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N74" s="8">
        <f>IFERROR(
GETPIVOTDATA(
"[Base].[Importe]",
TDinamica_R!$A$5,
"[Calendario].[AñoMes]",
"[Calendario].[AñoMes].&amp;[" &amp; TEXT(AN$6,"yyyymm")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O74" s="8">
        <f>IFERROR(
GETPIVOTDATA(
"[Base].[Importe]",
TDinamica_R!$A$5,
"[Calendario].[AñoMes]",
"[Calendario].[AñoMes].&amp;[" &amp; TEXT(AO$6,"yyyymm")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P74" s="8">
        <f>IFERROR(
GETPIVOTDATA(
"[Base].[Importe]",
TDinamica_R!$A$5,
"[Calendario].[AñoMes]",
"[Calendario].[AñoMes].&amp;[" &amp; TEXT(AP$6,"yyyymm")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Q74" s="8">
        <f>IFERROR(
GETPIVOTDATA(
"[Base].[Importe]",
TDinamica_R!$A$5,
"[Calendario].[AñoMes]",
"[Calendario].[AñoMes].&amp;[" &amp; TEXT(AQ$6,"yyyymm")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R74" s="8">
        <f>IFERROR(
GETPIVOTDATA(
"[Base].[Importe]",
TDinamica_R!$A$5,
"[Calendario].[AñoMes]",
"[Calendario].[AñoMes].&amp;[" &amp; TEXT(AR$6,"yyyymm")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S74" s="8">
        <f>IFERROR(
GETPIVOTDATA(
"[Base].[Importe]",
TDinamica_R!$A$5,
"[Calendario].[AñoMes]",
"[Calendario].[AñoMes].&amp;[" &amp; TEXT(AS$6,"yyyymm")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T74" s="8">
        <f>IFERROR(
GETPIVOTDATA(
"[Base].[Importe]",
TDinamica_R!$A$5,
"[Calendario].[AñoMes]",
"[Calendario].[AñoMes].&amp;[" &amp; TEXT(AT$6,"yyyymm")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U74" s="8">
        <f>IFERROR(
GETPIVOTDATA(
"[Base].[Importe]",
TDinamica_R!$A$5,
"[Calendario].[AñoMes]",
"[Calendario].[AñoMes].&amp;[" &amp; TEXT(AU$6,"yyyymm")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V74" s="8">
        <f>IFERROR(
GETPIVOTDATA(
"[Base].[Importe]",
TDinamica_R!$A$5,
"[Calendario].[AñoMes]",
"[Calendario].[AñoMes].&amp;[" &amp; TEXT(AV$6,"yyyymm")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W74" s="8">
        <f>IFERROR(
GETPIVOTDATA(
"[Base].[Importe]",
TDinamica_R!$A$5,
"[Calendario].[AñoMes]",
"[Calendario].[AñoMes].&amp;[" &amp; TEXT(AW$6,"yyyymm")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X74" s="8">
        <f>IFERROR(
GETPIVOTDATA(
"[Base].[Importe]",
TDinamica_R!$A$5,
"[Calendario].[AñoMes]",
"[Calendario].[AñoMes].&amp;[" &amp; TEXT(AX$6,"yyyymm")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Y74" s="8">
        <f>IFERROR(
GETPIVOTDATA(
"[Base].[Importe]",
TDinamica_R!$A$5,
"[Calendario].[AñoMes]",
"[Calendario].[AñoMes].&amp;[" &amp; TEXT(AY$6,"yyyymm")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Z74" s="8">
        <f>IFERROR(
GETPIVOTDATA(
"[BASE_CONVE_PPTO].[Importe]",
TDinamica_P!$A$5,
"[BASE_CONVE_PPTO].[Periodo]",
"[BASE_CONVE_PPTO].[Periodo].&amp;[" &amp; TEXT(AZ$6,"yyyymm")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A74" s="8">
        <f>IFERROR(
GETPIVOTDATA(
"[BASE_CONVE_PPTO].[Importe]",
TDinamica_P!$A$5,
"[BASE_CONVE_PPTO].[Periodo]",
"[BASE_CONVE_PPTO].[Periodo].&amp;[" &amp; TEXT(BA$6,"yyyymm")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B74" s="8">
        <f>IFERROR(
GETPIVOTDATA(
"[BASE_CONVE_PPTO].[Importe]",
TDinamica_P!$A$5,
"[BASE_CONVE_PPTO].[Periodo]",
"[BASE_CONVE_PPTO].[Periodo].&amp;[" &amp; TEXT(BB$6,"yyyymm")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C74" s="8">
        <f>IFERROR(
GETPIVOTDATA(
"[BASE_CONVE_PPTO].[Importe]",
TDinamica_P!$A$5,
"[BASE_CONVE_PPTO].[Periodo]",
"[BASE_CONVE_PPTO].[Periodo].&amp;[" &amp; TEXT(BC$6,"yyyymm")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D74" s="8">
        <f>IFERROR(
GETPIVOTDATA(
"[BASE_CONVE_PPTO].[Importe]",
TDinamica_P!$A$5,
"[BASE_CONVE_PPTO].[Periodo]",
"[BASE_CONVE_PPTO].[Periodo].&amp;[" &amp; TEXT(BD$6,"yyyymm")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E74" s="8">
        <f>IFERROR(
GETPIVOTDATA(
"[BASE_CONVE_PPTO].[Importe]",
TDinamica_P!$A$5,
"[BASE_CONVE_PPTO].[Periodo]",
"[BASE_CONVE_PPTO].[Periodo].&amp;[" &amp; TEXT(BE$6,"yyyymm")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F74" s="8">
        <f>IFERROR(
GETPIVOTDATA(
"[BASE_CONVE_PPTO].[Importe]",
TDinamica_P!$A$5,
"[BASE_CONVE_PPTO].[Periodo]",
"[BASE_CONVE_PPTO].[Periodo].&amp;[" &amp; TEXT(BF$6,"yyyymm")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G74" s="8">
        <f>IFERROR(
GETPIVOTDATA(
"[BASE_CONVE_PPTO].[Importe]",
TDinamica_P!$A$5,
"[BASE_CONVE_PPTO].[Periodo]",
"[BASE_CONVE_PPTO].[Periodo].&amp;[" &amp; TEXT(BG$6,"yyyymm")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H74" s="8">
        <f>IFERROR(
GETPIVOTDATA(
"[BASE_CONVE_PPTO].[Importe]",
TDinamica_P!$A$5,
"[BASE_CONVE_PPTO].[Periodo]",
"[BASE_CONVE_PPTO].[Periodo].&amp;[" &amp; TEXT(BH$6,"yyyymm")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I74" s="8">
        <f>IFERROR(
GETPIVOTDATA(
"[BASE_CONVE_PPTO].[Importe]",
TDinamica_P!$A$5,
"[BASE_CONVE_PPTO].[Periodo]",
"[BASE_CONVE_PPTO].[Periodo].&amp;[" &amp; TEXT(BI$6,"yyyymm")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J74" s="8">
        <f>IFERROR(
GETPIVOTDATA(
"[BASE_CONVE_PPTO].[Importe]",
TDinamica_P!$A$5,
"[BASE_CONVE_PPTO].[Periodo]",
"[BASE_CONVE_PPTO].[Periodo].&amp;[" &amp; TEXT(BJ$6,"yyyymm")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K74" s="8">
        <f>IFERROR(
GETPIVOTDATA(
"[BASE_CONVE_PPTO].[Importe]",
TDinamica_P!$A$5,
"[BASE_CONVE_PPTO].[Periodo]",
"[BASE_CONVE_PPTO].[Periodo].&amp;[" &amp; TEXT(BK$6,"yyyymm") &amp; "]",
"[BASE_CONVE_PPTO].[Metrica]",
"[BASE_CONVE_PPTO].[Metrica].&amp;[" &amp; $A74 &amp; "]",
"[BASE_CONVE_PPTO].[SEGMENTO_DESCRIP]",
"[BASE_CONVE_PPTO].[SEGMENTO_DESCRIP].&amp;[" &amp; $C$6 &amp; "]",
"[BASE_CONVE_PPTO].[SITUACION]",
"[BASE_CONVE_PPTO].[SITUACION].&amp;[" &amp; $C74 &amp; "]"),
0)</f>
        <v>0</v>
      </c>
      <c r="BO74" s="24">
        <f t="shared" si="50"/>
        <v>0</v>
      </c>
      <c r="BP74" s="24">
        <f t="shared" si="50"/>
        <v>0</v>
      </c>
      <c r="BQ74" s="24">
        <f t="shared" si="50"/>
        <v>0</v>
      </c>
      <c r="BR74" s="24">
        <f t="shared" si="50"/>
        <v>0</v>
      </c>
      <c r="BS74" s="24">
        <f t="shared" si="50"/>
        <v>0</v>
      </c>
      <c r="BT74" s="24">
        <f t="shared" si="50"/>
        <v>0</v>
      </c>
    </row>
    <row r="75" spans="1:72" outlineLevel="1" x14ac:dyDescent="0.25">
      <c r="A75" s="11" t="s">
        <v>71</v>
      </c>
      <c r="C75" s="2"/>
      <c r="D75" s="8">
        <f>IFERROR(
GETPIVOTDATA(
"[Base].[Importe]",
TDinamica_R!$A$5,
"[Calendario].[AñoMes]",
"[Calendario].[AñoMes].&amp;[" &amp; TEXT(D$6,"yyyymm")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E75" s="8">
        <f>IFERROR(
GETPIVOTDATA(
"[Base].[Importe]",
TDinamica_R!$A$5,
"[Calendario].[AñoMes]",
"[Calendario].[AñoMes].&amp;[" &amp; TEXT(E$6,"yyyymm")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F75" s="8">
        <f>IFERROR(
GETPIVOTDATA(
"[Base].[Importe]",
TDinamica_R!$A$5,
"[Calendario].[AñoMes]",
"[Calendario].[AñoMes].&amp;[" &amp; TEXT(F$6,"yyyymm")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G75" s="8">
        <f>IFERROR(
GETPIVOTDATA(
"[Base].[Importe]",
TDinamica_R!$A$5,
"[Calendario].[AñoMes]",
"[Calendario].[AñoMes].&amp;[" &amp; TEXT(G$6,"yyyymm")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H75" s="8">
        <f>IFERROR(
GETPIVOTDATA(
"[Base].[Importe]",
TDinamica_R!$A$5,
"[Calendario].[AñoMes]",
"[Calendario].[AñoMes].&amp;[" &amp; TEXT(H$6,"yyyymm")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I75" s="8">
        <f>IFERROR(
GETPIVOTDATA(
"[Base].[Importe]",
TDinamica_R!$A$5,
"[Calendario].[AñoMes]",
"[Calendario].[AñoMes].&amp;[" &amp; TEXT(I$6,"yyyymm")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J75" s="8">
        <f>IFERROR(
GETPIVOTDATA(
"[Base].[Importe]",
TDinamica_R!$A$5,
"[Calendario].[AñoMes]",
"[Calendario].[AñoMes].&amp;[" &amp; TEXT(J$6,"yyyymm")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K75" s="8">
        <f>IFERROR(
GETPIVOTDATA(
"[Base].[Importe]",
TDinamica_R!$A$5,
"[Calendario].[AñoMes]",
"[Calendario].[AñoMes].&amp;[" &amp; TEXT(K$6,"yyyymm")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L75" s="8">
        <f>IFERROR(
GETPIVOTDATA(
"[Base].[Importe]",
TDinamica_R!$A$5,
"[Calendario].[AñoMes]",
"[Calendario].[AñoMes].&amp;[" &amp; TEXT(L$6,"yyyymm")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M75" s="8">
        <f>IFERROR(
GETPIVOTDATA(
"[Base].[Importe]",
TDinamica_R!$A$5,
"[Calendario].[AñoMes]",
"[Calendario].[AñoMes].&amp;[" &amp; TEXT(M$6,"yyyymm")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N75" s="8">
        <f>IFERROR(
GETPIVOTDATA(
"[Base].[Importe]",
TDinamica_R!$A$5,
"[Calendario].[AñoMes]",
"[Calendario].[AñoMes].&amp;[" &amp; TEXT(N$6,"yyyymm")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O75" s="8">
        <f>IFERROR(
GETPIVOTDATA(
"[Base].[Importe]",
TDinamica_R!$A$5,
"[Calendario].[AñoMes]",
"[Calendario].[AñoMes].&amp;[" &amp; TEXT(O$6,"yyyymm")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P75" s="8">
        <f>IFERROR(
GETPIVOTDATA(
"[Base].[Importe]",
TDinamica_R!$A$5,
"[Calendario].[AñoMes]",
"[Calendario].[AñoMes].&amp;[" &amp; TEXT(P$6,"yyyymm")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Q75" s="8">
        <f>IFERROR(
GETPIVOTDATA(
"[Base].[Importe]",
TDinamica_R!$A$5,
"[Calendario].[AñoMes]",
"[Calendario].[AñoMes].&amp;[" &amp; TEXT(Q$6,"yyyymm")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R75" s="8">
        <f>IFERROR(
GETPIVOTDATA(
"[Base].[Importe]",
TDinamica_R!$A$5,
"[Calendario].[AñoMes]",
"[Calendario].[AñoMes].&amp;[" &amp; TEXT(R$6,"yyyymm")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S75" s="8">
        <f>IFERROR(
GETPIVOTDATA(
"[Base].[Importe]",
TDinamica_R!$A$5,
"[Calendario].[AñoMes]",
"[Calendario].[AñoMes].&amp;[" &amp; TEXT(S$6,"yyyymm")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T75" s="8">
        <f>IFERROR(
GETPIVOTDATA(
"[Base].[Importe]",
TDinamica_R!$A$5,
"[Calendario].[AñoMes]",
"[Calendario].[AñoMes].&amp;[" &amp; TEXT(T$6,"yyyymm")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U75" s="8">
        <f>IFERROR(
GETPIVOTDATA(
"[Base].[Importe]",
TDinamica_R!$A$5,
"[Calendario].[AñoMes]",
"[Calendario].[AñoMes].&amp;[" &amp; TEXT(U$6,"yyyymm")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V75" s="8">
        <f>IFERROR(
GETPIVOTDATA(
"[Base].[Importe]",
TDinamica_R!$A$5,
"[Calendario].[AñoMes]",
"[Calendario].[AñoMes].&amp;[" &amp; TEXT(V$6,"yyyymm")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W75" s="8">
        <f>IFERROR(
GETPIVOTDATA(
"[Base].[Importe]",
TDinamica_R!$A$5,
"[Calendario].[AñoMes]",
"[Calendario].[AñoMes].&amp;[" &amp; TEXT(W$6,"yyyymm")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X75" s="8">
        <f>IFERROR(
GETPIVOTDATA(
"[Base].[Importe]",
TDinamica_R!$A$5,
"[Calendario].[AñoMes]",
"[Calendario].[AñoMes].&amp;[" &amp; TEXT(X$6,"yyyymm")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Y75" s="8">
        <f>IFERROR(
GETPIVOTDATA(
"[Base].[Importe]",
TDinamica_R!$A$5,
"[Calendario].[AñoMes]",
"[Calendario].[AñoMes].&amp;[" &amp; TEXT(Y$6,"yyyymm")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Z75" s="8">
        <f>IFERROR(
GETPIVOTDATA(
"[Base].[Importe]",
TDinamica_R!$A$5,
"[Calendario].[AñoMes]",
"[Calendario].[AñoMes].&amp;[" &amp; TEXT(Z$6,"yyyymm")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A75" s="8">
        <f>IFERROR(
GETPIVOTDATA(
"[Base].[Importe]",
TDinamica_R!$A$5,
"[Calendario].[AñoMes]",
"[Calendario].[AñoMes].&amp;[" &amp; TEXT(AA$6,"yyyymm")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B75" s="8">
        <f>IFERROR(
GETPIVOTDATA(
"[Base].[Importe]",
TDinamica_R!$A$5,
"[Calendario].[AñoMes]",
"[Calendario].[AñoMes].&amp;[" &amp; TEXT(AB$6,"yyyymm")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C75" s="8">
        <f>IFERROR(
GETPIVOTDATA(
"[Base].[Importe]",
TDinamica_R!$A$5,
"[Calendario].[AñoMes]",
"[Calendario].[AñoMes].&amp;[" &amp; TEXT(AC$6,"yyyymm")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D75" s="8">
        <f>IFERROR(
GETPIVOTDATA(
"[Base].[Importe]",
TDinamica_R!$A$5,
"[Calendario].[AñoMes]",
"[Calendario].[AñoMes].&amp;[" &amp; TEXT(AD$6,"yyyymm")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E75" s="8">
        <f>IFERROR(
GETPIVOTDATA(
"[Base].[Importe]",
TDinamica_R!$A$5,
"[Calendario].[AñoMes]",
"[Calendario].[AñoMes].&amp;[" &amp; TEXT(AE$6,"yyyymm")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F75" s="8">
        <f>IFERROR(
GETPIVOTDATA(
"[Base].[Importe]",
TDinamica_R!$A$5,
"[Calendario].[AñoMes]",
"[Calendario].[AñoMes].&amp;[" &amp; TEXT(AF$6,"yyyymm")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G75" s="8">
        <f>IFERROR(
GETPIVOTDATA(
"[Base].[Importe]",
TDinamica_R!$A$5,
"[Calendario].[AñoMes]",
"[Calendario].[AñoMes].&amp;[" &amp; TEXT(AG$6,"yyyymm")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H75" s="8">
        <f>IFERROR(
GETPIVOTDATA(
"[Base].[Importe]",
TDinamica_R!$A$5,
"[Calendario].[AñoMes]",
"[Calendario].[AñoMes].&amp;[" &amp; TEXT(AH$6,"yyyymm")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I75" s="8">
        <f>IFERROR(
GETPIVOTDATA(
"[Base].[Importe]",
TDinamica_R!$A$5,
"[Calendario].[AñoMes]",
"[Calendario].[AñoMes].&amp;[" &amp; TEXT(AI$6,"yyyymm")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J75" s="8">
        <f>IFERROR(
GETPIVOTDATA(
"[Base].[Importe]",
TDinamica_R!$A$5,
"[Calendario].[AñoMes]",
"[Calendario].[AñoMes].&amp;[" &amp; TEXT(AJ$6,"yyyymm")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K75" s="8">
        <f>IFERROR(
GETPIVOTDATA(
"[Base].[Importe]",
TDinamica_R!$A$5,
"[Calendario].[AñoMes]",
"[Calendario].[AñoMes].&amp;[" &amp; TEXT(AK$6,"yyyymm")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L75" s="8">
        <f>IFERROR(
GETPIVOTDATA(
"[Base].[Importe]",
TDinamica_R!$A$5,
"[Calendario].[AñoMes]",
"[Calendario].[AñoMes].&amp;[" &amp; TEXT(AL$6,"yyyymm")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M75" s="8">
        <f>IFERROR(
GETPIVOTDATA(
"[Base].[Importe]",
TDinamica_R!$A$5,
"[Calendario].[AñoMes]",
"[Calendario].[AñoMes].&amp;[" &amp; TEXT(AM$6,"yyyymm")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N75" s="8">
        <f>IFERROR(
GETPIVOTDATA(
"[Base].[Importe]",
TDinamica_R!$A$5,
"[Calendario].[AñoMes]",
"[Calendario].[AñoMes].&amp;[" &amp; TEXT(AN$6,"yyyymm")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O75" s="8">
        <f>IFERROR(
GETPIVOTDATA(
"[Base].[Importe]",
TDinamica_R!$A$5,
"[Calendario].[AñoMes]",
"[Calendario].[AñoMes].&amp;[" &amp; TEXT(AO$6,"yyyymm")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P75" s="8">
        <f>IFERROR(
GETPIVOTDATA(
"[Base].[Importe]",
TDinamica_R!$A$5,
"[Calendario].[AñoMes]",
"[Calendario].[AñoMes].&amp;[" &amp; TEXT(AP$6,"yyyymm")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Q75" s="8">
        <f>IFERROR(
GETPIVOTDATA(
"[Base].[Importe]",
TDinamica_R!$A$5,
"[Calendario].[AñoMes]",
"[Calendario].[AñoMes].&amp;[" &amp; TEXT(AQ$6,"yyyymm")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R75" s="8">
        <f>IFERROR(
GETPIVOTDATA(
"[Base].[Importe]",
TDinamica_R!$A$5,
"[Calendario].[AñoMes]",
"[Calendario].[AñoMes].&amp;[" &amp; TEXT(AR$6,"yyyymm")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S75" s="8">
        <f>IFERROR(
GETPIVOTDATA(
"[Base].[Importe]",
TDinamica_R!$A$5,
"[Calendario].[AñoMes]",
"[Calendario].[AñoMes].&amp;[" &amp; TEXT(AS$6,"yyyymm")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T75" s="8">
        <f>IFERROR(
GETPIVOTDATA(
"[Base].[Importe]",
TDinamica_R!$A$5,
"[Calendario].[AñoMes]",
"[Calendario].[AñoMes].&amp;[" &amp; TEXT(AT$6,"yyyymm")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U75" s="8">
        <f>IFERROR(
GETPIVOTDATA(
"[Base].[Importe]",
TDinamica_R!$A$5,
"[Calendario].[AñoMes]",
"[Calendario].[AñoMes].&amp;[" &amp; TEXT(AU$6,"yyyymm")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V75" s="8">
        <f>IFERROR(
GETPIVOTDATA(
"[Base].[Importe]",
TDinamica_R!$A$5,
"[Calendario].[AñoMes]",
"[Calendario].[AñoMes].&amp;[" &amp; TEXT(AV$6,"yyyymm")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W75" s="8">
        <f>IFERROR(
GETPIVOTDATA(
"[Base].[Importe]",
TDinamica_R!$A$5,
"[Calendario].[AñoMes]",
"[Calendario].[AñoMes].&amp;[" &amp; TEXT(AW$6,"yyyymm")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X75" s="8">
        <f>IFERROR(
GETPIVOTDATA(
"[Base].[Importe]",
TDinamica_R!$A$5,
"[Calendario].[AñoMes]",
"[Calendario].[AñoMes].&amp;[" &amp; TEXT(AX$6,"yyyymm")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Y75" s="8">
        <f>IFERROR(
GETPIVOTDATA(
"[Base].[Importe]",
TDinamica_R!$A$5,
"[Calendario].[AñoMes]",
"[Calendario].[AñoMes].&amp;[" &amp; TEXT(AY$6,"yyyymm")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Z75" s="8">
        <f>IFERROR(
GETPIVOTDATA(
"[BASE_CONVE_PPTO].[Importe]",
TDinamica_P!$A$5,
"[BASE_CONVE_PPTO].[Periodo]",
"[BASE_CONVE_PPTO].[Periodo].&amp;[" &amp; TEXT(AZ$6,"yyyymm")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A75" s="8">
        <f>IFERROR(
GETPIVOTDATA(
"[BASE_CONVE_PPTO].[Importe]",
TDinamica_P!$A$5,
"[BASE_CONVE_PPTO].[Periodo]",
"[BASE_CONVE_PPTO].[Periodo].&amp;[" &amp; TEXT(BA$6,"yyyymm")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B75" s="8">
        <f>IFERROR(
GETPIVOTDATA(
"[BASE_CONVE_PPTO].[Importe]",
TDinamica_P!$A$5,
"[BASE_CONVE_PPTO].[Periodo]",
"[BASE_CONVE_PPTO].[Periodo].&amp;[" &amp; TEXT(BB$6,"yyyymm")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C75" s="8">
        <f>IFERROR(
GETPIVOTDATA(
"[BASE_CONVE_PPTO].[Importe]",
TDinamica_P!$A$5,
"[BASE_CONVE_PPTO].[Periodo]",
"[BASE_CONVE_PPTO].[Periodo].&amp;[" &amp; TEXT(BC$6,"yyyymm")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D75" s="8">
        <f>IFERROR(
GETPIVOTDATA(
"[BASE_CONVE_PPTO].[Importe]",
TDinamica_P!$A$5,
"[BASE_CONVE_PPTO].[Periodo]",
"[BASE_CONVE_PPTO].[Periodo].&amp;[" &amp; TEXT(BD$6,"yyyymm")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E75" s="8">
        <f>IFERROR(
GETPIVOTDATA(
"[BASE_CONVE_PPTO].[Importe]",
TDinamica_P!$A$5,
"[BASE_CONVE_PPTO].[Periodo]",
"[BASE_CONVE_PPTO].[Periodo].&amp;[" &amp; TEXT(BE$6,"yyyymm")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F75" s="8">
        <f>IFERROR(
GETPIVOTDATA(
"[BASE_CONVE_PPTO].[Importe]",
TDinamica_P!$A$5,
"[BASE_CONVE_PPTO].[Periodo]",
"[BASE_CONVE_PPTO].[Periodo].&amp;[" &amp; TEXT(BF$6,"yyyymm")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G75" s="8">
        <f>IFERROR(
GETPIVOTDATA(
"[BASE_CONVE_PPTO].[Importe]",
TDinamica_P!$A$5,
"[BASE_CONVE_PPTO].[Periodo]",
"[BASE_CONVE_PPTO].[Periodo].&amp;[" &amp; TEXT(BG$6,"yyyymm")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H75" s="8">
        <f>IFERROR(
GETPIVOTDATA(
"[BASE_CONVE_PPTO].[Importe]",
TDinamica_P!$A$5,
"[BASE_CONVE_PPTO].[Periodo]",
"[BASE_CONVE_PPTO].[Periodo].&amp;[" &amp; TEXT(BH$6,"yyyymm")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I75" s="8">
        <f>IFERROR(
GETPIVOTDATA(
"[BASE_CONVE_PPTO].[Importe]",
TDinamica_P!$A$5,
"[BASE_CONVE_PPTO].[Periodo]",
"[BASE_CONVE_PPTO].[Periodo].&amp;[" &amp; TEXT(BI$6,"yyyymm")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J75" s="8">
        <f>IFERROR(
GETPIVOTDATA(
"[BASE_CONVE_PPTO].[Importe]",
TDinamica_P!$A$5,
"[BASE_CONVE_PPTO].[Periodo]",
"[BASE_CONVE_PPTO].[Periodo].&amp;[" &amp; TEXT(BJ$6,"yyyymm")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K75" s="8">
        <f>IFERROR(
GETPIVOTDATA(
"[BASE_CONVE_PPTO].[Importe]",
TDinamica_P!$A$5,
"[BASE_CONVE_PPTO].[Periodo]",
"[BASE_CONVE_PPTO].[Periodo].&amp;[" &amp; TEXT(BK$6,"yyyymm") &amp; "]",
"[BASE_CONVE_PPTO].[Metrica]",
"[BASE_CONVE_PPTO].[Metrica].&amp;[" &amp; $A75 &amp; "]",
"[BASE_CONVE_PPTO].[SEGMENTO_DESCRIP]",
"[BASE_CONVE_PPTO].[SEGMENTO_DESCRIP].&amp;[" &amp; $C$6 &amp; "]",
"[BASE_CONVE_PPTO].[SITUACION]",
"[BASE_CONVE_PPTO].[SITUACION].&amp;[" &amp; $C75 &amp; "]"),
0)</f>
        <v>0</v>
      </c>
      <c r="BO75" s="24">
        <f t="shared" si="50"/>
        <v>0</v>
      </c>
      <c r="BP75" s="24">
        <f t="shared" si="50"/>
        <v>0</v>
      </c>
      <c r="BQ75" s="24">
        <f t="shared" si="50"/>
        <v>0</v>
      </c>
      <c r="BR75" s="24">
        <f t="shared" si="50"/>
        <v>0</v>
      </c>
      <c r="BS75" s="24">
        <f t="shared" si="50"/>
        <v>0</v>
      </c>
      <c r="BT75" s="24">
        <f t="shared" si="50"/>
        <v>0</v>
      </c>
    </row>
    <row r="76" spans="1:72" outlineLevel="1" x14ac:dyDescent="0.25">
      <c r="A76" s="11" t="s">
        <v>71</v>
      </c>
      <c r="C76" s="2"/>
      <c r="D76" s="8">
        <f>IFERROR(
GETPIVOTDATA(
"[Base].[Importe]",
TDinamica_R!$A$5,
"[Calendario].[AñoMes]",
"[Calendario].[AñoMes].&amp;[" &amp; TEXT(D$6,"yyyymm")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E76" s="8">
        <f>IFERROR(
GETPIVOTDATA(
"[Base].[Importe]",
TDinamica_R!$A$5,
"[Calendario].[AñoMes]",
"[Calendario].[AñoMes].&amp;[" &amp; TEXT(E$6,"yyyymm")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F76" s="8">
        <f>IFERROR(
GETPIVOTDATA(
"[Base].[Importe]",
TDinamica_R!$A$5,
"[Calendario].[AñoMes]",
"[Calendario].[AñoMes].&amp;[" &amp; TEXT(F$6,"yyyymm")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G76" s="8">
        <f>IFERROR(
GETPIVOTDATA(
"[Base].[Importe]",
TDinamica_R!$A$5,
"[Calendario].[AñoMes]",
"[Calendario].[AñoMes].&amp;[" &amp; TEXT(G$6,"yyyymm")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H76" s="8">
        <f>IFERROR(
GETPIVOTDATA(
"[Base].[Importe]",
TDinamica_R!$A$5,
"[Calendario].[AñoMes]",
"[Calendario].[AñoMes].&amp;[" &amp; TEXT(H$6,"yyyymm")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I76" s="8">
        <f>IFERROR(
GETPIVOTDATA(
"[Base].[Importe]",
TDinamica_R!$A$5,
"[Calendario].[AñoMes]",
"[Calendario].[AñoMes].&amp;[" &amp; TEXT(I$6,"yyyymm")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J76" s="8">
        <f>IFERROR(
GETPIVOTDATA(
"[Base].[Importe]",
TDinamica_R!$A$5,
"[Calendario].[AñoMes]",
"[Calendario].[AñoMes].&amp;[" &amp; TEXT(J$6,"yyyymm")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K76" s="8">
        <f>IFERROR(
GETPIVOTDATA(
"[Base].[Importe]",
TDinamica_R!$A$5,
"[Calendario].[AñoMes]",
"[Calendario].[AñoMes].&amp;[" &amp; TEXT(K$6,"yyyymm")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L76" s="8">
        <f>IFERROR(
GETPIVOTDATA(
"[Base].[Importe]",
TDinamica_R!$A$5,
"[Calendario].[AñoMes]",
"[Calendario].[AñoMes].&amp;[" &amp; TEXT(L$6,"yyyymm")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M76" s="8">
        <f>IFERROR(
GETPIVOTDATA(
"[Base].[Importe]",
TDinamica_R!$A$5,
"[Calendario].[AñoMes]",
"[Calendario].[AñoMes].&amp;[" &amp; TEXT(M$6,"yyyymm")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N76" s="8">
        <f>IFERROR(
GETPIVOTDATA(
"[Base].[Importe]",
TDinamica_R!$A$5,
"[Calendario].[AñoMes]",
"[Calendario].[AñoMes].&amp;[" &amp; TEXT(N$6,"yyyymm")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O76" s="8">
        <f>IFERROR(
GETPIVOTDATA(
"[Base].[Importe]",
TDinamica_R!$A$5,
"[Calendario].[AñoMes]",
"[Calendario].[AñoMes].&amp;[" &amp; TEXT(O$6,"yyyymm")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P76" s="8">
        <f>IFERROR(
GETPIVOTDATA(
"[Base].[Importe]",
TDinamica_R!$A$5,
"[Calendario].[AñoMes]",
"[Calendario].[AñoMes].&amp;[" &amp; TEXT(P$6,"yyyymm")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Q76" s="8">
        <f>IFERROR(
GETPIVOTDATA(
"[Base].[Importe]",
TDinamica_R!$A$5,
"[Calendario].[AñoMes]",
"[Calendario].[AñoMes].&amp;[" &amp; TEXT(Q$6,"yyyymm")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R76" s="8">
        <f>IFERROR(
GETPIVOTDATA(
"[Base].[Importe]",
TDinamica_R!$A$5,
"[Calendario].[AñoMes]",
"[Calendario].[AñoMes].&amp;[" &amp; TEXT(R$6,"yyyymm")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S76" s="8">
        <f>IFERROR(
GETPIVOTDATA(
"[Base].[Importe]",
TDinamica_R!$A$5,
"[Calendario].[AñoMes]",
"[Calendario].[AñoMes].&amp;[" &amp; TEXT(S$6,"yyyymm")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T76" s="8">
        <f>IFERROR(
GETPIVOTDATA(
"[Base].[Importe]",
TDinamica_R!$A$5,
"[Calendario].[AñoMes]",
"[Calendario].[AñoMes].&amp;[" &amp; TEXT(T$6,"yyyymm")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U76" s="8">
        <f>IFERROR(
GETPIVOTDATA(
"[Base].[Importe]",
TDinamica_R!$A$5,
"[Calendario].[AñoMes]",
"[Calendario].[AñoMes].&amp;[" &amp; TEXT(U$6,"yyyymm")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V76" s="8">
        <f>IFERROR(
GETPIVOTDATA(
"[Base].[Importe]",
TDinamica_R!$A$5,
"[Calendario].[AñoMes]",
"[Calendario].[AñoMes].&amp;[" &amp; TEXT(V$6,"yyyymm")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W76" s="8">
        <f>IFERROR(
GETPIVOTDATA(
"[Base].[Importe]",
TDinamica_R!$A$5,
"[Calendario].[AñoMes]",
"[Calendario].[AñoMes].&amp;[" &amp; TEXT(W$6,"yyyymm")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X76" s="8">
        <f>IFERROR(
GETPIVOTDATA(
"[Base].[Importe]",
TDinamica_R!$A$5,
"[Calendario].[AñoMes]",
"[Calendario].[AñoMes].&amp;[" &amp; TEXT(X$6,"yyyymm")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Y76" s="8">
        <f>IFERROR(
GETPIVOTDATA(
"[Base].[Importe]",
TDinamica_R!$A$5,
"[Calendario].[AñoMes]",
"[Calendario].[AñoMes].&amp;[" &amp; TEXT(Y$6,"yyyymm")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Z76" s="8">
        <f>IFERROR(
GETPIVOTDATA(
"[Base].[Importe]",
TDinamica_R!$A$5,
"[Calendario].[AñoMes]",
"[Calendario].[AñoMes].&amp;[" &amp; TEXT(Z$6,"yyyymm")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A76" s="8">
        <f>IFERROR(
GETPIVOTDATA(
"[Base].[Importe]",
TDinamica_R!$A$5,
"[Calendario].[AñoMes]",
"[Calendario].[AñoMes].&amp;[" &amp; TEXT(AA$6,"yyyymm")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B76" s="8">
        <f>IFERROR(
GETPIVOTDATA(
"[Base].[Importe]",
TDinamica_R!$A$5,
"[Calendario].[AñoMes]",
"[Calendario].[AñoMes].&amp;[" &amp; TEXT(AB$6,"yyyymm")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C76" s="8">
        <f>IFERROR(
GETPIVOTDATA(
"[Base].[Importe]",
TDinamica_R!$A$5,
"[Calendario].[AñoMes]",
"[Calendario].[AñoMes].&amp;[" &amp; TEXT(AC$6,"yyyymm")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D76" s="8">
        <f>IFERROR(
GETPIVOTDATA(
"[Base].[Importe]",
TDinamica_R!$A$5,
"[Calendario].[AñoMes]",
"[Calendario].[AñoMes].&amp;[" &amp; TEXT(AD$6,"yyyymm")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E76" s="8">
        <f>IFERROR(
GETPIVOTDATA(
"[Base].[Importe]",
TDinamica_R!$A$5,
"[Calendario].[AñoMes]",
"[Calendario].[AñoMes].&amp;[" &amp; TEXT(AE$6,"yyyymm")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F76" s="8">
        <f>IFERROR(
GETPIVOTDATA(
"[Base].[Importe]",
TDinamica_R!$A$5,
"[Calendario].[AñoMes]",
"[Calendario].[AñoMes].&amp;[" &amp; TEXT(AF$6,"yyyymm")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G76" s="8">
        <f>IFERROR(
GETPIVOTDATA(
"[Base].[Importe]",
TDinamica_R!$A$5,
"[Calendario].[AñoMes]",
"[Calendario].[AñoMes].&amp;[" &amp; TEXT(AG$6,"yyyymm")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H76" s="8">
        <f>IFERROR(
GETPIVOTDATA(
"[Base].[Importe]",
TDinamica_R!$A$5,
"[Calendario].[AñoMes]",
"[Calendario].[AñoMes].&amp;[" &amp; TEXT(AH$6,"yyyymm")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I76" s="8">
        <f>IFERROR(
GETPIVOTDATA(
"[Base].[Importe]",
TDinamica_R!$A$5,
"[Calendario].[AñoMes]",
"[Calendario].[AñoMes].&amp;[" &amp; TEXT(AI$6,"yyyymm")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J76" s="8">
        <f>IFERROR(
GETPIVOTDATA(
"[Base].[Importe]",
TDinamica_R!$A$5,
"[Calendario].[AñoMes]",
"[Calendario].[AñoMes].&amp;[" &amp; TEXT(AJ$6,"yyyymm")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K76" s="8">
        <f>IFERROR(
GETPIVOTDATA(
"[Base].[Importe]",
TDinamica_R!$A$5,
"[Calendario].[AñoMes]",
"[Calendario].[AñoMes].&amp;[" &amp; TEXT(AK$6,"yyyymm")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L76" s="8">
        <f>IFERROR(
GETPIVOTDATA(
"[Base].[Importe]",
TDinamica_R!$A$5,
"[Calendario].[AñoMes]",
"[Calendario].[AñoMes].&amp;[" &amp; TEXT(AL$6,"yyyymm")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M76" s="8">
        <f>IFERROR(
GETPIVOTDATA(
"[Base].[Importe]",
TDinamica_R!$A$5,
"[Calendario].[AñoMes]",
"[Calendario].[AñoMes].&amp;[" &amp; TEXT(AM$6,"yyyymm")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N76" s="8">
        <f>IFERROR(
GETPIVOTDATA(
"[Base].[Importe]",
TDinamica_R!$A$5,
"[Calendario].[AñoMes]",
"[Calendario].[AñoMes].&amp;[" &amp; TEXT(AN$6,"yyyymm")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O76" s="8">
        <f>IFERROR(
GETPIVOTDATA(
"[Base].[Importe]",
TDinamica_R!$A$5,
"[Calendario].[AñoMes]",
"[Calendario].[AñoMes].&amp;[" &amp; TEXT(AO$6,"yyyymm")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P76" s="8">
        <f>IFERROR(
GETPIVOTDATA(
"[Base].[Importe]",
TDinamica_R!$A$5,
"[Calendario].[AñoMes]",
"[Calendario].[AñoMes].&amp;[" &amp; TEXT(AP$6,"yyyymm")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Q76" s="8">
        <f>IFERROR(
GETPIVOTDATA(
"[Base].[Importe]",
TDinamica_R!$A$5,
"[Calendario].[AñoMes]",
"[Calendario].[AñoMes].&amp;[" &amp; TEXT(AQ$6,"yyyymm")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R76" s="8">
        <f>IFERROR(
GETPIVOTDATA(
"[Base].[Importe]",
TDinamica_R!$A$5,
"[Calendario].[AñoMes]",
"[Calendario].[AñoMes].&amp;[" &amp; TEXT(AR$6,"yyyymm")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S76" s="8">
        <f>IFERROR(
GETPIVOTDATA(
"[Base].[Importe]",
TDinamica_R!$A$5,
"[Calendario].[AñoMes]",
"[Calendario].[AñoMes].&amp;[" &amp; TEXT(AS$6,"yyyymm")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T76" s="8">
        <f>IFERROR(
GETPIVOTDATA(
"[Base].[Importe]",
TDinamica_R!$A$5,
"[Calendario].[AñoMes]",
"[Calendario].[AñoMes].&amp;[" &amp; TEXT(AT$6,"yyyymm")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U76" s="8">
        <f>IFERROR(
GETPIVOTDATA(
"[Base].[Importe]",
TDinamica_R!$A$5,
"[Calendario].[AñoMes]",
"[Calendario].[AñoMes].&amp;[" &amp; TEXT(AU$6,"yyyymm")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V76" s="8">
        <f>IFERROR(
GETPIVOTDATA(
"[Base].[Importe]",
TDinamica_R!$A$5,
"[Calendario].[AñoMes]",
"[Calendario].[AñoMes].&amp;[" &amp; TEXT(AV$6,"yyyymm")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W76" s="8">
        <f>IFERROR(
GETPIVOTDATA(
"[Base].[Importe]",
TDinamica_R!$A$5,
"[Calendario].[AñoMes]",
"[Calendario].[AñoMes].&amp;[" &amp; TEXT(AW$6,"yyyymm")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X76" s="8">
        <f>IFERROR(
GETPIVOTDATA(
"[Base].[Importe]",
TDinamica_R!$A$5,
"[Calendario].[AñoMes]",
"[Calendario].[AñoMes].&amp;[" &amp; TEXT(AX$6,"yyyymm")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Y76" s="8">
        <f>IFERROR(
GETPIVOTDATA(
"[Base].[Importe]",
TDinamica_R!$A$5,
"[Calendario].[AñoMes]",
"[Calendario].[AñoMes].&amp;[" &amp; TEXT(AY$6,"yyyymm")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Z76" s="8">
        <f>IFERROR(
GETPIVOTDATA(
"[BASE_CONVE_PPTO].[Importe]",
TDinamica_P!$A$5,
"[BASE_CONVE_PPTO].[Periodo]",
"[BASE_CONVE_PPTO].[Periodo].&amp;[" &amp; TEXT(AZ$6,"yyyymm")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A76" s="8">
        <f>IFERROR(
GETPIVOTDATA(
"[BASE_CONVE_PPTO].[Importe]",
TDinamica_P!$A$5,
"[BASE_CONVE_PPTO].[Periodo]",
"[BASE_CONVE_PPTO].[Periodo].&amp;[" &amp; TEXT(BA$6,"yyyymm")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B76" s="8">
        <f>IFERROR(
GETPIVOTDATA(
"[BASE_CONVE_PPTO].[Importe]",
TDinamica_P!$A$5,
"[BASE_CONVE_PPTO].[Periodo]",
"[BASE_CONVE_PPTO].[Periodo].&amp;[" &amp; TEXT(BB$6,"yyyymm")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C76" s="8">
        <f>IFERROR(
GETPIVOTDATA(
"[BASE_CONVE_PPTO].[Importe]",
TDinamica_P!$A$5,
"[BASE_CONVE_PPTO].[Periodo]",
"[BASE_CONVE_PPTO].[Periodo].&amp;[" &amp; TEXT(BC$6,"yyyymm")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D76" s="8">
        <f>IFERROR(
GETPIVOTDATA(
"[BASE_CONVE_PPTO].[Importe]",
TDinamica_P!$A$5,
"[BASE_CONVE_PPTO].[Periodo]",
"[BASE_CONVE_PPTO].[Periodo].&amp;[" &amp; TEXT(BD$6,"yyyymm")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E76" s="8">
        <f>IFERROR(
GETPIVOTDATA(
"[BASE_CONVE_PPTO].[Importe]",
TDinamica_P!$A$5,
"[BASE_CONVE_PPTO].[Periodo]",
"[BASE_CONVE_PPTO].[Periodo].&amp;[" &amp; TEXT(BE$6,"yyyymm")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F76" s="8">
        <f>IFERROR(
GETPIVOTDATA(
"[BASE_CONVE_PPTO].[Importe]",
TDinamica_P!$A$5,
"[BASE_CONVE_PPTO].[Periodo]",
"[BASE_CONVE_PPTO].[Periodo].&amp;[" &amp; TEXT(BF$6,"yyyymm")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G76" s="8">
        <f>IFERROR(
GETPIVOTDATA(
"[BASE_CONVE_PPTO].[Importe]",
TDinamica_P!$A$5,
"[BASE_CONVE_PPTO].[Periodo]",
"[BASE_CONVE_PPTO].[Periodo].&amp;[" &amp; TEXT(BG$6,"yyyymm")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H76" s="8">
        <f>IFERROR(
GETPIVOTDATA(
"[BASE_CONVE_PPTO].[Importe]",
TDinamica_P!$A$5,
"[BASE_CONVE_PPTO].[Periodo]",
"[BASE_CONVE_PPTO].[Periodo].&amp;[" &amp; TEXT(BH$6,"yyyymm")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I76" s="8">
        <f>IFERROR(
GETPIVOTDATA(
"[BASE_CONVE_PPTO].[Importe]",
TDinamica_P!$A$5,
"[BASE_CONVE_PPTO].[Periodo]",
"[BASE_CONVE_PPTO].[Periodo].&amp;[" &amp; TEXT(BI$6,"yyyymm")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J76" s="8">
        <f>IFERROR(
GETPIVOTDATA(
"[BASE_CONVE_PPTO].[Importe]",
TDinamica_P!$A$5,
"[BASE_CONVE_PPTO].[Periodo]",
"[BASE_CONVE_PPTO].[Periodo].&amp;[" &amp; TEXT(BJ$6,"yyyymm")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K76" s="8">
        <f>IFERROR(
GETPIVOTDATA(
"[BASE_CONVE_PPTO].[Importe]",
TDinamica_P!$A$5,
"[BASE_CONVE_PPTO].[Periodo]",
"[BASE_CONVE_PPTO].[Periodo].&amp;[" &amp; TEXT(BK$6,"yyyymm") &amp; "]",
"[BASE_CONVE_PPTO].[Metrica]",
"[BASE_CONVE_PPTO].[Metrica].&amp;[" &amp; $A76 &amp; "]",
"[BASE_CONVE_PPTO].[SEGMENTO_DESCRIP]",
"[BASE_CONVE_PPTO].[SEGMENTO_DESCRIP].&amp;[" &amp; $C$6 &amp; "]",
"[BASE_CONVE_PPTO].[SITUACION]",
"[BASE_CONVE_PPTO].[SITUACION].&amp;[" &amp; $C76 &amp; "]"),
0)</f>
        <v>0</v>
      </c>
      <c r="BO76" s="24">
        <f t="shared" si="50"/>
        <v>0</v>
      </c>
      <c r="BP76" s="24">
        <f t="shared" si="50"/>
        <v>0</v>
      </c>
      <c r="BQ76" s="24">
        <f t="shared" si="50"/>
        <v>0</v>
      </c>
      <c r="BR76" s="24">
        <f t="shared" si="50"/>
        <v>0</v>
      </c>
      <c r="BS76" s="24">
        <f t="shared" si="50"/>
        <v>0</v>
      </c>
      <c r="BT76" s="24">
        <f t="shared" si="50"/>
        <v>0</v>
      </c>
    </row>
    <row r="77" spans="1:72" outlineLevel="1" x14ac:dyDescent="0.25">
      <c r="A77" s="11" t="s">
        <v>71</v>
      </c>
      <c r="C77" s="2"/>
      <c r="D77" s="8">
        <f>IFERROR(
GETPIVOTDATA(
"[Base].[Importe]",
TDinamica_R!$A$5,
"[Calendario].[AñoMes]",
"[Calendario].[AñoMes].&amp;[" &amp; TEXT(D$6,"yyyymm")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E77" s="8">
        <f>IFERROR(
GETPIVOTDATA(
"[Base].[Importe]",
TDinamica_R!$A$5,
"[Calendario].[AñoMes]",
"[Calendario].[AñoMes].&amp;[" &amp; TEXT(E$6,"yyyymm")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F77" s="8">
        <f>IFERROR(
GETPIVOTDATA(
"[Base].[Importe]",
TDinamica_R!$A$5,
"[Calendario].[AñoMes]",
"[Calendario].[AñoMes].&amp;[" &amp; TEXT(F$6,"yyyymm")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G77" s="8">
        <f>IFERROR(
GETPIVOTDATA(
"[Base].[Importe]",
TDinamica_R!$A$5,
"[Calendario].[AñoMes]",
"[Calendario].[AñoMes].&amp;[" &amp; TEXT(G$6,"yyyymm")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H77" s="8">
        <f>IFERROR(
GETPIVOTDATA(
"[Base].[Importe]",
TDinamica_R!$A$5,
"[Calendario].[AñoMes]",
"[Calendario].[AñoMes].&amp;[" &amp; TEXT(H$6,"yyyymm")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I77" s="8">
        <f>IFERROR(
GETPIVOTDATA(
"[Base].[Importe]",
TDinamica_R!$A$5,
"[Calendario].[AñoMes]",
"[Calendario].[AñoMes].&amp;[" &amp; TEXT(I$6,"yyyymm")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J77" s="8">
        <f>IFERROR(
GETPIVOTDATA(
"[Base].[Importe]",
TDinamica_R!$A$5,
"[Calendario].[AñoMes]",
"[Calendario].[AñoMes].&amp;[" &amp; TEXT(J$6,"yyyymm")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K77" s="8">
        <f>IFERROR(
GETPIVOTDATA(
"[Base].[Importe]",
TDinamica_R!$A$5,
"[Calendario].[AñoMes]",
"[Calendario].[AñoMes].&amp;[" &amp; TEXT(K$6,"yyyymm")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L77" s="8">
        <f>IFERROR(
GETPIVOTDATA(
"[Base].[Importe]",
TDinamica_R!$A$5,
"[Calendario].[AñoMes]",
"[Calendario].[AñoMes].&amp;[" &amp; TEXT(L$6,"yyyymm")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M77" s="8">
        <f>IFERROR(
GETPIVOTDATA(
"[Base].[Importe]",
TDinamica_R!$A$5,
"[Calendario].[AñoMes]",
"[Calendario].[AñoMes].&amp;[" &amp; TEXT(M$6,"yyyymm")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N77" s="8">
        <f>IFERROR(
GETPIVOTDATA(
"[Base].[Importe]",
TDinamica_R!$A$5,
"[Calendario].[AñoMes]",
"[Calendario].[AñoMes].&amp;[" &amp; TEXT(N$6,"yyyymm")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O77" s="8">
        <f>IFERROR(
GETPIVOTDATA(
"[Base].[Importe]",
TDinamica_R!$A$5,
"[Calendario].[AñoMes]",
"[Calendario].[AñoMes].&amp;[" &amp; TEXT(O$6,"yyyymm")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P77" s="8">
        <f>IFERROR(
GETPIVOTDATA(
"[Base].[Importe]",
TDinamica_R!$A$5,
"[Calendario].[AñoMes]",
"[Calendario].[AñoMes].&amp;[" &amp; TEXT(P$6,"yyyymm")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Q77" s="8">
        <f>IFERROR(
GETPIVOTDATA(
"[Base].[Importe]",
TDinamica_R!$A$5,
"[Calendario].[AñoMes]",
"[Calendario].[AñoMes].&amp;[" &amp; TEXT(Q$6,"yyyymm")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R77" s="8">
        <f>IFERROR(
GETPIVOTDATA(
"[Base].[Importe]",
TDinamica_R!$A$5,
"[Calendario].[AñoMes]",
"[Calendario].[AñoMes].&amp;[" &amp; TEXT(R$6,"yyyymm")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S77" s="8">
        <f>IFERROR(
GETPIVOTDATA(
"[Base].[Importe]",
TDinamica_R!$A$5,
"[Calendario].[AñoMes]",
"[Calendario].[AñoMes].&amp;[" &amp; TEXT(S$6,"yyyymm")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T77" s="8">
        <f>IFERROR(
GETPIVOTDATA(
"[Base].[Importe]",
TDinamica_R!$A$5,
"[Calendario].[AñoMes]",
"[Calendario].[AñoMes].&amp;[" &amp; TEXT(T$6,"yyyymm")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U77" s="8">
        <f>IFERROR(
GETPIVOTDATA(
"[Base].[Importe]",
TDinamica_R!$A$5,
"[Calendario].[AñoMes]",
"[Calendario].[AñoMes].&amp;[" &amp; TEXT(U$6,"yyyymm")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V77" s="8">
        <f>IFERROR(
GETPIVOTDATA(
"[Base].[Importe]",
TDinamica_R!$A$5,
"[Calendario].[AñoMes]",
"[Calendario].[AñoMes].&amp;[" &amp; TEXT(V$6,"yyyymm")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W77" s="8">
        <f>IFERROR(
GETPIVOTDATA(
"[Base].[Importe]",
TDinamica_R!$A$5,
"[Calendario].[AñoMes]",
"[Calendario].[AñoMes].&amp;[" &amp; TEXT(W$6,"yyyymm")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X77" s="8">
        <f>IFERROR(
GETPIVOTDATA(
"[Base].[Importe]",
TDinamica_R!$A$5,
"[Calendario].[AñoMes]",
"[Calendario].[AñoMes].&amp;[" &amp; TEXT(X$6,"yyyymm")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Y77" s="8">
        <f>IFERROR(
GETPIVOTDATA(
"[Base].[Importe]",
TDinamica_R!$A$5,
"[Calendario].[AñoMes]",
"[Calendario].[AñoMes].&amp;[" &amp; TEXT(Y$6,"yyyymm")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Z77" s="8">
        <f>IFERROR(
GETPIVOTDATA(
"[Base].[Importe]",
TDinamica_R!$A$5,
"[Calendario].[AñoMes]",
"[Calendario].[AñoMes].&amp;[" &amp; TEXT(Z$6,"yyyymm")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A77" s="8">
        <f>IFERROR(
GETPIVOTDATA(
"[Base].[Importe]",
TDinamica_R!$A$5,
"[Calendario].[AñoMes]",
"[Calendario].[AñoMes].&amp;[" &amp; TEXT(AA$6,"yyyymm")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B77" s="8">
        <f>IFERROR(
GETPIVOTDATA(
"[Base].[Importe]",
TDinamica_R!$A$5,
"[Calendario].[AñoMes]",
"[Calendario].[AñoMes].&amp;[" &amp; TEXT(AB$6,"yyyymm")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C77" s="8">
        <f>IFERROR(
GETPIVOTDATA(
"[Base].[Importe]",
TDinamica_R!$A$5,
"[Calendario].[AñoMes]",
"[Calendario].[AñoMes].&amp;[" &amp; TEXT(AC$6,"yyyymm")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D77" s="8">
        <f>IFERROR(
GETPIVOTDATA(
"[Base].[Importe]",
TDinamica_R!$A$5,
"[Calendario].[AñoMes]",
"[Calendario].[AñoMes].&amp;[" &amp; TEXT(AD$6,"yyyymm")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E77" s="8">
        <f>IFERROR(
GETPIVOTDATA(
"[Base].[Importe]",
TDinamica_R!$A$5,
"[Calendario].[AñoMes]",
"[Calendario].[AñoMes].&amp;[" &amp; TEXT(AE$6,"yyyymm")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F77" s="8">
        <f>IFERROR(
GETPIVOTDATA(
"[Base].[Importe]",
TDinamica_R!$A$5,
"[Calendario].[AñoMes]",
"[Calendario].[AñoMes].&amp;[" &amp; TEXT(AF$6,"yyyymm")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G77" s="8">
        <f>IFERROR(
GETPIVOTDATA(
"[Base].[Importe]",
TDinamica_R!$A$5,
"[Calendario].[AñoMes]",
"[Calendario].[AñoMes].&amp;[" &amp; TEXT(AG$6,"yyyymm")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H77" s="8">
        <f>IFERROR(
GETPIVOTDATA(
"[Base].[Importe]",
TDinamica_R!$A$5,
"[Calendario].[AñoMes]",
"[Calendario].[AñoMes].&amp;[" &amp; TEXT(AH$6,"yyyymm")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I77" s="8">
        <f>IFERROR(
GETPIVOTDATA(
"[Base].[Importe]",
TDinamica_R!$A$5,
"[Calendario].[AñoMes]",
"[Calendario].[AñoMes].&amp;[" &amp; TEXT(AI$6,"yyyymm")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J77" s="8">
        <f>IFERROR(
GETPIVOTDATA(
"[Base].[Importe]",
TDinamica_R!$A$5,
"[Calendario].[AñoMes]",
"[Calendario].[AñoMes].&amp;[" &amp; TEXT(AJ$6,"yyyymm")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K77" s="8">
        <f>IFERROR(
GETPIVOTDATA(
"[Base].[Importe]",
TDinamica_R!$A$5,
"[Calendario].[AñoMes]",
"[Calendario].[AñoMes].&amp;[" &amp; TEXT(AK$6,"yyyymm")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L77" s="8">
        <f>IFERROR(
GETPIVOTDATA(
"[Base].[Importe]",
TDinamica_R!$A$5,
"[Calendario].[AñoMes]",
"[Calendario].[AñoMes].&amp;[" &amp; TEXT(AL$6,"yyyymm")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M77" s="8">
        <f>IFERROR(
GETPIVOTDATA(
"[Base].[Importe]",
TDinamica_R!$A$5,
"[Calendario].[AñoMes]",
"[Calendario].[AñoMes].&amp;[" &amp; TEXT(AM$6,"yyyymm")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N77" s="8">
        <f>IFERROR(
GETPIVOTDATA(
"[Base].[Importe]",
TDinamica_R!$A$5,
"[Calendario].[AñoMes]",
"[Calendario].[AñoMes].&amp;[" &amp; TEXT(AN$6,"yyyymm")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O77" s="8">
        <f>IFERROR(
GETPIVOTDATA(
"[Base].[Importe]",
TDinamica_R!$A$5,
"[Calendario].[AñoMes]",
"[Calendario].[AñoMes].&amp;[" &amp; TEXT(AO$6,"yyyymm")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P77" s="8">
        <f>IFERROR(
GETPIVOTDATA(
"[Base].[Importe]",
TDinamica_R!$A$5,
"[Calendario].[AñoMes]",
"[Calendario].[AñoMes].&amp;[" &amp; TEXT(AP$6,"yyyymm")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Q77" s="8">
        <f>IFERROR(
GETPIVOTDATA(
"[Base].[Importe]",
TDinamica_R!$A$5,
"[Calendario].[AñoMes]",
"[Calendario].[AñoMes].&amp;[" &amp; TEXT(AQ$6,"yyyymm")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R77" s="8">
        <f>IFERROR(
GETPIVOTDATA(
"[Base].[Importe]",
TDinamica_R!$A$5,
"[Calendario].[AñoMes]",
"[Calendario].[AñoMes].&amp;[" &amp; TEXT(AR$6,"yyyymm")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S77" s="8">
        <f>IFERROR(
GETPIVOTDATA(
"[Base].[Importe]",
TDinamica_R!$A$5,
"[Calendario].[AñoMes]",
"[Calendario].[AñoMes].&amp;[" &amp; TEXT(AS$6,"yyyymm")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T77" s="8">
        <f>IFERROR(
GETPIVOTDATA(
"[Base].[Importe]",
TDinamica_R!$A$5,
"[Calendario].[AñoMes]",
"[Calendario].[AñoMes].&amp;[" &amp; TEXT(AT$6,"yyyymm")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U77" s="8">
        <f>IFERROR(
GETPIVOTDATA(
"[Base].[Importe]",
TDinamica_R!$A$5,
"[Calendario].[AñoMes]",
"[Calendario].[AñoMes].&amp;[" &amp; TEXT(AU$6,"yyyymm")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V77" s="8">
        <f>IFERROR(
GETPIVOTDATA(
"[Base].[Importe]",
TDinamica_R!$A$5,
"[Calendario].[AñoMes]",
"[Calendario].[AñoMes].&amp;[" &amp; TEXT(AV$6,"yyyymm")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W77" s="8">
        <f>IFERROR(
GETPIVOTDATA(
"[Base].[Importe]",
TDinamica_R!$A$5,
"[Calendario].[AñoMes]",
"[Calendario].[AñoMes].&amp;[" &amp; TEXT(AW$6,"yyyymm")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X77" s="8">
        <f>IFERROR(
GETPIVOTDATA(
"[Base].[Importe]",
TDinamica_R!$A$5,
"[Calendario].[AñoMes]",
"[Calendario].[AñoMes].&amp;[" &amp; TEXT(AX$6,"yyyymm")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Y77" s="8">
        <f>IFERROR(
GETPIVOTDATA(
"[Base].[Importe]",
TDinamica_R!$A$5,
"[Calendario].[AñoMes]",
"[Calendario].[AñoMes].&amp;[" &amp; TEXT(AY$6,"yyyymm")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Z77" s="8">
        <f>IFERROR(
GETPIVOTDATA(
"[BASE_CONVE_PPTO].[Importe]",
TDinamica_P!$A$5,
"[BASE_CONVE_PPTO].[Periodo]",
"[BASE_CONVE_PPTO].[Periodo].&amp;[" &amp; TEXT(AZ$6,"yyyymm")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A77" s="8">
        <f>IFERROR(
GETPIVOTDATA(
"[BASE_CONVE_PPTO].[Importe]",
TDinamica_P!$A$5,
"[BASE_CONVE_PPTO].[Periodo]",
"[BASE_CONVE_PPTO].[Periodo].&amp;[" &amp; TEXT(BA$6,"yyyymm")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B77" s="8">
        <f>IFERROR(
GETPIVOTDATA(
"[BASE_CONVE_PPTO].[Importe]",
TDinamica_P!$A$5,
"[BASE_CONVE_PPTO].[Periodo]",
"[BASE_CONVE_PPTO].[Periodo].&amp;[" &amp; TEXT(BB$6,"yyyymm")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C77" s="8">
        <f>IFERROR(
GETPIVOTDATA(
"[BASE_CONVE_PPTO].[Importe]",
TDinamica_P!$A$5,
"[BASE_CONVE_PPTO].[Periodo]",
"[BASE_CONVE_PPTO].[Periodo].&amp;[" &amp; TEXT(BC$6,"yyyymm")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D77" s="8">
        <f>IFERROR(
GETPIVOTDATA(
"[BASE_CONVE_PPTO].[Importe]",
TDinamica_P!$A$5,
"[BASE_CONVE_PPTO].[Periodo]",
"[BASE_CONVE_PPTO].[Periodo].&amp;[" &amp; TEXT(BD$6,"yyyymm")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E77" s="8">
        <f>IFERROR(
GETPIVOTDATA(
"[BASE_CONVE_PPTO].[Importe]",
TDinamica_P!$A$5,
"[BASE_CONVE_PPTO].[Periodo]",
"[BASE_CONVE_PPTO].[Periodo].&amp;[" &amp; TEXT(BE$6,"yyyymm")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F77" s="8">
        <f>IFERROR(
GETPIVOTDATA(
"[BASE_CONVE_PPTO].[Importe]",
TDinamica_P!$A$5,
"[BASE_CONVE_PPTO].[Periodo]",
"[BASE_CONVE_PPTO].[Periodo].&amp;[" &amp; TEXT(BF$6,"yyyymm")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G77" s="8">
        <f>IFERROR(
GETPIVOTDATA(
"[BASE_CONVE_PPTO].[Importe]",
TDinamica_P!$A$5,
"[BASE_CONVE_PPTO].[Periodo]",
"[BASE_CONVE_PPTO].[Periodo].&amp;[" &amp; TEXT(BG$6,"yyyymm")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H77" s="8">
        <f>IFERROR(
GETPIVOTDATA(
"[BASE_CONVE_PPTO].[Importe]",
TDinamica_P!$A$5,
"[BASE_CONVE_PPTO].[Periodo]",
"[BASE_CONVE_PPTO].[Periodo].&amp;[" &amp; TEXT(BH$6,"yyyymm")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I77" s="8">
        <f>IFERROR(
GETPIVOTDATA(
"[BASE_CONVE_PPTO].[Importe]",
TDinamica_P!$A$5,
"[BASE_CONVE_PPTO].[Periodo]",
"[BASE_CONVE_PPTO].[Periodo].&amp;[" &amp; TEXT(BI$6,"yyyymm")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J77" s="8">
        <f>IFERROR(
GETPIVOTDATA(
"[BASE_CONVE_PPTO].[Importe]",
TDinamica_P!$A$5,
"[BASE_CONVE_PPTO].[Periodo]",
"[BASE_CONVE_PPTO].[Periodo].&amp;[" &amp; TEXT(BJ$6,"yyyymm")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K77" s="8">
        <f>IFERROR(
GETPIVOTDATA(
"[BASE_CONVE_PPTO].[Importe]",
TDinamica_P!$A$5,
"[BASE_CONVE_PPTO].[Periodo]",
"[BASE_CONVE_PPTO].[Periodo].&amp;[" &amp; TEXT(BK$6,"yyyymm") &amp; "]",
"[BASE_CONVE_PPTO].[Metrica]",
"[BASE_CONVE_PPTO].[Metrica].&amp;[" &amp; $A77 &amp; "]",
"[BASE_CONVE_PPTO].[SEGMENTO_DESCRIP]",
"[BASE_CONVE_PPTO].[SEGMENTO_DESCRIP].&amp;[" &amp; $C$6 &amp; "]",
"[BASE_CONVE_PPTO].[SITUACION]",
"[BASE_CONVE_PPTO].[SITUACION].&amp;[" &amp; $C77 &amp; "]"),
0)</f>
        <v>0</v>
      </c>
      <c r="BO77" s="24">
        <f t="shared" si="50"/>
        <v>0</v>
      </c>
      <c r="BP77" s="24">
        <f t="shared" si="50"/>
        <v>0</v>
      </c>
      <c r="BQ77" s="24">
        <f t="shared" si="50"/>
        <v>0</v>
      </c>
      <c r="BR77" s="24">
        <f t="shared" si="50"/>
        <v>0</v>
      </c>
      <c r="BS77" s="24">
        <f t="shared" si="50"/>
        <v>0</v>
      </c>
      <c r="BT77" s="24">
        <f t="shared" si="50"/>
        <v>0</v>
      </c>
    </row>
    <row r="78" spans="1:72" outlineLevel="1" x14ac:dyDescent="0.25">
      <c r="A78" s="11" t="s">
        <v>71</v>
      </c>
      <c r="C78" s="2"/>
      <c r="D78" s="8">
        <f>IFERROR(
GETPIVOTDATA(
"[Base].[Importe]",
TDinamica_R!$A$5,
"[Calendario].[AñoMes]",
"[Calendario].[AñoMes].&amp;[" &amp; TEXT(D$6,"yyyymm")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E78" s="8">
        <f>IFERROR(
GETPIVOTDATA(
"[Base].[Importe]",
TDinamica_R!$A$5,
"[Calendario].[AñoMes]",
"[Calendario].[AñoMes].&amp;[" &amp; TEXT(E$6,"yyyymm")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F78" s="8">
        <f>IFERROR(
GETPIVOTDATA(
"[Base].[Importe]",
TDinamica_R!$A$5,
"[Calendario].[AñoMes]",
"[Calendario].[AñoMes].&amp;[" &amp; TEXT(F$6,"yyyymm")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G78" s="8">
        <f>IFERROR(
GETPIVOTDATA(
"[Base].[Importe]",
TDinamica_R!$A$5,
"[Calendario].[AñoMes]",
"[Calendario].[AñoMes].&amp;[" &amp; TEXT(G$6,"yyyymm")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H78" s="8">
        <f>IFERROR(
GETPIVOTDATA(
"[Base].[Importe]",
TDinamica_R!$A$5,
"[Calendario].[AñoMes]",
"[Calendario].[AñoMes].&amp;[" &amp; TEXT(H$6,"yyyymm")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I78" s="8">
        <f>IFERROR(
GETPIVOTDATA(
"[Base].[Importe]",
TDinamica_R!$A$5,
"[Calendario].[AñoMes]",
"[Calendario].[AñoMes].&amp;[" &amp; TEXT(I$6,"yyyymm")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J78" s="8">
        <f>IFERROR(
GETPIVOTDATA(
"[Base].[Importe]",
TDinamica_R!$A$5,
"[Calendario].[AñoMes]",
"[Calendario].[AñoMes].&amp;[" &amp; TEXT(J$6,"yyyymm")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K78" s="8">
        <f>IFERROR(
GETPIVOTDATA(
"[Base].[Importe]",
TDinamica_R!$A$5,
"[Calendario].[AñoMes]",
"[Calendario].[AñoMes].&amp;[" &amp; TEXT(K$6,"yyyymm")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L78" s="8">
        <f>IFERROR(
GETPIVOTDATA(
"[Base].[Importe]",
TDinamica_R!$A$5,
"[Calendario].[AñoMes]",
"[Calendario].[AñoMes].&amp;[" &amp; TEXT(L$6,"yyyymm")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M78" s="8">
        <f>IFERROR(
GETPIVOTDATA(
"[Base].[Importe]",
TDinamica_R!$A$5,
"[Calendario].[AñoMes]",
"[Calendario].[AñoMes].&amp;[" &amp; TEXT(M$6,"yyyymm")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N78" s="8">
        <f>IFERROR(
GETPIVOTDATA(
"[Base].[Importe]",
TDinamica_R!$A$5,
"[Calendario].[AñoMes]",
"[Calendario].[AñoMes].&amp;[" &amp; TEXT(N$6,"yyyymm")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O78" s="8">
        <f>IFERROR(
GETPIVOTDATA(
"[Base].[Importe]",
TDinamica_R!$A$5,
"[Calendario].[AñoMes]",
"[Calendario].[AñoMes].&amp;[" &amp; TEXT(O$6,"yyyymm")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P78" s="8">
        <f>IFERROR(
GETPIVOTDATA(
"[Base].[Importe]",
TDinamica_R!$A$5,
"[Calendario].[AñoMes]",
"[Calendario].[AñoMes].&amp;[" &amp; TEXT(P$6,"yyyymm")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Q78" s="8">
        <f>IFERROR(
GETPIVOTDATA(
"[Base].[Importe]",
TDinamica_R!$A$5,
"[Calendario].[AñoMes]",
"[Calendario].[AñoMes].&amp;[" &amp; TEXT(Q$6,"yyyymm")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R78" s="8">
        <f>IFERROR(
GETPIVOTDATA(
"[Base].[Importe]",
TDinamica_R!$A$5,
"[Calendario].[AñoMes]",
"[Calendario].[AñoMes].&amp;[" &amp; TEXT(R$6,"yyyymm")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S78" s="8">
        <f>IFERROR(
GETPIVOTDATA(
"[Base].[Importe]",
TDinamica_R!$A$5,
"[Calendario].[AñoMes]",
"[Calendario].[AñoMes].&amp;[" &amp; TEXT(S$6,"yyyymm")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T78" s="8">
        <f>IFERROR(
GETPIVOTDATA(
"[Base].[Importe]",
TDinamica_R!$A$5,
"[Calendario].[AñoMes]",
"[Calendario].[AñoMes].&amp;[" &amp; TEXT(T$6,"yyyymm")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U78" s="8">
        <f>IFERROR(
GETPIVOTDATA(
"[Base].[Importe]",
TDinamica_R!$A$5,
"[Calendario].[AñoMes]",
"[Calendario].[AñoMes].&amp;[" &amp; TEXT(U$6,"yyyymm")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V78" s="8">
        <f>IFERROR(
GETPIVOTDATA(
"[Base].[Importe]",
TDinamica_R!$A$5,
"[Calendario].[AñoMes]",
"[Calendario].[AñoMes].&amp;[" &amp; TEXT(V$6,"yyyymm")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W78" s="8">
        <f>IFERROR(
GETPIVOTDATA(
"[Base].[Importe]",
TDinamica_R!$A$5,
"[Calendario].[AñoMes]",
"[Calendario].[AñoMes].&amp;[" &amp; TEXT(W$6,"yyyymm")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X78" s="8">
        <f>IFERROR(
GETPIVOTDATA(
"[Base].[Importe]",
TDinamica_R!$A$5,
"[Calendario].[AñoMes]",
"[Calendario].[AñoMes].&amp;[" &amp; TEXT(X$6,"yyyymm")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Y78" s="8">
        <f>IFERROR(
GETPIVOTDATA(
"[Base].[Importe]",
TDinamica_R!$A$5,
"[Calendario].[AñoMes]",
"[Calendario].[AñoMes].&amp;[" &amp; TEXT(Y$6,"yyyymm")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Z78" s="8">
        <f>IFERROR(
GETPIVOTDATA(
"[Base].[Importe]",
TDinamica_R!$A$5,
"[Calendario].[AñoMes]",
"[Calendario].[AñoMes].&amp;[" &amp; TEXT(Z$6,"yyyymm")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A78" s="8">
        <f>IFERROR(
GETPIVOTDATA(
"[Base].[Importe]",
TDinamica_R!$A$5,
"[Calendario].[AñoMes]",
"[Calendario].[AñoMes].&amp;[" &amp; TEXT(AA$6,"yyyymm")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B78" s="8">
        <f>IFERROR(
GETPIVOTDATA(
"[Base].[Importe]",
TDinamica_R!$A$5,
"[Calendario].[AñoMes]",
"[Calendario].[AñoMes].&amp;[" &amp; TEXT(AB$6,"yyyymm")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C78" s="8">
        <f>IFERROR(
GETPIVOTDATA(
"[Base].[Importe]",
TDinamica_R!$A$5,
"[Calendario].[AñoMes]",
"[Calendario].[AñoMes].&amp;[" &amp; TEXT(AC$6,"yyyymm")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D78" s="8">
        <f>IFERROR(
GETPIVOTDATA(
"[Base].[Importe]",
TDinamica_R!$A$5,
"[Calendario].[AñoMes]",
"[Calendario].[AñoMes].&amp;[" &amp; TEXT(AD$6,"yyyymm")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E78" s="8">
        <f>IFERROR(
GETPIVOTDATA(
"[Base].[Importe]",
TDinamica_R!$A$5,
"[Calendario].[AñoMes]",
"[Calendario].[AñoMes].&amp;[" &amp; TEXT(AE$6,"yyyymm")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F78" s="8">
        <f>IFERROR(
GETPIVOTDATA(
"[Base].[Importe]",
TDinamica_R!$A$5,
"[Calendario].[AñoMes]",
"[Calendario].[AñoMes].&amp;[" &amp; TEXT(AF$6,"yyyymm")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G78" s="8">
        <f>IFERROR(
GETPIVOTDATA(
"[Base].[Importe]",
TDinamica_R!$A$5,
"[Calendario].[AñoMes]",
"[Calendario].[AñoMes].&amp;[" &amp; TEXT(AG$6,"yyyymm")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H78" s="8">
        <f>IFERROR(
GETPIVOTDATA(
"[Base].[Importe]",
TDinamica_R!$A$5,
"[Calendario].[AñoMes]",
"[Calendario].[AñoMes].&amp;[" &amp; TEXT(AH$6,"yyyymm")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I78" s="8">
        <f>IFERROR(
GETPIVOTDATA(
"[Base].[Importe]",
TDinamica_R!$A$5,
"[Calendario].[AñoMes]",
"[Calendario].[AñoMes].&amp;[" &amp; TEXT(AI$6,"yyyymm")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J78" s="8">
        <f>IFERROR(
GETPIVOTDATA(
"[Base].[Importe]",
TDinamica_R!$A$5,
"[Calendario].[AñoMes]",
"[Calendario].[AñoMes].&amp;[" &amp; TEXT(AJ$6,"yyyymm")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K78" s="8">
        <f>IFERROR(
GETPIVOTDATA(
"[Base].[Importe]",
TDinamica_R!$A$5,
"[Calendario].[AñoMes]",
"[Calendario].[AñoMes].&amp;[" &amp; TEXT(AK$6,"yyyymm")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L78" s="8">
        <f>IFERROR(
GETPIVOTDATA(
"[Base].[Importe]",
TDinamica_R!$A$5,
"[Calendario].[AñoMes]",
"[Calendario].[AñoMes].&amp;[" &amp; TEXT(AL$6,"yyyymm")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M78" s="8">
        <f>IFERROR(
GETPIVOTDATA(
"[Base].[Importe]",
TDinamica_R!$A$5,
"[Calendario].[AñoMes]",
"[Calendario].[AñoMes].&amp;[" &amp; TEXT(AM$6,"yyyymm")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N78" s="8">
        <f>IFERROR(
GETPIVOTDATA(
"[Base].[Importe]",
TDinamica_R!$A$5,
"[Calendario].[AñoMes]",
"[Calendario].[AñoMes].&amp;[" &amp; TEXT(AN$6,"yyyymm")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O78" s="8">
        <f>IFERROR(
GETPIVOTDATA(
"[Base].[Importe]",
TDinamica_R!$A$5,
"[Calendario].[AñoMes]",
"[Calendario].[AñoMes].&amp;[" &amp; TEXT(AO$6,"yyyymm")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P78" s="8">
        <f>IFERROR(
GETPIVOTDATA(
"[Base].[Importe]",
TDinamica_R!$A$5,
"[Calendario].[AñoMes]",
"[Calendario].[AñoMes].&amp;[" &amp; TEXT(AP$6,"yyyymm")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Q78" s="8">
        <f>IFERROR(
GETPIVOTDATA(
"[Base].[Importe]",
TDinamica_R!$A$5,
"[Calendario].[AñoMes]",
"[Calendario].[AñoMes].&amp;[" &amp; TEXT(AQ$6,"yyyymm")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R78" s="8">
        <f>IFERROR(
GETPIVOTDATA(
"[Base].[Importe]",
TDinamica_R!$A$5,
"[Calendario].[AñoMes]",
"[Calendario].[AñoMes].&amp;[" &amp; TEXT(AR$6,"yyyymm")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S78" s="8">
        <f>IFERROR(
GETPIVOTDATA(
"[Base].[Importe]",
TDinamica_R!$A$5,
"[Calendario].[AñoMes]",
"[Calendario].[AñoMes].&amp;[" &amp; TEXT(AS$6,"yyyymm")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T78" s="8">
        <f>IFERROR(
GETPIVOTDATA(
"[Base].[Importe]",
TDinamica_R!$A$5,
"[Calendario].[AñoMes]",
"[Calendario].[AñoMes].&amp;[" &amp; TEXT(AT$6,"yyyymm")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U78" s="8">
        <f>IFERROR(
GETPIVOTDATA(
"[Base].[Importe]",
TDinamica_R!$A$5,
"[Calendario].[AñoMes]",
"[Calendario].[AñoMes].&amp;[" &amp; TEXT(AU$6,"yyyymm")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V78" s="8">
        <f>IFERROR(
GETPIVOTDATA(
"[Base].[Importe]",
TDinamica_R!$A$5,
"[Calendario].[AñoMes]",
"[Calendario].[AñoMes].&amp;[" &amp; TEXT(AV$6,"yyyymm")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W78" s="8">
        <f>IFERROR(
GETPIVOTDATA(
"[Base].[Importe]",
TDinamica_R!$A$5,
"[Calendario].[AñoMes]",
"[Calendario].[AñoMes].&amp;[" &amp; TEXT(AW$6,"yyyymm")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X78" s="8">
        <f>IFERROR(
GETPIVOTDATA(
"[Base].[Importe]",
TDinamica_R!$A$5,
"[Calendario].[AñoMes]",
"[Calendario].[AñoMes].&amp;[" &amp; TEXT(AX$6,"yyyymm")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Y78" s="8">
        <f>IFERROR(
GETPIVOTDATA(
"[Base].[Importe]",
TDinamica_R!$A$5,
"[Calendario].[AñoMes]",
"[Calendario].[AñoMes].&amp;[" &amp; TEXT(AY$6,"yyyymm")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Z78" s="8">
        <f>IFERROR(
GETPIVOTDATA(
"[BASE_CONVE_PPTO].[Importe]",
TDinamica_P!$A$5,
"[BASE_CONVE_PPTO].[Periodo]",
"[BASE_CONVE_PPTO].[Periodo].&amp;[" &amp; TEXT(AZ$6,"yyyymm")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A78" s="8">
        <f>IFERROR(
GETPIVOTDATA(
"[BASE_CONVE_PPTO].[Importe]",
TDinamica_P!$A$5,
"[BASE_CONVE_PPTO].[Periodo]",
"[BASE_CONVE_PPTO].[Periodo].&amp;[" &amp; TEXT(BA$6,"yyyymm")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B78" s="8">
        <f>IFERROR(
GETPIVOTDATA(
"[BASE_CONVE_PPTO].[Importe]",
TDinamica_P!$A$5,
"[BASE_CONVE_PPTO].[Periodo]",
"[BASE_CONVE_PPTO].[Periodo].&amp;[" &amp; TEXT(BB$6,"yyyymm")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C78" s="8">
        <f>IFERROR(
GETPIVOTDATA(
"[BASE_CONVE_PPTO].[Importe]",
TDinamica_P!$A$5,
"[BASE_CONVE_PPTO].[Periodo]",
"[BASE_CONVE_PPTO].[Periodo].&amp;[" &amp; TEXT(BC$6,"yyyymm")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D78" s="8">
        <f>IFERROR(
GETPIVOTDATA(
"[BASE_CONVE_PPTO].[Importe]",
TDinamica_P!$A$5,
"[BASE_CONVE_PPTO].[Periodo]",
"[BASE_CONVE_PPTO].[Periodo].&amp;[" &amp; TEXT(BD$6,"yyyymm")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E78" s="8">
        <f>IFERROR(
GETPIVOTDATA(
"[BASE_CONVE_PPTO].[Importe]",
TDinamica_P!$A$5,
"[BASE_CONVE_PPTO].[Periodo]",
"[BASE_CONVE_PPTO].[Periodo].&amp;[" &amp; TEXT(BE$6,"yyyymm")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F78" s="8">
        <f>IFERROR(
GETPIVOTDATA(
"[BASE_CONVE_PPTO].[Importe]",
TDinamica_P!$A$5,
"[BASE_CONVE_PPTO].[Periodo]",
"[BASE_CONVE_PPTO].[Periodo].&amp;[" &amp; TEXT(BF$6,"yyyymm")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G78" s="8">
        <f>IFERROR(
GETPIVOTDATA(
"[BASE_CONVE_PPTO].[Importe]",
TDinamica_P!$A$5,
"[BASE_CONVE_PPTO].[Periodo]",
"[BASE_CONVE_PPTO].[Periodo].&amp;[" &amp; TEXT(BG$6,"yyyymm")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H78" s="8">
        <f>IFERROR(
GETPIVOTDATA(
"[BASE_CONVE_PPTO].[Importe]",
TDinamica_P!$A$5,
"[BASE_CONVE_PPTO].[Periodo]",
"[BASE_CONVE_PPTO].[Periodo].&amp;[" &amp; TEXT(BH$6,"yyyymm")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I78" s="8">
        <f>IFERROR(
GETPIVOTDATA(
"[BASE_CONVE_PPTO].[Importe]",
TDinamica_P!$A$5,
"[BASE_CONVE_PPTO].[Periodo]",
"[BASE_CONVE_PPTO].[Periodo].&amp;[" &amp; TEXT(BI$6,"yyyymm")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J78" s="8">
        <f>IFERROR(
GETPIVOTDATA(
"[BASE_CONVE_PPTO].[Importe]",
TDinamica_P!$A$5,
"[BASE_CONVE_PPTO].[Periodo]",
"[BASE_CONVE_PPTO].[Periodo].&amp;[" &amp; TEXT(BJ$6,"yyyymm")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K78" s="8">
        <f>IFERROR(
GETPIVOTDATA(
"[BASE_CONVE_PPTO].[Importe]",
TDinamica_P!$A$5,
"[BASE_CONVE_PPTO].[Periodo]",
"[BASE_CONVE_PPTO].[Periodo].&amp;[" &amp; TEXT(BK$6,"yyyymm") &amp; "]",
"[BASE_CONVE_PPTO].[Metrica]",
"[BASE_CONVE_PPTO].[Metrica].&amp;[" &amp; $A78 &amp; "]",
"[BASE_CONVE_PPTO].[SEGMENTO_DESCRIP]",
"[BASE_CONVE_PPTO].[SEGMENTO_DESCRIP].&amp;[" &amp; $C$6 &amp; "]",
"[BASE_CONVE_PPTO].[SITUACION]",
"[BASE_CONVE_PPTO].[SITUACION].&amp;[" &amp; $C78 &amp; "]"),
0)</f>
        <v>0</v>
      </c>
      <c r="BO78" s="24">
        <f t="shared" si="50"/>
        <v>0</v>
      </c>
      <c r="BP78" s="24">
        <f t="shared" si="50"/>
        <v>0</v>
      </c>
      <c r="BQ78" s="24">
        <f t="shared" si="50"/>
        <v>0</v>
      </c>
      <c r="BR78" s="24">
        <f t="shared" si="50"/>
        <v>0</v>
      </c>
      <c r="BS78" s="24">
        <f t="shared" si="50"/>
        <v>0</v>
      </c>
      <c r="BT78" s="24">
        <f t="shared" si="50"/>
        <v>0</v>
      </c>
    </row>
    <row r="79" spans="1:72" outlineLevel="1" x14ac:dyDescent="0.25">
      <c r="A79" s="11" t="s">
        <v>71</v>
      </c>
      <c r="C79" s="2"/>
      <c r="D79" s="8">
        <f>IFERROR(
GETPIVOTDATA(
"[Base].[Importe]",
TDinamica_R!$A$5,
"[Calendario].[AñoMes]",
"[Calendario].[AñoMes].&amp;[" &amp; TEXT(D$6,"yyyymm")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E79" s="8">
        <f>IFERROR(
GETPIVOTDATA(
"[Base].[Importe]",
TDinamica_R!$A$5,
"[Calendario].[AñoMes]",
"[Calendario].[AñoMes].&amp;[" &amp; TEXT(E$6,"yyyymm")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F79" s="8">
        <f>IFERROR(
GETPIVOTDATA(
"[Base].[Importe]",
TDinamica_R!$A$5,
"[Calendario].[AñoMes]",
"[Calendario].[AñoMes].&amp;[" &amp; TEXT(F$6,"yyyymm")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G79" s="8">
        <f>IFERROR(
GETPIVOTDATA(
"[Base].[Importe]",
TDinamica_R!$A$5,
"[Calendario].[AñoMes]",
"[Calendario].[AñoMes].&amp;[" &amp; TEXT(G$6,"yyyymm")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H79" s="8">
        <f>IFERROR(
GETPIVOTDATA(
"[Base].[Importe]",
TDinamica_R!$A$5,
"[Calendario].[AñoMes]",
"[Calendario].[AñoMes].&amp;[" &amp; TEXT(H$6,"yyyymm")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I79" s="8">
        <f>IFERROR(
GETPIVOTDATA(
"[Base].[Importe]",
TDinamica_R!$A$5,
"[Calendario].[AñoMes]",
"[Calendario].[AñoMes].&amp;[" &amp; TEXT(I$6,"yyyymm")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J79" s="8">
        <f>IFERROR(
GETPIVOTDATA(
"[Base].[Importe]",
TDinamica_R!$A$5,
"[Calendario].[AñoMes]",
"[Calendario].[AñoMes].&amp;[" &amp; TEXT(J$6,"yyyymm")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K79" s="8">
        <f>IFERROR(
GETPIVOTDATA(
"[Base].[Importe]",
TDinamica_R!$A$5,
"[Calendario].[AñoMes]",
"[Calendario].[AñoMes].&amp;[" &amp; TEXT(K$6,"yyyymm")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L79" s="8">
        <f>IFERROR(
GETPIVOTDATA(
"[Base].[Importe]",
TDinamica_R!$A$5,
"[Calendario].[AñoMes]",
"[Calendario].[AñoMes].&amp;[" &amp; TEXT(L$6,"yyyymm")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M79" s="8">
        <f>IFERROR(
GETPIVOTDATA(
"[Base].[Importe]",
TDinamica_R!$A$5,
"[Calendario].[AñoMes]",
"[Calendario].[AñoMes].&amp;[" &amp; TEXT(M$6,"yyyymm")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N79" s="8">
        <f>IFERROR(
GETPIVOTDATA(
"[Base].[Importe]",
TDinamica_R!$A$5,
"[Calendario].[AñoMes]",
"[Calendario].[AñoMes].&amp;[" &amp; TEXT(N$6,"yyyymm")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O79" s="8">
        <f>IFERROR(
GETPIVOTDATA(
"[Base].[Importe]",
TDinamica_R!$A$5,
"[Calendario].[AñoMes]",
"[Calendario].[AñoMes].&amp;[" &amp; TEXT(O$6,"yyyymm")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P79" s="8">
        <f>IFERROR(
GETPIVOTDATA(
"[Base].[Importe]",
TDinamica_R!$A$5,
"[Calendario].[AñoMes]",
"[Calendario].[AñoMes].&amp;[" &amp; TEXT(P$6,"yyyymm")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Q79" s="8">
        <f>IFERROR(
GETPIVOTDATA(
"[Base].[Importe]",
TDinamica_R!$A$5,
"[Calendario].[AñoMes]",
"[Calendario].[AñoMes].&amp;[" &amp; TEXT(Q$6,"yyyymm")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R79" s="8">
        <f>IFERROR(
GETPIVOTDATA(
"[Base].[Importe]",
TDinamica_R!$A$5,
"[Calendario].[AñoMes]",
"[Calendario].[AñoMes].&amp;[" &amp; TEXT(R$6,"yyyymm")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S79" s="8">
        <f>IFERROR(
GETPIVOTDATA(
"[Base].[Importe]",
TDinamica_R!$A$5,
"[Calendario].[AñoMes]",
"[Calendario].[AñoMes].&amp;[" &amp; TEXT(S$6,"yyyymm")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T79" s="8">
        <f>IFERROR(
GETPIVOTDATA(
"[Base].[Importe]",
TDinamica_R!$A$5,
"[Calendario].[AñoMes]",
"[Calendario].[AñoMes].&amp;[" &amp; TEXT(T$6,"yyyymm")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U79" s="8">
        <f>IFERROR(
GETPIVOTDATA(
"[Base].[Importe]",
TDinamica_R!$A$5,
"[Calendario].[AñoMes]",
"[Calendario].[AñoMes].&amp;[" &amp; TEXT(U$6,"yyyymm")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V79" s="8">
        <f>IFERROR(
GETPIVOTDATA(
"[Base].[Importe]",
TDinamica_R!$A$5,
"[Calendario].[AñoMes]",
"[Calendario].[AñoMes].&amp;[" &amp; TEXT(V$6,"yyyymm")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W79" s="8">
        <f>IFERROR(
GETPIVOTDATA(
"[Base].[Importe]",
TDinamica_R!$A$5,
"[Calendario].[AñoMes]",
"[Calendario].[AñoMes].&amp;[" &amp; TEXT(W$6,"yyyymm")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X79" s="8">
        <f>IFERROR(
GETPIVOTDATA(
"[Base].[Importe]",
TDinamica_R!$A$5,
"[Calendario].[AñoMes]",
"[Calendario].[AñoMes].&amp;[" &amp; TEXT(X$6,"yyyymm")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Y79" s="8">
        <f>IFERROR(
GETPIVOTDATA(
"[Base].[Importe]",
TDinamica_R!$A$5,
"[Calendario].[AñoMes]",
"[Calendario].[AñoMes].&amp;[" &amp; TEXT(Y$6,"yyyymm")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Z79" s="8">
        <f>IFERROR(
GETPIVOTDATA(
"[Base].[Importe]",
TDinamica_R!$A$5,
"[Calendario].[AñoMes]",
"[Calendario].[AñoMes].&amp;[" &amp; TEXT(Z$6,"yyyymm")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A79" s="8">
        <f>IFERROR(
GETPIVOTDATA(
"[Base].[Importe]",
TDinamica_R!$A$5,
"[Calendario].[AñoMes]",
"[Calendario].[AñoMes].&amp;[" &amp; TEXT(AA$6,"yyyymm")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B79" s="8">
        <f>IFERROR(
GETPIVOTDATA(
"[Base].[Importe]",
TDinamica_R!$A$5,
"[Calendario].[AñoMes]",
"[Calendario].[AñoMes].&amp;[" &amp; TEXT(AB$6,"yyyymm")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C79" s="8">
        <f>IFERROR(
GETPIVOTDATA(
"[Base].[Importe]",
TDinamica_R!$A$5,
"[Calendario].[AñoMes]",
"[Calendario].[AñoMes].&amp;[" &amp; TEXT(AC$6,"yyyymm")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D79" s="8">
        <f>IFERROR(
GETPIVOTDATA(
"[Base].[Importe]",
TDinamica_R!$A$5,
"[Calendario].[AñoMes]",
"[Calendario].[AñoMes].&amp;[" &amp; TEXT(AD$6,"yyyymm")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E79" s="8">
        <f>IFERROR(
GETPIVOTDATA(
"[Base].[Importe]",
TDinamica_R!$A$5,
"[Calendario].[AñoMes]",
"[Calendario].[AñoMes].&amp;[" &amp; TEXT(AE$6,"yyyymm")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F79" s="8">
        <f>IFERROR(
GETPIVOTDATA(
"[Base].[Importe]",
TDinamica_R!$A$5,
"[Calendario].[AñoMes]",
"[Calendario].[AñoMes].&amp;[" &amp; TEXT(AF$6,"yyyymm")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G79" s="8">
        <f>IFERROR(
GETPIVOTDATA(
"[Base].[Importe]",
TDinamica_R!$A$5,
"[Calendario].[AñoMes]",
"[Calendario].[AñoMes].&amp;[" &amp; TEXT(AG$6,"yyyymm")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H79" s="8">
        <f>IFERROR(
GETPIVOTDATA(
"[Base].[Importe]",
TDinamica_R!$A$5,
"[Calendario].[AñoMes]",
"[Calendario].[AñoMes].&amp;[" &amp; TEXT(AH$6,"yyyymm")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I79" s="8">
        <f>IFERROR(
GETPIVOTDATA(
"[Base].[Importe]",
TDinamica_R!$A$5,
"[Calendario].[AñoMes]",
"[Calendario].[AñoMes].&amp;[" &amp; TEXT(AI$6,"yyyymm")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J79" s="8">
        <f>IFERROR(
GETPIVOTDATA(
"[Base].[Importe]",
TDinamica_R!$A$5,
"[Calendario].[AñoMes]",
"[Calendario].[AñoMes].&amp;[" &amp; TEXT(AJ$6,"yyyymm")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K79" s="8">
        <f>IFERROR(
GETPIVOTDATA(
"[Base].[Importe]",
TDinamica_R!$A$5,
"[Calendario].[AñoMes]",
"[Calendario].[AñoMes].&amp;[" &amp; TEXT(AK$6,"yyyymm")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L79" s="8">
        <f>IFERROR(
GETPIVOTDATA(
"[Base].[Importe]",
TDinamica_R!$A$5,
"[Calendario].[AñoMes]",
"[Calendario].[AñoMes].&amp;[" &amp; TEXT(AL$6,"yyyymm")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M79" s="8">
        <f>IFERROR(
GETPIVOTDATA(
"[Base].[Importe]",
TDinamica_R!$A$5,
"[Calendario].[AñoMes]",
"[Calendario].[AñoMes].&amp;[" &amp; TEXT(AM$6,"yyyymm")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N79" s="8">
        <f>IFERROR(
GETPIVOTDATA(
"[Base].[Importe]",
TDinamica_R!$A$5,
"[Calendario].[AñoMes]",
"[Calendario].[AñoMes].&amp;[" &amp; TEXT(AN$6,"yyyymm")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O79" s="8">
        <f>IFERROR(
GETPIVOTDATA(
"[Base].[Importe]",
TDinamica_R!$A$5,
"[Calendario].[AñoMes]",
"[Calendario].[AñoMes].&amp;[" &amp; TEXT(AO$6,"yyyymm")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P79" s="8">
        <f>IFERROR(
GETPIVOTDATA(
"[Base].[Importe]",
TDinamica_R!$A$5,
"[Calendario].[AñoMes]",
"[Calendario].[AñoMes].&amp;[" &amp; TEXT(AP$6,"yyyymm")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Q79" s="8">
        <f>IFERROR(
GETPIVOTDATA(
"[Base].[Importe]",
TDinamica_R!$A$5,
"[Calendario].[AñoMes]",
"[Calendario].[AñoMes].&amp;[" &amp; TEXT(AQ$6,"yyyymm")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R79" s="8">
        <f>IFERROR(
GETPIVOTDATA(
"[Base].[Importe]",
TDinamica_R!$A$5,
"[Calendario].[AñoMes]",
"[Calendario].[AñoMes].&amp;[" &amp; TEXT(AR$6,"yyyymm")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S79" s="8">
        <f>IFERROR(
GETPIVOTDATA(
"[Base].[Importe]",
TDinamica_R!$A$5,
"[Calendario].[AñoMes]",
"[Calendario].[AñoMes].&amp;[" &amp; TEXT(AS$6,"yyyymm")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T79" s="8">
        <f>IFERROR(
GETPIVOTDATA(
"[Base].[Importe]",
TDinamica_R!$A$5,
"[Calendario].[AñoMes]",
"[Calendario].[AñoMes].&amp;[" &amp; TEXT(AT$6,"yyyymm")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U79" s="8">
        <f>IFERROR(
GETPIVOTDATA(
"[Base].[Importe]",
TDinamica_R!$A$5,
"[Calendario].[AñoMes]",
"[Calendario].[AñoMes].&amp;[" &amp; TEXT(AU$6,"yyyymm")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V79" s="8">
        <f>IFERROR(
GETPIVOTDATA(
"[Base].[Importe]",
TDinamica_R!$A$5,
"[Calendario].[AñoMes]",
"[Calendario].[AñoMes].&amp;[" &amp; TEXT(AV$6,"yyyymm")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W79" s="8">
        <f>IFERROR(
GETPIVOTDATA(
"[Base].[Importe]",
TDinamica_R!$A$5,
"[Calendario].[AñoMes]",
"[Calendario].[AñoMes].&amp;[" &amp; TEXT(AW$6,"yyyymm")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X79" s="8">
        <f>IFERROR(
GETPIVOTDATA(
"[Base].[Importe]",
TDinamica_R!$A$5,
"[Calendario].[AñoMes]",
"[Calendario].[AñoMes].&amp;[" &amp; TEXT(AX$6,"yyyymm")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Y79" s="8">
        <f>IFERROR(
GETPIVOTDATA(
"[Base].[Importe]",
TDinamica_R!$A$5,
"[Calendario].[AñoMes]",
"[Calendario].[AñoMes].&amp;[" &amp; TEXT(AY$6,"yyyymm")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Z79" s="8">
        <f>IFERROR(
GETPIVOTDATA(
"[BASE_CONVE_PPTO].[Importe]",
TDinamica_P!$A$5,
"[BASE_CONVE_PPTO].[Periodo]",
"[BASE_CONVE_PPTO].[Periodo].&amp;[" &amp; TEXT(AZ$6,"yyyymm")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A79" s="8">
        <f>IFERROR(
GETPIVOTDATA(
"[BASE_CONVE_PPTO].[Importe]",
TDinamica_P!$A$5,
"[BASE_CONVE_PPTO].[Periodo]",
"[BASE_CONVE_PPTO].[Periodo].&amp;[" &amp; TEXT(BA$6,"yyyymm")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B79" s="8">
        <f>IFERROR(
GETPIVOTDATA(
"[BASE_CONVE_PPTO].[Importe]",
TDinamica_P!$A$5,
"[BASE_CONVE_PPTO].[Periodo]",
"[BASE_CONVE_PPTO].[Periodo].&amp;[" &amp; TEXT(BB$6,"yyyymm")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C79" s="8">
        <f>IFERROR(
GETPIVOTDATA(
"[BASE_CONVE_PPTO].[Importe]",
TDinamica_P!$A$5,
"[BASE_CONVE_PPTO].[Periodo]",
"[BASE_CONVE_PPTO].[Periodo].&amp;[" &amp; TEXT(BC$6,"yyyymm")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D79" s="8">
        <f>IFERROR(
GETPIVOTDATA(
"[BASE_CONVE_PPTO].[Importe]",
TDinamica_P!$A$5,
"[BASE_CONVE_PPTO].[Periodo]",
"[BASE_CONVE_PPTO].[Periodo].&amp;[" &amp; TEXT(BD$6,"yyyymm")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E79" s="8">
        <f>IFERROR(
GETPIVOTDATA(
"[BASE_CONVE_PPTO].[Importe]",
TDinamica_P!$A$5,
"[BASE_CONVE_PPTO].[Periodo]",
"[BASE_CONVE_PPTO].[Periodo].&amp;[" &amp; TEXT(BE$6,"yyyymm")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F79" s="8">
        <f>IFERROR(
GETPIVOTDATA(
"[BASE_CONVE_PPTO].[Importe]",
TDinamica_P!$A$5,
"[BASE_CONVE_PPTO].[Periodo]",
"[BASE_CONVE_PPTO].[Periodo].&amp;[" &amp; TEXT(BF$6,"yyyymm")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G79" s="8">
        <f>IFERROR(
GETPIVOTDATA(
"[BASE_CONVE_PPTO].[Importe]",
TDinamica_P!$A$5,
"[BASE_CONVE_PPTO].[Periodo]",
"[BASE_CONVE_PPTO].[Periodo].&amp;[" &amp; TEXT(BG$6,"yyyymm")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H79" s="8">
        <f>IFERROR(
GETPIVOTDATA(
"[BASE_CONVE_PPTO].[Importe]",
TDinamica_P!$A$5,
"[BASE_CONVE_PPTO].[Periodo]",
"[BASE_CONVE_PPTO].[Periodo].&amp;[" &amp; TEXT(BH$6,"yyyymm")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I79" s="8">
        <f>IFERROR(
GETPIVOTDATA(
"[BASE_CONVE_PPTO].[Importe]",
TDinamica_P!$A$5,
"[BASE_CONVE_PPTO].[Periodo]",
"[BASE_CONVE_PPTO].[Periodo].&amp;[" &amp; TEXT(BI$6,"yyyymm")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J79" s="8">
        <f>IFERROR(
GETPIVOTDATA(
"[BASE_CONVE_PPTO].[Importe]",
TDinamica_P!$A$5,
"[BASE_CONVE_PPTO].[Periodo]",
"[BASE_CONVE_PPTO].[Periodo].&amp;[" &amp; TEXT(BJ$6,"yyyymm")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K79" s="8">
        <f>IFERROR(
GETPIVOTDATA(
"[BASE_CONVE_PPTO].[Importe]",
TDinamica_P!$A$5,
"[BASE_CONVE_PPTO].[Periodo]",
"[BASE_CONVE_PPTO].[Periodo].&amp;[" &amp; TEXT(BK$6,"yyyymm") &amp; "]",
"[BASE_CONVE_PPTO].[Metrica]",
"[BASE_CONVE_PPTO].[Metrica].&amp;[" &amp; $A79 &amp; "]",
"[BASE_CONVE_PPTO].[SEGMENTO_DESCRIP]",
"[BASE_CONVE_PPTO].[SEGMENTO_DESCRIP].&amp;[" &amp; $C$6 &amp; "]",
"[BASE_CONVE_PPTO].[SITUACION]",
"[BASE_CONVE_PPTO].[SITUACION].&amp;[" &amp; $C79 &amp; "]"),
0)</f>
        <v>0</v>
      </c>
      <c r="BO79" s="24">
        <f t="shared" si="50"/>
        <v>0</v>
      </c>
      <c r="BP79" s="24">
        <f t="shared" si="50"/>
        <v>0</v>
      </c>
      <c r="BQ79" s="24">
        <f t="shared" si="50"/>
        <v>0</v>
      </c>
      <c r="BR79" s="24">
        <f t="shared" si="50"/>
        <v>0</v>
      </c>
      <c r="BS79" s="24">
        <f t="shared" si="50"/>
        <v>0</v>
      </c>
      <c r="BT79" s="24">
        <f t="shared" si="50"/>
        <v>0</v>
      </c>
    </row>
    <row r="80" spans="1:72" outlineLevel="1" x14ac:dyDescent="0.25">
      <c r="A80" s="11" t="s">
        <v>71</v>
      </c>
      <c r="C80" s="2"/>
      <c r="D80" s="8">
        <f>IFERROR(
GETPIVOTDATA(
"[Base].[Importe]",
TDinamica_R!$A$5,
"[Calendario].[AñoMes]",
"[Calendario].[AñoMes].&amp;[" &amp; TEXT(D$6,"yyyymm")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E80" s="8">
        <f>IFERROR(
GETPIVOTDATA(
"[Base].[Importe]",
TDinamica_R!$A$5,
"[Calendario].[AñoMes]",
"[Calendario].[AñoMes].&amp;[" &amp; TEXT(E$6,"yyyymm")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F80" s="8">
        <f>IFERROR(
GETPIVOTDATA(
"[Base].[Importe]",
TDinamica_R!$A$5,
"[Calendario].[AñoMes]",
"[Calendario].[AñoMes].&amp;[" &amp; TEXT(F$6,"yyyymm")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G80" s="8">
        <f>IFERROR(
GETPIVOTDATA(
"[Base].[Importe]",
TDinamica_R!$A$5,
"[Calendario].[AñoMes]",
"[Calendario].[AñoMes].&amp;[" &amp; TEXT(G$6,"yyyymm")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H80" s="8">
        <f>IFERROR(
GETPIVOTDATA(
"[Base].[Importe]",
TDinamica_R!$A$5,
"[Calendario].[AñoMes]",
"[Calendario].[AñoMes].&amp;[" &amp; TEXT(H$6,"yyyymm")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I80" s="8">
        <f>IFERROR(
GETPIVOTDATA(
"[Base].[Importe]",
TDinamica_R!$A$5,
"[Calendario].[AñoMes]",
"[Calendario].[AñoMes].&amp;[" &amp; TEXT(I$6,"yyyymm")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J80" s="8">
        <f>IFERROR(
GETPIVOTDATA(
"[Base].[Importe]",
TDinamica_R!$A$5,
"[Calendario].[AñoMes]",
"[Calendario].[AñoMes].&amp;[" &amp; TEXT(J$6,"yyyymm")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K80" s="8">
        <f>IFERROR(
GETPIVOTDATA(
"[Base].[Importe]",
TDinamica_R!$A$5,
"[Calendario].[AñoMes]",
"[Calendario].[AñoMes].&amp;[" &amp; TEXT(K$6,"yyyymm")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L80" s="8">
        <f>IFERROR(
GETPIVOTDATA(
"[Base].[Importe]",
TDinamica_R!$A$5,
"[Calendario].[AñoMes]",
"[Calendario].[AñoMes].&amp;[" &amp; TEXT(L$6,"yyyymm")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M80" s="8">
        <f>IFERROR(
GETPIVOTDATA(
"[Base].[Importe]",
TDinamica_R!$A$5,
"[Calendario].[AñoMes]",
"[Calendario].[AñoMes].&amp;[" &amp; TEXT(M$6,"yyyymm")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N80" s="8">
        <f>IFERROR(
GETPIVOTDATA(
"[Base].[Importe]",
TDinamica_R!$A$5,
"[Calendario].[AñoMes]",
"[Calendario].[AñoMes].&amp;[" &amp; TEXT(N$6,"yyyymm")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O80" s="8">
        <f>IFERROR(
GETPIVOTDATA(
"[Base].[Importe]",
TDinamica_R!$A$5,
"[Calendario].[AñoMes]",
"[Calendario].[AñoMes].&amp;[" &amp; TEXT(O$6,"yyyymm")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P80" s="8">
        <f>IFERROR(
GETPIVOTDATA(
"[Base].[Importe]",
TDinamica_R!$A$5,
"[Calendario].[AñoMes]",
"[Calendario].[AñoMes].&amp;[" &amp; TEXT(P$6,"yyyymm")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Q80" s="8">
        <f>IFERROR(
GETPIVOTDATA(
"[Base].[Importe]",
TDinamica_R!$A$5,
"[Calendario].[AñoMes]",
"[Calendario].[AñoMes].&amp;[" &amp; TEXT(Q$6,"yyyymm")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R80" s="8">
        <f>IFERROR(
GETPIVOTDATA(
"[Base].[Importe]",
TDinamica_R!$A$5,
"[Calendario].[AñoMes]",
"[Calendario].[AñoMes].&amp;[" &amp; TEXT(R$6,"yyyymm")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S80" s="8">
        <f>IFERROR(
GETPIVOTDATA(
"[Base].[Importe]",
TDinamica_R!$A$5,
"[Calendario].[AñoMes]",
"[Calendario].[AñoMes].&amp;[" &amp; TEXT(S$6,"yyyymm")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T80" s="8">
        <f>IFERROR(
GETPIVOTDATA(
"[Base].[Importe]",
TDinamica_R!$A$5,
"[Calendario].[AñoMes]",
"[Calendario].[AñoMes].&amp;[" &amp; TEXT(T$6,"yyyymm")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U80" s="8">
        <f>IFERROR(
GETPIVOTDATA(
"[Base].[Importe]",
TDinamica_R!$A$5,
"[Calendario].[AñoMes]",
"[Calendario].[AñoMes].&amp;[" &amp; TEXT(U$6,"yyyymm")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V80" s="8">
        <f>IFERROR(
GETPIVOTDATA(
"[Base].[Importe]",
TDinamica_R!$A$5,
"[Calendario].[AñoMes]",
"[Calendario].[AñoMes].&amp;[" &amp; TEXT(V$6,"yyyymm")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W80" s="8">
        <f>IFERROR(
GETPIVOTDATA(
"[Base].[Importe]",
TDinamica_R!$A$5,
"[Calendario].[AñoMes]",
"[Calendario].[AñoMes].&amp;[" &amp; TEXT(W$6,"yyyymm")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X80" s="8">
        <f>IFERROR(
GETPIVOTDATA(
"[Base].[Importe]",
TDinamica_R!$A$5,
"[Calendario].[AñoMes]",
"[Calendario].[AñoMes].&amp;[" &amp; TEXT(X$6,"yyyymm")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Y80" s="8">
        <f>IFERROR(
GETPIVOTDATA(
"[Base].[Importe]",
TDinamica_R!$A$5,
"[Calendario].[AñoMes]",
"[Calendario].[AñoMes].&amp;[" &amp; TEXT(Y$6,"yyyymm")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Z80" s="8">
        <f>IFERROR(
GETPIVOTDATA(
"[Base].[Importe]",
TDinamica_R!$A$5,
"[Calendario].[AñoMes]",
"[Calendario].[AñoMes].&amp;[" &amp; TEXT(Z$6,"yyyymm")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A80" s="8">
        <f>IFERROR(
GETPIVOTDATA(
"[Base].[Importe]",
TDinamica_R!$A$5,
"[Calendario].[AñoMes]",
"[Calendario].[AñoMes].&amp;[" &amp; TEXT(AA$6,"yyyymm")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B80" s="8">
        <f>IFERROR(
GETPIVOTDATA(
"[Base].[Importe]",
TDinamica_R!$A$5,
"[Calendario].[AñoMes]",
"[Calendario].[AñoMes].&amp;[" &amp; TEXT(AB$6,"yyyymm")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C80" s="8">
        <f>IFERROR(
GETPIVOTDATA(
"[Base].[Importe]",
TDinamica_R!$A$5,
"[Calendario].[AñoMes]",
"[Calendario].[AñoMes].&amp;[" &amp; TEXT(AC$6,"yyyymm")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D80" s="8">
        <f>IFERROR(
GETPIVOTDATA(
"[Base].[Importe]",
TDinamica_R!$A$5,
"[Calendario].[AñoMes]",
"[Calendario].[AñoMes].&amp;[" &amp; TEXT(AD$6,"yyyymm")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E80" s="8">
        <f>IFERROR(
GETPIVOTDATA(
"[Base].[Importe]",
TDinamica_R!$A$5,
"[Calendario].[AñoMes]",
"[Calendario].[AñoMes].&amp;[" &amp; TEXT(AE$6,"yyyymm")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F80" s="8">
        <f>IFERROR(
GETPIVOTDATA(
"[Base].[Importe]",
TDinamica_R!$A$5,
"[Calendario].[AñoMes]",
"[Calendario].[AñoMes].&amp;[" &amp; TEXT(AF$6,"yyyymm")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G80" s="8">
        <f>IFERROR(
GETPIVOTDATA(
"[Base].[Importe]",
TDinamica_R!$A$5,
"[Calendario].[AñoMes]",
"[Calendario].[AñoMes].&amp;[" &amp; TEXT(AG$6,"yyyymm")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H80" s="8">
        <f>IFERROR(
GETPIVOTDATA(
"[Base].[Importe]",
TDinamica_R!$A$5,
"[Calendario].[AñoMes]",
"[Calendario].[AñoMes].&amp;[" &amp; TEXT(AH$6,"yyyymm")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I80" s="8">
        <f>IFERROR(
GETPIVOTDATA(
"[Base].[Importe]",
TDinamica_R!$A$5,
"[Calendario].[AñoMes]",
"[Calendario].[AñoMes].&amp;[" &amp; TEXT(AI$6,"yyyymm")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J80" s="8">
        <f>IFERROR(
GETPIVOTDATA(
"[Base].[Importe]",
TDinamica_R!$A$5,
"[Calendario].[AñoMes]",
"[Calendario].[AñoMes].&amp;[" &amp; TEXT(AJ$6,"yyyymm")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K80" s="8">
        <f>IFERROR(
GETPIVOTDATA(
"[Base].[Importe]",
TDinamica_R!$A$5,
"[Calendario].[AñoMes]",
"[Calendario].[AñoMes].&amp;[" &amp; TEXT(AK$6,"yyyymm")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L80" s="8">
        <f>IFERROR(
GETPIVOTDATA(
"[Base].[Importe]",
TDinamica_R!$A$5,
"[Calendario].[AñoMes]",
"[Calendario].[AñoMes].&amp;[" &amp; TEXT(AL$6,"yyyymm")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M80" s="8">
        <f>IFERROR(
GETPIVOTDATA(
"[Base].[Importe]",
TDinamica_R!$A$5,
"[Calendario].[AñoMes]",
"[Calendario].[AñoMes].&amp;[" &amp; TEXT(AM$6,"yyyymm")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N80" s="8">
        <f>IFERROR(
GETPIVOTDATA(
"[Base].[Importe]",
TDinamica_R!$A$5,
"[Calendario].[AñoMes]",
"[Calendario].[AñoMes].&amp;[" &amp; TEXT(AN$6,"yyyymm")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O80" s="8">
        <f>IFERROR(
GETPIVOTDATA(
"[Base].[Importe]",
TDinamica_R!$A$5,
"[Calendario].[AñoMes]",
"[Calendario].[AñoMes].&amp;[" &amp; TEXT(AO$6,"yyyymm")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P80" s="8">
        <f>IFERROR(
GETPIVOTDATA(
"[Base].[Importe]",
TDinamica_R!$A$5,
"[Calendario].[AñoMes]",
"[Calendario].[AñoMes].&amp;[" &amp; TEXT(AP$6,"yyyymm")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Q80" s="8">
        <f>IFERROR(
GETPIVOTDATA(
"[Base].[Importe]",
TDinamica_R!$A$5,
"[Calendario].[AñoMes]",
"[Calendario].[AñoMes].&amp;[" &amp; TEXT(AQ$6,"yyyymm")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R80" s="8">
        <f>IFERROR(
GETPIVOTDATA(
"[Base].[Importe]",
TDinamica_R!$A$5,
"[Calendario].[AñoMes]",
"[Calendario].[AñoMes].&amp;[" &amp; TEXT(AR$6,"yyyymm")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S80" s="8">
        <f>IFERROR(
GETPIVOTDATA(
"[Base].[Importe]",
TDinamica_R!$A$5,
"[Calendario].[AñoMes]",
"[Calendario].[AñoMes].&amp;[" &amp; TEXT(AS$6,"yyyymm")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T80" s="8">
        <f>IFERROR(
GETPIVOTDATA(
"[Base].[Importe]",
TDinamica_R!$A$5,
"[Calendario].[AñoMes]",
"[Calendario].[AñoMes].&amp;[" &amp; TEXT(AT$6,"yyyymm")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U80" s="8">
        <f>IFERROR(
GETPIVOTDATA(
"[Base].[Importe]",
TDinamica_R!$A$5,
"[Calendario].[AñoMes]",
"[Calendario].[AñoMes].&amp;[" &amp; TEXT(AU$6,"yyyymm")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V80" s="8">
        <f>IFERROR(
GETPIVOTDATA(
"[Base].[Importe]",
TDinamica_R!$A$5,
"[Calendario].[AñoMes]",
"[Calendario].[AñoMes].&amp;[" &amp; TEXT(AV$6,"yyyymm")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W80" s="8">
        <f>IFERROR(
GETPIVOTDATA(
"[Base].[Importe]",
TDinamica_R!$A$5,
"[Calendario].[AñoMes]",
"[Calendario].[AñoMes].&amp;[" &amp; TEXT(AW$6,"yyyymm")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X80" s="8">
        <f>IFERROR(
GETPIVOTDATA(
"[Base].[Importe]",
TDinamica_R!$A$5,
"[Calendario].[AñoMes]",
"[Calendario].[AñoMes].&amp;[" &amp; TEXT(AX$6,"yyyymm")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Y80" s="8">
        <f>IFERROR(
GETPIVOTDATA(
"[Base].[Importe]",
TDinamica_R!$A$5,
"[Calendario].[AñoMes]",
"[Calendario].[AñoMes].&amp;[" &amp; TEXT(AY$6,"yyyymm")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Z80" s="8">
        <f>IFERROR(
GETPIVOTDATA(
"[BASE_CONVE_PPTO].[Importe]",
TDinamica_P!$A$5,
"[BASE_CONVE_PPTO].[Periodo]",
"[BASE_CONVE_PPTO].[Periodo].&amp;[" &amp; TEXT(AZ$6,"yyyymm")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A80" s="8">
        <f>IFERROR(
GETPIVOTDATA(
"[BASE_CONVE_PPTO].[Importe]",
TDinamica_P!$A$5,
"[BASE_CONVE_PPTO].[Periodo]",
"[BASE_CONVE_PPTO].[Periodo].&amp;[" &amp; TEXT(BA$6,"yyyymm")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B80" s="8">
        <f>IFERROR(
GETPIVOTDATA(
"[BASE_CONVE_PPTO].[Importe]",
TDinamica_P!$A$5,
"[BASE_CONVE_PPTO].[Periodo]",
"[BASE_CONVE_PPTO].[Periodo].&amp;[" &amp; TEXT(BB$6,"yyyymm")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C80" s="8">
        <f>IFERROR(
GETPIVOTDATA(
"[BASE_CONVE_PPTO].[Importe]",
TDinamica_P!$A$5,
"[BASE_CONVE_PPTO].[Periodo]",
"[BASE_CONVE_PPTO].[Periodo].&amp;[" &amp; TEXT(BC$6,"yyyymm")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D80" s="8">
        <f>IFERROR(
GETPIVOTDATA(
"[BASE_CONVE_PPTO].[Importe]",
TDinamica_P!$A$5,
"[BASE_CONVE_PPTO].[Periodo]",
"[BASE_CONVE_PPTO].[Periodo].&amp;[" &amp; TEXT(BD$6,"yyyymm")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E80" s="8">
        <f>IFERROR(
GETPIVOTDATA(
"[BASE_CONVE_PPTO].[Importe]",
TDinamica_P!$A$5,
"[BASE_CONVE_PPTO].[Periodo]",
"[BASE_CONVE_PPTO].[Periodo].&amp;[" &amp; TEXT(BE$6,"yyyymm")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F80" s="8">
        <f>IFERROR(
GETPIVOTDATA(
"[BASE_CONVE_PPTO].[Importe]",
TDinamica_P!$A$5,
"[BASE_CONVE_PPTO].[Periodo]",
"[BASE_CONVE_PPTO].[Periodo].&amp;[" &amp; TEXT(BF$6,"yyyymm")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G80" s="8">
        <f>IFERROR(
GETPIVOTDATA(
"[BASE_CONVE_PPTO].[Importe]",
TDinamica_P!$A$5,
"[BASE_CONVE_PPTO].[Periodo]",
"[BASE_CONVE_PPTO].[Periodo].&amp;[" &amp; TEXT(BG$6,"yyyymm")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H80" s="8">
        <f>IFERROR(
GETPIVOTDATA(
"[BASE_CONVE_PPTO].[Importe]",
TDinamica_P!$A$5,
"[BASE_CONVE_PPTO].[Periodo]",
"[BASE_CONVE_PPTO].[Periodo].&amp;[" &amp; TEXT(BH$6,"yyyymm")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I80" s="8">
        <f>IFERROR(
GETPIVOTDATA(
"[BASE_CONVE_PPTO].[Importe]",
TDinamica_P!$A$5,
"[BASE_CONVE_PPTO].[Periodo]",
"[BASE_CONVE_PPTO].[Periodo].&amp;[" &amp; TEXT(BI$6,"yyyymm")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J80" s="8">
        <f>IFERROR(
GETPIVOTDATA(
"[BASE_CONVE_PPTO].[Importe]",
TDinamica_P!$A$5,
"[BASE_CONVE_PPTO].[Periodo]",
"[BASE_CONVE_PPTO].[Periodo].&amp;[" &amp; TEXT(BJ$6,"yyyymm")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K80" s="8">
        <f>IFERROR(
GETPIVOTDATA(
"[BASE_CONVE_PPTO].[Importe]",
TDinamica_P!$A$5,
"[BASE_CONVE_PPTO].[Periodo]",
"[BASE_CONVE_PPTO].[Periodo].&amp;[" &amp; TEXT(BK$6,"yyyymm") &amp; "]",
"[BASE_CONVE_PPTO].[Metrica]",
"[BASE_CONVE_PPTO].[Metrica].&amp;[" &amp; $A80 &amp; "]",
"[BASE_CONVE_PPTO].[SEGMENTO_DESCRIP]",
"[BASE_CONVE_PPTO].[SEGMENTO_DESCRIP].&amp;[" &amp; $C$6 &amp; "]",
"[BASE_CONVE_PPTO].[SITUACION]",
"[BASE_CONVE_PPTO].[SITUACION].&amp;[" &amp; $C80 &amp; "]"),
0)</f>
        <v>0</v>
      </c>
      <c r="BO80" s="24">
        <f t="shared" si="50"/>
        <v>0</v>
      </c>
      <c r="BP80" s="24">
        <f t="shared" si="50"/>
        <v>0</v>
      </c>
      <c r="BQ80" s="24">
        <f t="shared" si="50"/>
        <v>0</v>
      </c>
      <c r="BR80" s="24">
        <f t="shared" si="50"/>
        <v>0</v>
      </c>
      <c r="BS80" s="24">
        <f t="shared" si="50"/>
        <v>0</v>
      </c>
      <c r="BT80" s="24">
        <f t="shared" si="50"/>
        <v>0</v>
      </c>
    </row>
    <row r="81" spans="1:72" outlineLevel="1" x14ac:dyDescent="0.25">
      <c r="A81" s="11" t="s">
        <v>71</v>
      </c>
      <c r="C81" s="2"/>
      <c r="D81" s="8">
        <f>IFERROR(
GETPIVOTDATA(
"[Base].[Importe]",
TDinamica_R!$A$5,
"[Calendario].[AñoMes]",
"[Calendario].[AñoMes].&amp;[" &amp; TEXT(D$6,"yyyymm")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E81" s="8">
        <f>IFERROR(
GETPIVOTDATA(
"[Base].[Importe]",
TDinamica_R!$A$5,
"[Calendario].[AñoMes]",
"[Calendario].[AñoMes].&amp;[" &amp; TEXT(E$6,"yyyymm")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F81" s="8">
        <f>IFERROR(
GETPIVOTDATA(
"[Base].[Importe]",
TDinamica_R!$A$5,
"[Calendario].[AñoMes]",
"[Calendario].[AñoMes].&amp;[" &amp; TEXT(F$6,"yyyymm")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G81" s="8">
        <f>IFERROR(
GETPIVOTDATA(
"[Base].[Importe]",
TDinamica_R!$A$5,
"[Calendario].[AñoMes]",
"[Calendario].[AñoMes].&amp;[" &amp; TEXT(G$6,"yyyymm")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H81" s="8">
        <f>IFERROR(
GETPIVOTDATA(
"[Base].[Importe]",
TDinamica_R!$A$5,
"[Calendario].[AñoMes]",
"[Calendario].[AñoMes].&amp;[" &amp; TEXT(H$6,"yyyymm")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I81" s="8">
        <f>IFERROR(
GETPIVOTDATA(
"[Base].[Importe]",
TDinamica_R!$A$5,
"[Calendario].[AñoMes]",
"[Calendario].[AñoMes].&amp;[" &amp; TEXT(I$6,"yyyymm")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J81" s="8">
        <f>IFERROR(
GETPIVOTDATA(
"[Base].[Importe]",
TDinamica_R!$A$5,
"[Calendario].[AñoMes]",
"[Calendario].[AñoMes].&amp;[" &amp; TEXT(J$6,"yyyymm")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K81" s="8">
        <f>IFERROR(
GETPIVOTDATA(
"[Base].[Importe]",
TDinamica_R!$A$5,
"[Calendario].[AñoMes]",
"[Calendario].[AñoMes].&amp;[" &amp; TEXT(K$6,"yyyymm")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L81" s="8">
        <f>IFERROR(
GETPIVOTDATA(
"[Base].[Importe]",
TDinamica_R!$A$5,
"[Calendario].[AñoMes]",
"[Calendario].[AñoMes].&amp;[" &amp; TEXT(L$6,"yyyymm")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M81" s="8">
        <f>IFERROR(
GETPIVOTDATA(
"[Base].[Importe]",
TDinamica_R!$A$5,
"[Calendario].[AñoMes]",
"[Calendario].[AñoMes].&amp;[" &amp; TEXT(M$6,"yyyymm")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N81" s="8">
        <f>IFERROR(
GETPIVOTDATA(
"[Base].[Importe]",
TDinamica_R!$A$5,
"[Calendario].[AñoMes]",
"[Calendario].[AñoMes].&amp;[" &amp; TEXT(N$6,"yyyymm")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O81" s="8">
        <f>IFERROR(
GETPIVOTDATA(
"[Base].[Importe]",
TDinamica_R!$A$5,
"[Calendario].[AñoMes]",
"[Calendario].[AñoMes].&amp;[" &amp; TEXT(O$6,"yyyymm")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P81" s="8">
        <f>IFERROR(
GETPIVOTDATA(
"[Base].[Importe]",
TDinamica_R!$A$5,
"[Calendario].[AñoMes]",
"[Calendario].[AñoMes].&amp;[" &amp; TEXT(P$6,"yyyymm")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Q81" s="8">
        <f>IFERROR(
GETPIVOTDATA(
"[Base].[Importe]",
TDinamica_R!$A$5,
"[Calendario].[AñoMes]",
"[Calendario].[AñoMes].&amp;[" &amp; TEXT(Q$6,"yyyymm")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R81" s="8">
        <f>IFERROR(
GETPIVOTDATA(
"[Base].[Importe]",
TDinamica_R!$A$5,
"[Calendario].[AñoMes]",
"[Calendario].[AñoMes].&amp;[" &amp; TEXT(R$6,"yyyymm")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S81" s="8">
        <f>IFERROR(
GETPIVOTDATA(
"[Base].[Importe]",
TDinamica_R!$A$5,
"[Calendario].[AñoMes]",
"[Calendario].[AñoMes].&amp;[" &amp; TEXT(S$6,"yyyymm")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T81" s="8">
        <f>IFERROR(
GETPIVOTDATA(
"[Base].[Importe]",
TDinamica_R!$A$5,
"[Calendario].[AñoMes]",
"[Calendario].[AñoMes].&amp;[" &amp; TEXT(T$6,"yyyymm")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U81" s="8">
        <f>IFERROR(
GETPIVOTDATA(
"[Base].[Importe]",
TDinamica_R!$A$5,
"[Calendario].[AñoMes]",
"[Calendario].[AñoMes].&amp;[" &amp; TEXT(U$6,"yyyymm")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V81" s="8">
        <f>IFERROR(
GETPIVOTDATA(
"[Base].[Importe]",
TDinamica_R!$A$5,
"[Calendario].[AñoMes]",
"[Calendario].[AñoMes].&amp;[" &amp; TEXT(V$6,"yyyymm")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W81" s="8">
        <f>IFERROR(
GETPIVOTDATA(
"[Base].[Importe]",
TDinamica_R!$A$5,
"[Calendario].[AñoMes]",
"[Calendario].[AñoMes].&amp;[" &amp; TEXT(W$6,"yyyymm")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X81" s="8">
        <f>IFERROR(
GETPIVOTDATA(
"[Base].[Importe]",
TDinamica_R!$A$5,
"[Calendario].[AñoMes]",
"[Calendario].[AñoMes].&amp;[" &amp; TEXT(X$6,"yyyymm")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Y81" s="8">
        <f>IFERROR(
GETPIVOTDATA(
"[Base].[Importe]",
TDinamica_R!$A$5,
"[Calendario].[AñoMes]",
"[Calendario].[AñoMes].&amp;[" &amp; TEXT(Y$6,"yyyymm")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Z81" s="8">
        <f>IFERROR(
GETPIVOTDATA(
"[Base].[Importe]",
TDinamica_R!$A$5,
"[Calendario].[AñoMes]",
"[Calendario].[AñoMes].&amp;[" &amp; TEXT(Z$6,"yyyymm")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A81" s="8">
        <f>IFERROR(
GETPIVOTDATA(
"[Base].[Importe]",
TDinamica_R!$A$5,
"[Calendario].[AñoMes]",
"[Calendario].[AñoMes].&amp;[" &amp; TEXT(AA$6,"yyyymm")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B81" s="8">
        <f>IFERROR(
GETPIVOTDATA(
"[Base].[Importe]",
TDinamica_R!$A$5,
"[Calendario].[AñoMes]",
"[Calendario].[AñoMes].&amp;[" &amp; TEXT(AB$6,"yyyymm")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C81" s="8">
        <f>IFERROR(
GETPIVOTDATA(
"[Base].[Importe]",
TDinamica_R!$A$5,
"[Calendario].[AñoMes]",
"[Calendario].[AñoMes].&amp;[" &amp; TEXT(AC$6,"yyyymm")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D81" s="8">
        <f>IFERROR(
GETPIVOTDATA(
"[Base].[Importe]",
TDinamica_R!$A$5,
"[Calendario].[AñoMes]",
"[Calendario].[AñoMes].&amp;[" &amp; TEXT(AD$6,"yyyymm")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E81" s="8">
        <f>IFERROR(
GETPIVOTDATA(
"[Base].[Importe]",
TDinamica_R!$A$5,
"[Calendario].[AñoMes]",
"[Calendario].[AñoMes].&amp;[" &amp; TEXT(AE$6,"yyyymm")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F81" s="8">
        <f>IFERROR(
GETPIVOTDATA(
"[Base].[Importe]",
TDinamica_R!$A$5,
"[Calendario].[AñoMes]",
"[Calendario].[AñoMes].&amp;[" &amp; TEXT(AF$6,"yyyymm")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G81" s="8">
        <f>IFERROR(
GETPIVOTDATA(
"[Base].[Importe]",
TDinamica_R!$A$5,
"[Calendario].[AñoMes]",
"[Calendario].[AñoMes].&amp;[" &amp; TEXT(AG$6,"yyyymm")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H81" s="8">
        <f>IFERROR(
GETPIVOTDATA(
"[Base].[Importe]",
TDinamica_R!$A$5,
"[Calendario].[AñoMes]",
"[Calendario].[AñoMes].&amp;[" &amp; TEXT(AH$6,"yyyymm")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I81" s="8">
        <f>IFERROR(
GETPIVOTDATA(
"[Base].[Importe]",
TDinamica_R!$A$5,
"[Calendario].[AñoMes]",
"[Calendario].[AñoMes].&amp;[" &amp; TEXT(AI$6,"yyyymm")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J81" s="8">
        <f>IFERROR(
GETPIVOTDATA(
"[Base].[Importe]",
TDinamica_R!$A$5,
"[Calendario].[AñoMes]",
"[Calendario].[AñoMes].&amp;[" &amp; TEXT(AJ$6,"yyyymm")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K81" s="8">
        <f>IFERROR(
GETPIVOTDATA(
"[Base].[Importe]",
TDinamica_R!$A$5,
"[Calendario].[AñoMes]",
"[Calendario].[AñoMes].&amp;[" &amp; TEXT(AK$6,"yyyymm")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L81" s="8">
        <f>IFERROR(
GETPIVOTDATA(
"[Base].[Importe]",
TDinamica_R!$A$5,
"[Calendario].[AñoMes]",
"[Calendario].[AñoMes].&amp;[" &amp; TEXT(AL$6,"yyyymm")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M81" s="8">
        <f>IFERROR(
GETPIVOTDATA(
"[Base].[Importe]",
TDinamica_R!$A$5,
"[Calendario].[AñoMes]",
"[Calendario].[AñoMes].&amp;[" &amp; TEXT(AM$6,"yyyymm")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N81" s="8">
        <f>IFERROR(
GETPIVOTDATA(
"[Base].[Importe]",
TDinamica_R!$A$5,
"[Calendario].[AñoMes]",
"[Calendario].[AñoMes].&amp;[" &amp; TEXT(AN$6,"yyyymm")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O81" s="8">
        <f>IFERROR(
GETPIVOTDATA(
"[Base].[Importe]",
TDinamica_R!$A$5,
"[Calendario].[AñoMes]",
"[Calendario].[AñoMes].&amp;[" &amp; TEXT(AO$6,"yyyymm")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P81" s="8">
        <f>IFERROR(
GETPIVOTDATA(
"[Base].[Importe]",
TDinamica_R!$A$5,
"[Calendario].[AñoMes]",
"[Calendario].[AñoMes].&amp;[" &amp; TEXT(AP$6,"yyyymm")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Q81" s="8">
        <f>IFERROR(
GETPIVOTDATA(
"[Base].[Importe]",
TDinamica_R!$A$5,
"[Calendario].[AñoMes]",
"[Calendario].[AñoMes].&amp;[" &amp; TEXT(AQ$6,"yyyymm")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R81" s="8">
        <f>IFERROR(
GETPIVOTDATA(
"[Base].[Importe]",
TDinamica_R!$A$5,
"[Calendario].[AñoMes]",
"[Calendario].[AñoMes].&amp;[" &amp; TEXT(AR$6,"yyyymm")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S81" s="8">
        <f>IFERROR(
GETPIVOTDATA(
"[Base].[Importe]",
TDinamica_R!$A$5,
"[Calendario].[AñoMes]",
"[Calendario].[AñoMes].&amp;[" &amp; TEXT(AS$6,"yyyymm")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T81" s="8">
        <f>IFERROR(
GETPIVOTDATA(
"[Base].[Importe]",
TDinamica_R!$A$5,
"[Calendario].[AñoMes]",
"[Calendario].[AñoMes].&amp;[" &amp; TEXT(AT$6,"yyyymm")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U81" s="8">
        <f>IFERROR(
GETPIVOTDATA(
"[Base].[Importe]",
TDinamica_R!$A$5,
"[Calendario].[AñoMes]",
"[Calendario].[AñoMes].&amp;[" &amp; TEXT(AU$6,"yyyymm")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V81" s="8">
        <f>IFERROR(
GETPIVOTDATA(
"[Base].[Importe]",
TDinamica_R!$A$5,
"[Calendario].[AñoMes]",
"[Calendario].[AñoMes].&amp;[" &amp; TEXT(AV$6,"yyyymm")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W81" s="8">
        <f>IFERROR(
GETPIVOTDATA(
"[Base].[Importe]",
TDinamica_R!$A$5,
"[Calendario].[AñoMes]",
"[Calendario].[AñoMes].&amp;[" &amp; TEXT(AW$6,"yyyymm")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X81" s="8">
        <f>IFERROR(
GETPIVOTDATA(
"[Base].[Importe]",
TDinamica_R!$A$5,
"[Calendario].[AñoMes]",
"[Calendario].[AñoMes].&amp;[" &amp; TEXT(AX$6,"yyyymm")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Y81" s="8">
        <f>IFERROR(
GETPIVOTDATA(
"[Base].[Importe]",
TDinamica_R!$A$5,
"[Calendario].[AñoMes]",
"[Calendario].[AñoMes].&amp;[" &amp; TEXT(AY$6,"yyyymm")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Z81" s="8">
        <f>IFERROR(
GETPIVOTDATA(
"[BASE_CONVE_PPTO].[Importe]",
TDinamica_P!$A$5,
"[BASE_CONVE_PPTO].[Periodo]",
"[BASE_CONVE_PPTO].[Periodo].&amp;[" &amp; TEXT(AZ$6,"yyyymm")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A81" s="8">
        <f>IFERROR(
GETPIVOTDATA(
"[BASE_CONVE_PPTO].[Importe]",
TDinamica_P!$A$5,
"[BASE_CONVE_PPTO].[Periodo]",
"[BASE_CONVE_PPTO].[Periodo].&amp;[" &amp; TEXT(BA$6,"yyyymm")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B81" s="8">
        <f>IFERROR(
GETPIVOTDATA(
"[BASE_CONVE_PPTO].[Importe]",
TDinamica_P!$A$5,
"[BASE_CONVE_PPTO].[Periodo]",
"[BASE_CONVE_PPTO].[Periodo].&amp;[" &amp; TEXT(BB$6,"yyyymm")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C81" s="8">
        <f>IFERROR(
GETPIVOTDATA(
"[BASE_CONVE_PPTO].[Importe]",
TDinamica_P!$A$5,
"[BASE_CONVE_PPTO].[Periodo]",
"[BASE_CONVE_PPTO].[Periodo].&amp;[" &amp; TEXT(BC$6,"yyyymm")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D81" s="8">
        <f>IFERROR(
GETPIVOTDATA(
"[BASE_CONVE_PPTO].[Importe]",
TDinamica_P!$A$5,
"[BASE_CONVE_PPTO].[Periodo]",
"[BASE_CONVE_PPTO].[Periodo].&amp;[" &amp; TEXT(BD$6,"yyyymm")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E81" s="8">
        <f>IFERROR(
GETPIVOTDATA(
"[BASE_CONVE_PPTO].[Importe]",
TDinamica_P!$A$5,
"[BASE_CONVE_PPTO].[Periodo]",
"[BASE_CONVE_PPTO].[Periodo].&amp;[" &amp; TEXT(BE$6,"yyyymm")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F81" s="8">
        <f>IFERROR(
GETPIVOTDATA(
"[BASE_CONVE_PPTO].[Importe]",
TDinamica_P!$A$5,
"[BASE_CONVE_PPTO].[Periodo]",
"[BASE_CONVE_PPTO].[Periodo].&amp;[" &amp; TEXT(BF$6,"yyyymm")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G81" s="8">
        <f>IFERROR(
GETPIVOTDATA(
"[BASE_CONVE_PPTO].[Importe]",
TDinamica_P!$A$5,
"[BASE_CONVE_PPTO].[Periodo]",
"[BASE_CONVE_PPTO].[Periodo].&amp;[" &amp; TEXT(BG$6,"yyyymm")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H81" s="8">
        <f>IFERROR(
GETPIVOTDATA(
"[BASE_CONVE_PPTO].[Importe]",
TDinamica_P!$A$5,
"[BASE_CONVE_PPTO].[Periodo]",
"[BASE_CONVE_PPTO].[Periodo].&amp;[" &amp; TEXT(BH$6,"yyyymm")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I81" s="8">
        <f>IFERROR(
GETPIVOTDATA(
"[BASE_CONVE_PPTO].[Importe]",
TDinamica_P!$A$5,
"[BASE_CONVE_PPTO].[Periodo]",
"[BASE_CONVE_PPTO].[Periodo].&amp;[" &amp; TEXT(BI$6,"yyyymm")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J81" s="8">
        <f>IFERROR(
GETPIVOTDATA(
"[BASE_CONVE_PPTO].[Importe]",
TDinamica_P!$A$5,
"[BASE_CONVE_PPTO].[Periodo]",
"[BASE_CONVE_PPTO].[Periodo].&amp;[" &amp; TEXT(BJ$6,"yyyymm")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K81" s="8">
        <f>IFERROR(
GETPIVOTDATA(
"[BASE_CONVE_PPTO].[Importe]",
TDinamica_P!$A$5,
"[BASE_CONVE_PPTO].[Periodo]",
"[BASE_CONVE_PPTO].[Periodo].&amp;[" &amp; TEXT(BK$6,"yyyymm") &amp; "]",
"[BASE_CONVE_PPTO].[Metrica]",
"[BASE_CONVE_PPTO].[Metrica].&amp;[" &amp; $A81 &amp; "]",
"[BASE_CONVE_PPTO].[SEGMENTO_DESCRIP]",
"[BASE_CONVE_PPTO].[SEGMENTO_DESCRIP].&amp;[" &amp; $C$6 &amp; "]",
"[BASE_CONVE_PPTO].[SITUACION]",
"[BASE_CONVE_PPTO].[SITUACION].&amp;[" &amp; $C81 &amp; "]"),
0)</f>
        <v>0</v>
      </c>
      <c r="BO81" s="24">
        <f t="shared" si="50"/>
        <v>0</v>
      </c>
      <c r="BP81" s="24">
        <f t="shared" si="50"/>
        <v>0</v>
      </c>
      <c r="BQ81" s="24">
        <f t="shared" si="50"/>
        <v>0</v>
      </c>
      <c r="BR81" s="24">
        <f t="shared" si="50"/>
        <v>0</v>
      </c>
      <c r="BS81" s="24">
        <f t="shared" si="50"/>
        <v>0</v>
      </c>
      <c r="BT81" s="24">
        <f t="shared" si="50"/>
        <v>0</v>
      </c>
    </row>
    <row r="82" spans="1:72" outlineLevel="1" x14ac:dyDescent="0.25">
      <c r="A82" s="11" t="s">
        <v>71</v>
      </c>
      <c r="C82" s="2"/>
      <c r="D82" s="8">
        <f>IFERROR(
GETPIVOTDATA(
"[Base].[Importe]",
TDinamica_R!$A$5,
"[Calendario].[AñoMes]",
"[Calendario].[AñoMes].&amp;[" &amp; TEXT(D$6,"yyyymm")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E82" s="8">
        <f>IFERROR(
GETPIVOTDATA(
"[Base].[Importe]",
TDinamica_R!$A$5,
"[Calendario].[AñoMes]",
"[Calendario].[AñoMes].&amp;[" &amp; TEXT(E$6,"yyyymm")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F82" s="8">
        <f>IFERROR(
GETPIVOTDATA(
"[Base].[Importe]",
TDinamica_R!$A$5,
"[Calendario].[AñoMes]",
"[Calendario].[AñoMes].&amp;[" &amp; TEXT(F$6,"yyyymm")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G82" s="8">
        <f>IFERROR(
GETPIVOTDATA(
"[Base].[Importe]",
TDinamica_R!$A$5,
"[Calendario].[AñoMes]",
"[Calendario].[AñoMes].&amp;[" &amp; TEXT(G$6,"yyyymm")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H82" s="8">
        <f>IFERROR(
GETPIVOTDATA(
"[Base].[Importe]",
TDinamica_R!$A$5,
"[Calendario].[AñoMes]",
"[Calendario].[AñoMes].&amp;[" &amp; TEXT(H$6,"yyyymm")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I82" s="8">
        <f>IFERROR(
GETPIVOTDATA(
"[Base].[Importe]",
TDinamica_R!$A$5,
"[Calendario].[AñoMes]",
"[Calendario].[AñoMes].&amp;[" &amp; TEXT(I$6,"yyyymm")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J82" s="8">
        <f>IFERROR(
GETPIVOTDATA(
"[Base].[Importe]",
TDinamica_R!$A$5,
"[Calendario].[AñoMes]",
"[Calendario].[AñoMes].&amp;[" &amp; TEXT(J$6,"yyyymm")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K82" s="8">
        <f>IFERROR(
GETPIVOTDATA(
"[Base].[Importe]",
TDinamica_R!$A$5,
"[Calendario].[AñoMes]",
"[Calendario].[AñoMes].&amp;[" &amp; TEXT(K$6,"yyyymm")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L82" s="8">
        <f>IFERROR(
GETPIVOTDATA(
"[Base].[Importe]",
TDinamica_R!$A$5,
"[Calendario].[AñoMes]",
"[Calendario].[AñoMes].&amp;[" &amp; TEXT(L$6,"yyyymm")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M82" s="8">
        <f>IFERROR(
GETPIVOTDATA(
"[Base].[Importe]",
TDinamica_R!$A$5,
"[Calendario].[AñoMes]",
"[Calendario].[AñoMes].&amp;[" &amp; TEXT(M$6,"yyyymm")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N82" s="8">
        <f>IFERROR(
GETPIVOTDATA(
"[Base].[Importe]",
TDinamica_R!$A$5,
"[Calendario].[AñoMes]",
"[Calendario].[AñoMes].&amp;[" &amp; TEXT(N$6,"yyyymm")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O82" s="8">
        <f>IFERROR(
GETPIVOTDATA(
"[Base].[Importe]",
TDinamica_R!$A$5,
"[Calendario].[AñoMes]",
"[Calendario].[AñoMes].&amp;[" &amp; TEXT(O$6,"yyyymm")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P82" s="8">
        <f>IFERROR(
GETPIVOTDATA(
"[Base].[Importe]",
TDinamica_R!$A$5,
"[Calendario].[AñoMes]",
"[Calendario].[AñoMes].&amp;[" &amp; TEXT(P$6,"yyyymm")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Q82" s="8">
        <f>IFERROR(
GETPIVOTDATA(
"[Base].[Importe]",
TDinamica_R!$A$5,
"[Calendario].[AñoMes]",
"[Calendario].[AñoMes].&amp;[" &amp; TEXT(Q$6,"yyyymm")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R82" s="8">
        <f>IFERROR(
GETPIVOTDATA(
"[Base].[Importe]",
TDinamica_R!$A$5,
"[Calendario].[AñoMes]",
"[Calendario].[AñoMes].&amp;[" &amp; TEXT(R$6,"yyyymm")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S82" s="8">
        <f>IFERROR(
GETPIVOTDATA(
"[Base].[Importe]",
TDinamica_R!$A$5,
"[Calendario].[AñoMes]",
"[Calendario].[AñoMes].&amp;[" &amp; TEXT(S$6,"yyyymm")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T82" s="8">
        <f>IFERROR(
GETPIVOTDATA(
"[Base].[Importe]",
TDinamica_R!$A$5,
"[Calendario].[AñoMes]",
"[Calendario].[AñoMes].&amp;[" &amp; TEXT(T$6,"yyyymm")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U82" s="8">
        <f>IFERROR(
GETPIVOTDATA(
"[Base].[Importe]",
TDinamica_R!$A$5,
"[Calendario].[AñoMes]",
"[Calendario].[AñoMes].&amp;[" &amp; TEXT(U$6,"yyyymm")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V82" s="8">
        <f>IFERROR(
GETPIVOTDATA(
"[Base].[Importe]",
TDinamica_R!$A$5,
"[Calendario].[AñoMes]",
"[Calendario].[AñoMes].&amp;[" &amp; TEXT(V$6,"yyyymm")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W82" s="8">
        <f>IFERROR(
GETPIVOTDATA(
"[Base].[Importe]",
TDinamica_R!$A$5,
"[Calendario].[AñoMes]",
"[Calendario].[AñoMes].&amp;[" &amp; TEXT(W$6,"yyyymm")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X82" s="8">
        <f>IFERROR(
GETPIVOTDATA(
"[Base].[Importe]",
TDinamica_R!$A$5,
"[Calendario].[AñoMes]",
"[Calendario].[AñoMes].&amp;[" &amp; TEXT(X$6,"yyyymm")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Y82" s="8">
        <f>IFERROR(
GETPIVOTDATA(
"[Base].[Importe]",
TDinamica_R!$A$5,
"[Calendario].[AñoMes]",
"[Calendario].[AñoMes].&amp;[" &amp; TEXT(Y$6,"yyyymm")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Z82" s="8">
        <f>IFERROR(
GETPIVOTDATA(
"[Base].[Importe]",
TDinamica_R!$A$5,
"[Calendario].[AñoMes]",
"[Calendario].[AñoMes].&amp;[" &amp; TEXT(Z$6,"yyyymm")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A82" s="8">
        <f>IFERROR(
GETPIVOTDATA(
"[Base].[Importe]",
TDinamica_R!$A$5,
"[Calendario].[AñoMes]",
"[Calendario].[AñoMes].&amp;[" &amp; TEXT(AA$6,"yyyymm")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B82" s="8">
        <f>IFERROR(
GETPIVOTDATA(
"[Base].[Importe]",
TDinamica_R!$A$5,
"[Calendario].[AñoMes]",
"[Calendario].[AñoMes].&amp;[" &amp; TEXT(AB$6,"yyyymm")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C82" s="8">
        <f>IFERROR(
GETPIVOTDATA(
"[Base].[Importe]",
TDinamica_R!$A$5,
"[Calendario].[AñoMes]",
"[Calendario].[AñoMes].&amp;[" &amp; TEXT(AC$6,"yyyymm")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D82" s="8">
        <f>IFERROR(
GETPIVOTDATA(
"[Base].[Importe]",
TDinamica_R!$A$5,
"[Calendario].[AñoMes]",
"[Calendario].[AñoMes].&amp;[" &amp; TEXT(AD$6,"yyyymm")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E82" s="8">
        <f>IFERROR(
GETPIVOTDATA(
"[Base].[Importe]",
TDinamica_R!$A$5,
"[Calendario].[AñoMes]",
"[Calendario].[AñoMes].&amp;[" &amp; TEXT(AE$6,"yyyymm")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F82" s="8">
        <f>IFERROR(
GETPIVOTDATA(
"[Base].[Importe]",
TDinamica_R!$A$5,
"[Calendario].[AñoMes]",
"[Calendario].[AñoMes].&amp;[" &amp; TEXT(AF$6,"yyyymm")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G82" s="8">
        <f>IFERROR(
GETPIVOTDATA(
"[Base].[Importe]",
TDinamica_R!$A$5,
"[Calendario].[AñoMes]",
"[Calendario].[AñoMes].&amp;[" &amp; TEXT(AG$6,"yyyymm")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H82" s="8">
        <f>IFERROR(
GETPIVOTDATA(
"[Base].[Importe]",
TDinamica_R!$A$5,
"[Calendario].[AñoMes]",
"[Calendario].[AñoMes].&amp;[" &amp; TEXT(AH$6,"yyyymm")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I82" s="8">
        <f>IFERROR(
GETPIVOTDATA(
"[Base].[Importe]",
TDinamica_R!$A$5,
"[Calendario].[AñoMes]",
"[Calendario].[AñoMes].&amp;[" &amp; TEXT(AI$6,"yyyymm")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J82" s="8">
        <f>IFERROR(
GETPIVOTDATA(
"[Base].[Importe]",
TDinamica_R!$A$5,
"[Calendario].[AñoMes]",
"[Calendario].[AñoMes].&amp;[" &amp; TEXT(AJ$6,"yyyymm")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K82" s="8">
        <f>IFERROR(
GETPIVOTDATA(
"[Base].[Importe]",
TDinamica_R!$A$5,
"[Calendario].[AñoMes]",
"[Calendario].[AñoMes].&amp;[" &amp; TEXT(AK$6,"yyyymm")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L82" s="8">
        <f>IFERROR(
GETPIVOTDATA(
"[Base].[Importe]",
TDinamica_R!$A$5,
"[Calendario].[AñoMes]",
"[Calendario].[AñoMes].&amp;[" &amp; TEXT(AL$6,"yyyymm")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M82" s="8">
        <f>IFERROR(
GETPIVOTDATA(
"[Base].[Importe]",
TDinamica_R!$A$5,
"[Calendario].[AñoMes]",
"[Calendario].[AñoMes].&amp;[" &amp; TEXT(AM$6,"yyyymm")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N82" s="8">
        <f>IFERROR(
GETPIVOTDATA(
"[Base].[Importe]",
TDinamica_R!$A$5,
"[Calendario].[AñoMes]",
"[Calendario].[AñoMes].&amp;[" &amp; TEXT(AN$6,"yyyymm")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O82" s="8">
        <f>IFERROR(
GETPIVOTDATA(
"[Base].[Importe]",
TDinamica_R!$A$5,
"[Calendario].[AñoMes]",
"[Calendario].[AñoMes].&amp;[" &amp; TEXT(AO$6,"yyyymm")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P82" s="8">
        <f>IFERROR(
GETPIVOTDATA(
"[Base].[Importe]",
TDinamica_R!$A$5,
"[Calendario].[AñoMes]",
"[Calendario].[AñoMes].&amp;[" &amp; TEXT(AP$6,"yyyymm")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Q82" s="8">
        <f>IFERROR(
GETPIVOTDATA(
"[Base].[Importe]",
TDinamica_R!$A$5,
"[Calendario].[AñoMes]",
"[Calendario].[AñoMes].&amp;[" &amp; TEXT(AQ$6,"yyyymm")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R82" s="8">
        <f>IFERROR(
GETPIVOTDATA(
"[Base].[Importe]",
TDinamica_R!$A$5,
"[Calendario].[AñoMes]",
"[Calendario].[AñoMes].&amp;[" &amp; TEXT(AR$6,"yyyymm")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S82" s="8">
        <f>IFERROR(
GETPIVOTDATA(
"[Base].[Importe]",
TDinamica_R!$A$5,
"[Calendario].[AñoMes]",
"[Calendario].[AñoMes].&amp;[" &amp; TEXT(AS$6,"yyyymm")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T82" s="8">
        <f>IFERROR(
GETPIVOTDATA(
"[Base].[Importe]",
TDinamica_R!$A$5,
"[Calendario].[AñoMes]",
"[Calendario].[AñoMes].&amp;[" &amp; TEXT(AT$6,"yyyymm")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U82" s="8">
        <f>IFERROR(
GETPIVOTDATA(
"[Base].[Importe]",
TDinamica_R!$A$5,
"[Calendario].[AñoMes]",
"[Calendario].[AñoMes].&amp;[" &amp; TEXT(AU$6,"yyyymm")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V82" s="8">
        <f>IFERROR(
GETPIVOTDATA(
"[Base].[Importe]",
TDinamica_R!$A$5,
"[Calendario].[AñoMes]",
"[Calendario].[AñoMes].&amp;[" &amp; TEXT(AV$6,"yyyymm")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W82" s="8">
        <f>IFERROR(
GETPIVOTDATA(
"[Base].[Importe]",
TDinamica_R!$A$5,
"[Calendario].[AñoMes]",
"[Calendario].[AñoMes].&amp;[" &amp; TEXT(AW$6,"yyyymm")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X82" s="8">
        <f>IFERROR(
GETPIVOTDATA(
"[Base].[Importe]",
TDinamica_R!$A$5,
"[Calendario].[AñoMes]",
"[Calendario].[AñoMes].&amp;[" &amp; TEXT(AX$6,"yyyymm")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Y82" s="8">
        <f>IFERROR(
GETPIVOTDATA(
"[Base].[Importe]",
TDinamica_R!$A$5,
"[Calendario].[AñoMes]",
"[Calendario].[AñoMes].&amp;[" &amp; TEXT(AY$6,"yyyymm")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Z82" s="8">
        <f>IFERROR(
GETPIVOTDATA(
"[BASE_CONVE_PPTO].[Importe]",
TDinamica_P!$A$5,
"[BASE_CONVE_PPTO].[Periodo]",
"[BASE_CONVE_PPTO].[Periodo].&amp;[" &amp; TEXT(AZ$6,"yyyymm")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A82" s="8">
        <f>IFERROR(
GETPIVOTDATA(
"[BASE_CONVE_PPTO].[Importe]",
TDinamica_P!$A$5,
"[BASE_CONVE_PPTO].[Periodo]",
"[BASE_CONVE_PPTO].[Periodo].&amp;[" &amp; TEXT(BA$6,"yyyymm")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B82" s="8">
        <f>IFERROR(
GETPIVOTDATA(
"[BASE_CONVE_PPTO].[Importe]",
TDinamica_P!$A$5,
"[BASE_CONVE_PPTO].[Periodo]",
"[BASE_CONVE_PPTO].[Periodo].&amp;[" &amp; TEXT(BB$6,"yyyymm")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C82" s="8">
        <f>IFERROR(
GETPIVOTDATA(
"[BASE_CONVE_PPTO].[Importe]",
TDinamica_P!$A$5,
"[BASE_CONVE_PPTO].[Periodo]",
"[BASE_CONVE_PPTO].[Periodo].&amp;[" &amp; TEXT(BC$6,"yyyymm")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D82" s="8">
        <f>IFERROR(
GETPIVOTDATA(
"[BASE_CONVE_PPTO].[Importe]",
TDinamica_P!$A$5,
"[BASE_CONVE_PPTO].[Periodo]",
"[BASE_CONVE_PPTO].[Periodo].&amp;[" &amp; TEXT(BD$6,"yyyymm")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E82" s="8">
        <f>IFERROR(
GETPIVOTDATA(
"[BASE_CONVE_PPTO].[Importe]",
TDinamica_P!$A$5,
"[BASE_CONVE_PPTO].[Periodo]",
"[BASE_CONVE_PPTO].[Periodo].&amp;[" &amp; TEXT(BE$6,"yyyymm")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F82" s="8">
        <f>IFERROR(
GETPIVOTDATA(
"[BASE_CONVE_PPTO].[Importe]",
TDinamica_P!$A$5,
"[BASE_CONVE_PPTO].[Periodo]",
"[BASE_CONVE_PPTO].[Periodo].&amp;[" &amp; TEXT(BF$6,"yyyymm")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G82" s="8">
        <f>IFERROR(
GETPIVOTDATA(
"[BASE_CONVE_PPTO].[Importe]",
TDinamica_P!$A$5,
"[BASE_CONVE_PPTO].[Periodo]",
"[BASE_CONVE_PPTO].[Periodo].&amp;[" &amp; TEXT(BG$6,"yyyymm")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H82" s="8">
        <f>IFERROR(
GETPIVOTDATA(
"[BASE_CONVE_PPTO].[Importe]",
TDinamica_P!$A$5,
"[BASE_CONVE_PPTO].[Periodo]",
"[BASE_CONVE_PPTO].[Periodo].&amp;[" &amp; TEXT(BH$6,"yyyymm")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I82" s="8">
        <f>IFERROR(
GETPIVOTDATA(
"[BASE_CONVE_PPTO].[Importe]",
TDinamica_P!$A$5,
"[BASE_CONVE_PPTO].[Periodo]",
"[BASE_CONVE_PPTO].[Periodo].&amp;[" &amp; TEXT(BI$6,"yyyymm")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J82" s="8">
        <f>IFERROR(
GETPIVOTDATA(
"[BASE_CONVE_PPTO].[Importe]",
TDinamica_P!$A$5,
"[BASE_CONVE_PPTO].[Periodo]",
"[BASE_CONVE_PPTO].[Periodo].&amp;[" &amp; TEXT(BJ$6,"yyyymm")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K82" s="8">
        <f>IFERROR(
GETPIVOTDATA(
"[BASE_CONVE_PPTO].[Importe]",
TDinamica_P!$A$5,
"[BASE_CONVE_PPTO].[Periodo]",
"[BASE_CONVE_PPTO].[Periodo].&amp;[" &amp; TEXT(BK$6,"yyyymm") &amp; "]",
"[BASE_CONVE_PPTO].[Metrica]",
"[BASE_CONVE_PPTO].[Metrica].&amp;[" &amp; $A82 &amp; "]",
"[BASE_CONVE_PPTO].[SEGMENTO_DESCRIP]",
"[BASE_CONVE_PPTO].[SEGMENTO_DESCRIP].&amp;[" &amp; $C$6 &amp; "]",
"[BASE_CONVE_PPTO].[SITUACION]",
"[BASE_CONVE_PPTO].[SITUACION].&amp;[" &amp; $C82 &amp; "]"),
0)</f>
        <v>0</v>
      </c>
      <c r="BO82" s="24">
        <f t="shared" si="50"/>
        <v>0</v>
      </c>
      <c r="BP82" s="24">
        <f t="shared" si="50"/>
        <v>0</v>
      </c>
      <c r="BQ82" s="24">
        <f t="shared" si="50"/>
        <v>0</v>
      </c>
      <c r="BR82" s="24">
        <f t="shared" si="50"/>
        <v>0</v>
      </c>
      <c r="BS82" s="24">
        <f t="shared" si="50"/>
        <v>0</v>
      </c>
      <c r="BT82" s="24">
        <f t="shared" si="50"/>
        <v>0</v>
      </c>
    </row>
    <row r="83" spans="1:72" x14ac:dyDescent="0.25">
      <c r="C83" s="3" t="s">
        <v>71</v>
      </c>
      <c r="D83" s="10">
        <f t="shared" ref="D83:AY83" si="51">SUM(D63:D82)</f>
        <v>24.294325570000005</v>
      </c>
      <c r="E83" s="10">
        <f t="shared" si="51"/>
        <v>22.325602279000002</v>
      </c>
      <c r="F83" s="10">
        <f t="shared" si="51"/>
        <v>22.744382154</v>
      </c>
      <c r="G83" s="10">
        <f t="shared" si="51"/>
        <v>28.846132946000004</v>
      </c>
      <c r="H83" s="10">
        <f t="shared" si="51"/>
        <v>22.452186030999993</v>
      </c>
      <c r="I83" s="10">
        <f t="shared" si="51"/>
        <v>23.789886897000002</v>
      </c>
      <c r="J83" s="10">
        <f t="shared" si="51"/>
        <v>22.378960560000007</v>
      </c>
      <c r="K83" s="10">
        <f t="shared" si="51"/>
        <v>23.725437034999999</v>
      </c>
      <c r="L83" s="10">
        <f t="shared" si="51"/>
        <v>25.467464188000001</v>
      </c>
      <c r="M83" s="10">
        <f t="shared" si="51"/>
        <v>18.392917237000002</v>
      </c>
      <c r="N83" s="10">
        <f t="shared" si="51"/>
        <v>31.492846434999997</v>
      </c>
      <c r="O83" s="10">
        <f t="shared" si="51"/>
        <v>16.769634375000003</v>
      </c>
      <c r="P83" s="10">
        <f t="shared" si="51"/>
        <v>41.960617236600001</v>
      </c>
      <c r="Q83" s="10">
        <f t="shared" si="51"/>
        <v>23.782849439000003</v>
      </c>
      <c r="R83" s="10">
        <f t="shared" si="51"/>
        <v>23.491778646000004</v>
      </c>
      <c r="S83" s="10">
        <f t="shared" si="51"/>
        <v>19.960500404000001</v>
      </c>
      <c r="T83" s="10">
        <f t="shared" si="51"/>
        <v>22.327244506</v>
      </c>
      <c r="U83" s="10">
        <f t="shared" si="51"/>
        <v>26.128600910999999</v>
      </c>
      <c r="V83" s="10">
        <f t="shared" si="51"/>
        <v>25.819435313</v>
      </c>
      <c r="W83" s="10">
        <f t="shared" si="51"/>
        <v>20.89359546</v>
      </c>
      <c r="X83" s="10">
        <f t="shared" si="51"/>
        <v>37.449996197999994</v>
      </c>
      <c r="Y83" s="10">
        <f t="shared" si="51"/>
        <v>9.8450754567000018</v>
      </c>
      <c r="Z83" s="10">
        <f t="shared" si="51"/>
        <v>16.501427288999999</v>
      </c>
      <c r="AA83" s="10">
        <f t="shared" si="51"/>
        <v>32.361160770746991</v>
      </c>
      <c r="AB83" s="10">
        <f t="shared" si="51"/>
        <v>20.174089260999999</v>
      </c>
      <c r="AC83" s="10">
        <f t="shared" si="51"/>
        <v>19.936245491999998</v>
      </c>
      <c r="AD83" s="10">
        <f t="shared" si="51"/>
        <v>19.404317258000003</v>
      </c>
      <c r="AE83" s="10">
        <f t="shared" si="51"/>
        <v>17.391191591000002</v>
      </c>
      <c r="AF83" s="10">
        <f t="shared" si="51"/>
        <v>23.558879308000002</v>
      </c>
      <c r="AG83" s="10">
        <f t="shared" si="51"/>
        <v>24.844295848799998</v>
      </c>
      <c r="AH83" s="10">
        <f t="shared" si="51"/>
        <v>22.197256502999998</v>
      </c>
      <c r="AI83" s="10">
        <f t="shared" si="51"/>
        <v>28.470686128999997</v>
      </c>
      <c r="AJ83" s="10">
        <f t="shared" si="51"/>
        <v>37.405713049399999</v>
      </c>
      <c r="AK83" s="10">
        <f t="shared" si="51"/>
        <v>26.904987253500003</v>
      </c>
      <c r="AL83" s="10">
        <f t="shared" si="51"/>
        <v>28.899360041000001</v>
      </c>
      <c r="AM83" s="10">
        <f t="shared" si="51"/>
        <v>28.388934467999995</v>
      </c>
      <c r="AN83" s="10">
        <f t="shared" si="51"/>
        <v>22.946147366461652</v>
      </c>
      <c r="AO83" s="10">
        <f t="shared" si="51"/>
        <v>32.356695104683027</v>
      </c>
      <c r="AP83" s="10">
        <f t="shared" si="51"/>
        <v>17.503836105339069</v>
      </c>
      <c r="AQ83" s="10">
        <f t="shared" si="51"/>
        <v>36.112101692198344</v>
      </c>
      <c r="AR83" s="10">
        <f t="shared" si="51"/>
        <v>22.376968664386609</v>
      </c>
      <c r="AS83" s="10">
        <f t="shared" si="51"/>
        <v>30.051994705222263</v>
      </c>
      <c r="AT83" s="10">
        <f t="shared" si="51"/>
        <v>0</v>
      </c>
      <c r="AU83" s="10">
        <f t="shared" si="51"/>
        <v>0</v>
      </c>
      <c r="AV83" s="10">
        <f t="shared" si="51"/>
        <v>0</v>
      </c>
      <c r="AW83" s="10">
        <f t="shared" si="51"/>
        <v>0</v>
      </c>
      <c r="AX83" s="10">
        <f t="shared" si="51"/>
        <v>0</v>
      </c>
      <c r="AY83" s="10">
        <f t="shared" si="51"/>
        <v>0</v>
      </c>
      <c r="AZ83" s="10">
        <f t="shared" ref="AZ83:BK83" si="52">SUM(AZ63:AZ82)</f>
        <v>22.438919814200908</v>
      </c>
      <c r="BA83" s="10">
        <f t="shared" si="52"/>
        <v>22.934482795087526</v>
      </c>
      <c r="BB83" s="10">
        <f t="shared" si="52"/>
        <v>22.91868843704215</v>
      </c>
      <c r="BC83" s="10">
        <f t="shared" si="52"/>
        <v>23.817813567250457</v>
      </c>
      <c r="BD83" s="10">
        <f t="shared" si="52"/>
        <v>20.561941846574481</v>
      </c>
      <c r="BE83" s="10">
        <f t="shared" si="52"/>
        <v>19.089019049216141</v>
      </c>
      <c r="BF83" s="10">
        <f t="shared" si="52"/>
        <v>17.783390263948192</v>
      </c>
      <c r="BG83" s="10">
        <f t="shared" si="52"/>
        <v>17.695418528267609</v>
      </c>
      <c r="BH83" s="10">
        <f t="shared" si="52"/>
        <v>16.493873136096845</v>
      </c>
      <c r="BI83" s="10">
        <f t="shared" si="52"/>
        <v>16.53242876254896</v>
      </c>
      <c r="BJ83" s="10">
        <f t="shared" si="52"/>
        <v>14.197846139317249</v>
      </c>
      <c r="BK83" s="10">
        <f t="shared" si="52"/>
        <v>14.157371803091774</v>
      </c>
      <c r="BO83" s="23">
        <f>SUM(BO63:BO82)</f>
        <v>131.29574893306867</v>
      </c>
      <c r="BP83" s="23">
        <f t="shared" ref="BP83:BT83" si="53">SUM(BP63:BP82)</f>
        <v>112.67184646015551</v>
      </c>
      <c r="BQ83" s="23">
        <f t="shared" si="53"/>
        <v>108.91878026868207</v>
      </c>
      <c r="BR83" s="23">
        <f t="shared" si="53"/>
        <v>100.46472290999999</v>
      </c>
      <c r="BS83" s="23">
        <f t="shared" si="53"/>
        <v>131.52299023160001</v>
      </c>
      <c r="BT83" s="23">
        <f t="shared" si="53"/>
        <v>120.66262898000001</v>
      </c>
    </row>
    <row r="86" spans="1:72" outlineLevel="1" x14ac:dyDescent="0.25">
      <c r="A86" s="11" t="s">
        <v>75</v>
      </c>
      <c r="C86" s="2" t="s">
        <v>78</v>
      </c>
      <c r="D86" s="8">
        <f>IFERROR(
GETPIVOTDATA(
"[Base].[Importe]",
TDinamica_R!$A$5,
"[Calendario].[AñoMes]",
"[Calendario].[AñoMes].&amp;[" &amp; TEXT(D$6,"yyyymm") &amp; "]",
"[Base].[Metrica]",
"[Base].[Metrica].&amp;[" &amp; $A86 &amp; "]",
"[Base].[SEGMENTO_DESCRIP]",
"[Base].[SEGMENTO_DESCRIP].&amp;[" &amp; $C$6 &amp; "]",
"[Base].[SITUACION]",
"[Base].[SITUACION].&amp;[" &amp; $C86 &amp; "]"
),0)/1000</f>
        <v>-453.4228685054</v>
      </c>
      <c r="E86" s="8">
        <f>IFERROR(
GETPIVOTDATA(
"[Base].[Importe]",
TDinamica_R!$A$5,
"[Calendario].[AñoMes]",
"[Calendario].[AñoMes].&amp;[" &amp; TEXT(E$6,"yyyymm") &amp; "]",
"[Base].[Metrica]",
"[Base].[Metrica].&amp;[" &amp; $A86 &amp; "]",
"[Base].[SEGMENTO_DESCRIP]",
"[Base].[SEGMENTO_DESCRIP].&amp;[" &amp; $C$6 &amp; "]",
"[Base].[SITUACION]",
"[Base].[SITUACION].&amp;[" &amp; $C86 &amp; "]"
),0)/1000</f>
        <v>-517.12993733669998</v>
      </c>
      <c r="F86" s="8">
        <f>IFERROR(
GETPIVOTDATA(
"[Base].[Importe]",
TDinamica_R!$A$5,
"[Calendario].[AñoMes]",
"[Calendario].[AñoMes].&amp;[" &amp; TEXT(F$6,"yyyymm") &amp; "]",
"[Base].[Metrica]",
"[Base].[Metrica].&amp;[" &amp; $A86 &amp; "]",
"[Base].[SEGMENTO_DESCRIP]",
"[Base].[SEGMENTO_DESCRIP].&amp;[" &amp; $C$6 &amp; "]",
"[Base].[SITUACION]",
"[Base].[SITUACION].&amp;[" &amp; $C86 &amp; "]"
),0)/1000</f>
        <v>-466.03308845599997</v>
      </c>
      <c r="G86" s="8">
        <f>IFERROR(
GETPIVOTDATA(
"[Base].[Importe]",
TDinamica_R!$A$5,
"[Calendario].[AñoMes]",
"[Calendario].[AñoMes].&amp;[" &amp; TEXT(G$6,"yyyymm") &amp; "]",
"[Base].[Metrica]",
"[Base].[Metrica].&amp;[" &amp; $A86 &amp; "]",
"[Base].[SEGMENTO_DESCRIP]",
"[Base].[SEGMENTO_DESCRIP].&amp;[" &amp; $C$6 &amp; "]",
"[Base].[SITUACION]",
"[Base].[SITUACION].&amp;[" &amp; $C86 &amp; "]"
),0)/1000</f>
        <v>-532.68154695679993</v>
      </c>
      <c r="H86" s="8">
        <f>IFERROR(
GETPIVOTDATA(
"[Base].[Importe]",
TDinamica_R!$A$5,
"[Calendario].[AñoMes]",
"[Calendario].[AñoMes].&amp;[" &amp; TEXT(H$6,"yyyymm") &amp; "]",
"[Base].[Metrica]",
"[Base].[Metrica].&amp;[" &amp; $A86 &amp; "]",
"[Base].[SEGMENTO_DESCRIP]",
"[Base].[SEGMENTO_DESCRIP].&amp;[" &amp; $C$6 &amp; "]",
"[Base].[SITUACION]",
"[Base].[SITUACION].&amp;[" &amp; $C86 &amp; "]"
),0)/1000</f>
        <v>-448.51883238409999</v>
      </c>
      <c r="I86" s="8">
        <f>IFERROR(
GETPIVOTDATA(
"[Base].[Importe]",
TDinamica_R!$A$5,
"[Calendario].[AñoMes]",
"[Calendario].[AñoMes].&amp;[" &amp; TEXT(I$6,"yyyymm") &amp; "]",
"[Base].[Metrica]",
"[Base].[Metrica].&amp;[" &amp; $A86 &amp; "]",
"[Base].[SEGMENTO_DESCRIP]",
"[Base].[SEGMENTO_DESCRIP].&amp;[" &amp; $C$6 &amp; "]",
"[Base].[SITUACION]",
"[Base].[SITUACION].&amp;[" &amp; $C86 &amp; "]"
),0)/1000</f>
        <v>-452.86572778610002</v>
      </c>
      <c r="J86" s="8">
        <f>IFERROR(
GETPIVOTDATA(
"[Base].[Importe]",
TDinamica_R!$A$5,
"[Calendario].[AñoMes]",
"[Calendario].[AñoMes].&amp;[" &amp; TEXT(J$6,"yyyymm") &amp; "]",
"[Base].[Metrica]",
"[Base].[Metrica].&amp;[" &amp; $A86 &amp; "]",
"[Base].[SEGMENTO_DESCRIP]",
"[Base].[SEGMENTO_DESCRIP].&amp;[" &amp; $C$6 &amp; "]",
"[Base].[SITUACION]",
"[Base].[SITUACION].&amp;[" &amp; $C86 &amp; "]"
),0)/1000</f>
        <v>-488.13797627869997</v>
      </c>
      <c r="K86" s="8">
        <f>IFERROR(
GETPIVOTDATA(
"[Base].[Importe]",
TDinamica_R!$A$5,
"[Calendario].[AñoMes]",
"[Calendario].[AñoMes].&amp;[" &amp; TEXT(K$6,"yyyymm") &amp; "]",
"[Base].[Metrica]",
"[Base].[Metrica].&amp;[" &amp; $A86 &amp; "]",
"[Base].[SEGMENTO_DESCRIP]",
"[Base].[SEGMENTO_DESCRIP].&amp;[" &amp; $C$6 &amp; "]",
"[Base].[SITUACION]",
"[Base].[SITUACION].&amp;[" &amp; $C86 &amp; "]"
),0)/1000</f>
        <v>-390.66281917539999</v>
      </c>
      <c r="L86" s="8">
        <f>IFERROR(
GETPIVOTDATA(
"[Base].[Importe]",
TDinamica_R!$A$5,
"[Calendario].[AñoMes]",
"[Calendario].[AñoMes].&amp;[" &amp; TEXT(L$6,"yyyymm") &amp; "]",
"[Base].[Metrica]",
"[Base].[Metrica].&amp;[" &amp; $A86 &amp; "]",
"[Base].[SEGMENTO_DESCRIP]",
"[Base].[SEGMENTO_DESCRIP].&amp;[" &amp; $C$6 &amp; "]",
"[Base].[SITUACION]",
"[Base].[SITUACION].&amp;[" &amp; $C86 &amp; "]"
),0)/1000</f>
        <v>-420.98168404999996</v>
      </c>
      <c r="M86" s="8">
        <f>IFERROR(
GETPIVOTDATA(
"[Base].[Importe]",
TDinamica_R!$A$5,
"[Calendario].[AñoMes]",
"[Calendario].[AñoMes].&amp;[" &amp; TEXT(M$6,"yyyymm") &amp; "]",
"[Base].[Metrica]",
"[Base].[Metrica].&amp;[" &amp; $A86 &amp; "]",
"[Base].[SEGMENTO_DESCRIP]",
"[Base].[SEGMENTO_DESCRIP].&amp;[" &amp; $C$6 &amp; "]",
"[Base].[SITUACION]",
"[Base].[SITUACION].&amp;[" &amp; $C86 &amp; "]"
),0)/1000</f>
        <v>-427.30392914390001</v>
      </c>
      <c r="N86" s="8">
        <f>IFERROR(
GETPIVOTDATA(
"[Base].[Importe]",
TDinamica_R!$A$5,
"[Calendario].[AñoMes]",
"[Calendario].[AñoMes].&amp;[" &amp; TEXT(N$6,"yyyymm") &amp; "]",
"[Base].[Metrica]",
"[Base].[Metrica].&amp;[" &amp; $A86 &amp; "]",
"[Base].[SEGMENTO_DESCRIP]",
"[Base].[SEGMENTO_DESCRIP].&amp;[" &amp; $C$6 &amp; "]",
"[Base].[SITUACION]",
"[Base].[SITUACION].&amp;[" &amp; $C86 &amp; "]"
),0)/1000</f>
        <v>-371.79995194260005</v>
      </c>
      <c r="O86" s="8">
        <f>IFERROR(
GETPIVOTDATA(
"[Base].[Importe]",
TDinamica_R!$A$5,
"[Calendario].[AñoMes]",
"[Calendario].[AñoMes].&amp;[" &amp; TEXT(O$6,"yyyymm") &amp; "]",
"[Base].[Metrica]",
"[Base].[Metrica].&amp;[" &amp; $A86 &amp; "]",
"[Base].[SEGMENTO_DESCRIP]",
"[Base].[SEGMENTO_DESCRIP].&amp;[" &amp; $C$6 &amp; "]",
"[Base].[SITUACION]",
"[Base].[SITUACION].&amp;[" &amp; $C86 &amp; "]"
),0)/1000</f>
        <v>-356.33267999700001</v>
      </c>
      <c r="P86" s="8">
        <f>IFERROR(
GETPIVOTDATA(
"[Base].[Importe]",
TDinamica_R!$A$5,
"[Calendario].[AñoMes]",
"[Calendario].[AñoMes].&amp;[" &amp; TEXT(P$6,"yyyymm") &amp; "]",
"[Base].[Metrica]",
"[Base].[Metrica].&amp;[" &amp; $A86 &amp; "]",
"[Base].[SEGMENTO_DESCRIP]",
"[Base].[SEGMENTO_DESCRIP].&amp;[" &amp; $C$6 &amp; "]",
"[Base].[SITUACION]",
"[Base].[SITUACION].&amp;[" &amp; $C86 &amp; "]"
),0)/1000</f>
        <v>-387.83758748560001</v>
      </c>
      <c r="Q86" s="8">
        <f>IFERROR(
GETPIVOTDATA(
"[Base].[Importe]",
TDinamica_R!$A$5,
"[Calendario].[AñoMes]",
"[Calendario].[AñoMes].&amp;[" &amp; TEXT(Q$6,"yyyymm") &amp; "]",
"[Base].[Metrica]",
"[Base].[Metrica].&amp;[" &amp; $A86 &amp; "]",
"[Base].[SEGMENTO_DESCRIP]",
"[Base].[SEGMENTO_DESCRIP].&amp;[" &amp; $C$6 &amp; "]",
"[Base].[SITUACION]",
"[Base].[SITUACION].&amp;[" &amp; $C86 &amp; "]"
),0)/1000</f>
        <v>-490.58668470030005</v>
      </c>
      <c r="R86" s="8">
        <f>IFERROR(
GETPIVOTDATA(
"[Base].[Importe]",
TDinamica_R!$A$5,
"[Calendario].[AñoMes]",
"[Calendario].[AñoMes].&amp;[" &amp; TEXT(R$6,"yyyymm") &amp; "]",
"[Base].[Metrica]",
"[Base].[Metrica].&amp;[" &amp; $A86 &amp; "]",
"[Base].[SEGMENTO_DESCRIP]",
"[Base].[SEGMENTO_DESCRIP].&amp;[" &amp; $C$6 &amp; "]",
"[Base].[SITUACION]",
"[Base].[SITUACION].&amp;[" &amp; $C86 &amp; "]"
),0)/1000</f>
        <v>-445.21120368670006</v>
      </c>
      <c r="S86" s="8">
        <f>IFERROR(
GETPIVOTDATA(
"[Base].[Importe]",
TDinamica_R!$A$5,
"[Calendario].[AñoMes]",
"[Calendario].[AñoMes].&amp;[" &amp; TEXT(S$6,"yyyymm") &amp; "]",
"[Base].[Metrica]",
"[Base].[Metrica].&amp;[" &amp; $A86 &amp; "]",
"[Base].[SEGMENTO_DESCRIP]",
"[Base].[SEGMENTO_DESCRIP].&amp;[" &amp; $C$6 &amp; "]",
"[Base].[SITUACION]",
"[Base].[SITUACION].&amp;[" &amp; $C86 &amp; "]"
),0)/1000</f>
        <v>-444.97060496710003</v>
      </c>
      <c r="T86" s="8">
        <f>IFERROR(
GETPIVOTDATA(
"[Base].[Importe]",
TDinamica_R!$A$5,
"[Calendario].[AñoMes]",
"[Calendario].[AñoMes].&amp;[" &amp; TEXT(T$6,"yyyymm") &amp; "]",
"[Base].[Metrica]",
"[Base].[Metrica].&amp;[" &amp; $A86 &amp; "]",
"[Base].[SEGMENTO_DESCRIP]",
"[Base].[SEGMENTO_DESCRIP].&amp;[" &amp; $C$6 &amp; "]",
"[Base].[SITUACION]",
"[Base].[SITUACION].&amp;[" &amp; $C86 &amp; "]"
),0)/1000</f>
        <v>-467.65281155970007</v>
      </c>
      <c r="U86" s="8">
        <f>IFERROR(
GETPIVOTDATA(
"[Base].[Importe]",
TDinamica_R!$A$5,
"[Calendario].[AñoMes]",
"[Calendario].[AñoMes].&amp;[" &amp; TEXT(U$6,"yyyymm") &amp; "]",
"[Base].[Metrica]",
"[Base].[Metrica].&amp;[" &amp; $A86 &amp; "]",
"[Base].[SEGMENTO_DESCRIP]",
"[Base].[SEGMENTO_DESCRIP].&amp;[" &amp; $C$6 &amp; "]",
"[Base].[SITUACION]",
"[Base].[SITUACION].&amp;[" &amp; $C86 &amp; "]"
),0)/1000</f>
        <v>-416.73845102809997</v>
      </c>
      <c r="V86" s="8">
        <f>IFERROR(
GETPIVOTDATA(
"[Base].[Importe]",
TDinamica_R!$A$5,
"[Calendario].[AñoMes]",
"[Calendario].[AñoMes].&amp;[" &amp; TEXT(V$6,"yyyymm") &amp; "]",
"[Base].[Metrica]",
"[Base].[Metrica].&amp;[" &amp; $A86 &amp; "]",
"[Base].[SEGMENTO_DESCRIP]",
"[Base].[SEGMENTO_DESCRIP].&amp;[" &amp; $C$6 &amp; "]",
"[Base].[SITUACION]",
"[Base].[SITUACION].&amp;[" &amp; $C86 &amp; "]"
),0)/1000</f>
        <v>-499.61544500459996</v>
      </c>
      <c r="W86" s="8">
        <f>IFERROR(
GETPIVOTDATA(
"[Base].[Importe]",
TDinamica_R!$A$5,
"[Calendario].[AñoMes]",
"[Calendario].[AñoMes].&amp;[" &amp; TEXT(W$6,"yyyymm") &amp; "]",
"[Base].[Metrica]",
"[Base].[Metrica].&amp;[" &amp; $A86 &amp; "]",
"[Base].[SEGMENTO_DESCRIP]",
"[Base].[SEGMENTO_DESCRIP].&amp;[" &amp; $C$6 &amp; "]",
"[Base].[SITUACION]",
"[Base].[SITUACION].&amp;[" &amp; $C86 &amp; "]"
),0)/1000</f>
        <v>-437.08277069900004</v>
      </c>
      <c r="X86" s="8">
        <f>IFERROR(
GETPIVOTDATA(
"[Base].[Importe]",
TDinamica_R!$A$5,
"[Calendario].[AñoMes]",
"[Calendario].[AñoMes].&amp;[" &amp; TEXT(X$6,"yyyymm") &amp; "]",
"[Base].[Metrica]",
"[Base].[Metrica].&amp;[" &amp; $A86 &amp; "]",
"[Base].[SEGMENTO_DESCRIP]",
"[Base].[SEGMENTO_DESCRIP].&amp;[" &amp; $C$6 &amp; "]",
"[Base].[SITUACION]",
"[Base].[SITUACION].&amp;[" &amp; $C86 &amp; "]"
),0)/1000</f>
        <v>-457.55622931209996</v>
      </c>
      <c r="Y86" s="8">
        <f>IFERROR(
GETPIVOTDATA(
"[Base].[Importe]",
TDinamica_R!$A$5,
"[Calendario].[AñoMes]",
"[Calendario].[AñoMes].&amp;[" &amp; TEXT(Y$6,"yyyymm") &amp; "]",
"[Base].[Metrica]",
"[Base].[Metrica].&amp;[" &amp; $A86 &amp; "]",
"[Base].[SEGMENTO_DESCRIP]",
"[Base].[SEGMENTO_DESCRIP].&amp;[" &amp; $C$6 &amp; "]",
"[Base].[SITUACION]",
"[Base].[SITUACION].&amp;[" &amp; $C86 &amp; "]"
),0)/1000</f>
        <v>-446.72337823640004</v>
      </c>
      <c r="Z86" s="8">
        <f>IFERROR(
GETPIVOTDATA(
"[Base].[Importe]",
TDinamica_R!$A$5,
"[Calendario].[AñoMes]",
"[Calendario].[AñoMes].&amp;[" &amp; TEXT(Z$6,"yyyymm") &amp; "]",
"[Base].[Metrica]",
"[Base].[Metrica].&amp;[" &amp; $A86 &amp; "]",
"[Base].[SEGMENTO_DESCRIP]",
"[Base].[SEGMENTO_DESCRIP].&amp;[" &amp; $C$6 &amp; "]",
"[Base].[SITUACION]",
"[Base].[SITUACION].&amp;[" &amp; $C86 &amp; "]"
),0)/1000</f>
        <v>-447.47689067800007</v>
      </c>
      <c r="AA86" s="8">
        <f>IFERROR(
GETPIVOTDATA(
"[Base].[Importe]",
TDinamica_R!$A$5,
"[Calendario].[AñoMes]",
"[Calendario].[AñoMes].&amp;[" &amp; TEXT(AA$6,"yyyymm") &amp; "]",
"[Base].[Metrica]",
"[Base].[Metrica].&amp;[" &amp; $A86 &amp; "]",
"[Base].[SEGMENTO_DESCRIP]",
"[Base].[SEGMENTO_DESCRIP].&amp;[" &amp; $C$6 &amp; "]",
"[Base].[SITUACION]",
"[Base].[SITUACION].&amp;[" &amp; $C86 &amp; "]"
),0)/1000</f>
        <v>-422.99405826499998</v>
      </c>
      <c r="AB86" s="8">
        <f>IFERROR(
GETPIVOTDATA(
"[Base].[Importe]",
TDinamica_R!$A$5,
"[Calendario].[AñoMes]",
"[Calendario].[AñoMes].&amp;[" &amp; TEXT(AB$6,"yyyymm") &amp; "]",
"[Base].[Metrica]",
"[Base].[Metrica].&amp;[" &amp; $A86 &amp; "]",
"[Base].[SEGMENTO_DESCRIP]",
"[Base].[SEGMENTO_DESCRIP].&amp;[" &amp; $C$6 &amp; "]",
"[Base].[SITUACION]",
"[Base].[SITUACION].&amp;[" &amp; $C86 &amp; "]"
),0)/1000</f>
        <v>-502.45306114530007</v>
      </c>
      <c r="AC86" s="8">
        <f>IFERROR(
GETPIVOTDATA(
"[Base].[Importe]",
TDinamica_R!$A$5,
"[Calendario].[AñoMes]",
"[Calendario].[AñoMes].&amp;[" &amp; TEXT(AC$6,"yyyymm") &amp; "]",
"[Base].[Metrica]",
"[Base].[Metrica].&amp;[" &amp; $A86 &amp; "]",
"[Base].[SEGMENTO_DESCRIP]",
"[Base].[SEGMENTO_DESCRIP].&amp;[" &amp; $C$6 &amp; "]",
"[Base].[SITUACION]",
"[Base].[SITUACION].&amp;[" &amp; $C86 &amp; "]"
),0)/1000</f>
        <v>-479.7131907552</v>
      </c>
      <c r="AD86" s="8">
        <f>IFERROR(
GETPIVOTDATA(
"[Base].[Importe]",
TDinamica_R!$A$5,
"[Calendario].[AñoMes]",
"[Calendario].[AñoMes].&amp;[" &amp; TEXT(AD$6,"yyyymm") &amp; "]",
"[Base].[Metrica]",
"[Base].[Metrica].&amp;[" &amp; $A86 &amp; "]",
"[Base].[SEGMENTO_DESCRIP]",
"[Base].[SEGMENTO_DESCRIP].&amp;[" &amp; $C$6 &amp; "]",
"[Base].[SITUACION]",
"[Base].[SITUACION].&amp;[" &amp; $C86 &amp; "]"
),0)/1000</f>
        <v>-517.74415995280003</v>
      </c>
      <c r="AE86" s="8">
        <f>IFERROR(
GETPIVOTDATA(
"[Base].[Importe]",
TDinamica_R!$A$5,
"[Calendario].[AñoMes]",
"[Calendario].[AñoMes].&amp;[" &amp; TEXT(AE$6,"yyyymm") &amp; "]",
"[Base].[Metrica]",
"[Base].[Metrica].&amp;[" &amp; $A86 &amp; "]",
"[Base].[SEGMENTO_DESCRIP]",
"[Base].[SEGMENTO_DESCRIP].&amp;[" &amp; $C$6 &amp; "]",
"[Base].[SITUACION]",
"[Base].[SITUACION].&amp;[" &amp; $C86 &amp; "]"
),0)/1000</f>
        <v>-554.43236794889992</v>
      </c>
      <c r="AF86" s="8">
        <f>IFERROR(
GETPIVOTDATA(
"[Base].[Importe]",
TDinamica_R!$A$5,
"[Calendario].[AñoMes]",
"[Calendario].[AñoMes].&amp;[" &amp; TEXT(AF$6,"yyyymm") &amp; "]",
"[Base].[Metrica]",
"[Base].[Metrica].&amp;[" &amp; $A86 &amp; "]",
"[Base].[SEGMENTO_DESCRIP]",
"[Base].[SEGMENTO_DESCRIP].&amp;[" &amp; $C$6 &amp; "]",
"[Base].[SITUACION]",
"[Base].[SITUACION].&amp;[" &amp; $C86 &amp; "]"
),0)/1000</f>
        <v>-564.38902576359999</v>
      </c>
      <c r="AG86" s="8">
        <f>IFERROR(
GETPIVOTDATA(
"[Base].[Importe]",
TDinamica_R!$A$5,
"[Calendario].[AñoMes]",
"[Calendario].[AñoMes].&amp;[" &amp; TEXT(AG$6,"yyyymm") &amp; "]",
"[Base].[Metrica]",
"[Base].[Metrica].&amp;[" &amp; $A86 &amp; "]",
"[Base].[SEGMENTO_DESCRIP]",
"[Base].[SEGMENTO_DESCRIP].&amp;[" &amp; $C$6 &amp; "]",
"[Base].[SITUACION]",
"[Base].[SITUACION].&amp;[" &amp; $C86 &amp; "]"
),0)/1000</f>
        <v>-576.97080278070007</v>
      </c>
      <c r="AH86" s="8">
        <f>IFERROR(
GETPIVOTDATA(
"[Base].[Importe]",
TDinamica_R!$A$5,
"[Calendario].[AñoMes]",
"[Calendario].[AñoMes].&amp;[" &amp; TEXT(AH$6,"yyyymm") &amp; "]",
"[Base].[Metrica]",
"[Base].[Metrica].&amp;[" &amp; $A86 &amp; "]",
"[Base].[SEGMENTO_DESCRIP]",
"[Base].[SEGMENTO_DESCRIP].&amp;[" &amp; $C$6 &amp; "]",
"[Base].[SITUACION]",
"[Base].[SITUACION].&amp;[" &amp; $C86 &amp; "]"
),0)/1000</f>
        <v>-613.54856254720005</v>
      </c>
      <c r="AI86" s="8">
        <f>IFERROR(
GETPIVOTDATA(
"[Base].[Importe]",
TDinamica_R!$A$5,
"[Calendario].[AñoMes]",
"[Calendario].[AñoMes].&amp;[" &amp; TEXT(AI$6,"yyyymm") &amp; "]",
"[Base].[Metrica]",
"[Base].[Metrica].&amp;[" &amp; $A86 &amp; "]",
"[Base].[SEGMENTO_DESCRIP]",
"[Base].[SEGMENTO_DESCRIP].&amp;[" &amp; $C$6 &amp; "]",
"[Base].[SITUACION]",
"[Base].[SITUACION].&amp;[" &amp; $C86 &amp; "]"
),0)/1000</f>
        <v>-650.34903950530008</v>
      </c>
      <c r="AJ86" s="8">
        <f>IFERROR(
GETPIVOTDATA(
"[Base].[Importe]",
TDinamica_R!$A$5,
"[Calendario].[AñoMes]",
"[Calendario].[AñoMes].&amp;[" &amp; TEXT(AJ$6,"yyyymm") &amp; "]",
"[Base].[Metrica]",
"[Base].[Metrica].&amp;[" &amp; $A86 &amp; "]",
"[Base].[SEGMENTO_DESCRIP]",
"[Base].[SEGMENTO_DESCRIP].&amp;[" &amp; $C$6 &amp; "]",
"[Base].[SITUACION]",
"[Base].[SITUACION].&amp;[" &amp; $C86 &amp; "]"
),0)/1000</f>
        <v>-574.97301311010006</v>
      </c>
      <c r="AK86" s="8">
        <f>IFERROR(
GETPIVOTDATA(
"[Base].[Importe]",
TDinamica_R!$A$5,
"[Calendario].[AñoMes]",
"[Calendario].[AñoMes].&amp;[" &amp; TEXT(AK$6,"yyyymm") &amp; "]",
"[Base].[Metrica]",
"[Base].[Metrica].&amp;[" &amp; $A86 &amp; "]",
"[Base].[SEGMENTO_DESCRIP]",
"[Base].[SEGMENTO_DESCRIP].&amp;[" &amp; $C$6 &amp; "]",
"[Base].[SITUACION]",
"[Base].[SITUACION].&amp;[" &amp; $C86 &amp; "]"
),0)/1000</f>
        <v>-596.970143613</v>
      </c>
      <c r="AL86" s="8">
        <f>IFERROR(
GETPIVOTDATA(
"[Base].[Importe]",
TDinamica_R!$A$5,
"[Calendario].[AñoMes]",
"[Calendario].[AñoMes].&amp;[" &amp; TEXT(AL$6,"yyyymm") &amp; "]",
"[Base].[Metrica]",
"[Base].[Metrica].&amp;[" &amp; $A86 &amp; "]",
"[Base].[SEGMENTO_DESCRIP]",
"[Base].[SEGMENTO_DESCRIP].&amp;[" &amp; $C$6 &amp; "]",
"[Base].[SITUACION]",
"[Base].[SITUACION].&amp;[" &amp; $C86 &amp; "]"
),0)/1000</f>
        <v>-612.24661312479986</v>
      </c>
      <c r="AM86" s="8">
        <f>IFERROR(
GETPIVOTDATA(
"[Base].[Importe]",
TDinamica_R!$A$5,
"[Calendario].[AñoMes]",
"[Calendario].[AñoMes].&amp;[" &amp; TEXT(AM$6,"yyyymm") &amp; "]",
"[Base].[Metrica]",
"[Base].[Metrica].&amp;[" &amp; $A86 &amp; "]",
"[Base].[SEGMENTO_DESCRIP]",
"[Base].[SEGMENTO_DESCRIP].&amp;[" &amp; $C$6 &amp; "]",
"[Base].[SITUACION]",
"[Base].[SITUACION].&amp;[" &amp; $C86 &amp; "]"
),0)/1000</f>
        <v>-694.9030471991</v>
      </c>
      <c r="AN86" s="8">
        <f>IFERROR(
GETPIVOTDATA(
"[Base].[Importe]",
TDinamica_R!$A$5,
"[Calendario].[AñoMes]",
"[Calendario].[AñoMes].&amp;[" &amp; TEXT(AN$6,"yyyymm") &amp; "]",
"[Base].[Metrica]",
"[Base].[Metrica].&amp;[" &amp; $A86 &amp; "]",
"[Base].[SEGMENTO_DESCRIP]",
"[Base].[SEGMENTO_DESCRIP].&amp;[" &amp; $C$6 &amp; "]",
"[Base].[SITUACION]",
"[Base].[SITUACION].&amp;[" &amp; $C86 &amp; "]"
),0)/1000</f>
        <v>-597.71333875559992</v>
      </c>
      <c r="AO86" s="8">
        <f>IFERROR(
GETPIVOTDATA(
"[Base].[Importe]",
TDinamica_R!$A$5,
"[Calendario].[AñoMes]",
"[Calendario].[AñoMes].&amp;[" &amp; TEXT(AO$6,"yyyymm") &amp; "]",
"[Base].[Metrica]",
"[Base].[Metrica].&amp;[" &amp; $A86 &amp; "]",
"[Base].[SEGMENTO_DESCRIP]",
"[Base].[SEGMENTO_DESCRIP].&amp;[" &amp; $C$6 &amp; "]",
"[Base].[SITUACION]",
"[Base].[SITUACION].&amp;[" &amp; $C86 &amp; "]"
),0)/1000</f>
        <v>-564.59293011880004</v>
      </c>
      <c r="AP86" s="8">
        <f>IFERROR(
GETPIVOTDATA(
"[Base].[Importe]",
TDinamica_R!$A$5,
"[Calendario].[AñoMes]",
"[Calendario].[AñoMes].&amp;[" &amp; TEXT(AP$6,"yyyymm") &amp; "]",
"[Base].[Metrica]",
"[Base].[Metrica].&amp;[" &amp; $A86 &amp; "]",
"[Base].[SEGMENTO_DESCRIP]",
"[Base].[SEGMENTO_DESCRIP].&amp;[" &amp; $C$6 &amp; "]",
"[Base].[SITUACION]",
"[Base].[SITUACION].&amp;[" &amp; $C86 &amp; "]"
),0)/1000</f>
        <v>-635.41519722940006</v>
      </c>
      <c r="AQ86" s="8">
        <f>IFERROR(
GETPIVOTDATA(
"[Base].[Importe]",
TDinamica_R!$A$5,
"[Calendario].[AñoMes]",
"[Calendario].[AñoMes].&amp;[" &amp; TEXT(AQ$6,"yyyymm") &amp; "]",
"[Base].[Metrica]",
"[Base].[Metrica].&amp;[" &amp; $A86 &amp; "]",
"[Base].[SEGMENTO_DESCRIP]",
"[Base].[SEGMENTO_DESCRIP].&amp;[" &amp; $C$6 &amp; "]",
"[Base].[SITUACION]",
"[Base].[SITUACION].&amp;[" &amp; $C86 &amp; "]"
),0)/1000</f>
        <v>-599.16348944210006</v>
      </c>
      <c r="AR86" s="8">
        <f>IFERROR(
GETPIVOTDATA(
"[Base].[Importe]",
TDinamica_R!$A$5,
"[Calendario].[AñoMes]",
"[Calendario].[AñoMes].&amp;[" &amp; TEXT(AR$6,"yyyymm") &amp; "]",
"[Base].[Metrica]",
"[Base].[Metrica].&amp;[" &amp; $A86 &amp; "]",
"[Base].[SEGMENTO_DESCRIP]",
"[Base].[SEGMENTO_DESCRIP].&amp;[" &amp; $C$6 &amp; "]",
"[Base].[SITUACION]",
"[Base].[SITUACION].&amp;[" &amp; $C86 &amp; "]"
),0)/1000</f>
        <v>-576.28959839829997</v>
      </c>
      <c r="AS86" s="8">
        <f>IFERROR(
GETPIVOTDATA(
"[Base].[Importe]",
TDinamica_R!$A$5,
"[Calendario].[AñoMes]",
"[Calendario].[AñoMes].&amp;[" &amp; TEXT(AS$6,"yyyymm") &amp; "]",
"[Base].[Metrica]",
"[Base].[Metrica].&amp;[" &amp; $A86 &amp; "]",
"[Base].[SEGMENTO_DESCRIP]",
"[Base].[SEGMENTO_DESCRIP].&amp;[" &amp; $C$6 &amp; "]",
"[Base].[SITUACION]",
"[Base].[SITUACION].&amp;[" &amp; $C86 &amp; "]"
),0)/1000</f>
        <v>-630.35724095080002</v>
      </c>
      <c r="AT86" s="8">
        <f>IFERROR(
GETPIVOTDATA(
"[Base].[Importe]",
TDinamica_R!$A$5,
"[Calendario].[AñoMes]",
"[Calendario].[AñoMes].&amp;[" &amp; TEXT(AT$6,"yyyymm")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U86" s="8">
        <f>IFERROR(
GETPIVOTDATA(
"[Base].[Importe]",
TDinamica_R!$A$5,
"[Calendario].[AñoMes]",
"[Calendario].[AñoMes].&amp;[" &amp; TEXT(AU$6,"yyyymm")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V86" s="8">
        <f>IFERROR(
GETPIVOTDATA(
"[Base].[Importe]",
TDinamica_R!$A$5,
"[Calendario].[AñoMes]",
"[Calendario].[AñoMes].&amp;[" &amp; TEXT(AV$6,"yyyymm")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W86" s="8">
        <f>IFERROR(
GETPIVOTDATA(
"[Base].[Importe]",
TDinamica_R!$A$5,
"[Calendario].[AñoMes]",
"[Calendario].[AñoMes].&amp;[" &amp; TEXT(AW$6,"yyyymm")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X86" s="8">
        <f>IFERROR(
GETPIVOTDATA(
"[Base].[Importe]",
TDinamica_R!$A$5,
"[Calendario].[AñoMes]",
"[Calendario].[AñoMes].&amp;[" &amp; TEXT(AX$6,"yyyymm")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Y86" s="8">
        <f>IFERROR(
GETPIVOTDATA(
"[Base].[Importe]",
TDinamica_R!$A$5,
"[Calendario].[AñoMes]",
"[Calendario].[AñoMes].&amp;[" &amp; TEXT(AY$6,"yyyymm")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Z86" s="8">
        <f>IFERROR(
GETPIVOTDATA(
"[BASE_CONVE_PPTO].[Importe]",
TDinamica_P!$A$5,
"[BASE_CONVE_PPTO].[Periodo]",
"[BASE_CONVE_PPTO].[Periodo].&amp;[" &amp; TEXT(AZ$6,"yyyymm")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-589.13466261569999</v>
      </c>
      <c r="BA86" s="8">
        <f>IFERROR(
GETPIVOTDATA(
"[BASE_CONVE_PPTO].[Importe]",
TDinamica_P!$A$5,
"[BASE_CONVE_PPTO].[Periodo]",
"[BASE_CONVE_PPTO].[Periodo].&amp;[" &amp; TEXT(BA$6,"yyyymm")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-576.80636252909994</v>
      </c>
      <c r="BB86" s="8">
        <f>IFERROR(
GETPIVOTDATA(
"[BASE_CONVE_PPTO].[Importe]",
TDinamica_P!$A$5,
"[BASE_CONVE_PPTO].[Periodo]",
"[BASE_CONVE_PPTO].[Periodo].&amp;[" &amp; TEXT(BB$6,"yyyymm")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-601.09215630569997</v>
      </c>
      <c r="BC86" s="8">
        <f>IFERROR(
GETPIVOTDATA(
"[BASE_CONVE_PPTO].[Importe]",
TDinamica_P!$A$5,
"[BASE_CONVE_PPTO].[Periodo]",
"[BASE_CONVE_PPTO].[Periodo].&amp;[" &amp; TEXT(BC$6,"yyyymm")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-595.83504329649998</v>
      </c>
      <c r="BD86" s="8">
        <f>IFERROR(
GETPIVOTDATA(
"[BASE_CONVE_PPTO].[Importe]",
TDinamica_P!$A$5,
"[BASE_CONVE_PPTO].[Periodo]",
"[BASE_CONVE_PPTO].[Periodo].&amp;[" &amp; TEXT(BD$6,"yyyymm")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-621.89677317380006</v>
      </c>
      <c r="BE86" s="8">
        <f>IFERROR(
GETPIVOTDATA(
"[BASE_CONVE_PPTO].[Importe]",
TDinamica_P!$A$5,
"[BASE_CONVE_PPTO].[Periodo]",
"[BASE_CONVE_PPTO].[Periodo].&amp;[" &amp; TEXT(BE$6,"yyyymm")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-622.793918835</v>
      </c>
      <c r="BF86" s="8">
        <f>IFERROR(
GETPIVOTDATA(
"[BASE_CONVE_PPTO].[Importe]",
TDinamica_P!$A$5,
"[BASE_CONVE_PPTO].[Periodo]",
"[BASE_CONVE_PPTO].[Periodo].&amp;[" &amp; TEXT(BF$6,"yyyymm")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-597.23042630880002</v>
      </c>
      <c r="BG86" s="8">
        <f>IFERROR(
GETPIVOTDATA(
"[BASE_CONVE_PPTO].[Importe]",
TDinamica_P!$A$5,
"[BASE_CONVE_PPTO].[Periodo]",
"[BASE_CONVE_PPTO].[Periodo].&amp;[" &amp; TEXT(BG$6,"yyyymm")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-606.74432860399997</v>
      </c>
      <c r="BH86" s="8">
        <f>IFERROR(
GETPIVOTDATA(
"[BASE_CONVE_PPTO].[Importe]",
TDinamica_P!$A$5,
"[BASE_CONVE_PPTO].[Periodo]",
"[BASE_CONVE_PPTO].[Periodo].&amp;[" &amp; TEXT(BH$6,"yyyymm")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-627.39958000490003</v>
      </c>
      <c r="BI86" s="8">
        <f>IFERROR(
GETPIVOTDATA(
"[BASE_CONVE_PPTO].[Importe]",
TDinamica_P!$A$5,
"[BASE_CONVE_PPTO].[Periodo]",
"[BASE_CONVE_PPTO].[Periodo].&amp;[" &amp; TEXT(BI$6,"yyyymm")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-601.45478626160002</v>
      </c>
      <c r="BJ86" s="8">
        <f>IFERROR(
GETPIVOTDATA(
"[BASE_CONVE_PPTO].[Importe]",
TDinamica_P!$A$5,
"[BASE_CONVE_PPTO].[Periodo]",
"[BASE_CONVE_PPTO].[Periodo].&amp;[" &amp; TEXT(BJ$6,"yyyymm")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-614.1449430875</v>
      </c>
      <c r="BK86" s="8">
        <f>IFERROR(
GETPIVOTDATA(
"[BASE_CONVE_PPTO].[Importe]",
TDinamica_P!$A$5,
"[BASE_CONVE_PPTO].[Periodo]",
"[BASE_CONVE_PPTO].[Periodo].&amp;[" &amp; TEXT(BK$6,"yyyymm") &amp; "]",
"[BASE_CONVE_PPTO].[Metrica]",
"[BASE_CONVE_PPTO].[Metrica].&amp;[" &amp; $A86 &amp; "]",
"[BASE_CONVE_PPTO].[SEGMENTO_DESCRIP]",
"[BASE_CONVE_PPTO].[SEGMENTO_DESCRIP].&amp;[" &amp; $C$6 &amp; "]",
"[BASE_CONVE_PPTO].[SITUACION]",
"[BASE_CONVE_PPTO].[SITUACION].&amp;[" &amp; $C86 &amp; "]"),
0)</f>
        <v>-636.46500897630006</v>
      </c>
      <c r="BO86" s="24">
        <f t="shared" ref="BO86:BT88" si="54">SUMIFS($D86:$BM86,$D$6:$BM$6,"&gt;="&amp;BO$2,$D$6:$BM$6,"&lt;="&amp;BO$6,$D$5:$BM$5,BO$5)</f>
        <v>-2973.1745539441999</v>
      </c>
      <c r="BP86" s="24">
        <f t="shared" si="54"/>
        <v>-2984.7649979207999</v>
      </c>
      <c r="BQ86" s="24">
        <f t="shared" si="54"/>
        <v>-2396.8849555459001</v>
      </c>
      <c r="BR86" s="24">
        <f t="shared" si="54"/>
        <v>-2618.7318055657997</v>
      </c>
      <c r="BS86" s="24">
        <f t="shared" si="54"/>
        <v>-2236.2588923994003</v>
      </c>
      <c r="BT86" s="24">
        <f t="shared" si="54"/>
        <v>-2417.7862736389998</v>
      </c>
    </row>
    <row r="87" spans="1:72" outlineLevel="1" x14ac:dyDescent="0.25">
      <c r="A87" s="11" t="s">
        <v>75</v>
      </c>
      <c r="C87" s="2" t="s">
        <v>77</v>
      </c>
      <c r="D87" s="8">
        <f>IFERROR(
GETPIVOTDATA(
"[Base].[Importe]",
TDinamica_R!$A$5,
"[Calendario].[AñoMes]",
"[Calendario].[AñoMes].&amp;[" &amp; TEXT(D$6,"yyyymm") &amp; "]",
"[Base].[Metrica]",
"[Base].[Metrica].&amp;[" &amp; $A87 &amp; "]",
"[Base].[SEGMENTO_DESCRIP]",
"[Base].[SEGMENTO_DESCRIP].&amp;[" &amp; $C$6 &amp; "]",
"[Base].[SITUACION]",
"[Base].[SITUACION].&amp;[" &amp; $C87 &amp; "]"
),0)/1000</f>
        <v>-23.245833625</v>
      </c>
      <c r="E87" s="8">
        <f>IFERROR(
GETPIVOTDATA(
"[Base].[Importe]",
TDinamica_R!$A$5,
"[Calendario].[AñoMes]",
"[Calendario].[AñoMes].&amp;[" &amp; TEXT(E$6,"yyyymm") &amp; "]",
"[Base].[Metrica]",
"[Base].[Metrica].&amp;[" &amp; $A87 &amp; "]",
"[Base].[SEGMENTO_DESCRIP]",
"[Base].[SEGMENTO_DESCRIP].&amp;[" &amp; $C$6 &amp; "]",
"[Base].[SITUACION]",
"[Base].[SITUACION].&amp;[" &amp; $C87 &amp; "]"
),0)/1000</f>
        <v>-23.4780959488</v>
      </c>
      <c r="F87" s="8">
        <f>IFERROR(
GETPIVOTDATA(
"[Base].[Importe]",
TDinamica_R!$A$5,
"[Calendario].[AñoMes]",
"[Calendario].[AñoMes].&amp;[" &amp; TEXT(F$6,"yyyymm") &amp; "]",
"[Base].[Metrica]",
"[Base].[Metrica].&amp;[" &amp; $A87 &amp; "]",
"[Base].[SEGMENTO_DESCRIP]",
"[Base].[SEGMENTO_DESCRIP].&amp;[" &amp; $C$6 &amp; "]",
"[Base].[SITUACION]",
"[Base].[SITUACION].&amp;[" &amp; $C87 &amp; "]"
),0)/1000</f>
        <v>-26.6597850267</v>
      </c>
      <c r="G87" s="8">
        <f>IFERROR(
GETPIVOTDATA(
"[Base].[Importe]",
TDinamica_R!$A$5,
"[Calendario].[AñoMes]",
"[Calendario].[AñoMes].&amp;[" &amp; TEXT(G$6,"yyyymm") &amp; "]",
"[Base].[Metrica]",
"[Base].[Metrica].&amp;[" &amp; $A87 &amp; "]",
"[Base].[SEGMENTO_DESCRIP]",
"[Base].[SEGMENTO_DESCRIP].&amp;[" &amp; $C$6 &amp; "]",
"[Base].[SITUACION]",
"[Base].[SITUACION].&amp;[" &amp; $C87 &amp; "]"
),0)/1000</f>
        <v>-23.353961630099999</v>
      </c>
      <c r="H87" s="8">
        <f>IFERROR(
GETPIVOTDATA(
"[Base].[Importe]",
TDinamica_R!$A$5,
"[Calendario].[AñoMes]",
"[Calendario].[AñoMes].&amp;[" &amp; TEXT(H$6,"yyyymm") &amp; "]",
"[Base].[Metrica]",
"[Base].[Metrica].&amp;[" &amp; $A87 &amp; "]",
"[Base].[SEGMENTO_DESCRIP]",
"[Base].[SEGMENTO_DESCRIP].&amp;[" &amp; $C$6 &amp; "]",
"[Base].[SITUACION]",
"[Base].[SITUACION].&amp;[" &amp; $C87 &amp; "]"
),0)/1000</f>
        <v>-30.832006086300005</v>
      </c>
      <c r="I87" s="8">
        <f>IFERROR(
GETPIVOTDATA(
"[Base].[Importe]",
TDinamica_R!$A$5,
"[Calendario].[AñoMes]",
"[Calendario].[AñoMes].&amp;[" &amp; TEXT(I$6,"yyyymm") &amp; "]",
"[Base].[Metrica]",
"[Base].[Metrica].&amp;[" &amp; $A87 &amp; "]",
"[Base].[SEGMENTO_DESCRIP]",
"[Base].[SEGMENTO_DESCRIP].&amp;[" &amp; $C$6 &amp; "]",
"[Base].[SITUACION]",
"[Base].[SITUACION].&amp;[" &amp; $C87 &amp; "]"
),0)/1000</f>
        <v>-30.600272567899999</v>
      </c>
      <c r="J87" s="8">
        <f>IFERROR(
GETPIVOTDATA(
"[Base].[Importe]",
TDinamica_R!$A$5,
"[Calendario].[AñoMes]",
"[Calendario].[AñoMes].&amp;[" &amp; TEXT(J$6,"yyyymm") &amp; "]",
"[Base].[Metrica]",
"[Base].[Metrica].&amp;[" &amp; $A87 &amp; "]",
"[Base].[SEGMENTO_DESCRIP]",
"[Base].[SEGMENTO_DESCRIP].&amp;[" &amp; $C$6 &amp; "]",
"[Base].[SITUACION]",
"[Base].[SITUACION].&amp;[" &amp; $C87 &amp; "]"
),0)/1000</f>
        <v>-28.828776692900004</v>
      </c>
      <c r="K87" s="8">
        <f>IFERROR(
GETPIVOTDATA(
"[Base].[Importe]",
TDinamica_R!$A$5,
"[Calendario].[AñoMes]",
"[Calendario].[AñoMes].&amp;[" &amp; TEXT(K$6,"yyyymm") &amp; "]",
"[Base].[Metrica]",
"[Base].[Metrica].&amp;[" &amp; $A87 &amp; "]",
"[Base].[SEGMENTO_DESCRIP]",
"[Base].[SEGMENTO_DESCRIP].&amp;[" &amp; $C$6 &amp; "]",
"[Base].[SITUACION]",
"[Base].[SITUACION].&amp;[" &amp; $C87 &amp; "]"
),0)/1000</f>
        <v>-32.9339694743</v>
      </c>
      <c r="L87" s="8">
        <f>IFERROR(
GETPIVOTDATA(
"[Base].[Importe]",
TDinamica_R!$A$5,
"[Calendario].[AñoMes]",
"[Calendario].[AñoMes].&amp;[" &amp; TEXT(L$6,"yyyymm") &amp; "]",
"[Base].[Metrica]",
"[Base].[Metrica].&amp;[" &amp; $A87 &amp; "]",
"[Base].[SEGMENTO_DESCRIP]",
"[Base].[SEGMENTO_DESCRIP].&amp;[" &amp; $C$6 &amp; "]",
"[Base].[SITUACION]",
"[Base].[SITUACION].&amp;[" &amp; $C87 &amp; "]"
),0)/1000</f>
        <v>-36.321609170899997</v>
      </c>
      <c r="M87" s="8">
        <f>IFERROR(
GETPIVOTDATA(
"[Base].[Importe]",
TDinamica_R!$A$5,
"[Calendario].[AñoMes]",
"[Calendario].[AñoMes].&amp;[" &amp; TEXT(M$6,"yyyymm") &amp; "]",
"[Base].[Metrica]",
"[Base].[Metrica].&amp;[" &amp; $A87 &amp; "]",
"[Base].[SEGMENTO_DESCRIP]",
"[Base].[SEGMENTO_DESCRIP].&amp;[" &amp; $C$6 &amp; "]",
"[Base].[SITUACION]",
"[Base].[SITUACION].&amp;[" &amp; $C87 &amp; "]"
),0)/1000</f>
        <v>-33.128800304400009</v>
      </c>
      <c r="N87" s="8">
        <f>IFERROR(
GETPIVOTDATA(
"[Base].[Importe]",
TDinamica_R!$A$5,
"[Calendario].[AñoMes]",
"[Calendario].[AñoMes].&amp;[" &amp; TEXT(N$6,"yyyymm") &amp; "]",
"[Base].[Metrica]",
"[Base].[Metrica].&amp;[" &amp; $A87 &amp; "]",
"[Base].[SEGMENTO_DESCRIP]",
"[Base].[SEGMENTO_DESCRIP].&amp;[" &amp; $C$6 &amp; "]",
"[Base].[SITUACION]",
"[Base].[SITUACION].&amp;[" &amp; $C87 &amp; "]"
),0)/1000</f>
        <v>-33.355325317199998</v>
      </c>
      <c r="O87" s="8">
        <f>IFERROR(
GETPIVOTDATA(
"[Base].[Importe]",
TDinamica_R!$A$5,
"[Calendario].[AñoMes]",
"[Calendario].[AñoMes].&amp;[" &amp; TEXT(O$6,"yyyymm") &amp; "]",
"[Base].[Metrica]",
"[Base].[Metrica].&amp;[" &amp; $A87 &amp; "]",
"[Base].[SEGMENTO_DESCRIP]",
"[Base].[SEGMENTO_DESCRIP].&amp;[" &amp; $C$6 &amp; "]",
"[Base].[SITUACION]",
"[Base].[SITUACION].&amp;[" &amp; $C87 &amp; "]"
),0)/1000</f>
        <v>-40.495847926699994</v>
      </c>
      <c r="P87" s="8">
        <f>IFERROR(
GETPIVOTDATA(
"[Base].[Importe]",
TDinamica_R!$A$5,
"[Calendario].[AñoMes]",
"[Calendario].[AñoMes].&amp;[" &amp; TEXT(P$6,"yyyymm") &amp; "]",
"[Base].[Metrica]",
"[Base].[Metrica].&amp;[" &amp; $A87 &amp; "]",
"[Base].[SEGMENTO_DESCRIP]",
"[Base].[SEGMENTO_DESCRIP].&amp;[" &amp; $C$6 &amp; "]",
"[Base].[SITUACION]",
"[Base].[SITUACION].&amp;[" &amp; $C87 &amp; "]"
),0)/1000</f>
        <v>-38.557010795300002</v>
      </c>
      <c r="Q87" s="8">
        <f>IFERROR(
GETPIVOTDATA(
"[Base].[Importe]",
TDinamica_R!$A$5,
"[Calendario].[AñoMes]",
"[Calendario].[AñoMes].&amp;[" &amp; TEXT(Q$6,"yyyymm") &amp; "]",
"[Base].[Metrica]",
"[Base].[Metrica].&amp;[" &amp; $A87 &amp; "]",
"[Base].[SEGMENTO_DESCRIP]",
"[Base].[SEGMENTO_DESCRIP].&amp;[" &amp; $C$6 &amp; "]",
"[Base].[SITUACION]",
"[Base].[SITUACION].&amp;[" &amp; $C87 &amp; "]"
),0)/1000</f>
        <v>-39.298486413399999</v>
      </c>
      <c r="R87" s="8">
        <f>IFERROR(
GETPIVOTDATA(
"[Base].[Importe]",
TDinamica_R!$A$5,
"[Calendario].[AñoMes]",
"[Calendario].[AñoMes].&amp;[" &amp; TEXT(R$6,"yyyymm") &amp; "]",
"[Base].[Metrica]",
"[Base].[Metrica].&amp;[" &amp; $A87 &amp; "]",
"[Base].[SEGMENTO_DESCRIP]",
"[Base].[SEGMENTO_DESCRIP].&amp;[" &amp; $C$6 &amp; "]",
"[Base].[SITUACION]",
"[Base].[SITUACION].&amp;[" &amp; $C87 &amp; "]"
),0)/1000</f>
        <v>-43.954663296100001</v>
      </c>
      <c r="S87" s="8">
        <f>IFERROR(
GETPIVOTDATA(
"[Base].[Importe]",
TDinamica_R!$A$5,
"[Calendario].[AñoMes]",
"[Calendario].[AñoMes].&amp;[" &amp; TEXT(S$6,"yyyymm") &amp; "]",
"[Base].[Metrica]",
"[Base].[Metrica].&amp;[" &amp; $A87 &amp; "]",
"[Base].[SEGMENTO_DESCRIP]",
"[Base].[SEGMENTO_DESCRIP].&amp;[" &amp; $C$6 &amp; "]",
"[Base].[SITUACION]",
"[Base].[SITUACION].&amp;[" &amp; $C87 &amp; "]"
),0)/1000</f>
        <v>-42.564603407100002</v>
      </c>
      <c r="T87" s="8">
        <f>IFERROR(
GETPIVOTDATA(
"[Base].[Importe]",
TDinamica_R!$A$5,
"[Calendario].[AñoMes]",
"[Calendario].[AñoMes].&amp;[" &amp; TEXT(T$6,"yyyymm") &amp; "]",
"[Base].[Metrica]",
"[Base].[Metrica].&amp;[" &amp; $A87 &amp; "]",
"[Base].[SEGMENTO_DESCRIP]",
"[Base].[SEGMENTO_DESCRIP].&amp;[" &amp; $C$6 &amp; "]",
"[Base].[SITUACION]",
"[Base].[SITUACION].&amp;[" &amp; $C87 &amp; "]"
),0)/1000</f>
        <v>-44.268431024999998</v>
      </c>
      <c r="U87" s="8">
        <f>IFERROR(
GETPIVOTDATA(
"[Base].[Importe]",
TDinamica_R!$A$5,
"[Calendario].[AñoMes]",
"[Calendario].[AñoMes].&amp;[" &amp; TEXT(U$6,"yyyymm") &amp; "]",
"[Base].[Metrica]",
"[Base].[Metrica].&amp;[" &amp; $A87 &amp; "]",
"[Base].[SEGMENTO_DESCRIP]",
"[Base].[SEGMENTO_DESCRIP].&amp;[" &amp; $C$6 &amp; "]",
"[Base].[SITUACION]",
"[Base].[SITUACION].&amp;[" &amp; $C87 &amp; "]"
),0)/1000</f>
        <v>-40.917373960600003</v>
      </c>
      <c r="V87" s="8">
        <f>IFERROR(
GETPIVOTDATA(
"[Base].[Importe]",
TDinamica_R!$A$5,
"[Calendario].[AñoMes]",
"[Calendario].[AñoMes].&amp;[" &amp; TEXT(V$6,"yyyymm") &amp; "]",
"[Base].[Metrica]",
"[Base].[Metrica].&amp;[" &amp; $A87 &amp; "]",
"[Base].[SEGMENTO_DESCRIP]",
"[Base].[SEGMENTO_DESCRIP].&amp;[" &amp; $C$6 &amp; "]",
"[Base].[SITUACION]",
"[Base].[SITUACION].&amp;[" &amp; $C87 &amp; "]"
),0)/1000</f>
        <v>-39.860443199799995</v>
      </c>
      <c r="W87" s="8">
        <f>IFERROR(
GETPIVOTDATA(
"[Base].[Importe]",
TDinamica_R!$A$5,
"[Calendario].[AñoMes]",
"[Calendario].[AñoMes].&amp;[" &amp; TEXT(W$6,"yyyymm") &amp; "]",
"[Base].[Metrica]",
"[Base].[Metrica].&amp;[" &amp; $A87 &amp; "]",
"[Base].[SEGMENTO_DESCRIP]",
"[Base].[SEGMENTO_DESCRIP].&amp;[" &amp; $C$6 &amp; "]",
"[Base].[SITUACION]",
"[Base].[SITUACION].&amp;[" &amp; $C87 &amp; "]"
),0)/1000</f>
        <v>-37.207379539899996</v>
      </c>
      <c r="X87" s="8">
        <f>IFERROR(
GETPIVOTDATA(
"[Base].[Importe]",
TDinamica_R!$A$5,
"[Calendario].[AñoMes]",
"[Calendario].[AñoMes].&amp;[" &amp; TEXT(X$6,"yyyymm") &amp; "]",
"[Base].[Metrica]",
"[Base].[Metrica].&amp;[" &amp; $A87 &amp; "]",
"[Base].[SEGMENTO_DESCRIP]",
"[Base].[SEGMENTO_DESCRIP].&amp;[" &amp; $C$6 &amp; "]",
"[Base].[SITUACION]",
"[Base].[SITUACION].&amp;[" &amp; $C87 &amp; "]"
),0)/1000</f>
        <v>-33.623988778400005</v>
      </c>
      <c r="Y87" s="8">
        <f>IFERROR(
GETPIVOTDATA(
"[Base].[Importe]",
TDinamica_R!$A$5,
"[Calendario].[AñoMes]",
"[Calendario].[AñoMes].&amp;[" &amp; TEXT(Y$6,"yyyymm") &amp; "]",
"[Base].[Metrica]",
"[Base].[Metrica].&amp;[" &amp; $A87 &amp; "]",
"[Base].[SEGMENTO_DESCRIP]",
"[Base].[SEGMENTO_DESCRIP].&amp;[" &amp; $C$6 &amp; "]",
"[Base].[SITUACION]",
"[Base].[SITUACION].&amp;[" &amp; $C87 &amp; "]"
),0)/1000</f>
        <v>-33.200068918899994</v>
      </c>
      <c r="Z87" s="8">
        <f>IFERROR(
GETPIVOTDATA(
"[Base].[Importe]",
TDinamica_R!$A$5,
"[Calendario].[AñoMes]",
"[Calendario].[AñoMes].&amp;[" &amp; TEXT(Z$6,"yyyymm") &amp; "]",
"[Base].[Metrica]",
"[Base].[Metrica].&amp;[" &amp; $A87 &amp; "]",
"[Base].[SEGMENTO_DESCRIP]",
"[Base].[SEGMENTO_DESCRIP].&amp;[" &amp; $C$6 &amp; "]",
"[Base].[SITUACION]",
"[Base].[SITUACION].&amp;[" &amp; $C87 &amp; "]"
),0)/1000</f>
        <v>-30.397574836</v>
      </c>
      <c r="AA87" s="8">
        <f>IFERROR(
GETPIVOTDATA(
"[Base].[Importe]",
TDinamica_R!$A$5,
"[Calendario].[AñoMes]",
"[Calendario].[AñoMes].&amp;[" &amp; TEXT(AA$6,"yyyymm") &amp; "]",
"[Base].[Metrica]",
"[Base].[Metrica].&amp;[" &amp; $A87 &amp; "]",
"[Base].[SEGMENTO_DESCRIP]",
"[Base].[SEGMENTO_DESCRIP].&amp;[" &amp; $C$6 &amp; "]",
"[Base].[SITUACION]",
"[Base].[SITUACION].&amp;[" &amp; $C87 &amp; "]"
),0)/1000</f>
        <v>-30.179047040999997</v>
      </c>
      <c r="AB87" s="8">
        <f>IFERROR(
GETPIVOTDATA(
"[Base].[Importe]",
TDinamica_R!$A$5,
"[Calendario].[AñoMes]",
"[Calendario].[AñoMes].&amp;[" &amp; TEXT(AB$6,"yyyymm") &amp; "]",
"[Base].[Metrica]",
"[Base].[Metrica].&amp;[" &amp; $A87 &amp; "]",
"[Base].[SEGMENTO_DESCRIP]",
"[Base].[SEGMENTO_DESCRIP].&amp;[" &amp; $C$6 &amp; "]",
"[Base].[SITUACION]",
"[Base].[SITUACION].&amp;[" &amp; $C87 &amp; "]"
),0)/1000</f>
        <v>-47.952409267699998</v>
      </c>
      <c r="AC87" s="8">
        <f>IFERROR(
GETPIVOTDATA(
"[Base].[Importe]",
TDinamica_R!$A$5,
"[Calendario].[AñoMes]",
"[Calendario].[AñoMes].&amp;[" &amp; TEXT(AC$6,"yyyymm") &amp; "]",
"[Base].[Metrica]",
"[Base].[Metrica].&amp;[" &amp; $A87 &amp; "]",
"[Base].[SEGMENTO_DESCRIP]",
"[Base].[SEGMENTO_DESCRIP].&amp;[" &amp; $C$6 &amp; "]",
"[Base].[SITUACION]",
"[Base].[SITUACION].&amp;[" &amp; $C87 &amp; "]"
),0)/1000</f>
        <v>-33.518905363900004</v>
      </c>
      <c r="AD87" s="8">
        <f>IFERROR(
GETPIVOTDATA(
"[Base].[Importe]",
TDinamica_R!$A$5,
"[Calendario].[AñoMes]",
"[Calendario].[AñoMes].&amp;[" &amp; TEXT(AD$6,"yyyymm") &amp; "]",
"[Base].[Metrica]",
"[Base].[Metrica].&amp;[" &amp; $A87 &amp; "]",
"[Base].[SEGMENTO_DESCRIP]",
"[Base].[SEGMENTO_DESCRIP].&amp;[" &amp; $C$6 &amp; "]",
"[Base].[SITUACION]",
"[Base].[SITUACION].&amp;[" &amp; $C87 &amp; "]"
),0)/1000</f>
        <v>-38.389274955200001</v>
      </c>
      <c r="AE87" s="8">
        <f>IFERROR(
GETPIVOTDATA(
"[Base].[Importe]",
TDinamica_R!$A$5,
"[Calendario].[AñoMes]",
"[Calendario].[AñoMes].&amp;[" &amp; TEXT(AE$6,"yyyymm") &amp; "]",
"[Base].[Metrica]",
"[Base].[Metrica].&amp;[" &amp; $A87 &amp; "]",
"[Base].[SEGMENTO_DESCRIP]",
"[Base].[SEGMENTO_DESCRIP].&amp;[" &amp; $C$6 &amp; "]",
"[Base].[SITUACION]",
"[Base].[SITUACION].&amp;[" &amp; $C87 &amp; "]"
),0)/1000</f>
        <v>-36.168491476900002</v>
      </c>
      <c r="AF87" s="8">
        <f>IFERROR(
GETPIVOTDATA(
"[Base].[Importe]",
TDinamica_R!$A$5,
"[Calendario].[AñoMes]",
"[Calendario].[AñoMes].&amp;[" &amp; TEXT(AF$6,"yyyymm") &amp; "]",
"[Base].[Metrica]",
"[Base].[Metrica].&amp;[" &amp; $A87 &amp; "]",
"[Base].[SEGMENTO_DESCRIP]",
"[Base].[SEGMENTO_DESCRIP].&amp;[" &amp; $C$6 &amp; "]",
"[Base].[SITUACION]",
"[Base].[SITUACION].&amp;[" &amp; $C87 &amp; "]"
),0)/1000</f>
        <v>-38.2288413992</v>
      </c>
      <c r="AG87" s="8">
        <f>IFERROR(
GETPIVOTDATA(
"[Base].[Importe]",
TDinamica_R!$A$5,
"[Calendario].[AñoMes]",
"[Calendario].[AñoMes].&amp;[" &amp; TEXT(AG$6,"yyyymm") &amp; "]",
"[Base].[Metrica]",
"[Base].[Metrica].&amp;[" &amp; $A87 &amp; "]",
"[Base].[SEGMENTO_DESCRIP]",
"[Base].[SEGMENTO_DESCRIP].&amp;[" &amp; $C$6 &amp; "]",
"[Base].[SITUACION]",
"[Base].[SITUACION].&amp;[" &amp; $C87 &amp; "]"
),0)/1000</f>
        <v>-66.457147687999992</v>
      </c>
      <c r="AH87" s="8">
        <f>IFERROR(
GETPIVOTDATA(
"[Base].[Importe]",
TDinamica_R!$A$5,
"[Calendario].[AñoMes]",
"[Calendario].[AñoMes].&amp;[" &amp; TEXT(AH$6,"yyyymm") &amp; "]",
"[Base].[Metrica]",
"[Base].[Metrica].&amp;[" &amp; $A87 &amp; "]",
"[Base].[SEGMENTO_DESCRIP]",
"[Base].[SEGMENTO_DESCRIP].&amp;[" &amp; $C$6 &amp; "]",
"[Base].[SITUACION]",
"[Base].[SITUACION].&amp;[" &amp; $C87 &amp; "]"
),0)/1000</f>
        <v>-68.955946436800005</v>
      </c>
      <c r="AI87" s="8">
        <f>IFERROR(
GETPIVOTDATA(
"[Base].[Importe]",
TDinamica_R!$A$5,
"[Calendario].[AñoMes]",
"[Calendario].[AñoMes].&amp;[" &amp; TEXT(AI$6,"yyyymm") &amp; "]",
"[Base].[Metrica]",
"[Base].[Metrica].&amp;[" &amp; $A87 &amp; "]",
"[Base].[SEGMENTO_DESCRIP]",
"[Base].[SEGMENTO_DESCRIP].&amp;[" &amp; $C$6 &amp; "]",
"[Base].[SITUACION]",
"[Base].[SITUACION].&amp;[" &amp; $C87 &amp; "]"
),0)/1000</f>
        <v>-33.604098839300001</v>
      </c>
      <c r="AJ87" s="8">
        <f>IFERROR(
GETPIVOTDATA(
"[Base].[Importe]",
TDinamica_R!$A$5,
"[Calendario].[AñoMes]",
"[Calendario].[AñoMes].&amp;[" &amp; TEXT(AJ$6,"yyyymm") &amp; "]",
"[Base].[Metrica]",
"[Base].[Metrica].&amp;[" &amp; $A87 &amp; "]",
"[Base].[SEGMENTO_DESCRIP]",
"[Base].[SEGMENTO_DESCRIP].&amp;[" &amp; $C$6 &amp; "]",
"[Base].[SITUACION]",
"[Base].[SITUACION].&amp;[" &amp; $C87 &amp; "]"
),0)/1000</f>
        <v>-30.990813313500002</v>
      </c>
      <c r="AK87" s="8">
        <f>IFERROR(
GETPIVOTDATA(
"[Base].[Importe]",
TDinamica_R!$A$5,
"[Calendario].[AñoMes]",
"[Calendario].[AñoMes].&amp;[" &amp; TEXT(AK$6,"yyyymm") &amp; "]",
"[Base].[Metrica]",
"[Base].[Metrica].&amp;[" &amp; $A87 &amp; "]",
"[Base].[SEGMENTO_DESCRIP]",
"[Base].[SEGMENTO_DESCRIP].&amp;[" &amp; $C$6 &amp; "]",
"[Base].[SITUACION]",
"[Base].[SITUACION].&amp;[" &amp; $C87 &amp; "]"
),0)/1000</f>
        <v>-33.514930988300002</v>
      </c>
      <c r="AL87" s="8">
        <f>IFERROR(
GETPIVOTDATA(
"[Base].[Importe]",
TDinamica_R!$A$5,
"[Calendario].[AñoMes]",
"[Calendario].[AñoMes].&amp;[" &amp; TEXT(AL$6,"yyyymm") &amp; "]",
"[Base].[Metrica]",
"[Base].[Metrica].&amp;[" &amp; $A87 &amp; "]",
"[Base].[SEGMENTO_DESCRIP]",
"[Base].[SEGMENTO_DESCRIP].&amp;[" &amp; $C$6 &amp; "]",
"[Base].[SITUACION]",
"[Base].[SITUACION].&amp;[" &amp; $C87 &amp; "]"
),0)/1000</f>
        <v>-34.073225785000005</v>
      </c>
      <c r="AM87" s="8">
        <f>IFERROR(
GETPIVOTDATA(
"[Base].[Importe]",
TDinamica_R!$A$5,
"[Calendario].[AñoMes]",
"[Calendario].[AñoMes].&amp;[" &amp; TEXT(AM$6,"yyyymm") &amp; "]",
"[Base].[Metrica]",
"[Base].[Metrica].&amp;[" &amp; $A87 &amp; "]",
"[Base].[SEGMENTO_DESCRIP]",
"[Base].[SEGMENTO_DESCRIP].&amp;[" &amp; $C$6 &amp; "]",
"[Base].[SITUACION]",
"[Base].[SITUACION].&amp;[" &amp; $C87 &amp; "]"
),0)/1000</f>
        <v>-31.569550851700001</v>
      </c>
      <c r="AN87" s="8">
        <f>IFERROR(
GETPIVOTDATA(
"[Base].[Importe]",
TDinamica_R!$A$5,
"[Calendario].[AñoMes]",
"[Calendario].[AñoMes].&amp;[" &amp; TEXT(AN$6,"yyyymm") &amp; "]",
"[Base].[Metrica]",
"[Base].[Metrica].&amp;[" &amp; $A87 &amp; "]",
"[Base].[SEGMENTO_DESCRIP]",
"[Base].[SEGMENTO_DESCRIP].&amp;[" &amp; $C$6 &amp; "]",
"[Base].[SITUACION]",
"[Base].[SITUACION].&amp;[" &amp; $C87 &amp; "]"
),0)/1000</f>
        <v>-32.952815606100003</v>
      </c>
      <c r="AO87" s="8">
        <f>IFERROR(
GETPIVOTDATA(
"[Base].[Importe]",
TDinamica_R!$A$5,
"[Calendario].[AñoMes]",
"[Calendario].[AñoMes].&amp;[" &amp; TEXT(AO$6,"yyyymm") &amp; "]",
"[Base].[Metrica]",
"[Base].[Metrica].&amp;[" &amp; $A87 &amp; "]",
"[Base].[SEGMENTO_DESCRIP]",
"[Base].[SEGMENTO_DESCRIP].&amp;[" &amp; $C$6 &amp; "]",
"[Base].[SITUACION]",
"[Base].[SITUACION].&amp;[" &amp; $C87 &amp; "]"
),0)/1000</f>
        <v>-33.780995072099998</v>
      </c>
      <c r="AP87" s="8">
        <f>IFERROR(
GETPIVOTDATA(
"[Base].[Importe]",
TDinamica_R!$A$5,
"[Calendario].[AñoMes]",
"[Calendario].[AñoMes].&amp;[" &amp; TEXT(AP$6,"yyyymm") &amp; "]",
"[Base].[Metrica]",
"[Base].[Metrica].&amp;[" &amp; $A87 &amp; "]",
"[Base].[SEGMENTO_DESCRIP]",
"[Base].[SEGMENTO_DESCRIP].&amp;[" &amp; $C$6 &amp; "]",
"[Base].[SITUACION]",
"[Base].[SITUACION].&amp;[" &amp; $C87 &amp; "]"
),0)/1000</f>
        <v>-34.305367051699996</v>
      </c>
      <c r="AQ87" s="8">
        <f>IFERROR(
GETPIVOTDATA(
"[Base].[Importe]",
TDinamica_R!$A$5,
"[Calendario].[AñoMes]",
"[Calendario].[AñoMes].&amp;[" &amp; TEXT(AQ$6,"yyyymm") &amp; "]",
"[Base].[Metrica]",
"[Base].[Metrica].&amp;[" &amp; $A87 &amp; "]",
"[Base].[SEGMENTO_DESCRIP]",
"[Base].[SEGMENTO_DESCRIP].&amp;[" &amp; $C$6 &amp; "]",
"[Base].[SITUACION]",
"[Base].[SITUACION].&amp;[" &amp; $C87 &amp; "]"
),0)/1000</f>
        <v>-38.926190542099995</v>
      </c>
      <c r="AR87" s="8">
        <f>IFERROR(
GETPIVOTDATA(
"[Base].[Importe]",
TDinamica_R!$A$5,
"[Calendario].[AñoMes]",
"[Calendario].[AñoMes].&amp;[" &amp; TEXT(AR$6,"yyyymm") &amp; "]",
"[Base].[Metrica]",
"[Base].[Metrica].&amp;[" &amp; $A87 &amp; "]",
"[Base].[SEGMENTO_DESCRIP]",
"[Base].[SEGMENTO_DESCRIP].&amp;[" &amp; $C$6 &amp; "]",
"[Base].[SITUACION]",
"[Base].[SITUACION].&amp;[" &amp; $C87 &amp; "]"
),0)/1000</f>
        <v>-38.333036294199999</v>
      </c>
      <c r="AS87" s="8">
        <f>IFERROR(
GETPIVOTDATA(
"[Base].[Importe]",
TDinamica_R!$A$5,
"[Calendario].[AñoMes]",
"[Calendario].[AñoMes].&amp;[" &amp; TEXT(AS$6,"yyyymm") &amp; "]",
"[Base].[Metrica]",
"[Base].[Metrica].&amp;[" &amp; $A87 &amp; "]",
"[Base].[SEGMENTO_DESCRIP]",
"[Base].[SEGMENTO_DESCRIP].&amp;[" &amp; $C$6 &amp; "]",
"[Base].[SITUACION]",
"[Base].[SITUACION].&amp;[" &amp; $C87 &amp; "]"
),0)/1000</f>
        <v>-38.0085045947</v>
      </c>
      <c r="AT87" s="8">
        <f>IFERROR(
GETPIVOTDATA(
"[Base].[Importe]",
TDinamica_R!$A$5,
"[Calendario].[AñoMes]",
"[Calendario].[AñoMes].&amp;[" &amp; TEXT(AT$6,"yyyymm")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U87" s="8">
        <f>IFERROR(
GETPIVOTDATA(
"[Base].[Importe]",
TDinamica_R!$A$5,
"[Calendario].[AñoMes]",
"[Calendario].[AñoMes].&amp;[" &amp; TEXT(AU$6,"yyyymm")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V87" s="8">
        <f>IFERROR(
GETPIVOTDATA(
"[Base].[Importe]",
TDinamica_R!$A$5,
"[Calendario].[AñoMes]",
"[Calendario].[AñoMes].&amp;[" &amp; TEXT(AV$6,"yyyymm")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W87" s="8">
        <f>IFERROR(
GETPIVOTDATA(
"[Base].[Importe]",
TDinamica_R!$A$5,
"[Calendario].[AñoMes]",
"[Calendario].[AñoMes].&amp;[" &amp; TEXT(AW$6,"yyyymm")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X87" s="8">
        <f>IFERROR(
GETPIVOTDATA(
"[Base].[Importe]",
TDinamica_R!$A$5,
"[Calendario].[AñoMes]",
"[Calendario].[AñoMes].&amp;[" &amp; TEXT(AX$6,"yyyymm")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Y87" s="8">
        <f>IFERROR(
GETPIVOTDATA(
"[Base].[Importe]",
TDinamica_R!$A$5,
"[Calendario].[AñoMes]",
"[Calendario].[AñoMes].&amp;[" &amp; TEXT(AY$6,"yyyymm")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Z87" s="8">
        <f>IFERROR(
GETPIVOTDATA(
"[BASE_CONVE_PPTO].[Importe]",
TDinamica_P!$A$5,
"[BASE_CONVE_PPTO].[Periodo]",
"[BASE_CONVE_PPTO].[Periodo].&amp;[" &amp; TEXT(AZ$6,"yyyymm")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-42.458677315300001</v>
      </c>
      <c r="BA87" s="8">
        <f>IFERROR(
GETPIVOTDATA(
"[BASE_CONVE_PPTO].[Importe]",
TDinamica_P!$A$5,
"[BASE_CONVE_PPTO].[Periodo]",
"[BASE_CONVE_PPTO].[Periodo].&amp;[" &amp; TEXT(BA$6,"yyyymm")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-40.776663203399998</v>
      </c>
      <c r="BB87" s="8">
        <f>IFERROR(
GETPIVOTDATA(
"[BASE_CONVE_PPTO].[Importe]",
TDinamica_P!$A$5,
"[BASE_CONVE_PPTO].[Periodo]",
"[BASE_CONVE_PPTO].[Periodo].&amp;[" &amp; TEXT(BB$6,"yyyymm")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-45.363202449799999</v>
      </c>
      <c r="BC87" s="8">
        <f>IFERROR(
GETPIVOTDATA(
"[BASE_CONVE_PPTO].[Importe]",
TDinamica_P!$A$5,
"[BASE_CONVE_PPTO].[Periodo]",
"[BASE_CONVE_PPTO].[Periodo].&amp;[" &amp; TEXT(BC$6,"yyyymm")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-45.374674880800001</v>
      </c>
      <c r="BD87" s="8">
        <f>IFERROR(
GETPIVOTDATA(
"[BASE_CONVE_PPTO].[Importe]",
TDinamica_P!$A$5,
"[BASE_CONVE_PPTO].[Periodo]",
"[BASE_CONVE_PPTO].[Periodo].&amp;[" &amp; TEXT(BD$6,"yyyymm")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-46.073701792400001</v>
      </c>
      <c r="BE87" s="8">
        <f>IFERROR(
GETPIVOTDATA(
"[BASE_CONVE_PPTO].[Importe]",
TDinamica_P!$A$5,
"[BASE_CONVE_PPTO].[Periodo]",
"[BASE_CONVE_PPTO].[Periodo].&amp;[" &amp; TEXT(BE$6,"yyyymm")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-42.557658162599999</v>
      </c>
      <c r="BF87" s="8">
        <f>IFERROR(
GETPIVOTDATA(
"[BASE_CONVE_PPTO].[Importe]",
TDinamica_P!$A$5,
"[BASE_CONVE_PPTO].[Periodo]",
"[BASE_CONVE_PPTO].[Periodo].&amp;[" &amp; TEXT(BF$6,"yyyymm")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-37.898757373700001</v>
      </c>
      <c r="BG87" s="8">
        <f>IFERROR(
GETPIVOTDATA(
"[BASE_CONVE_PPTO].[Importe]",
TDinamica_P!$A$5,
"[BASE_CONVE_PPTO].[Periodo]",
"[BASE_CONVE_PPTO].[Periodo].&amp;[" &amp; TEXT(BG$6,"yyyymm")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-36.987507530999999</v>
      </c>
      <c r="BH87" s="8">
        <f>IFERROR(
GETPIVOTDATA(
"[BASE_CONVE_PPTO].[Importe]",
TDinamica_P!$A$5,
"[BASE_CONVE_PPTO].[Periodo]",
"[BASE_CONVE_PPTO].[Periodo].&amp;[" &amp; TEXT(BH$6,"yyyymm")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-37.077156305700001</v>
      </c>
      <c r="BI87" s="8">
        <f>IFERROR(
GETPIVOTDATA(
"[BASE_CONVE_PPTO].[Importe]",
TDinamica_P!$A$5,
"[BASE_CONVE_PPTO].[Periodo]",
"[BASE_CONVE_PPTO].[Periodo].&amp;[" &amp; TEXT(BI$6,"yyyymm")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-37.322599695500003</v>
      </c>
      <c r="BJ87" s="8">
        <f>IFERROR(
GETPIVOTDATA(
"[BASE_CONVE_PPTO].[Importe]",
TDinamica_P!$A$5,
"[BASE_CONVE_PPTO].[Periodo]",
"[BASE_CONVE_PPTO].[Periodo].&amp;[" &amp; TEXT(BJ$6,"yyyymm")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-39.524142593199997</v>
      </c>
      <c r="BK87" s="8">
        <f>IFERROR(
GETPIVOTDATA(
"[BASE_CONVE_PPTO].[Importe]",
TDinamica_P!$A$5,
"[BASE_CONVE_PPTO].[Periodo]",
"[BASE_CONVE_PPTO].[Periodo].&amp;[" &amp; TEXT(BK$6,"yyyymm") &amp; "]",
"[BASE_CONVE_PPTO].[Metrica]",
"[BASE_CONVE_PPTO].[Metrica].&amp;[" &amp; $A87 &amp; "]",
"[BASE_CONVE_PPTO].[SEGMENTO_DESCRIP]",
"[BASE_CONVE_PPTO].[SEGMENTO_DESCRIP].&amp;[" &amp; $C$6 &amp; "]",
"[BASE_CONVE_PPTO].[SITUACION]",
"[BASE_CONVE_PPTO].[SITUACION].&amp;[" &amp; $C87 &amp; "]"),
0)</f>
        <v>-41.056148308700003</v>
      </c>
      <c r="BO87" s="24">
        <f t="shared" si="54"/>
        <v>-178.29840456619996</v>
      </c>
      <c r="BP87" s="24">
        <f t="shared" si="54"/>
        <v>-220.04691964170001</v>
      </c>
      <c r="BQ87" s="24">
        <f t="shared" si="54"/>
        <v>-139.96536827199998</v>
      </c>
      <c r="BR87" s="24">
        <f t="shared" si="54"/>
        <v>-194.25792246290001</v>
      </c>
      <c r="BS87" s="24">
        <f t="shared" si="54"/>
        <v>-208.64319493689999</v>
      </c>
      <c r="BT87" s="24">
        <f t="shared" si="54"/>
        <v>-127.56968231690001</v>
      </c>
    </row>
    <row r="88" spans="1:72" outlineLevel="1" x14ac:dyDescent="0.25">
      <c r="A88" s="11" t="s">
        <v>75</v>
      </c>
      <c r="C88" s="2" t="s">
        <v>79</v>
      </c>
      <c r="D88" s="8">
        <f>IFERROR(
GETPIVOTDATA(
"[Base].[Importe]",
TDinamica_R!$A$5,
"[Calendario].[AñoMes]",
"[Calendario].[AñoMes].&amp;[" &amp; TEXT(D$6,"yyyymm") &amp; "]",
"[Base].[Metrica]",
"[Base].[Metrica].&amp;[" &amp; $A88 &amp; "]",
"[Base].[SEGMENTO_DESCRIP]",
"[Base].[SEGMENTO_DESCRIP].&amp;[" &amp; $C$6 &amp; "]",
"[Base].[SITUACION]",
"[Base].[SITUACION].&amp;[" &amp; $C88 &amp; "]"
),0)/1000</f>
        <v>-35.459092480400003</v>
      </c>
      <c r="E88" s="8">
        <f>IFERROR(
GETPIVOTDATA(
"[Base].[Importe]",
TDinamica_R!$A$5,
"[Calendario].[AñoMes]",
"[Calendario].[AñoMes].&amp;[" &amp; TEXT(E$6,"yyyymm") &amp; "]",
"[Base].[Metrica]",
"[Base].[Metrica].&amp;[" &amp; $A88 &amp; "]",
"[Base].[SEGMENTO_DESCRIP]",
"[Base].[SEGMENTO_DESCRIP].&amp;[" &amp; $C$6 &amp; "]",
"[Base].[SITUACION]",
"[Base].[SITUACION].&amp;[" &amp; $C88 &amp; "]"
),0)/1000</f>
        <v>-37.881629335699998</v>
      </c>
      <c r="F88" s="8">
        <f>IFERROR(
GETPIVOTDATA(
"[Base].[Importe]",
TDinamica_R!$A$5,
"[Calendario].[AñoMes]",
"[Calendario].[AñoMes].&amp;[" &amp; TEXT(F$6,"yyyymm") &amp; "]",
"[Base].[Metrica]",
"[Base].[Metrica].&amp;[" &amp; $A88 &amp; "]",
"[Base].[SEGMENTO_DESCRIP]",
"[Base].[SEGMENTO_DESCRIP].&amp;[" &amp; $C$6 &amp; "]",
"[Base].[SITUACION]",
"[Base].[SITUACION].&amp;[" &amp; $C88 &amp; "]"
),0)/1000</f>
        <v>-34.925295247499996</v>
      </c>
      <c r="G88" s="8">
        <f>IFERROR(
GETPIVOTDATA(
"[Base].[Importe]",
TDinamica_R!$A$5,
"[Calendario].[AñoMes]",
"[Calendario].[AñoMes].&amp;[" &amp; TEXT(G$6,"yyyymm") &amp; "]",
"[Base].[Metrica]",
"[Base].[Metrica].&amp;[" &amp; $A88 &amp; "]",
"[Base].[SEGMENTO_DESCRIP]",
"[Base].[SEGMENTO_DESCRIP].&amp;[" &amp; $C$6 &amp; "]",
"[Base].[SITUACION]",
"[Base].[SITUACION].&amp;[" &amp; $C88 &amp; "]"
),0)/1000</f>
        <v>-39.809606492299999</v>
      </c>
      <c r="H88" s="8">
        <f>IFERROR(
GETPIVOTDATA(
"[Base].[Importe]",
TDinamica_R!$A$5,
"[Calendario].[AñoMes]",
"[Calendario].[AñoMes].&amp;[" &amp; TEXT(H$6,"yyyymm") &amp; "]",
"[Base].[Metrica]",
"[Base].[Metrica].&amp;[" &amp; $A88 &amp; "]",
"[Base].[SEGMENTO_DESCRIP]",
"[Base].[SEGMENTO_DESCRIP].&amp;[" &amp; $C$6 &amp; "]",
"[Base].[SITUACION]",
"[Base].[SITUACION].&amp;[" &amp; $C88 &amp; "]"
),0)/1000</f>
        <v>-36.845751964200005</v>
      </c>
      <c r="I88" s="8">
        <f>IFERROR(
GETPIVOTDATA(
"[Base].[Importe]",
TDinamica_R!$A$5,
"[Calendario].[AñoMes]",
"[Calendario].[AñoMes].&amp;[" &amp; TEXT(I$6,"yyyymm") &amp; "]",
"[Base].[Metrica]",
"[Base].[Metrica].&amp;[" &amp; $A88 &amp; "]",
"[Base].[SEGMENTO_DESCRIP]",
"[Base].[SEGMENTO_DESCRIP].&amp;[" &amp; $C$6 &amp; "]",
"[Base].[SITUACION]",
"[Base].[SITUACION].&amp;[" &amp; $C88 &amp; "]"
),0)/1000</f>
        <v>-35.324537775499998</v>
      </c>
      <c r="J88" s="8">
        <f>IFERROR(
GETPIVOTDATA(
"[Base].[Importe]",
TDinamica_R!$A$5,
"[Calendario].[AñoMes]",
"[Calendario].[AñoMes].&amp;[" &amp; TEXT(J$6,"yyyymm") &amp; "]",
"[Base].[Metrica]",
"[Base].[Metrica].&amp;[" &amp; $A88 &amp; "]",
"[Base].[SEGMENTO_DESCRIP]",
"[Base].[SEGMENTO_DESCRIP].&amp;[" &amp; $C$6 &amp; "]",
"[Base].[SITUACION]",
"[Base].[SITUACION].&amp;[" &amp; $C88 &amp; "]"
),0)/1000</f>
        <v>-38.488708935799998</v>
      </c>
      <c r="K88" s="8">
        <f>IFERROR(
GETPIVOTDATA(
"[Base].[Importe]",
TDinamica_R!$A$5,
"[Calendario].[AñoMes]",
"[Calendario].[AñoMes].&amp;[" &amp; TEXT(K$6,"yyyymm") &amp; "]",
"[Base].[Metrica]",
"[Base].[Metrica].&amp;[" &amp; $A88 &amp; "]",
"[Base].[SEGMENTO_DESCRIP]",
"[Base].[SEGMENTO_DESCRIP].&amp;[" &amp; $C$6 &amp; "]",
"[Base].[SITUACION]",
"[Base].[SITUACION].&amp;[" &amp; $C88 &amp; "]"
),0)/1000</f>
        <v>-34.6341737049</v>
      </c>
      <c r="L88" s="8">
        <f>IFERROR(
GETPIVOTDATA(
"[Base].[Importe]",
TDinamica_R!$A$5,
"[Calendario].[AñoMes]",
"[Calendario].[AñoMes].&amp;[" &amp; TEXT(L$6,"yyyymm") &amp; "]",
"[Base].[Metrica]",
"[Base].[Metrica].&amp;[" &amp; $A88 &amp; "]",
"[Base].[SEGMENTO_DESCRIP]",
"[Base].[SEGMENTO_DESCRIP].&amp;[" &amp; $C$6 &amp; "]",
"[Base].[SITUACION]",
"[Base].[SITUACION].&amp;[" &amp; $C88 &amp; "]"
),0)/1000</f>
        <v>-39.174175364199996</v>
      </c>
      <c r="M88" s="8">
        <f>IFERROR(
GETPIVOTDATA(
"[Base].[Importe]",
TDinamica_R!$A$5,
"[Calendario].[AñoMes]",
"[Calendario].[AñoMes].&amp;[" &amp; TEXT(M$6,"yyyymm") &amp; "]",
"[Base].[Metrica]",
"[Base].[Metrica].&amp;[" &amp; $A88 &amp; "]",
"[Base].[SEGMENTO_DESCRIP]",
"[Base].[SEGMENTO_DESCRIP].&amp;[" &amp; $C$6 &amp; "]",
"[Base].[SITUACION]",
"[Base].[SITUACION].&amp;[" &amp; $C88 &amp; "]"
),0)/1000</f>
        <v>-37.668776892000004</v>
      </c>
      <c r="N88" s="8">
        <f>IFERROR(
GETPIVOTDATA(
"[Base].[Importe]",
TDinamica_R!$A$5,
"[Calendario].[AñoMes]",
"[Calendario].[AñoMes].&amp;[" &amp; TEXT(N$6,"yyyymm") &amp; "]",
"[Base].[Metrica]",
"[Base].[Metrica].&amp;[" &amp; $A88 &amp; "]",
"[Base].[SEGMENTO_DESCRIP]",
"[Base].[SEGMENTO_DESCRIP].&amp;[" &amp; $C$6 &amp; "]",
"[Base].[SITUACION]",
"[Base].[SITUACION].&amp;[" &amp; $C88 &amp; "]"
),0)/1000</f>
        <v>-42.610861538999998</v>
      </c>
      <c r="O88" s="8">
        <f>IFERROR(
GETPIVOTDATA(
"[Base].[Importe]",
TDinamica_R!$A$5,
"[Calendario].[AñoMes]",
"[Calendario].[AñoMes].&amp;[" &amp; TEXT(O$6,"yyyymm") &amp; "]",
"[Base].[Metrica]",
"[Base].[Metrica].&amp;[" &amp; $A88 &amp; "]",
"[Base].[SEGMENTO_DESCRIP]",
"[Base].[SEGMENTO_DESCRIP].&amp;[" &amp; $C$6 &amp; "]",
"[Base].[SITUACION]",
"[Base].[SITUACION].&amp;[" &amp; $C88 &amp; "]"
),0)/1000</f>
        <v>-36.057802080499997</v>
      </c>
      <c r="P88" s="8">
        <f>IFERROR(
GETPIVOTDATA(
"[Base].[Importe]",
TDinamica_R!$A$5,
"[Calendario].[AñoMes]",
"[Calendario].[AñoMes].&amp;[" &amp; TEXT(P$6,"yyyymm") &amp; "]",
"[Base].[Metrica]",
"[Base].[Metrica].&amp;[" &amp; $A88 &amp; "]",
"[Base].[SEGMENTO_DESCRIP]",
"[Base].[SEGMENTO_DESCRIP].&amp;[" &amp; $C$6 &amp; "]",
"[Base].[SITUACION]",
"[Base].[SITUACION].&amp;[" &amp; $C88 &amp; "]"
),0)/1000</f>
        <v>-37.945584507200003</v>
      </c>
      <c r="Q88" s="8">
        <f>IFERROR(
GETPIVOTDATA(
"[Base].[Importe]",
TDinamica_R!$A$5,
"[Calendario].[AñoMes]",
"[Calendario].[AñoMes].&amp;[" &amp; TEXT(Q$6,"yyyymm") &amp; "]",
"[Base].[Metrica]",
"[Base].[Metrica].&amp;[" &amp; $A88 &amp; "]",
"[Base].[SEGMENTO_DESCRIP]",
"[Base].[SEGMENTO_DESCRIP].&amp;[" &amp; $C$6 &amp; "]",
"[Base].[SITUACION]",
"[Base].[SITUACION].&amp;[" &amp; $C88 &amp; "]"
),0)/1000</f>
        <v>-39.898663006699998</v>
      </c>
      <c r="R88" s="8">
        <f>IFERROR(
GETPIVOTDATA(
"[Base].[Importe]",
TDinamica_R!$A$5,
"[Calendario].[AñoMes]",
"[Calendario].[AñoMes].&amp;[" &amp; TEXT(R$6,"yyyymm") &amp; "]",
"[Base].[Metrica]",
"[Base].[Metrica].&amp;[" &amp; $A88 &amp; "]",
"[Base].[SEGMENTO_DESCRIP]",
"[Base].[SEGMENTO_DESCRIP].&amp;[" &amp; $C$6 &amp; "]",
"[Base].[SITUACION]",
"[Base].[SITUACION].&amp;[" &amp; $C88 &amp; "]"
),0)/1000</f>
        <v>-35.451237500100007</v>
      </c>
      <c r="S88" s="8">
        <f>IFERROR(
GETPIVOTDATA(
"[Base].[Importe]",
TDinamica_R!$A$5,
"[Calendario].[AñoMes]",
"[Calendario].[AñoMes].&amp;[" &amp; TEXT(S$6,"yyyymm") &amp; "]",
"[Base].[Metrica]",
"[Base].[Metrica].&amp;[" &amp; $A88 &amp; "]",
"[Base].[SEGMENTO_DESCRIP]",
"[Base].[SEGMENTO_DESCRIP].&amp;[" &amp; $C$6 &amp; "]",
"[Base].[SITUACION]",
"[Base].[SITUACION].&amp;[" &amp; $C88 &amp; "]"
),0)/1000</f>
        <v>-39.977767562700002</v>
      </c>
      <c r="T88" s="8">
        <f>IFERROR(
GETPIVOTDATA(
"[Base].[Importe]",
TDinamica_R!$A$5,
"[Calendario].[AñoMes]",
"[Calendario].[AñoMes].&amp;[" &amp; TEXT(T$6,"yyyymm") &amp; "]",
"[Base].[Metrica]",
"[Base].[Metrica].&amp;[" &amp; $A88 &amp; "]",
"[Base].[SEGMENTO_DESCRIP]",
"[Base].[SEGMENTO_DESCRIP].&amp;[" &amp; $C$6 &amp; "]",
"[Base].[SITUACION]",
"[Base].[SITUACION].&amp;[" &amp; $C88 &amp; "]"
),0)/1000</f>
        <v>-44.887095352300001</v>
      </c>
      <c r="U88" s="8">
        <f>IFERROR(
GETPIVOTDATA(
"[Base].[Importe]",
TDinamica_R!$A$5,
"[Calendario].[AñoMes]",
"[Calendario].[AñoMes].&amp;[" &amp; TEXT(U$6,"yyyymm") &amp; "]",
"[Base].[Metrica]",
"[Base].[Metrica].&amp;[" &amp; $A88 &amp; "]",
"[Base].[SEGMENTO_DESCRIP]",
"[Base].[SEGMENTO_DESCRIP].&amp;[" &amp; $C$6 &amp; "]",
"[Base].[SITUACION]",
"[Base].[SITUACION].&amp;[" &amp; $C88 &amp; "]"
),0)/1000</f>
        <v>-50.420734929600002</v>
      </c>
      <c r="V88" s="8">
        <f>IFERROR(
GETPIVOTDATA(
"[Base].[Importe]",
TDinamica_R!$A$5,
"[Calendario].[AñoMes]",
"[Calendario].[AñoMes].&amp;[" &amp; TEXT(V$6,"yyyymm") &amp; "]",
"[Base].[Metrica]",
"[Base].[Metrica].&amp;[" &amp; $A88 &amp; "]",
"[Base].[SEGMENTO_DESCRIP]",
"[Base].[SEGMENTO_DESCRIP].&amp;[" &amp; $C$6 &amp; "]",
"[Base].[SITUACION]",
"[Base].[SITUACION].&amp;[" &amp; $C88 &amp; "]"
),0)/1000</f>
        <v>-49.6423684206</v>
      </c>
      <c r="W88" s="8">
        <f>IFERROR(
GETPIVOTDATA(
"[Base].[Importe]",
TDinamica_R!$A$5,
"[Calendario].[AñoMes]",
"[Calendario].[AñoMes].&amp;[" &amp; TEXT(W$6,"yyyymm") &amp; "]",
"[Base].[Metrica]",
"[Base].[Metrica].&amp;[" &amp; $A88 &amp; "]",
"[Base].[SEGMENTO_DESCRIP]",
"[Base].[SEGMENTO_DESCRIP].&amp;[" &amp; $C$6 &amp; "]",
"[Base].[SITUACION]",
"[Base].[SITUACION].&amp;[" &amp; $C88 &amp; "]"
),0)/1000</f>
        <v>-46.140824424499996</v>
      </c>
      <c r="X88" s="8">
        <f>IFERROR(
GETPIVOTDATA(
"[Base].[Importe]",
TDinamica_R!$A$5,
"[Calendario].[AñoMes]",
"[Calendario].[AñoMes].&amp;[" &amp; TEXT(X$6,"yyyymm") &amp; "]",
"[Base].[Metrica]",
"[Base].[Metrica].&amp;[" &amp; $A88 &amp; "]",
"[Base].[SEGMENTO_DESCRIP]",
"[Base].[SEGMENTO_DESCRIP].&amp;[" &amp; $C$6 &amp; "]",
"[Base].[SITUACION]",
"[Base].[SITUACION].&amp;[" &amp; $C88 &amp; "]"
),0)/1000</f>
        <v>-43.160884869200004</v>
      </c>
      <c r="Y88" s="8">
        <f>IFERROR(
GETPIVOTDATA(
"[Base].[Importe]",
TDinamica_R!$A$5,
"[Calendario].[AñoMes]",
"[Calendario].[AñoMes].&amp;[" &amp; TEXT(Y$6,"yyyymm") &amp; "]",
"[Base].[Metrica]",
"[Base].[Metrica].&amp;[" &amp; $A88 &amp; "]",
"[Base].[SEGMENTO_DESCRIP]",
"[Base].[SEGMENTO_DESCRIP].&amp;[" &amp; $C$6 &amp; "]",
"[Base].[SITUACION]",
"[Base].[SITUACION].&amp;[" &amp; $C88 &amp; "]"
),0)/1000</f>
        <v>-43.802681806000002</v>
      </c>
      <c r="Z88" s="8">
        <f>IFERROR(
GETPIVOTDATA(
"[Base].[Importe]",
TDinamica_R!$A$5,
"[Calendario].[AñoMes]",
"[Calendario].[AñoMes].&amp;[" &amp; TEXT(Z$6,"yyyymm") &amp; "]",
"[Base].[Metrica]",
"[Base].[Metrica].&amp;[" &amp; $A88 &amp; "]",
"[Base].[SEGMENTO_DESCRIP]",
"[Base].[SEGMENTO_DESCRIP].&amp;[" &amp; $C$6 &amp; "]",
"[Base].[SITUACION]",
"[Base].[SITUACION].&amp;[" &amp; $C88 &amp; "]"
),0)/1000</f>
        <v>-41.729742720899999</v>
      </c>
      <c r="AA88" s="8">
        <f>IFERROR(
GETPIVOTDATA(
"[Base].[Importe]",
TDinamica_R!$A$5,
"[Calendario].[AñoMes]",
"[Calendario].[AñoMes].&amp;[" &amp; TEXT(AA$6,"yyyymm") &amp; "]",
"[Base].[Metrica]",
"[Base].[Metrica].&amp;[" &amp; $A88 &amp; "]",
"[Base].[SEGMENTO_DESCRIP]",
"[Base].[SEGMENTO_DESCRIP].&amp;[" &amp; $C$6 &amp; "]",
"[Base].[SITUACION]",
"[Base].[SITUACION].&amp;[" &amp; $C88 &amp; "]"
),0)/1000</f>
        <v>-42.692784084000003</v>
      </c>
      <c r="AB88" s="8">
        <f>IFERROR(
GETPIVOTDATA(
"[Base].[Importe]",
TDinamica_R!$A$5,
"[Calendario].[AñoMes]",
"[Calendario].[AñoMes].&amp;[" &amp; TEXT(AB$6,"yyyymm") &amp; "]",
"[Base].[Metrica]",
"[Base].[Metrica].&amp;[" &amp; $A88 &amp; "]",
"[Base].[SEGMENTO_DESCRIP]",
"[Base].[SEGMENTO_DESCRIP].&amp;[" &amp; $C$6 &amp; "]",
"[Base].[SITUACION]",
"[Base].[SITUACION].&amp;[" &amp; $C88 &amp; "]"
),0)/1000</f>
        <v>-50.9492792104</v>
      </c>
      <c r="AC88" s="8">
        <f>IFERROR(
GETPIVOTDATA(
"[Base].[Importe]",
TDinamica_R!$A$5,
"[Calendario].[AñoMes]",
"[Calendario].[AñoMes].&amp;[" &amp; TEXT(AC$6,"yyyymm") &amp; "]",
"[Base].[Metrica]",
"[Base].[Metrica].&amp;[" &amp; $A88 &amp; "]",
"[Base].[SEGMENTO_DESCRIP]",
"[Base].[SEGMENTO_DESCRIP].&amp;[" &amp; $C$6 &amp; "]",
"[Base].[SITUACION]",
"[Base].[SITUACION].&amp;[" &amp; $C88 &amp; "]"
),0)/1000</f>
        <v>-42.792823440200003</v>
      </c>
      <c r="AD88" s="8">
        <f>IFERROR(
GETPIVOTDATA(
"[Base].[Importe]",
TDinamica_R!$A$5,
"[Calendario].[AñoMes]",
"[Calendario].[AñoMes].&amp;[" &amp; TEXT(AD$6,"yyyymm") &amp; "]",
"[Base].[Metrica]",
"[Base].[Metrica].&amp;[" &amp; $A88 &amp; "]",
"[Base].[SEGMENTO_DESCRIP]",
"[Base].[SEGMENTO_DESCRIP].&amp;[" &amp; $C$6 &amp; "]",
"[Base].[SITUACION]",
"[Base].[SITUACION].&amp;[" &amp; $C88 &amp; "]"
),0)/1000</f>
        <v>-45.654923926100004</v>
      </c>
      <c r="AE88" s="8">
        <f>IFERROR(
GETPIVOTDATA(
"[Base].[Importe]",
TDinamica_R!$A$5,
"[Calendario].[AñoMes]",
"[Calendario].[AñoMes].&amp;[" &amp; TEXT(AE$6,"yyyymm") &amp; "]",
"[Base].[Metrica]",
"[Base].[Metrica].&amp;[" &amp; $A88 &amp; "]",
"[Base].[SEGMENTO_DESCRIP]",
"[Base].[SEGMENTO_DESCRIP].&amp;[" &amp; $C$6 &amp; "]",
"[Base].[SITUACION]",
"[Base].[SITUACION].&amp;[" &amp; $C88 &amp; "]"
),0)/1000</f>
        <v>-39.634110325399995</v>
      </c>
      <c r="AF88" s="8">
        <f>IFERROR(
GETPIVOTDATA(
"[Base].[Importe]",
TDinamica_R!$A$5,
"[Calendario].[AñoMes]",
"[Calendario].[AñoMes].&amp;[" &amp; TEXT(AF$6,"yyyymm") &amp; "]",
"[Base].[Metrica]",
"[Base].[Metrica].&amp;[" &amp; $A88 &amp; "]",
"[Base].[SEGMENTO_DESCRIP]",
"[Base].[SEGMENTO_DESCRIP].&amp;[" &amp; $C$6 &amp; "]",
"[Base].[SITUACION]",
"[Base].[SITUACION].&amp;[" &amp; $C88 &amp; "]"
),0)/1000</f>
        <v>-49.712387916900006</v>
      </c>
      <c r="AG88" s="8">
        <f>IFERROR(
GETPIVOTDATA(
"[Base].[Importe]",
TDinamica_R!$A$5,
"[Calendario].[AñoMes]",
"[Calendario].[AñoMes].&amp;[" &amp; TEXT(AG$6,"yyyymm") &amp; "]",
"[Base].[Metrica]",
"[Base].[Metrica].&amp;[" &amp; $A88 &amp; "]",
"[Base].[SEGMENTO_DESCRIP]",
"[Base].[SEGMENTO_DESCRIP].&amp;[" &amp; $C$6 &amp; "]",
"[Base].[SITUACION]",
"[Base].[SITUACION].&amp;[" &amp; $C88 &amp; "]"
),0)/1000</f>
        <v>-50.573492585600007</v>
      </c>
      <c r="AH88" s="8">
        <f>IFERROR(
GETPIVOTDATA(
"[Base].[Importe]",
TDinamica_R!$A$5,
"[Calendario].[AñoMes]",
"[Calendario].[AñoMes].&amp;[" &amp; TEXT(AH$6,"yyyymm") &amp; "]",
"[Base].[Metrica]",
"[Base].[Metrica].&amp;[" &amp; $A88 &amp; "]",
"[Base].[SEGMENTO_DESCRIP]",
"[Base].[SEGMENTO_DESCRIP].&amp;[" &amp; $C$6 &amp; "]",
"[Base].[SITUACION]",
"[Base].[SITUACION].&amp;[" &amp; $C88 &amp; "]"
),0)/1000</f>
        <v>-47.797767421700001</v>
      </c>
      <c r="AI88" s="8">
        <f>IFERROR(
GETPIVOTDATA(
"[Base].[Importe]",
TDinamica_R!$A$5,
"[Calendario].[AñoMes]",
"[Calendario].[AñoMes].&amp;[" &amp; TEXT(AI$6,"yyyymm") &amp; "]",
"[Base].[Metrica]",
"[Base].[Metrica].&amp;[" &amp; $A88 &amp; "]",
"[Base].[SEGMENTO_DESCRIP]",
"[Base].[SEGMENTO_DESCRIP].&amp;[" &amp; $C$6 &amp; "]",
"[Base].[SITUACION]",
"[Base].[SITUACION].&amp;[" &amp; $C88 &amp; "]"
),0)/1000</f>
        <v>-47.55565639440001</v>
      </c>
      <c r="AJ88" s="8">
        <f>IFERROR(
GETPIVOTDATA(
"[Base].[Importe]",
TDinamica_R!$A$5,
"[Calendario].[AñoMes]",
"[Calendario].[AñoMes].&amp;[" &amp; TEXT(AJ$6,"yyyymm") &amp; "]",
"[Base].[Metrica]",
"[Base].[Metrica].&amp;[" &amp; $A88 &amp; "]",
"[Base].[SEGMENTO_DESCRIP]",
"[Base].[SEGMENTO_DESCRIP].&amp;[" &amp; $C$6 &amp; "]",
"[Base].[SITUACION]",
"[Base].[SITUACION].&amp;[" &amp; $C88 &amp; "]"
),0)/1000</f>
        <v>-47.235071254299989</v>
      </c>
      <c r="AK88" s="8">
        <f>IFERROR(
GETPIVOTDATA(
"[Base].[Importe]",
TDinamica_R!$A$5,
"[Calendario].[AñoMes]",
"[Calendario].[AñoMes].&amp;[" &amp; TEXT(AK$6,"yyyymm") &amp; "]",
"[Base].[Metrica]",
"[Base].[Metrica].&amp;[" &amp; $A88 &amp; "]",
"[Base].[SEGMENTO_DESCRIP]",
"[Base].[SEGMENTO_DESCRIP].&amp;[" &amp; $C$6 &amp; "]",
"[Base].[SITUACION]",
"[Base].[SITUACION].&amp;[" &amp; $C88 &amp; "]"
),0)/1000</f>
        <v>-47.202742109599996</v>
      </c>
      <c r="AL88" s="8">
        <f>IFERROR(
GETPIVOTDATA(
"[Base].[Importe]",
TDinamica_R!$A$5,
"[Calendario].[AñoMes]",
"[Calendario].[AñoMes].&amp;[" &amp; TEXT(AL$6,"yyyymm") &amp; "]",
"[Base].[Metrica]",
"[Base].[Metrica].&amp;[" &amp; $A88 &amp; "]",
"[Base].[SEGMENTO_DESCRIP]",
"[Base].[SEGMENTO_DESCRIP].&amp;[" &amp; $C$6 &amp; "]",
"[Base].[SITUACION]",
"[Base].[SITUACION].&amp;[" &amp; $C88 &amp; "]"
),0)/1000</f>
        <v>-53.977253613499997</v>
      </c>
      <c r="AM88" s="8">
        <f>IFERROR(
GETPIVOTDATA(
"[Base].[Importe]",
TDinamica_R!$A$5,
"[Calendario].[AñoMes]",
"[Calendario].[AñoMes].&amp;[" &amp; TEXT(AM$6,"yyyymm") &amp; "]",
"[Base].[Metrica]",
"[Base].[Metrica].&amp;[" &amp; $A88 &amp; "]",
"[Base].[SEGMENTO_DESCRIP]",
"[Base].[SEGMENTO_DESCRIP].&amp;[" &amp; $C$6 &amp; "]",
"[Base].[SITUACION]",
"[Base].[SITUACION].&amp;[" &amp; $C88 &amp; "]"
),0)/1000</f>
        <v>-47.655097268799999</v>
      </c>
      <c r="AN88" s="8">
        <f>IFERROR(
GETPIVOTDATA(
"[Base].[Importe]",
TDinamica_R!$A$5,
"[Calendario].[AñoMes]",
"[Calendario].[AñoMes].&amp;[" &amp; TEXT(AN$6,"yyyymm") &amp; "]",
"[Base].[Metrica]",
"[Base].[Metrica].&amp;[" &amp; $A88 &amp; "]",
"[Base].[SEGMENTO_DESCRIP]",
"[Base].[SEGMENTO_DESCRIP].&amp;[" &amp; $C$6 &amp; "]",
"[Base].[SITUACION]",
"[Base].[SITUACION].&amp;[" &amp; $C88 &amp; "]"
),0)/1000</f>
        <v>-54.931106313600004</v>
      </c>
      <c r="AO88" s="8">
        <f>IFERROR(
GETPIVOTDATA(
"[Base].[Importe]",
TDinamica_R!$A$5,
"[Calendario].[AñoMes]",
"[Calendario].[AñoMes].&amp;[" &amp; TEXT(AO$6,"yyyymm") &amp; "]",
"[Base].[Metrica]",
"[Base].[Metrica].&amp;[" &amp; $A88 &amp; "]",
"[Base].[SEGMENTO_DESCRIP]",
"[Base].[SEGMENTO_DESCRIP].&amp;[" &amp; $C$6 &amp; "]",
"[Base].[SITUACION]",
"[Base].[SITUACION].&amp;[" &amp; $C88 &amp; "]"
),0)/1000</f>
        <v>-52.013107353300001</v>
      </c>
      <c r="AP88" s="8">
        <f>IFERROR(
GETPIVOTDATA(
"[Base].[Importe]",
TDinamica_R!$A$5,
"[Calendario].[AñoMes]",
"[Calendario].[AñoMes].&amp;[" &amp; TEXT(AP$6,"yyyymm") &amp; "]",
"[Base].[Metrica]",
"[Base].[Metrica].&amp;[" &amp; $A88 &amp; "]",
"[Base].[SEGMENTO_DESCRIP]",
"[Base].[SEGMENTO_DESCRIP].&amp;[" &amp; $C$6 &amp; "]",
"[Base].[SITUACION]",
"[Base].[SITUACION].&amp;[" &amp; $C88 &amp; "]"
),0)/1000</f>
        <v>-59.143321787199987</v>
      </c>
      <c r="AQ88" s="8">
        <f>IFERROR(
GETPIVOTDATA(
"[Base].[Importe]",
TDinamica_R!$A$5,
"[Calendario].[AñoMes]",
"[Calendario].[AñoMes].&amp;[" &amp; TEXT(AQ$6,"yyyymm") &amp; "]",
"[Base].[Metrica]",
"[Base].[Metrica].&amp;[" &amp; $A88 &amp; "]",
"[Base].[SEGMENTO_DESCRIP]",
"[Base].[SEGMENTO_DESCRIP].&amp;[" &amp; $C$6 &amp; "]",
"[Base].[SITUACION]",
"[Base].[SITUACION].&amp;[" &amp; $C88 &amp; "]"
),0)/1000</f>
        <v>-59.398299851999994</v>
      </c>
      <c r="AR88" s="8">
        <f>IFERROR(
GETPIVOTDATA(
"[Base].[Importe]",
TDinamica_R!$A$5,
"[Calendario].[AñoMes]",
"[Calendario].[AñoMes].&amp;[" &amp; TEXT(AR$6,"yyyymm") &amp; "]",
"[Base].[Metrica]",
"[Base].[Metrica].&amp;[" &amp; $A88 &amp; "]",
"[Base].[SEGMENTO_DESCRIP]",
"[Base].[SEGMENTO_DESCRIP].&amp;[" &amp; $C$6 &amp; "]",
"[Base].[SITUACION]",
"[Base].[SITUACION].&amp;[" &amp; $C88 &amp; "]"
),0)/1000</f>
        <v>-52.839742862499996</v>
      </c>
      <c r="AS88" s="8">
        <f>IFERROR(
GETPIVOTDATA(
"[Base].[Importe]",
TDinamica_R!$A$5,
"[Calendario].[AñoMes]",
"[Calendario].[AñoMes].&amp;[" &amp; TEXT(AS$6,"yyyymm") &amp; "]",
"[Base].[Metrica]",
"[Base].[Metrica].&amp;[" &amp; $A88 &amp; "]",
"[Base].[SEGMENTO_DESCRIP]",
"[Base].[SEGMENTO_DESCRIP].&amp;[" &amp; $C$6 &amp; "]",
"[Base].[SITUACION]",
"[Base].[SITUACION].&amp;[" &amp; $C88 &amp; "]"
),0)/1000</f>
        <v>-56.2409814731</v>
      </c>
      <c r="AT88" s="8">
        <f>IFERROR(
GETPIVOTDATA(
"[Base].[Importe]",
TDinamica_R!$A$5,
"[Calendario].[AñoMes]",
"[Calendario].[AñoMes].&amp;[" &amp; TEXT(AT$6,"yyyymm")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U88" s="8">
        <f>IFERROR(
GETPIVOTDATA(
"[Base].[Importe]",
TDinamica_R!$A$5,
"[Calendario].[AñoMes]",
"[Calendario].[AñoMes].&amp;[" &amp; TEXT(AU$6,"yyyymm")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V88" s="8">
        <f>IFERROR(
GETPIVOTDATA(
"[Base].[Importe]",
TDinamica_R!$A$5,
"[Calendario].[AñoMes]",
"[Calendario].[AñoMes].&amp;[" &amp; TEXT(AV$6,"yyyymm")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W88" s="8">
        <f>IFERROR(
GETPIVOTDATA(
"[Base].[Importe]",
TDinamica_R!$A$5,
"[Calendario].[AñoMes]",
"[Calendario].[AñoMes].&amp;[" &amp; TEXT(AW$6,"yyyymm")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X88" s="8">
        <f>IFERROR(
GETPIVOTDATA(
"[Base].[Importe]",
TDinamica_R!$A$5,
"[Calendario].[AñoMes]",
"[Calendario].[AñoMes].&amp;[" &amp; TEXT(AX$6,"yyyymm")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Y88" s="8">
        <f>IFERROR(
GETPIVOTDATA(
"[Base].[Importe]",
TDinamica_R!$A$5,
"[Calendario].[AñoMes]",
"[Calendario].[AñoMes].&amp;[" &amp; TEXT(AY$6,"yyyymm")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Z88" s="8">
        <f>IFERROR(
GETPIVOTDATA(
"[BASE_CONVE_PPTO].[Importe]",
TDinamica_P!$A$5,
"[BASE_CONVE_PPTO].[Periodo]",
"[BASE_CONVE_PPTO].[Periodo].&amp;[" &amp; TEXT(AZ$6,"yyyymm")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-46.525316152599999</v>
      </c>
      <c r="BA88" s="8">
        <f>IFERROR(
GETPIVOTDATA(
"[BASE_CONVE_PPTO].[Importe]",
TDinamica_P!$A$5,
"[BASE_CONVE_PPTO].[Periodo]",
"[BASE_CONVE_PPTO].[Periodo].&amp;[" &amp; TEXT(BA$6,"yyyymm")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-49.513497076</v>
      </c>
      <c r="BB88" s="8">
        <f>IFERROR(
GETPIVOTDATA(
"[BASE_CONVE_PPTO].[Importe]",
TDinamica_P!$A$5,
"[BASE_CONVE_PPTO].[Periodo]",
"[BASE_CONVE_PPTO].[Periodo].&amp;[" &amp; TEXT(BB$6,"yyyymm")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-47.027941668899999</v>
      </c>
      <c r="BC88" s="8">
        <f>IFERROR(
GETPIVOTDATA(
"[BASE_CONVE_PPTO].[Importe]",
TDinamica_P!$A$5,
"[BASE_CONVE_PPTO].[Periodo]",
"[BASE_CONVE_PPTO].[Periodo].&amp;[" &amp; TEXT(BC$6,"yyyymm")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-47.408980476400004</v>
      </c>
      <c r="BD88" s="8">
        <f>IFERROR(
GETPIVOTDATA(
"[BASE_CONVE_PPTO].[Importe]",
TDinamica_P!$A$5,
"[BASE_CONVE_PPTO].[Periodo]",
"[BASE_CONVE_PPTO].[Periodo].&amp;[" &amp; TEXT(BD$6,"yyyymm")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-47.771848740099998</v>
      </c>
      <c r="BE88" s="8">
        <f>IFERROR(
GETPIVOTDATA(
"[BASE_CONVE_PPTO].[Importe]",
TDinamica_P!$A$5,
"[BASE_CONVE_PPTO].[Periodo]",
"[BASE_CONVE_PPTO].[Periodo].&amp;[" &amp; TEXT(BE$6,"yyyymm")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-49.359170259600006</v>
      </c>
      <c r="BF88" s="8">
        <f>IFERROR(
GETPIVOTDATA(
"[BASE_CONVE_PPTO].[Importe]",
TDinamica_P!$A$5,
"[BASE_CONVE_PPTO].[Periodo]",
"[BASE_CONVE_PPTO].[Periodo].&amp;[" &amp; TEXT(BF$6,"yyyymm")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-47.910365862799999</v>
      </c>
      <c r="BG88" s="8">
        <f>IFERROR(
GETPIVOTDATA(
"[BASE_CONVE_PPTO].[Importe]",
TDinamica_P!$A$5,
"[BASE_CONVE_PPTO].[Periodo]",
"[BASE_CONVE_PPTO].[Periodo].&amp;[" &amp; TEXT(BG$6,"yyyymm")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-47.806503751699999</v>
      </c>
      <c r="BH88" s="8">
        <f>IFERROR(
GETPIVOTDATA(
"[BASE_CONVE_PPTO].[Importe]",
TDinamica_P!$A$5,
"[BASE_CONVE_PPTO].[Periodo]",
"[BASE_CONVE_PPTO].[Periodo].&amp;[" &amp; TEXT(BH$6,"yyyymm")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-50.451021724499995</v>
      </c>
      <c r="BI88" s="8">
        <f>IFERROR(
GETPIVOTDATA(
"[BASE_CONVE_PPTO].[Importe]",
TDinamica_P!$A$5,
"[BASE_CONVE_PPTO].[Periodo]",
"[BASE_CONVE_PPTO].[Periodo].&amp;[" &amp; TEXT(BI$6,"yyyymm")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-48.5002894052</v>
      </c>
      <c r="BJ88" s="8">
        <f>IFERROR(
GETPIVOTDATA(
"[BASE_CONVE_PPTO].[Importe]",
TDinamica_P!$A$5,
"[BASE_CONVE_PPTO].[Periodo]",
"[BASE_CONVE_PPTO].[Periodo].&amp;[" &amp; TEXT(BJ$6,"yyyymm")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-48.8493140251</v>
      </c>
      <c r="BK88" s="8">
        <f>IFERROR(
GETPIVOTDATA(
"[BASE_CONVE_PPTO].[Importe]",
TDinamica_P!$A$5,
"[BASE_CONVE_PPTO].[Periodo]",
"[BASE_CONVE_PPTO].[Periodo].&amp;[" &amp; TEXT(BK$6,"yyyymm") &amp; "]",
"[BASE_CONVE_PPTO].[Metrica]",
"[BASE_CONVE_PPTO].[Metrica].&amp;[" &amp; $A88 &amp; "]",
"[BASE_CONVE_PPTO].[SEGMENTO_DESCRIP]",
"[BASE_CONVE_PPTO].[SEGMENTO_DESCRIP].&amp;[" &amp; $C$6 &amp; "]",
"[BASE_CONVE_PPTO].[SITUACION]",
"[BASE_CONVE_PPTO].[SITUACION].&amp;[" &amp; $C88 &amp; "]"),
0)</f>
        <v>-48.5838478533</v>
      </c>
      <c r="BO88" s="24">
        <f t="shared" si="54"/>
        <v>-278.32557816859998</v>
      </c>
      <c r="BP88" s="24">
        <f t="shared" si="54"/>
        <v>-238.24758411400001</v>
      </c>
      <c r="BQ88" s="24">
        <f t="shared" si="54"/>
        <v>-225.4858353061</v>
      </c>
      <c r="BR88" s="24">
        <f t="shared" si="54"/>
        <v>-228.74352481900002</v>
      </c>
      <c r="BS88" s="24">
        <f t="shared" si="54"/>
        <v>-198.16034792900001</v>
      </c>
      <c r="BT88" s="24">
        <f t="shared" si="54"/>
        <v>-184.92137552010001</v>
      </c>
    </row>
    <row r="89" spans="1:72" x14ac:dyDescent="0.25">
      <c r="C89" s="3" t="s">
        <v>75</v>
      </c>
      <c r="D89" s="10">
        <f>SUM(D86:D88)</f>
        <v>-512.12779461080004</v>
      </c>
      <c r="E89" s="10">
        <f t="shared" ref="E89:AY89" si="55">SUM(E86:E88)</f>
        <v>-578.48966262120007</v>
      </c>
      <c r="F89" s="10">
        <f t="shared" si="55"/>
        <v>-527.61816873019995</v>
      </c>
      <c r="G89" s="10">
        <f t="shared" si="55"/>
        <v>-595.8451150791999</v>
      </c>
      <c r="H89" s="10">
        <f t="shared" si="55"/>
        <v>-516.19659043460001</v>
      </c>
      <c r="I89" s="10">
        <f t="shared" si="55"/>
        <v>-518.79053812949996</v>
      </c>
      <c r="J89" s="10">
        <f t="shared" si="55"/>
        <v>-555.45546190739992</v>
      </c>
      <c r="K89" s="10">
        <f t="shared" si="55"/>
        <v>-458.23096235459997</v>
      </c>
      <c r="L89" s="10">
        <f t="shared" si="55"/>
        <v>-496.47746858509993</v>
      </c>
      <c r="M89" s="10">
        <f t="shared" si="55"/>
        <v>-498.10150634029998</v>
      </c>
      <c r="N89" s="10">
        <f t="shared" si="55"/>
        <v>-447.76613879880006</v>
      </c>
      <c r="O89" s="10">
        <f t="shared" si="55"/>
        <v>-432.88633000419998</v>
      </c>
      <c r="P89" s="10">
        <f t="shared" si="55"/>
        <v>-464.34018278810004</v>
      </c>
      <c r="Q89" s="10">
        <f t="shared" si="55"/>
        <v>-569.7838341204</v>
      </c>
      <c r="R89" s="10">
        <f t="shared" si="55"/>
        <v>-524.61710448290012</v>
      </c>
      <c r="S89" s="10">
        <f t="shared" si="55"/>
        <v>-527.51297593690003</v>
      </c>
      <c r="T89" s="10">
        <f t="shared" si="55"/>
        <v>-556.80833793700003</v>
      </c>
      <c r="U89" s="10">
        <f t="shared" si="55"/>
        <v>-508.07655991829995</v>
      </c>
      <c r="V89" s="10">
        <f t="shared" si="55"/>
        <v>-589.11825662499996</v>
      </c>
      <c r="W89" s="10">
        <f t="shared" si="55"/>
        <v>-520.43097466339998</v>
      </c>
      <c r="X89" s="10">
        <f t="shared" si="55"/>
        <v>-534.34110295970004</v>
      </c>
      <c r="Y89" s="10">
        <f t="shared" si="55"/>
        <v>-523.72612896129999</v>
      </c>
      <c r="Z89" s="10">
        <f t="shared" si="55"/>
        <v>-519.60420823490006</v>
      </c>
      <c r="AA89" s="10">
        <f t="shared" si="55"/>
        <v>-495.86588938999995</v>
      </c>
      <c r="AB89" s="10">
        <f t="shared" si="55"/>
        <v>-601.35474962340015</v>
      </c>
      <c r="AC89" s="10">
        <f t="shared" si="55"/>
        <v>-556.02491955929997</v>
      </c>
      <c r="AD89" s="10">
        <f t="shared" si="55"/>
        <v>-601.78835883409999</v>
      </c>
      <c r="AE89" s="10">
        <f t="shared" si="55"/>
        <v>-630.23496975119997</v>
      </c>
      <c r="AF89" s="10">
        <f t="shared" si="55"/>
        <v>-652.3302550796999</v>
      </c>
      <c r="AG89" s="10">
        <f t="shared" si="55"/>
        <v>-694.00144305430001</v>
      </c>
      <c r="AH89" s="10">
        <f t="shared" si="55"/>
        <v>-730.30227640570001</v>
      </c>
      <c r="AI89" s="10">
        <f t="shared" si="55"/>
        <v>-731.50879473900011</v>
      </c>
      <c r="AJ89" s="10">
        <f t="shared" si="55"/>
        <v>-653.19889767790005</v>
      </c>
      <c r="AK89" s="10">
        <f t="shared" si="55"/>
        <v>-677.68781671089994</v>
      </c>
      <c r="AL89" s="10">
        <f t="shared" si="55"/>
        <v>-700.29709252329985</v>
      </c>
      <c r="AM89" s="10">
        <f t="shared" si="55"/>
        <v>-774.12769531959998</v>
      </c>
      <c r="AN89" s="10">
        <f t="shared" si="55"/>
        <v>-685.59726067529994</v>
      </c>
      <c r="AO89" s="10">
        <f t="shared" si="55"/>
        <v>-650.38703254420011</v>
      </c>
      <c r="AP89" s="10">
        <f t="shared" si="55"/>
        <v>-728.86388606830008</v>
      </c>
      <c r="AQ89" s="10">
        <f t="shared" si="55"/>
        <v>-697.48797983620011</v>
      </c>
      <c r="AR89" s="10">
        <f t="shared" si="55"/>
        <v>-667.46237755499999</v>
      </c>
      <c r="AS89" s="10">
        <f t="shared" si="55"/>
        <v>-724.60672701859994</v>
      </c>
      <c r="AT89" s="10">
        <f t="shared" si="55"/>
        <v>0</v>
      </c>
      <c r="AU89" s="10">
        <f t="shared" si="55"/>
        <v>0</v>
      </c>
      <c r="AV89" s="10">
        <f t="shared" si="55"/>
        <v>0</v>
      </c>
      <c r="AW89" s="10">
        <f t="shared" si="55"/>
        <v>0</v>
      </c>
      <c r="AX89" s="10">
        <f t="shared" si="55"/>
        <v>0</v>
      </c>
      <c r="AY89" s="10">
        <f t="shared" si="55"/>
        <v>0</v>
      </c>
      <c r="AZ89" s="10">
        <f t="shared" ref="AZ89:BK89" si="56">SUM(AZ86:AZ88)</f>
        <v>-678.11865608359994</v>
      </c>
      <c r="BA89" s="10">
        <f t="shared" si="56"/>
        <v>-667.09652280849991</v>
      </c>
      <c r="BB89" s="10">
        <f t="shared" si="56"/>
        <v>-693.4833004244</v>
      </c>
      <c r="BC89" s="10">
        <f t="shared" si="56"/>
        <v>-688.61869865369988</v>
      </c>
      <c r="BD89" s="10">
        <f t="shared" si="56"/>
        <v>-715.74232370630011</v>
      </c>
      <c r="BE89" s="10">
        <f t="shared" si="56"/>
        <v>-714.71074725719996</v>
      </c>
      <c r="BF89" s="10">
        <f t="shared" si="56"/>
        <v>-683.03954954530002</v>
      </c>
      <c r="BG89" s="10">
        <f t="shared" si="56"/>
        <v>-691.53833988669999</v>
      </c>
      <c r="BH89" s="10">
        <f t="shared" si="56"/>
        <v>-714.92775803510006</v>
      </c>
      <c r="BI89" s="10">
        <f t="shared" si="56"/>
        <v>-687.27767536229999</v>
      </c>
      <c r="BJ89" s="10">
        <f t="shared" si="56"/>
        <v>-702.51839970579999</v>
      </c>
      <c r="BK89" s="10">
        <f t="shared" si="56"/>
        <v>-726.10500513830004</v>
      </c>
      <c r="BO89" s="23">
        <f t="shared" ref="BO89:BT89" si="57">SUM(BO86:BO88)</f>
        <v>-3429.7985366789999</v>
      </c>
      <c r="BP89" s="23">
        <f t="shared" si="57"/>
        <v>-3443.0595016764996</v>
      </c>
      <c r="BQ89" s="23">
        <f t="shared" si="57"/>
        <v>-2762.336159124</v>
      </c>
      <c r="BR89" s="23">
        <f t="shared" si="57"/>
        <v>-3041.7332528476995</v>
      </c>
      <c r="BS89" s="23">
        <f t="shared" si="57"/>
        <v>-2643.0624352653003</v>
      </c>
      <c r="BT89" s="23">
        <f t="shared" si="57"/>
        <v>-2730.2773314759997</v>
      </c>
    </row>
    <row r="91" spans="1:72" outlineLevel="1" x14ac:dyDescent="0.25">
      <c r="A91" s="11" t="s">
        <v>80</v>
      </c>
      <c r="C91" s="2" t="s">
        <v>84</v>
      </c>
      <c r="D91" s="8">
        <f>IFERROR(
GETPIVOTDATA(
"[Base].[Importe]",
TDinamica_R!$A$5,
"[Calendario].[AñoMes]",
"[Calendario].[AñoMes].&amp;[" &amp; TEXT(D$6,"yyyymm") &amp; "]",
"[Base].[Metrica]",
"[Base].[Metrica].&amp;[" &amp; $A91 &amp; "]",
"[Base].[SEGMENTO_DESCRIP]",
"[Base].[SEGMENTO_DESCRIP].&amp;[" &amp; $C$6 &amp; "]",
"[Base].[SITUACION]",
"[Base].[SITUACION].&amp;[" &amp; $C91 &amp; "]"
),0)/1000</f>
        <v>-4.6383929685015799</v>
      </c>
      <c r="E91" s="8">
        <f>IFERROR(
GETPIVOTDATA(
"[Base].[Importe]",
TDinamica_R!$A$5,
"[Calendario].[AñoMes]",
"[Calendario].[AñoMes].&amp;[" &amp; TEXT(E$6,"yyyymm") &amp; "]",
"[Base].[Metrica]",
"[Base].[Metrica].&amp;[" &amp; $A91 &amp; "]",
"[Base].[SEGMENTO_DESCRIP]",
"[Base].[SEGMENTO_DESCRIP].&amp;[" &amp; $C$6 &amp; "]",
"[Base].[SITUACION]",
"[Base].[SITUACION].&amp;[" &amp; $C91 &amp; "]"
),0)/1000</f>
        <v>-4.7201815944036305</v>
      </c>
      <c r="F91" s="8">
        <f>IFERROR(
GETPIVOTDATA(
"[Base].[Importe]",
TDinamica_R!$A$5,
"[Calendario].[AñoMes]",
"[Calendario].[AñoMes].&amp;[" &amp; TEXT(F$6,"yyyymm") &amp; "]",
"[Base].[Metrica]",
"[Base].[Metrica].&amp;[" &amp; $A91 &amp; "]",
"[Base].[SEGMENTO_DESCRIP]",
"[Base].[SEGMENTO_DESCRIP].&amp;[" &amp; $C$6 &amp; "]",
"[Base].[SITUACION]",
"[Base].[SITUACION].&amp;[" &amp; $C91 &amp; "]"
),0)/1000</f>
        <v>-6.1715371645386901</v>
      </c>
      <c r="G91" s="8">
        <f>IFERROR(
GETPIVOTDATA(
"[Base].[Importe]",
TDinamica_R!$A$5,
"[Calendario].[AñoMes]",
"[Calendario].[AñoMes].&amp;[" &amp; TEXT(G$6,"yyyymm") &amp; "]",
"[Base].[Metrica]",
"[Base].[Metrica].&amp;[" &amp; $A91 &amp; "]",
"[Base].[SEGMENTO_DESCRIP]",
"[Base].[SEGMENTO_DESCRIP].&amp;[" &amp; $C$6 &amp; "]",
"[Base].[SITUACION]",
"[Base].[SITUACION].&amp;[" &amp; $C91 &amp; "]"
),0)/1000</f>
        <v>-5.3449117488269007</v>
      </c>
      <c r="H91" s="8">
        <f>IFERROR(
GETPIVOTDATA(
"[Base].[Importe]",
TDinamica_R!$A$5,
"[Calendario].[AñoMes]",
"[Calendario].[AñoMes].&amp;[" &amp; TEXT(H$6,"yyyymm") &amp; "]",
"[Base].[Metrica]",
"[Base].[Metrica].&amp;[" &amp; $A91 &amp; "]",
"[Base].[SEGMENTO_DESCRIP]",
"[Base].[SEGMENTO_DESCRIP].&amp;[" &amp; $C$6 &amp; "]",
"[Base].[SITUACION]",
"[Base].[SITUACION].&amp;[" &amp; $C91 &amp; "]"
),0)/1000</f>
        <v>-7.4944431702256393</v>
      </c>
      <c r="I91" s="8">
        <f>IFERROR(
GETPIVOTDATA(
"[Base].[Importe]",
TDinamica_R!$A$5,
"[Calendario].[AñoMes]",
"[Calendario].[AñoMes].&amp;[" &amp; TEXT(I$6,"yyyymm") &amp; "]",
"[Base].[Metrica]",
"[Base].[Metrica].&amp;[" &amp; $A91 &amp; "]",
"[Base].[SEGMENTO_DESCRIP]",
"[Base].[SEGMENTO_DESCRIP].&amp;[" &amp; $C$6 &amp; "]",
"[Base].[SITUACION]",
"[Base].[SITUACION].&amp;[" &amp; $C91 &amp; "]"
),0)/1000</f>
        <v>-5.1770759762762415</v>
      </c>
      <c r="J91" s="8">
        <f>IFERROR(
GETPIVOTDATA(
"[Base].[Importe]",
TDinamica_R!$A$5,
"[Calendario].[AñoMes]",
"[Calendario].[AñoMes].&amp;[" &amp; TEXT(J$6,"yyyymm") &amp; "]",
"[Base].[Metrica]",
"[Base].[Metrica].&amp;[" &amp; $A91 &amp; "]",
"[Base].[SEGMENTO_DESCRIP]",
"[Base].[SEGMENTO_DESCRIP].&amp;[" &amp; $C$6 &amp; "]",
"[Base].[SITUACION]",
"[Base].[SITUACION].&amp;[" &amp; $C91 &amp; "]"
),0)/1000</f>
        <v>-6.0769300121691003</v>
      </c>
      <c r="K91" s="8">
        <f>IFERROR(
GETPIVOTDATA(
"[Base].[Importe]",
TDinamica_R!$A$5,
"[Calendario].[AñoMes]",
"[Calendario].[AñoMes].&amp;[" &amp; TEXT(K$6,"yyyymm") &amp; "]",
"[Base].[Metrica]",
"[Base].[Metrica].&amp;[" &amp; $A91 &amp; "]",
"[Base].[SEGMENTO_DESCRIP]",
"[Base].[SEGMENTO_DESCRIP].&amp;[" &amp; $C$6 &amp; "]",
"[Base].[SITUACION]",
"[Base].[SITUACION].&amp;[" &amp; $C91 &amp; "]"
),0)/1000</f>
        <v>-5.2072323998608807</v>
      </c>
      <c r="L91" s="8">
        <f>IFERROR(
GETPIVOTDATA(
"[Base].[Importe]",
TDinamica_R!$A$5,
"[Calendario].[AñoMes]",
"[Calendario].[AñoMes].&amp;[" &amp; TEXT(L$6,"yyyymm") &amp; "]",
"[Base].[Metrica]",
"[Base].[Metrica].&amp;[" &amp; $A91 &amp; "]",
"[Base].[SEGMENTO_DESCRIP]",
"[Base].[SEGMENTO_DESCRIP].&amp;[" &amp; $C$6 &amp; "]",
"[Base].[SITUACION]",
"[Base].[SITUACION].&amp;[" &amp; $C91 &amp; "]"
),0)/1000</f>
        <v>-4.7493777616542205</v>
      </c>
      <c r="M91" s="8">
        <f>IFERROR(
GETPIVOTDATA(
"[Base].[Importe]",
TDinamica_R!$A$5,
"[Calendario].[AñoMes]",
"[Calendario].[AñoMes].&amp;[" &amp; TEXT(M$6,"yyyymm") &amp; "]",
"[Base].[Metrica]",
"[Base].[Metrica].&amp;[" &amp; $A91 &amp; "]",
"[Base].[SEGMENTO_DESCRIP]",
"[Base].[SEGMENTO_DESCRIP].&amp;[" &amp; $C$6 &amp; "]",
"[Base].[SITUACION]",
"[Base].[SITUACION].&amp;[" &amp; $C91 &amp; "]"
),0)/1000</f>
        <v>-6.3603416099086401</v>
      </c>
      <c r="N91" s="8">
        <f>IFERROR(
GETPIVOTDATA(
"[Base].[Importe]",
TDinamica_R!$A$5,
"[Calendario].[AñoMes]",
"[Calendario].[AñoMes].&amp;[" &amp; TEXT(N$6,"yyyymm") &amp; "]",
"[Base].[Metrica]",
"[Base].[Metrica].&amp;[" &amp; $A91 &amp; "]",
"[Base].[SEGMENTO_DESCRIP]",
"[Base].[SEGMENTO_DESCRIP].&amp;[" &amp; $C$6 &amp; "]",
"[Base].[SITUACION]",
"[Base].[SITUACION].&amp;[" &amp; $C91 &amp; "]"
),0)/1000</f>
        <v>-6.4665892860849006</v>
      </c>
      <c r="O91" s="8">
        <f>IFERROR(
GETPIVOTDATA(
"[Base].[Importe]",
TDinamica_R!$A$5,
"[Calendario].[AñoMes]",
"[Calendario].[AñoMes].&amp;[" &amp; TEXT(O$6,"yyyymm") &amp; "]",
"[Base].[Metrica]",
"[Base].[Metrica].&amp;[" &amp; $A91 &amp; "]",
"[Base].[SEGMENTO_DESCRIP]",
"[Base].[SEGMENTO_DESCRIP].&amp;[" &amp; $C$6 &amp; "]",
"[Base].[SITUACION]",
"[Base].[SITUACION].&amp;[" &amp; $C91 &amp; "]"
),0)/1000</f>
        <v>-4.9701608528884131</v>
      </c>
      <c r="P91" s="8">
        <f>IFERROR(
GETPIVOTDATA(
"[Base].[Importe]",
TDinamica_R!$A$5,
"[Calendario].[AñoMes]",
"[Calendario].[AñoMes].&amp;[" &amp; TEXT(P$6,"yyyymm") &amp; "]",
"[Base].[Metrica]",
"[Base].[Metrica].&amp;[" &amp; $A91 &amp; "]",
"[Base].[SEGMENTO_DESCRIP]",
"[Base].[SEGMENTO_DESCRIP].&amp;[" &amp; $C$6 &amp; "]",
"[Base].[SITUACION]",
"[Base].[SITUACION].&amp;[" &amp; $C91 &amp; "]"
),0)/1000</f>
        <v>-4.3515474203642803</v>
      </c>
      <c r="Q91" s="8">
        <f>IFERROR(
GETPIVOTDATA(
"[Base].[Importe]",
TDinamica_R!$A$5,
"[Calendario].[AñoMes]",
"[Calendario].[AñoMes].&amp;[" &amp; TEXT(Q$6,"yyyymm") &amp; "]",
"[Base].[Metrica]",
"[Base].[Metrica].&amp;[" &amp; $A91 &amp; "]",
"[Base].[SEGMENTO_DESCRIP]",
"[Base].[SEGMENTO_DESCRIP].&amp;[" &amp; $C$6 &amp; "]",
"[Base].[SITUACION]",
"[Base].[SITUACION].&amp;[" &amp; $C91 &amp; "]"
),0)/1000</f>
        <v>-4.2446287515592402</v>
      </c>
      <c r="R91" s="8">
        <f>IFERROR(
GETPIVOTDATA(
"[Base].[Importe]",
TDinamica_R!$A$5,
"[Calendario].[AñoMes]",
"[Calendario].[AñoMes].&amp;[" &amp; TEXT(R$6,"yyyymm") &amp; "]",
"[Base].[Metrica]",
"[Base].[Metrica].&amp;[" &amp; $A91 &amp; "]",
"[Base].[SEGMENTO_DESCRIP]",
"[Base].[SEGMENTO_DESCRIP].&amp;[" &amp; $C$6 &amp; "]",
"[Base].[SITUACION]",
"[Base].[SITUACION].&amp;[" &amp; $C91 &amp; "]"
),0)/1000</f>
        <v>-4.21884808437696</v>
      </c>
      <c r="S91" s="8">
        <f>IFERROR(
GETPIVOTDATA(
"[Base].[Importe]",
TDinamica_R!$A$5,
"[Calendario].[AñoMes]",
"[Calendario].[AñoMes].&amp;[" &amp; TEXT(S$6,"yyyymm") &amp; "]",
"[Base].[Metrica]",
"[Base].[Metrica].&amp;[" &amp; $A91 &amp; "]",
"[Base].[SEGMENTO_DESCRIP]",
"[Base].[SEGMENTO_DESCRIP].&amp;[" &amp; $C$6 &amp; "]",
"[Base].[SITUACION]",
"[Base].[SITUACION].&amp;[" &amp; $C91 &amp; "]"
),0)/1000</f>
        <v>-4.4994881735856005</v>
      </c>
      <c r="T91" s="8">
        <f>IFERROR(
GETPIVOTDATA(
"[Base].[Importe]",
TDinamica_R!$A$5,
"[Calendario].[AñoMes]",
"[Calendario].[AñoMes].&amp;[" &amp; TEXT(T$6,"yyyymm") &amp; "]",
"[Base].[Metrica]",
"[Base].[Metrica].&amp;[" &amp; $A91 &amp; "]",
"[Base].[SEGMENTO_DESCRIP]",
"[Base].[SEGMENTO_DESCRIP].&amp;[" &amp; $C$6 &amp; "]",
"[Base].[SITUACION]",
"[Base].[SITUACION].&amp;[" &amp; $C91 &amp; "]"
),0)/1000</f>
        <v>-6.2028584765727413</v>
      </c>
      <c r="U91" s="8">
        <f>IFERROR(
GETPIVOTDATA(
"[Base].[Importe]",
TDinamica_R!$A$5,
"[Calendario].[AñoMes]",
"[Calendario].[AñoMes].&amp;[" &amp; TEXT(U$6,"yyyymm") &amp; "]",
"[Base].[Metrica]",
"[Base].[Metrica].&amp;[" &amp; $A91 &amp; "]",
"[Base].[SEGMENTO_DESCRIP]",
"[Base].[SEGMENTO_DESCRIP].&amp;[" &amp; $C$6 &amp; "]",
"[Base].[SITUACION]",
"[Base].[SITUACION].&amp;[" &amp; $C91 &amp; "]"
),0)/1000</f>
        <v>-4.3457168808551208</v>
      </c>
      <c r="V91" s="8">
        <f>IFERROR(
GETPIVOTDATA(
"[Base].[Importe]",
TDinamica_R!$A$5,
"[Calendario].[AñoMes]",
"[Calendario].[AñoMes].&amp;[" &amp; TEXT(V$6,"yyyymm") &amp; "]",
"[Base].[Metrica]",
"[Base].[Metrica].&amp;[" &amp; $A91 &amp; "]",
"[Base].[SEGMENTO_DESCRIP]",
"[Base].[SEGMENTO_DESCRIP].&amp;[" &amp; $C$6 &amp; "]",
"[Base].[SITUACION]",
"[Base].[SITUACION].&amp;[" &amp; $C91 &amp; "]"
),0)/1000</f>
        <v>-5.5438345590649503</v>
      </c>
      <c r="W91" s="8">
        <f>IFERROR(
GETPIVOTDATA(
"[Base].[Importe]",
TDinamica_R!$A$5,
"[Calendario].[AñoMes]",
"[Calendario].[AñoMes].&amp;[" &amp; TEXT(W$6,"yyyymm") &amp; "]",
"[Base].[Metrica]",
"[Base].[Metrica].&amp;[" &amp; $A91 &amp; "]",
"[Base].[SEGMENTO_DESCRIP]",
"[Base].[SEGMENTO_DESCRIP].&amp;[" &amp; $C$6 &amp; "]",
"[Base].[SITUACION]",
"[Base].[SITUACION].&amp;[" &amp; $C91 &amp; "]"
),0)/1000</f>
        <v>-3.71492009162748</v>
      </c>
      <c r="X91" s="8">
        <f>IFERROR(
GETPIVOTDATA(
"[Base].[Importe]",
TDinamica_R!$A$5,
"[Calendario].[AñoMes]",
"[Calendario].[AñoMes].&amp;[" &amp; TEXT(X$6,"yyyymm") &amp; "]",
"[Base].[Metrica]",
"[Base].[Metrica].&amp;[" &amp; $A91 &amp; "]",
"[Base].[SEGMENTO_DESCRIP]",
"[Base].[SEGMENTO_DESCRIP].&amp;[" &amp; $C$6 &amp; "]",
"[Base].[SITUACION]",
"[Base].[SITUACION].&amp;[" &amp; $C91 &amp; "]"
),0)/1000</f>
        <v>-3.8148609096305504</v>
      </c>
      <c r="Y91" s="8">
        <f>IFERROR(
GETPIVOTDATA(
"[Base].[Importe]",
TDinamica_R!$A$5,
"[Calendario].[AñoMes]",
"[Calendario].[AñoMes].&amp;[" &amp; TEXT(Y$6,"yyyymm") &amp; "]",
"[Base].[Metrica]",
"[Base].[Metrica].&amp;[" &amp; $A91 &amp; "]",
"[Base].[SEGMENTO_DESCRIP]",
"[Base].[SEGMENTO_DESCRIP].&amp;[" &amp; $C$6 &amp; "]",
"[Base].[SITUACION]",
"[Base].[SITUACION].&amp;[" &amp; $C91 &amp; "]"
),0)/1000</f>
        <v>-3.8325161294296799</v>
      </c>
      <c r="Z91" s="8">
        <f>IFERROR(
GETPIVOTDATA(
"[Base].[Importe]",
TDinamica_R!$A$5,
"[Calendario].[AñoMes]",
"[Calendario].[AñoMes].&amp;[" &amp; TEXT(Z$6,"yyyymm") &amp; "]",
"[Base].[Metrica]",
"[Base].[Metrica].&amp;[" &amp; $A91 &amp; "]",
"[Base].[SEGMENTO_DESCRIP]",
"[Base].[SEGMENTO_DESCRIP].&amp;[" &amp; $C$6 &amp; "]",
"[Base].[SITUACION]",
"[Base].[SITUACION].&amp;[" &amp; $C91 &amp; "]"
),0)/1000</f>
        <v>-4.7987767612562706</v>
      </c>
      <c r="AA91" s="8">
        <f>IFERROR(
GETPIVOTDATA(
"[Base].[Importe]",
TDinamica_R!$A$5,
"[Calendario].[AñoMes]",
"[Calendario].[AñoMes].&amp;[" &amp; TEXT(AA$6,"yyyymm") &amp; "]",
"[Base].[Metrica]",
"[Base].[Metrica].&amp;[" &amp; $A91 &amp; "]",
"[Base].[SEGMENTO_DESCRIP]",
"[Base].[SEGMENTO_DESCRIP].&amp;[" &amp; $C$6 &amp; "]",
"[Base].[SITUACION]",
"[Base].[SITUACION].&amp;[" &amp; $C91 &amp; "]"
),0)/1000</f>
        <v>-4.8911904134593431</v>
      </c>
      <c r="AB91" s="8">
        <f>IFERROR(
GETPIVOTDATA(
"[Base].[Importe]",
TDinamica_R!$A$5,
"[Calendario].[AñoMes]",
"[Calendario].[AñoMes].&amp;[" &amp; TEXT(AB$6,"yyyymm") &amp; "]",
"[Base].[Metrica]",
"[Base].[Metrica].&amp;[" &amp; $A91 &amp; "]",
"[Base].[SEGMENTO_DESCRIP]",
"[Base].[SEGMENTO_DESCRIP].&amp;[" &amp; $C$6 &amp; "]",
"[Base].[SITUACION]",
"[Base].[SITUACION].&amp;[" &amp; $C91 &amp; "]"
),0)/1000</f>
        <v>-3.4152519016383716</v>
      </c>
      <c r="AC91" s="8">
        <f>IFERROR(
GETPIVOTDATA(
"[Base].[Importe]",
TDinamica_R!$A$5,
"[Calendario].[AñoMes]",
"[Calendario].[AñoMes].&amp;[" &amp; TEXT(AC$6,"yyyymm") &amp; "]",
"[Base].[Metrica]",
"[Base].[Metrica].&amp;[" &amp; $A91 &amp; "]",
"[Base].[SEGMENTO_DESCRIP]",
"[Base].[SEGMENTO_DESCRIP].&amp;[" &amp; $C$6 &amp; "]",
"[Base].[SITUACION]",
"[Base].[SITUACION].&amp;[" &amp; $C91 &amp; "]"
),0)/1000</f>
        <v>-3.6523487627265094</v>
      </c>
      <c r="AD91" s="8">
        <f>IFERROR(
GETPIVOTDATA(
"[Base].[Importe]",
TDinamica_R!$A$5,
"[Calendario].[AñoMes]",
"[Calendario].[AñoMes].&amp;[" &amp; TEXT(AD$6,"yyyymm") &amp; "]",
"[Base].[Metrica]",
"[Base].[Metrica].&amp;[" &amp; $A91 &amp; "]",
"[Base].[SEGMENTO_DESCRIP]",
"[Base].[SEGMENTO_DESCRIP].&amp;[" &amp; $C$6 &amp; "]",
"[Base].[SITUACION]",
"[Base].[SITUACION].&amp;[" &amp; $C91 &amp; "]"
),0)/1000</f>
        <v>-3.3148295662965901</v>
      </c>
      <c r="AE91" s="8">
        <f>IFERROR(
GETPIVOTDATA(
"[Base].[Importe]",
TDinamica_R!$A$5,
"[Calendario].[AñoMes]",
"[Calendario].[AñoMes].&amp;[" &amp; TEXT(AE$6,"yyyymm") &amp; "]",
"[Base].[Metrica]",
"[Base].[Metrica].&amp;[" &amp; $A91 &amp; "]",
"[Base].[SEGMENTO_DESCRIP]",
"[Base].[SEGMENTO_DESCRIP].&amp;[" &amp; $C$6 &amp; "]",
"[Base].[SITUACION]",
"[Base].[SITUACION].&amp;[" &amp; $C91 &amp; "]"
),0)/1000</f>
        <v>-3.2597538985284102</v>
      </c>
      <c r="AF91" s="8">
        <f>IFERROR(
GETPIVOTDATA(
"[Base].[Importe]",
TDinamica_R!$A$5,
"[Calendario].[AñoMes]",
"[Calendario].[AñoMes].&amp;[" &amp; TEXT(AF$6,"yyyymm") &amp; "]",
"[Base].[Metrica]",
"[Base].[Metrica].&amp;[" &amp; $A91 &amp; "]",
"[Base].[SEGMENTO_DESCRIP]",
"[Base].[SEGMENTO_DESCRIP].&amp;[" &amp; $C$6 &amp; "]",
"[Base].[SITUACION]",
"[Base].[SITUACION].&amp;[" &amp; $C91 &amp; "]"
),0)/1000</f>
        <v>-4.2974735176822998</v>
      </c>
      <c r="AG91" s="8">
        <f>IFERROR(
GETPIVOTDATA(
"[Base].[Importe]",
TDinamica_R!$A$5,
"[Calendario].[AñoMes]",
"[Calendario].[AñoMes].&amp;[" &amp; TEXT(AG$6,"yyyymm") &amp; "]",
"[Base].[Metrica]",
"[Base].[Metrica].&amp;[" &amp; $A91 &amp; "]",
"[Base].[SEGMENTO_DESCRIP]",
"[Base].[SEGMENTO_DESCRIP].&amp;[" &amp; $C$6 &amp; "]",
"[Base].[SITUACION]",
"[Base].[SITUACION].&amp;[" &amp; $C91 &amp; "]"
),0)/1000</f>
        <v>-3.3023055660461105</v>
      </c>
      <c r="AH91" s="8">
        <f>IFERROR(
GETPIVOTDATA(
"[Base].[Importe]",
TDinamica_R!$A$5,
"[Calendario].[AñoMes]",
"[Calendario].[AñoMes].&amp;[" &amp; TEXT(AH$6,"yyyymm") &amp; "]",
"[Base].[Metrica]",
"[Base].[Metrica].&amp;[" &amp; $A91 &amp; "]",
"[Base].[SEGMENTO_DESCRIP]",
"[Base].[SEGMENTO_DESCRIP].&amp;[" &amp; $C$6 &amp; "]",
"[Base].[SITUACION]",
"[Base].[SITUACION].&amp;[" &amp; $C91 &amp; "]"
),0)/1000</f>
        <v>-4.4358452647419293</v>
      </c>
      <c r="AI91" s="8">
        <f>IFERROR(
GETPIVOTDATA(
"[Base].[Importe]",
TDinamica_R!$A$5,
"[Calendario].[AñoMes]",
"[Calendario].[AñoMes].&amp;[" &amp; TEXT(AI$6,"yyyymm") &amp; "]",
"[Base].[Metrica]",
"[Base].[Metrica].&amp;[" &amp; $A91 &amp; "]",
"[Base].[SEGMENTO_DESCRIP]",
"[Base].[SEGMENTO_DESCRIP].&amp;[" &amp; $C$6 &amp; "]",
"[Base].[SITUACION]",
"[Base].[SITUACION].&amp;[" &amp; $C91 &amp; "]"
),0)/1000</f>
        <v>-4.2593843594057601</v>
      </c>
      <c r="AJ91" s="8">
        <f>IFERROR(
GETPIVOTDATA(
"[Base].[Importe]",
TDinamica_R!$A$5,
"[Calendario].[AñoMes]",
"[Calendario].[AñoMes].&amp;[" &amp; TEXT(AJ$6,"yyyymm") &amp; "]",
"[Base].[Metrica]",
"[Base].[Metrica].&amp;[" &amp; $A91 &amp; "]",
"[Base].[SEGMENTO_DESCRIP]",
"[Base].[SEGMENTO_DESCRIP].&amp;[" &amp; $C$6 &amp; "]",
"[Base].[SITUACION]",
"[Base].[SITUACION].&amp;[" &amp; $C91 &amp; "]"
),0)/1000</f>
        <v>-3.7060282323935803</v>
      </c>
      <c r="AK91" s="8">
        <f>IFERROR(
GETPIVOTDATA(
"[Base].[Importe]",
TDinamica_R!$A$5,
"[Calendario].[AñoMes]",
"[Calendario].[AñoMes].&amp;[" &amp; TEXT(AK$6,"yyyymm") &amp; "]",
"[Base].[Metrica]",
"[Base].[Metrica].&amp;[" &amp; $A91 &amp; "]",
"[Base].[SEGMENTO_DESCRIP]",
"[Base].[SEGMENTO_DESCRIP].&amp;[" &amp; $C$6 &amp; "]",
"[Base].[SITUACION]",
"[Base].[SITUACION].&amp;[" &amp; $C91 &amp; "]"
),0)/1000</f>
        <v>-4.2212475728633407</v>
      </c>
      <c r="AL91" s="8">
        <f>IFERROR(
GETPIVOTDATA(
"[Base].[Importe]",
TDinamica_R!$A$5,
"[Calendario].[AñoMes]",
"[Calendario].[AñoMes].&amp;[" &amp; TEXT(AL$6,"yyyymm") &amp; "]",
"[Base].[Metrica]",
"[Base].[Metrica].&amp;[" &amp; $A91 &amp; "]",
"[Base].[SEGMENTO_DESCRIP]",
"[Base].[SEGMENTO_DESCRIP].&amp;[" &amp; $C$6 &amp; "]",
"[Base].[SITUACION]",
"[Base].[SITUACION].&amp;[" &amp; $C91 &amp; "]"
),0)/1000</f>
        <v>-4.8088122028143303</v>
      </c>
      <c r="AM91" s="8">
        <f>IFERROR(
GETPIVOTDATA(
"[Base].[Importe]",
TDinamica_R!$A$5,
"[Calendario].[AñoMes]",
"[Calendario].[AñoMes].&amp;[" &amp; TEXT(AM$6,"yyyymm") &amp; "]",
"[Base].[Metrica]",
"[Base].[Metrica].&amp;[" &amp; $A91 &amp; "]",
"[Base].[SEGMENTO_DESCRIP]",
"[Base].[SEGMENTO_DESCRIP].&amp;[" &amp; $C$6 &amp; "]",
"[Base].[SITUACION]",
"[Base].[SITUACION].&amp;[" &amp; $C91 &amp; "]"
),0)/1000</f>
        <v>-8.2025012685419867</v>
      </c>
      <c r="AN91" s="8">
        <f>IFERROR(
GETPIVOTDATA(
"[Base].[Importe]",
TDinamica_R!$A$5,
"[Calendario].[AñoMes]",
"[Calendario].[AñoMes].&amp;[" &amp; TEXT(AN$6,"yyyymm") &amp; "]",
"[Base].[Metrica]",
"[Base].[Metrica].&amp;[" &amp; $A91 &amp; "]",
"[Base].[SEGMENTO_DESCRIP]",
"[Base].[SEGMENTO_DESCRIP].&amp;[" &amp; $C$6 &amp; "]",
"[Base].[SITUACION]",
"[Base].[SITUACION].&amp;[" &amp; $C91 &amp; "]"
),0)/1000</f>
        <v>-4.0595171656823208</v>
      </c>
      <c r="AO91" s="8">
        <f>IFERROR(
GETPIVOTDATA(
"[Base].[Importe]",
TDinamica_R!$A$5,
"[Calendario].[AñoMes]",
"[Calendario].[AñoMes].&amp;[" &amp; TEXT(AO$6,"yyyymm") &amp; "]",
"[Base].[Metrica]",
"[Base].[Metrica].&amp;[" &amp; $A91 &amp; "]",
"[Base].[SEGMENTO_DESCRIP]",
"[Base].[SEGMENTO_DESCRIP].&amp;[" &amp; $C$6 &amp; "]",
"[Base].[SITUACION]",
"[Base].[SITUACION].&amp;[" &amp; $C91 &amp; "]"
),0)/1000</f>
        <v>-4.8821414808082721</v>
      </c>
      <c r="AP91" s="8">
        <f>IFERROR(
GETPIVOTDATA(
"[Base].[Importe]",
TDinamica_R!$A$5,
"[Calendario].[AñoMes]",
"[Calendario].[AñoMes].&amp;[" &amp; TEXT(AP$6,"yyyymm") &amp; "]",
"[Base].[Metrica]",
"[Base].[Metrica].&amp;[" &amp; $A91 &amp; "]",
"[Base].[SEGMENTO_DESCRIP]",
"[Base].[SEGMENTO_DESCRIP].&amp;[" &amp; $C$6 &amp; "]",
"[Base].[SITUACION]",
"[Base].[SITUACION].&amp;[" &amp; $C91 &amp; "]"
),0)/1000</f>
        <v>-4.9875784634158791</v>
      </c>
      <c r="AQ91" s="8">
        <f>IFERROR(
GETPIVOTDATA(
"[Base].[Importe]",
TDinamica_R!$A$5,
"[Calendario].[AñoMes]",
"[Calendario].[AñoMes].&amp;[" &amp; TEXT(AQ$6,"yyyymm") &amp; "]",
"[Base].[Metrica]",
"[Base].[Metrica].&amp;[" &amp; $A91 &amp; "]",
"[Base].[SEGMENTO_DESCRIP]",
"[Base].[SEGMENTO_DESCRIP].&amp;[" &amp; $C$6 &amp; "]",
"[Base].[SITUACION]",
"[Base].[SITUACION].&amp;[" &amp; $C91 &amp; "]"
),0)/1000</f>
        <v>-5.3781990646045594</v>
      </c>
      <c r="AR91" s="8">
        <f>IFERROR(
GETPIVOTDATA(
"[Base].[Importe]",
TDinamica_R!$A$5,
"[Calendario].[AñoMes]",
"[Calendario].[AñoMes].&amp;[" &amp; TEXT(AR$6,"yyyymm") &amp; "]",
"[Base].[Metrica]",
"[Base].[Metrica].&amp;[" &amp; $A91 &amp; "]",
"[Base].[SEGMENTO_DESCRIP]",
"[Base].[SEGMENTO_DESCRIP].&amp;[" &amp; $C$6 &amp; "]",
"[Base].[SITUACION]",
"[Base].[SITUACION].&amp;[" &amp; $C91 &amp; "]"
),0)/1000</f>
        <v>-5.1506729588680606</v>
      </c>
      <c r="AS91" s="8">
        <f>IFERROR(
GETPIVOTDATA(
"[Base].[Importe]",
TDinamica_R!$A$5,
"[Calendario].[AñoMes]",
"[Calendario].[AñoMes].&amp;[" &amp; TEXT(AS$6,"yyyymm") &amp; "]",
"[Base].[Metrica]",
"[Base].[Metrica].&amp;[" &amp; $A91 &amp; "]",
"[Base].[SEGMENTO_DESCRIP]",
"[Base].[SEGMENTO_DESCRIP].&amp;[" &amp; $C$6 &amp; "]",
"[Base].[SITUACION]",
"[Base].[SITUACION].&amp;[" &amp; $C91 &amp; "]"
),0)/1000</f>
        <v>-4.2162358742594153</v>
      </c>
      <c r="AT91" s="8">
        <f>IFERROR(
GETPIVOTDATA(
"[Base].[Importe]",
TDinamica_R!$A$5,
"[Calendario].[AñoMes]",
"[Calendario].[AñoMes].&amp;[" &amp; TEXT(AT$6,"yyyymm")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U91" s="8">
        <f>IFERROR(
GETPIVOTDATA(
"[Base].[Importe]",
TDinamica_R!$A$5,
"[Calendario].[AñoMes]",
"[Calendario].[AñoMes].&amp;[" &amp; TEXT(AU$6,"yyyymm")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V91" s="8">
        <f>IFERROR(
GETPIVOTDATA(
"[Base].[Importe]",
TDinamica_R!$A$5,
"[Calendario].[AñoMes]",
"[Calendario].[AñoMes].&amp;[" &amp; TEXT(AV$6,"yyyymm")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W91" s="8">
        <f>IFERROR(
GETPIVOTDATA(
"[Base].[Importe]",
TDinamica_R!$A$5,
"[Calendario].[AñoMes]",
"[Calendario].[AñoMes].&amp;[" &amp; TEXT(AW$6,"yyyymm")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X91" s="8">
        <f>IFERROR(
GETPIVOTDATA(
"[Base].[Importe]",
TDinamica_R!$A$5,
"[Calendario].[AñoMes]",
"[Calendario].[AñoMes].&amp;[" &amp; TEXT(AX$6,"yyyymm")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Y91" s="8">
        <f>IFERROR(
GETPIVOTDATA(
"[Base].[Importe]",
TDinamica_R!$A$5,
"[Calendario].[AñoMes]",
"[Calendario].[AñoMes].&amp;[" &amp; TEXT(AY$6,"yyyymm")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Z91" s="8">
        <f>IFERROR(
GETPIVOTDATA(
"[BASE_CONVE_PPTO].[Importe]",
TDinamica_P!$A$5,
"[BASE_CONVE_PPTO].[Periodo]",
"[BASE_CONVE_PPTO].[Periodo].&amp;[" &amp; TEXT(AZ$6,"yyyymm")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A91" s="8">
        <f>IFERROR(
GETPIVOTDATA(
"[BASE_CONVE_PPTO].[Importe]",
TDinamica_P!$A$5,
"[BASE_CONVE_PPTO].[Periodo]",
"[BASE_CONVE_PPTO].[Periodo].&amp;[" &amp; TEXT(BA$6,"yyyymm")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B91" s="8">
        <f>IFERROR(
GETPIVOTDATA(
"[BASE_CONVE_PPTO].[Importe]",
TDinamica_P!$A$5,
"[BASE_CONVE_PPTO].[Periodo]",
"[BASE_CONVE_PPTO].[Periodo].&amp;[" &amp; TEXT(BB$6,"yyyymm")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C91" s="8">
        <f>IFERROR(
GETPIVOTDATA(
"[BASE_CONVE_PPTO].[Importe]",
TDinamica_P!$A$5,
"[BASE_CONVE_PPTO].[Periodo]",
"[BASE_CONVE_PPTO].[Periodo].&amp;[" &amp; TEXT(BC$6,"yyyymm")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D91" s="8">
        <f>IFERROR(
GETPIVOTDATA(
"[BASE_CONVE_PPTO].[Importe]",
TDinamica_P!$A$5,
"[BASE_CONVE_PPTO].[Periodo]",
"[BASE_CONVE_PPTO].[Periodo].&amp;[" &amp; TEXT(BD$6,"yyyymm")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E91" s="8">
        <f>IFERROR(
GETPIVOTDATA(
"[BASE_CONVE_PPTO].[Importe]",
TDinamica_P!$A$5,
"[BASE_CONVE_PPTO].[Periodo]",
"[BASE_CONVE_PPTO].[Periodo].&amp;[" &amp; TEXT(BE$6,"yyyymm")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F91" s="8">
        <f>IFERROR(
GETPIVOTDATA(
"[BASE_CONVE_PPTO].[Importe]",
TDinamica_P!$A$5,
"[BASE_CONVE_PPTO].[Periodo]",
"[BASE_CONVE_PPTO].[Periodo].&amp;[" &amp; TEXT(BF$6,"yyyymm")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G91" s="8">
        <f>IFERROR(
GETPIVOTDATA(
"[BASE_CONVE_PPTO].[Importe]",
TDinamica_P!$A$5,
"[BASE_CONVE_PPTO].[Periodo]",
"[BASE_CONVE_PPTO].[Periodo].&amp;[" &amp; TEXT(BG$6,"yyyymm")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H91" s="8">
        <f>IFERROR(
GETPIVOTDATA(
"[BASE_CONVE_PPTO].[Importe]",
TDinamica_P!$A$5,
"[BASE_CONVE_PPTO].[Periodo]",
"[BASE_CONVE_PPTO].[Periodo].&amp;[" &amp; TEXT(BH$6,"yyyymm")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I91" s="8">
        <f>IFERROR(
GETPIVOTDATA(
"[BASE_CONVE_PPTO].[Importe]",
TDinamica_P!$A$5,
"[BASE_CONVE_PPTO].[Periodo]",
"[BASE_CONVE_PPTO].[Periodo].&amp;[" &amp; TEXT(BI$6,"yyyymm")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J91" s="8">
        <f>IFERROR(
GETPIVOTDATA(
"[BASE_CONVE_PPTO].[Importe]",
TDinamica_P!$A$5,
"[BASE_CONVE_PPTO].[Periodo]",
"[BASE_CONVE_PPTO].[Periodo].&amp;[" &amp; TEXT(BJ$6,"yyyymm")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K91" s="8">
        <f>IFERROR(
GETPIVOTDATA(
"[BASE_CONVE_PPTO].[Importe]",
TDinamica_P!$A$5,
"[BASE_CONVE_PPTO].[Periodo]",
"[BASE_CONVE_PPTO].[Periodo].&amp;[" &amp; TEXT(BK$6,"yyyymm") &amp; "]",
"[BASE_CONVE_PPTO].[Metrica]",
"[BASE_CONVE_PPTO].[Metrica].&amp;[" &amp; $A91 &amp; "]",
"[BASE_CONVE_PPTO].[SEGMENTO_DESCRIP]",
"[BASE_CONVE_PPTO].[SEGMENTO_DESCRIP].&amp;[" &amp; $C$6 &amp; "]",
"[BASE_CONVE_PPTO].[SITUACION]",
"[BASE_CONVE_PPTO].[SITUACION].&amp;[" &amp; $C91 &amp; "]"),
0)</f>
        <v>0</v>
      </c>
      <c r="BO91" s="24">
        <f t="shared" ref="BO91:BT92" si="58">SUMIFS($D91:$BM91,$D$6:$BM$6,"&gt;="&amp;BO$2,$D$6:$BM$6,"&lt;="&amp;BO$6,$D$5:$BM$5,BO$5)</f>
        <v>-24.458109133379093</v>
      </c>
      <c r="BP91" s="24">
        <f t="shared" si="58"/>
        <v>0</v>
      </c>
      <c r="BQ91" s="24">
        <f t="shared" si="58"/>
        <v>-19.307436174511032</v>
      </c>
      <c r="BR91" s="24">
        <f t="shared" si="58"/>
        <v>-17.939657646872181</v>
      </c>
      <c r="BS91" s="24">
        <f t="shared" si="58"/>
        <v>-23.517370906458822</v>
      </c>
      <c r="BT91" s="24">
        <f t="shared" si="58"/>
        <v>-28.369466646496445</v>
      </c>
    </row>
    <row r="92" spans="1:72" outlineLevel="1" x14ac:dyDescent="0.25">
      <c r="A92" s="11" t="s">
        <v>80</v>
      </c>
      <c r="C92" s="2" t="s">
        <v>48</v>
      </c>
      <c r="D92" s="8">
        <f>IFERROR(
GETPIVOTDATA(
"[Base].[Importe]",
TDinamica_R!$A$5,
"[Calendario].[AñoMes]",
"[Calendario].[AñoMes].&amp;[" &amp; TEXT(D$6,"yyyymm") &amp; "]",
"[Base].[Metrica]",
"[Base].[Metrica].&amp;[" &amp; $A92 &amp; "]",
"[Base].[SEGMENTO_DESCRIP]",
"[Base].[SEGMENTO_DESCRIP].&amp;[" &amp; $C$6 &amp; "]",
"[Base].[SITUACION]",
"[Base].[SITUACION].&amp;[" &amp; $C92 &amp; "]"
),0)/1000</f>
        <v>-3.366699027828</v>
      </c>
      <c r="E92" s="8">
        <f>IFERROR(
GETPIVOTDATA(
"[Base].[Importe]",
TDinamica_R!$A$5,
"[Calendario].[AñoMes]",
"[Calendario].[AñoMes].&amp;[" &amp; TEXT(E$6,"yyyymm") &amp; "]",
"[Base].[Metrica]",
"[Base].[Metrica].&amp;[" &amp; $A92 &amp; "]",
"[Base].[SEGMENTO_DESCRIP]",
"[Base].[SEGMENTO_DESCRIP].&amp;[" &amp; $C$6 &amp; "]",
"[Base].[SITUACION]",
"[Base].[SITUACION].&amp;[" &amp; $C92 &amp; "]"
),0)/1000</f>
        <v>-4.2680719474436222</v>
      </c>
      <c r="F92" s="8">
        <f>IFERROR(
GETPIVOTDATA(
"[Base].[Importe]",
TDinamica_R!$A$5,
"[Calendario].[AñoMes]",
"[Calendario].[AñoMes].&amp;[" &amp; TEXT(F$6,"yyyymm") &amp; "]",
"[Base].[Metrica]",
"[Base].[Metrica].&amp;[" &amp; $A92 &amp; "]",
"[Base].[SEGMENTO_DESCRIP]",
"[Base].[SEGMENTO_DESCRIP].&amp;[" &amp; $C$6 &amp; "]",
"[Base].[SITUACION]",
"[Base].[SITUACION].&amp;[" &amp; $C92 &amp; "]"
),0)/1000</f>
        <v>-7.0018421166124183</v>
      </c>
      <c r="G92" s="8">
        <f>IFERROR(
GETPIVOTDATA(
"[Base].[Importe]",
TDinamica_R!$A$5,
"[Calendario].[AñoMes]",
"[Calendario].[AñoMes].&amp;[" &amp; TEXT(G$6,"yyyymm") &amp; "]",
"[Base].[Metrica]",
"[Base].[Metrica].&amp;[" &amp; $A92 &amp; "]",
"[Base].[SEGMENTO_DESCRIP]",
"[Base].[SEGMENTO_DESCRIP].&amp;[" &amp; $C$6 &amp; "]",
"[Base].[SITUACION]",
"[Base].[SITUACION].&amp;[" &amp; $C92 &amp; "]"
),0)/1000</f>
        <v>-4.6370730161509375</v>
      </c>
      <c r="H92" s="8">
        <f>IFERROR(
GETPIVOTDATA(
"[Base].[Importe]",
TDinamica_R!$A$5,
"[Calendario].[AñoMes]",
"[Calendario].[AñoMes].&amp;[" &amp; TEXT(H$6,"yyyymm") &amp; "]",
"[Base].[Metrica]",
"[Base].[Metrica].&amp;[" &amp; $A92 &amp; "]",
"[Base].[SEGMENTO_DESCRIP]",
"[Base].[SEGMENTO_DESCRIP].&amp;[" &amp; $C$6 &amp; "]",
"[Base].[SITUACION]",
"[Base].[SITUACION].&amp;[" &amp; $C92 &amp; "]"
),0)/1000</f>
        <v>-4.1672810761325918</v>
      </c>
      <c r="I92" s="8">
        <f>IFERROR(
GETPIVOTDATA(
"[Base].[Importe]",
TDinamica_R!$A$5,
"[Calendario].[AñoMes]",
"[Calendario].[AñoMes].&amp;[" &amp; TEXT(I$6,"yyyymm") &amp; "]",
"[Base].[Metrica]",
"[Base].[Metrica].&amp;[" &amp; $A92 &amp; "]",
"[Base].[SEGMENTO_DESCRIP]",
"[Base].[SEGMENTO_DESCRIP].&amp;[" &amp; $C$6 &amp; "]",
"[Base].[SITUACION]",
"[Base].[SITUACION].&amp;[" &amp; $C92 &amp; "]"
),0)/1000</f>
        <v>-5.2417211801695194</v>
      </c>
      <c r="J92" s="8">
        <f>IFERROR(
GETPIVOTDATA(
"[Base].[Importe]",
TDinamica_R!$A$5,
"[Calendario].[AñoMes]",
"[Calendario].[AñoMes].&amp;[" &amp; TEXT(J$6,"yyyymm") &amp; "]",
"[Base].[Metrica]",
"[Base].[Metrica].&amp;[" &amp; $A92 &amp; "]",
"[Base].[SEGMENTO_DESCRIP]",
"[Base].[SEGMENTO_DESCRIP].&amp;[" &amp; $C$6 &amp; "]",
"[Base].[SITUACION]",
"[Base].[SITUACION].&amp;[" &amp; $C92 &amp; "]"
),0)/1000</f>
        <v>-8.015888531162398</v>
      </c>
      <c r="K92" s="8">
        <f>IFERROR(
GETPIVOTDATA(
"[Base].[Importe]",
TDinamica_R!$A$5,
"[Calendario].[AñoMes]",
"[Calendario].[AñoMes].&amp;[" &amp; TEXT(K$6,"yyyymm") &amp; "]",
"[Base].[Metrica]",
"[Base].[Metrica].&amp;[" &amp; $A92 &amp; "]",
"[Base].[SEGMENTO_DESCRIP]",
"[Base].[SEGMENTO_DESCRIP].&amp;[" &amp; $C$6 &amp; "]",
"[Base].[SITUACION]",
"[Base].[SITUACION].&amp;[" &amp; $C92 &amp; "]"
),0)/1000</f>
        <v>-2.84421906622944</v>
      </c>
      <c r="L92" s="8">
        <f>IFERROR(
GETPIVOTDATA(
"[Base].[Importe]",
TDinamica_R!$A$5,
"[Calendario].[AñoMes]",
"[Calendario].[AñoMes].&amp;[" &amp; TEXT(L$6,"yyyymm") &amp; "]",
"[Base].[Metrica]",
"[Base].[Metrica].&amp;[" &amp; $A92 &amp; "]",
"[Base].[SEGMENTO_DESCRIP]",
"[Base].[SEGMENTO_DESCRIP].&amp;[" &amp; $C$6 &amp; "]",
"[Base].[SITUACION]",
"[Base].[SITUACION].&amp;[" &amp; $C92 &amp; "]"
),0)/1000</f>
        <v>-5.1755533828545586</v>
      </c>
      <c r="M92" s="8">
        <f>IFERROR(
GETPIVOTDATA(
"[Base].[Importe]",
TDinamica_R!$A$5,
"[Calendario].[AñoMes]",
"[Calendario].[AñoMes].&amp;[" &amp; TEXT(M$6,"yyyymm") &amp; "]",
"[Base].[Metrica]",
"[Base].[Metrica].&amp;[" &amp; $A92 &amp; "]",
"[Base].[SEGMENTO_DESCRIP]",
"[Base].[SEGMENTO_DESCRIP].&amp;[" &amp; $C$6 &amp; "]",
"[Base].[SITUACION]",
"[Base].[SITUACION].&amp;[" &amp; $C92 &amp; "]"
),0)/1000</f>
        <v>-4.6928465960535188</v>
      </c>
      <c r="N92" s="8">
        <f>IFERROR(
GETPIVOTDATA(
"[Base].[Importe]",
TDinamica_R!$A$5,
"[Calendario].[AñoMes]",
"[Calendario].[AñoMes].&amp;[" &amp; TEXT(N$6,"yyyymm") &amp; "]",
"[Base].[Metrica]",
"[Base].[Metrica].&amp;[" &amp; $A92 &amp; "]",
"[Base].[SEGMENTO_DESCRIP]",
"[Base].[SEGMENTO_DESCRIP].&amp;[" &amp; $C$6 &amp; "]",
"[Base].[SITUACION]",
"[Base].[SITUACION].&amp;[" &amp; $C92 &amp; "]"
),0)/1000</f>
        <v>-3.9139142143248007</v>
      </c>
      <c r="O92" s="8">
        <f>IFERROR(
GETPIVOTDATA(
"[Base].[Importe]",
TDinamica_R!$A$5,
"[Calendario].[AñoMes]",
"[Calendario].[AñoMes].&amp;[" &amp; TEXT(O$6,"yyyymm") &amp; "]",
"[Base].[Metrica]",
"[Base].[Metrica].&amp;[" &amp; $A92 &amp; "]",
"[Base].[SEGMENTO_DESCRIP]",
"[Base].[SEGMENTO_DESCRIP].&amp;[" &amp; $C$6 &amp; "]",
"[Base].[SITUACION]",
"[Base].[SITUACION].&amp;[" &amp; $C92 &amp; "]"
),0)/1000</f>
        <v>-10.762358344866245</v>
      </c>
      <c r="P92" s="8">
        <f>IFERROR(
GETPIVOTDATA(
"[Base].[Importe]",
TDinamica_R!$A$5,
"[Calendario].[AñoMes]",
"[Calendario].[AñoMes].&amp;[" &amp; TEXT(P$6,"yyyymm") &amp; "]",
"[Base].[Metrica]",
"[Base].[Metrica].&amp;[" &amp; $A92 &amp; "]",
"[Base].[SEGMENTO_DESCRIP]",
"[Base].[SEGMENTO_DESCRIP].&amp;[" &amp; $C$6 &amp; "]",
"[Base].[SITUACION]",
"[Base].[SITUACION].&amp;[" &amp; $C92 &amp; "]"
),0)/1000</f>
        <v>-8.7435751968278357</v>
      </c>
      <c r="Q92" s="8">
        <f>IFERROR(
GETPIVOTDATA(
"[Base].[Importe]",
TDinamica_R!$A$5,
"[Calendario].[AñoMes]",
"[Calendario].[AñoMes].&amp;[" &amp; TEXT(Q$6,"yyyymm") &amp; "]",
"[Base].[Metrica]",
"[Base].[Metrica].&amp;[" &amp; $A92 &amp; "]",
"[Base].[SEGMENTO_DESCRIP]",
"[Base].[SEGMENTO_DESCRIP].&amp;[" &amp; $C$6 &amp; "]",
"[Base].[SITUACION]",
"[Base].[SITUACION].&amp;[" &amp; $C92 &amp; "]"
),0)/1000</f>
        <v>-12.701081970251501</v>
      </c>
      <c r="R92" s="8">
        <f>IFERROR(
GETPIVOTDATA(
"[Base].[Importe]",
TDinamica_R!$A$5,
"[Calendario].[AñoMes]",
"[Calendario].[AñoMes].&amp;[" &amp; TEXT(R$6,"yyyymm") &amp; "]",
"[Base].[Metrica]",
"[Base].[Metrica].&amp;[" &amp; $A92 &amp; "]",
"[Base].[SEGMENTO_DESCRIP]",
"[Base].[SEGMENTO_DESCRIP].&amp;[" &amp; $C$6 &amp; "]",
"[Base].[SITUACION]",
"[Base].[SITUACION].&amp;[" &amp; $C92 &amp; "]"
),0)/1000</f>
        <v>-19.693660681441919</v>
      </c>
      <c r="S92" s="8">
        <f>IFERROR(
GETPIVOTDATA(
"[Base].[Importe]",
TDinamica_R!$A$5,
"[Calendario].[AñoMes]",
"[Calendario].[AñoMes].&amp;[" &amp; TEXT(S$6,"yyyymm") &amp; "]",
"[Base].[Metrica]",
"[Base].[Metrica].&amp;[" &amp; $A92 &amp; "]",
"[Base].[SEGMENTO_DESCRIP]",
"[Base].[SEGMENTO_DESCRIP].&amp;[" &amp; $C$6 &amp; "]",
"[Base].[SITUACION]",
"[Base].[SITUACION].&amp;[" &amp; $C92 &amp; "]"
),0)/1000</f>
        <v>-10.604489832902159</v>
      </c>
      <c r="T92" s="8">
        <f>IFERROR(
GETPIVOTDATA(
"[Base].[Importe]",
TDinamica_R!$A$5,
"[Calendario].[AñoMes]",
"[Calendario].[AñoMes].&amp;[" &amp; TEXT(T$6,"yyyymm") &amp; "]",
"[Base].[Metrica]",
"[Base].[Metrica].&amp;[" &amp; $A92 &amp; "]",
"[Base].[SEGMENTO_DESCRIP]",
"[Base].[SEGMENTO_DESCRIP].&amp;[" &amp; $C$6 &amp; "]",
"[Base].[SITUACION]",
"[Base].[SITUACION].&amp;[" &amp; $C92 &amp; "]"
),0)/1000</f>
        <v>-14.880873530506861</v>
      </c>
      <c r="U92" s="8">
        <f>IFERROR(
GETPIVOTDATA(
"[Base].[Importe]",
TDinamica_R!$A$5,
"[Calendario].[AñoMes]",
"[Calendario].[AñoMes].&amp;[" &amp; TEXT(U$6,"yyyymm") &amp; "]",
"[Base].[Metrica]",
"[Base].[Metrica].&amp;[" &amp; $A92 &amp; "]",
"[Base].[SEGMENTO_DESCRIP]",
"[Base].[SEGMENTO_DESCRIP].&amp;[" &amp; $C$6 &amp; "]",
"[Base].[SITUACION]",
"[Base].[SITUACION].&amp;[" &amp; $C92 &amp; "]"
),0)/1000</f>
        <v>-13.348979325421681</v>
      </c>
      <c r="V92" s="8">
        <f>IFERROR(
GETPIVOTDATA(
"[Base].[Importe]",
TDinamica_R!$A$5,
"[Calendario].[AñoMes]",
"[Calendario].[AñoMes].&amp;[" &amp; TEXT(V$6,"yyyymm") &amp; "]",
"[Base].[Metrica]",
"[Base].[Metrica].&amp;[" &amp; $A92 &amp; "]",
"[Base].[SEGMENTO_DESCRIP]",
"[Base].[SEGMENTO_DESCRIP].&amp;[" &amp; $C$6 &amp; "]",
"[Base].[SITUACION]",
"[Base].[SITUACION].&amp;[" &amp; $C92 &amp; "]"
),0)/1000</f>
        <v>-6.2400248264873488</v>
      </c>
      <c r="W92" s="8">
        <f>IFERROR(
GETPIVOTDATA(
"[Base].[Importe]",
TDinamica_R!$A$5,
"[Calendario].[AñoMes]",
"[Calendario].[AñoMes].&amp;[" &amp; TEXT(W$6,"yyyymm") &amp; "]",
"[Base].[Metrica]",
"[Base].[Metrica].&amp;[" &amp; $A92 &amp; "]",
"[Base].[SEGMENTO_DESCRIP]",
"[Base].[SEGMENTO_DESCRIP].&amp;[" &amp; $C$6 &amp; "]",
"[Base].[SITUACION]",
"[Base].[SITUACION].&amp;[" &amp; $C92 &amp; "]"
),0)/1000</f>
        <v>-9.2408907387317392</v>
      </c>
      <c r="X92" s="8">
        <f>IFERROR(
GETPIVOTDATA(
"[Base].[Importe]",
TDinamica_R!$A$5,
"[Calendario].[AñoMes]",
"[Calendario].[AñoMes].&amp;[" &amp; TEXT(X$6,"yyyymm") &amp; "]",
"[Base].[Metrica]",
"[Base].[Metrica].&amp;[" &amp; $A92 &amp; "]",
"[Base].[SEGMENTO_DESCRIP]",
"[Base].[SEGMENTO_DESCRIP].&amp;[" &amp; $C$6 &amp; "]",
"[Base].[SITUACION]",
"[Base].[SITUACION].&amp;[" &amp; $C92 &amp; "]"
),0)/1000</f>
        <v>-10.128283852288543</v>
      </c>
      <c r="Y92" s="8">
        <f>IFERROR(
GETPIVOTDATA(
"[Base].[Importe]",
TDinamica_R!$A$5,
"[Calendario].[AñoMes]",
"[Calendario].[AñoMes].&amp;[" &amp; TEXT(Y$6,"yyyymm") &amp; "]",
"[Base].[Metrica]",
"[Base].[Metrica].&amp;[" &amp; $A92 &amp; "]",
"[Base].[SEGMENTO_DESCRIP]",
"[Base].[SEGMENTO_DESCRIP].&amp;[" &amp; $C$6 &amp; "]",
"[Base].[SITUACION]",
"[Base].[SITUACION].&amp;[" &amp; $C92 &amp; "]"
),0)/1000</f>
        <v>-6.28744996927872</v>
      </c>
      <c r="Z92" s="8">
        <f>IFERROR(
GETPIVOTDATA(
"[Base].[Importe]",
TDinamica_R!$A$5,
"[Calendario].[AñoMes]",
"[Calendario].[AñoMes].&amp;[" &amp; TEXT(Z$6,"yyyymm") &amp; "]",
"[Base].[Metrica]",
"[Base].[Metrica].&amp;[" &amp; $A92 &amp; "]",
"[Base].[SEGMENTO_DESCRIP]",
"[Base].[SEGMENTO_DESCRIP].&amp;[" &amp; $C$6 &amp; "]",
"[Base].[SITUACION]",
"[Base].[SITUACION].&amp;[" &amp; $C92 &amp; "]"
),0)/1000</f>
        <v>-11.032754879770026</v>
      </c>
      <c r="AA92" s="8">
        <f>IFERROR(
GETPIVOTDATA(
"[Base].[Importe]",
TDinamica_R!$A$5,
"[Calendario].[AñoMes]",
"[Calendario].[AñoMes].&amp;[" &amp; TEXT(AA$6,"yyyymm") &amp; "]",
"[Base].[Metrica]",
"[Base].[Metrica].&amp;[" &amp; $A92 &amp; "]",
"[Base].[SEGMENTO_DESCRIP]",
"[Base].[SEGMENTO_DESCRIP].&amp;[" &amp; $C$6 &amp; "]",
"[Base].[SITUACION]",
"[Base].[SITUACION].&amp;[" &amp; $C92 &amp; "]"
),0)/1000</f>
        <v>-3.2964047950807611</v>
      </c>
      <c r="AB92" s="8">
        <f>IFERROR(
GETPIVOTDATA(
"[Base].[Importe]",
TDinamica_R!$A$5,
"[Calendario].[AñoMes]",
"[Calendario].[AñoMes].&amp;[" &amp; TEXT(AB$6,"yyyymm") &amp; "]",
"[Base].[Metrica]",
"[Base].[Metrica].&amp;[" &amp; $A92 &amp; "]",
"[Base].[SEGMENTO_DESCRIP]",
"[Base].[SEGMENTO_DESCRIP].&amp;[" &amp; $C$6 &amp; "]",
"[Base].[SITUACION]",
"[Base].[SITUACION].&amp;[" &amp; $C92 &amp; "]"
),0)/1000</f>
        <v>-4.5599064766077104</v>
      </c>
      <c r="AC92" s="8">
        <f>IFERROR(
GETPIVOTDATA(
"[Base].[Importe]",
TDinamica_R!$A$5,
"[Calendario].[AñoMes]",
"[Calendario].[AñoMes].&amp;[" &amp; TEXT(AC$6,"yyyymm") &amp; "]",
"[Base].[Metrica]",
"[Base].[Metrica].&amp;[" &amp; $A92 &amp; "]",
"[Base].[SEGMENTO_DESCRIP]",
"[Base].[SEGMENTO_DESCRIP].&amp;[" &amp; $C$6 &amp; "]",
"[Base].[SITUACION]",
"[Base].[SITUACION].&amp;[" &amp; $C92 &amp; "]"
),0)/1000</f>
        <v>-6.2772752660249784</v>
      </c>
      <c r="AD92" s="8">
        <f>IFERROR(
GETPIVOTDATA(
"[Base].[Importe]",
TDinamica_R!$A$5,
"[Calendario].[AñoMes]",
"[Calendario].[AñoMes].&amp;[" &amp; TEXT(AD$6,"yyyymm") &amp; "]",
"[Base].[Metrica]",
"[Base].[Metrica].&amp;[" &amp; $A92 &amp; "]",
"[Base].[SEGMENTO_DESCRIP]",
"[Base].[SEGMENTO_DESCRIP].&amp;[" &amp; $C$6 &amp; "]",
"[Base].[SITUACION]",
"[Base].[SITUACION].&amp;[" &amp; $C92 &amp; "]"
),0)/1000</f>
        <v>-3.5832708899758194</v>
      </c>
      <c r="AE92" s="8">
        <f>IFERROR(
GETPIVOTDATA(
"[Base].[Importe]",
TDinamica_R!$A$5,
"[Calendario].[AñoMes]",
"[Calendario].[AñoMes].&amp;[" &amp; TEXT(AE$6,"yyyymm") &amp; "]",
"[Base].[Metrica]",
"[Base].[Metrica].&amp;[" &amp; $A92 &amp; "]",
"[Base].[SEGMENTO_DESCRIP]",
"[Base].[SEGMENTO_DESCRIP].&amp;[" &amp; $C$6 &amp; "]",
"[Base].[SITUACION]",
"[Base].[SITUACION].&amp;[" &amp; $C92 &amp; "]"
),0)/1000</f>
        <v>-4.4307472640475476</v>
      </c>
      <c r="AF92" s="8">
        <f>IFERROR(
GETPIVOTDATA(
"[Base].[Importe]",
TDinamica_R!$A$5,
"[Calendario].[AñoMes]",
"[Calendario].[AñoMes].&amp;[" &amp; TEXT(AF$6,"yyyymm") &amp; "]",
"[Base].[Metrica]",
"[Base].[Metrica].&amp;[" &amp; $A92 &amp; "]",
"[Base].[SEGMENTO_DESCRIP]",
"[Base].[SEGMENTO_DESCRIP].&amp;[" &amp; $C$6 &amp; "]",
"[Base].[SITUACION]",
"[Base].[SITUACION].&amp;[" &amp; $C92 &amp; "]"
),0)/1000</f>
        <v>-6.0463818922669583</v>
      </c>
      <c r="AG92" s="8">
        <f>IFERROR(
GETPIVOTDATA(
"[Base].[Importe]",
TDinamica_R!$A$5,
"[Calendario].[AñoMes]",
"[Calendario].[AñoMes].&amp;[" &amp; TEXT(AG$6,"yyyymm") &amp; "]",
"[Base].[Metrica]",
"[Base].[Metrica].&amp;[" &amp; $A92 &amp; "]",
"[Base].[SEGMENTO_DESCRIP]",
"[Base].[SEGMENTO_DESCRIP].&amp;[" &amp; $C$6 &amp; "]",
"[Base].[SITUACION]",
"[Base].[SITUACION].&amp;[" &amp; $C92 &amp; "]"
),0)/1000</f>
        <v>-9.5200852923294299</v>
      </c>
      <c r="AH92" s="8">
        <f>IFERROR(
GETPIVOTDATA(
"[Base].[Importe]",
TDinamica_R!$A$5,
"[Calendario].[AñoMes]",
"[Calendario].[AñoMes].&amp;[" &amp; TEXT(AH$6,"yyyymm") &amp; "]",
"[Base].[Metrica]",
"[Base].[Metrica].&amp;[" &amp; $A92 &amp; "]",
"[Base].[SEGMENTO_DESCRIP]",
"[Base].[SEGMENTO_DESCRIP].&amp;[" &amp; $C$6 &amp; "]",
"[Base].[SITUACION]",
"[Base].[SITUACION].&amp;[" &amp; $C92 &amp; "]"
),0)/1000</f>
        <v>-7.8933051062108097</v>
      </c>
      <c r="AI92" s="8">
        <f>IFERROR(
GETPIVOTDATA(
"[Base].[Importe]",
TDinamica_R!$A$5,
"[Calendario].[AñoMes]",
"[Calendario].[AñoMes].&amp;[" &amp; TEXT(AI$6,"yyyymm") &amp; "]",
"[Base].[Metrica]",
"[Base].[Metrica].&amp;[" &amp; $A92 &amp; "]",
"[Base].[SEGMENTO_DESCRIP]",
"[Base].[SEGMENTO_DESCRIP].&amp;[" &amp; $C$6 &amp; "]",
"[Base].[SITUACION]",
"[Base].[SITUACION].&amp;[" &amp; $C92 &amp; "]"
),0)/1000</f>
        <v>-4.9897522049689602</v>
      </c>
      <c r="AJ92" s="8">
        <f>IFERROR(
GETPIVOTDATA(
"[Base].[Importe]",
TDinamica_R!$A$5,
"[Calendario].[AñoMes]",
"[Calendario].[AñoMes].&amp;[" &amp; TEXT(AJ$6,"yyyymm") &amp; "]",
"[Base].[Metrica]",
"[Base].[Metrica].&amp;[" &amp; $A92 &amp; "]",
"[Base].[SEGMENTO_DESCRIP]",
"[Base].[SEGMENTO_DESCRIP].&amp;[" &amp; $C$6 &amp; "]",
"[Base].[SITUACION]",
"[Base].[SITUACION].&amp;[" &amp; $C92 &amp; "]"
),0)/1000</f>
        <v>-5.2194650313708557</v>
      </c>
      <c r="AK92" s="8">
        <f>IFERROR(
GETPIVOTDATA(
"[Base].[Importe]",
TDinamica_R!$A$5,
"[Calendario].[AñoMes]",
"[Calendario].[AñoMes].&amp;[" &amp; TEXT(AK$6,"yyyymm") &amp; "]",
"[Base].[Metrica]",
"[Base].[Metrica].&amp;[" &amp; $A92 &amp; "]",
"[Base].[SEGMENTO_DESCRIP]",
"[Base].[SEGMENTO_DESCRIP].&amp;[" &amp; $C$6 &amp; "]",
"[Base].[SITUACION]",
"[Base].[SITUACION].&amp;[" &amp; $C92 &amp; "]"
),0)/1000</f>
        <v>-5.5230827942576166</v>
      </c>
      <c r="AL92" s="8">
        <f>IFERROR(
GETPIVOTDATA(
"[Base].[Importe]",
TDinamica_R!$A$5,
"[Calendario].[AñoMes]",
"[Calendario].[AñoMes].&amp;[" &amp; TEXT(AL$6,"yyyymm") &amp; "]",
"[Base].[Metrica]",
"[Base].[Metrica].&amp;[" &amp; $A92 &amp; "]",
"[Base].[SEGMENTO_DESCRIP]",
"[Base].[SEGMENTO_DESCRIP].&amp;[" &amp; $C$6 &amp; "]",
"[Base].[SITUACION]",
"[Base].[SITUACION].&amp;[" &amp; $C92 &amp; "]"
),0)/1000</f>
        <v>-5.1058841966449204</v>
      </c>
      <c r="AM92" s="8">
        <f>IFERROR(
GETPIVOTDATA(
"[Base].[Importe]",
TDinamica_R!$A$5,
"[Calendario].[AñoMes]",
"[Calendario].[AñoMes].&amp;[" &amp; TEXT(AM$6,"yyyymm") &amp; "]",
"[Base].[Metrica]",
"[Base].[Metrica].&amp;[" &amp; $A92 &amp; "]",
"[Base].[SEGMENTO_DESCRIP]",
"[Base].[SEGMENTO_DESCRIP].&amp;[" &amp; $C$6 &amp; "]",
"[Base].[SITUACION]",
"[Base].[SITUACION].&amp;[" &amp; $C92 &amp; "]"
),0)/1000</f>
        <v>-12.527798796839249</v>
      </c>
      <c r="AN92" s="8">
        <f>IFERROR(
GETPIVOTDATA(
"[Base].[Importe]",
TDinamica_R!$A$5,
"[Calendario].[AñoMes]",
"[Calendario].[AñoMes].&amp;[" &amp; TEXT(AN$6,"yyyymm") &amp; "]",
"[Base].[Metrica]",
"[Base].[Metrica].&amp;[" &amp; $A92 &amp; "]",
"[Base].[SEGMENTO_DESCRIP]",
"[Base].[SEGMENTO_DESCRIP].&amp;[" &amp; $C$6 &amp; "]",
"[Base].[SITUACION]",
"[Base].[SITUACION].&amp;[" &amp; $C92 &amp; "]"
),0)/1000</f>
        <v>-5.3397668471978097</v>
      </c>
      <c r="AO92" s="8">
        <f>IFERROR(
GETPIVOTDATA(
"[Base].[Importe]",
TDinamica_R!$A$5,
"[Calendario].[AñoMes]",
"[Calendario].[AñoMes].&amp;[" &amp; TEXT(AO$6,"yyyymm") &amp; "]",
"[Base].[Metrica]",
"[Base].[Metrica].&amp;[" &amp; $A92 &amp; "]",
"[Base].[SEGMENTO_DESCRIP]",
"[Base].[SEGMENTO_DESCRIP].&amp;[" &amp; $C$6 &amp; "]",
"[Base].[SITUACION]",
"[Base].[SITUACION].&amp;[" &amp; $C92 &amp; "]"
),0)/1000</f>
        <v>-5.5218939622134009</v>
      </c>
      <c r="AP92" s="8">
        <f>IFERROR(
GETPIVOTDATA(
"[Base].[Importe]",
TDinamica_R!$A$5,
"[Calendario].[AñoMes]",
"[Calendario].[AñoMes].&amp;[" &amp; TEXT(AP$6,"yyyymm") &amp; "]",
"[Base].[Metrica]",
"[Base].[Metrica].&amp;[" &amp; $A92 &amp; "]",
"[Base].[SEGMENTO_DESCRIP]",
"[Base].[SEGMENTO_DESCRIP].&amp;[" &amp; $C$6 &amp; "]",
"[Base].[SITUACION]",
"[Base].[SITUACION].&amp;[" &amp; $C92 &amp; "]"
),0)/1000</f>
        <v>-3.8036328735881013</v>
      </c>
      <c r="AQ92" s="8">
        <f>IFERROR(
GETPIVOTDATA(
"[Base].[Importe]",
TDinamica_R!$A$5,
"[Calendario].[AñoMes]",
"[Calendario].[AñoMes].&amp;[" &amp; TEXT(AQ$6,"yyyymm") &amp; "]",
"[Base].[Metrica]",
"[Base].[Metrica].&amp;[" &amp; $A92 &amp; "]",
"[Base].[SEGMENTO_DESCRIP]",
"[Base].[SEGMENTO_DESCRIP].&amp;[" &amp; $C$6 &amp; "]",
"[Base].[SITUACION]",
"[Base].[SITUACION].&amp;[" &amp; $C92 &amp; "]"
),0)/1000</f>
        <v>-7.5181967111016723</v>
      </c>
      <c r="AR92" s="8">
        <f>IFERROR(
GETPIVOTDATA(
"[Base].[Importe]",
TDinamica_R!$A$5,
"[Calendario].[AñoMes]",
"[Calendario].[AñoMes].&amp;[" &amp; TEXT(AR$6,"yyyymm") &amp; "]",
"[Base].[Metrica]",
"[Base].[Metrica].&amp;[" &amp; $A92 &amp; "]",
"[Base].[SEGMENTO_DESCRIP]",
"[Base].[SEGMENTO_DESCRIP].&amp;[" &amp; $C$6 &amp; "]",
"[Base].[SITUACION]",
"[Base].[SITUACION].&amp;[" &amp; $C92 &amp; "]"
),0)/1000</f>
        <v>-5.6498722234893881</v>
      </c>
      <c r="AS92" s="8">
        <f>IFERROR(
GETPIVOTDATA(
"[Base].[Importe]",
TDinamica_R!$A$5,
"[Calendario].[AñoMes]",
"[Calendario].[AñoMes].&amp;[" &amp; TEXT(AS$6,"yyyymm") &amp; "]",
"[Base].[Metrica]",
"[Base].[Metrica].&amp;[" &amp; $A92 &amp; "]",
"[Base].[SEGMENTO_DESCRIP]",
"[Base].[SEGMENTO_DESCRIP].&amp;[" &amp; $C$6 &amp; "]",
"[Base].[SITUACION]",
"[Base].[SITUACION].&amp;[" &amp; $C92 &amp; "]"
),0)/1000</f>
        <v>-9.0619402164555751</v>
      </c>
      <c r="AT92" s="8">
        <f>IFERROR(
GETPIVOTDATA(
"[Base].[Importe]",
TDinamica_R!$A$5,
"[Calendario].[AñoMes]",
"[Calendario].[AñoMes].&amp;[" &amp; TEXT(AT$6,"yyyymm")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U92" s="8">
        <f>IFERROR(
GETPIVOTDATA(
"[Base].[Importe]",
TDinamica_R!$A$5,
"[Calendario].[AñoMes]",
"[Calendario].[AñoMes].&amp;[" &amp; TEXT(AU$6,"yyyymm")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V92" s="8">
        <f>IFERROR(
GETPIVOTDATA(
"[Base].[Importe]",
TDinamica_R!$A$5,
"[Calendario].[AñoMes]",
"[Calendario].[AñoMes].&amp;[" &amp; TEXT(AV$6,"yyyymm")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W92" s="8">
        <f>IFERROR(
GETPIVOTDATA(
"[Base].[Importe]",
TDinamica_R!$A$5,
"[Calendario].[AñoMes]",
"[Calendario].[AñoMes].&amp;[" &amp; TEXT(AW$6,"yyyymm")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X92" s="8">
        <f>IFERROR(
GETPIVOTDATA(
"[Base].[Importe]",
TDinamica_R!$A$5,
"[Calendario].[AñoMes]",
"[Calendario].[AñoMes].&amp;[" &amp; TEXT(AX$6,"yyyymm")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Y92" s="8">
        <f>IFERROR(
GETPIVOTDATA(
"[Base].[Importe]",
TDinamica_R!$A$5,
"[Calendario].[AñoMes]",
"[Calendario].[AñoMes].&amp;[" &amp; TEXT(AY$6,"yyyymm")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Z92" s="8">
        <f>IFERROR(
GETPIVOTDATA(
"[BASE_CONVE_PPTO].[Importe]",
TDinamica_P!$A$5,
"[BASE_CONVE_PPTO].[Periodo]",
"[BASE_CONVE_PPTO].[Periodo].&amp;[" &amp; TEXT(AZ$6,"yyyymm")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-7.1633720530258458</v>
      </c>
      <c r="BA92" s="8">
        <f>IFERROR(
GETPIVOTDATA(
"[BASE_CONVE_PPTO].[Importe]",
TDinamica_P!$A$5,
"[BASE_CONVE_PPTO].[Periodo]",
"[BASE_CONVE_PPTO].[Periodo].&amp;[" &amp; TEXT(BA$6,"yyyymm")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-5.7591394121547372</v>
      </c>
      <c r="BB92" s="8">
        <f>IFERROR(
GETPIVOTDATA(
"[BASE_CONVE_PPTO].[Importe]",
TDinamica_P!$A$5,
"[BASE_CONVE_PPTO].[Periodo]",
"[BASE_CONVE_PPTO].[Periodo].&amp;[" &amp; TEXT(BB$6,"yyyymm")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-5.9138429856636279</v>
      </c>
      <c r="BC92" s="8">
        <f>IFERROR(
GETPIVOTDATA(
"[BASE_CONVE_PPTO].[Importe]",
TDinamica_P!$A$5,
"[BASE_CONVE_PPTO].[Periodo]",
"[BASE_CONVE_PPTO].[Periodo].&amp;[" &amp; TEXT(BC$6,"yyyymm")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-5.7928053835391307</v>
      </c>
      <c r="BD92" s="8">
        <f>IFERROR(
GETPIVOTDATA(
"[BASE_CONVE_PPTO].[Importe]",
TDinamica_P!$A$5,
"[BASE_CONVE_PPTO].[Periodo]",
"[BASE_CONVE_PPTO].[Periodo].&amp;[" &amp; TEXT(BD$6,"yyyymm")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-9.5402863954472412</v>
      </c>
      <c r="BE92" s="8">
        <f>IFERROR(
GETPIVOTDATA(
"[BASE_CONVE_PPTO].[Importe]",
TDinamica_P!$A$5,
"[BASE_CONVE_PPTO].[Periodo]",
"[BASE_CONVE_PPTO].[Periodo].&amp;[" &amp; TEXT(BE$6,"yyyymm")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-6.1771448158262947</v>
      </c>
      <c r="BF92" s="8">
        <f>IFERROR(
GETPIVOTDATA(
"[BASE_CONVE_PPTO].[Importe]",
TDinamica_P!$A$5,
"[BASE_CONVE_PPTO].[Periodo]",
"[BASE_CONVE_PPTO].[Periodo].&amp;[" &amp; TEXT(BF$6,"yyyymm")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-10.727262001526764</v>
      </c>
      <c r="BG92" s="8">
        <f>IFERROR(
GETPIVOTDATA(
"[BASE_CONVE_PPTO].[Importe]",
TDinamica_P!$A$5,
"[BASE_CONVE_PPTO].[Periodo]",
"[BASE_CONVE_PPTO].[Periodo].&amp;[" &amp; TEXT(BG$6,"yyyymm")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-4.8210148923607274</v>
      </c>
      <c r="BH92" s="8">
        <f>IFERROR(
GETPIVOTDATA(
"[BASE_CONVE_PPTO].[Importe]",
TDinamica_P!$A$5,
"[BASE_CONVE_PPTO].[Periodo]",
"[BASE_CONVE_PPTO].[Periodo].&amp;[" &amp; TEXT(BH$6,"yyyymm")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-4.7938949329385263</v>
      </c>
      <c r="BI92" s="8">
        <f>IFERROR(
GETPIVOTDATA(
"[BASE_CONVE_PPTO].[Importe]",
TDinamica_P!$A$5,
"[BASE_CONVE_PPTO].[Periodo]",
"[BASE_CONVE_PPTO].[Periodo].&amp;[" &amp; TEXT(BI$6,"yyyymm")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-4.5053723740877896</v>
      </c>
      <c r="BJ92" s="8">
        <f>IFERROR(
GETPIVOTDATA(
"[BASE_CONVE_PPTO].[Importe]",
TDinamica_P!$A$5,
"[BASE_CONVE_PPTO].[Periodo]",
"[BASE_CONVE_PPTO].[Periodo].&amp;[" &amp; TEXT(BJ$6,"yyyymm")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-4.229170303334298</v>
      </c>
      <c r="BK92" s="8">
        <f>IFERROR(
GETPIVOTDATA(
"[BASE_CONVE_PPTO].[Importe]",
TDinamica_P!$A$5,
"[BASE_CONVE_PPTO].[Periodo]",
"[BASE_CONVE_PPTO].[Periodo].&amp;[" &amp; TEXT(BK$6,"yyyymm") &amp; "]",
"[BASE_CONVE_PPTO].[Metrica]",
"[BASE_CONVE_PPTO].[Metrica].&amp;[" &amp; $A92 &amp; "]",
"[BASE_CONVE_PPTO].[SEGMENTO_DESCRIP]",
"[BASE_CONVE_PPTO].[SEGMENTO_DESCRIP].&amp;[" &amp; $C$6 &amp; "]",
"[BASE_CONVE_PPTO].[SITUACION]",
"[BASE_CONVE_PPTO].[SITUACION].&amp;[" &amp; $C92 &amp; "]"),
0)</f>
        <v>-8.1956533109385852</v>
      </c>
      <c r="BO92" s="24">
        <f t="shared" si="58"/>
        <v>-27.833362617590375</v>
      </c>
      <c r="BP92" s="24">
        <f t="shared" si="58"/>
        <v>-34.169446229830584</v>
      </c>
      <c r="BQ92" s="24">
        <f t="shared" si="58"/>
        <v>-22.183490394100986</v>
      </c>
      <c r="BR92" s="24">
        <f t="shared" si="58"/>
        <v>-24.897581788923013</v>
      </c>
      <c r="BS92" s="24">
        <f t="shared" si="58"/>
        <v>-66.623681211930275</v>
      </c>
      <c r="BT92" s="24">
        <f t="shared" si="58"/>
        <v>-23.440967184167572</v>
      </c>
    </row>
    <row r="93" spans="1:72" x14ac:dyDescent="0.25">
      <c r="C93" s="3" t="s">
        <v>80</v>
      </c>
      <c r="D93" s="10">
        <f>SUM(D91:D92)</f>
        <v>-8.005091996329579</v>
      </c>
      <c r="E93" s="10">
        <f t="shared" ref="E93:AY93" si="59">SUM(E91:E92)</f>
        <v>-8.9882535418472536</v>
      </c>
      <c r="F93" s="10">
        <f t="shared" si="59"/>
        <v>-13.173379281151108</v>
      </c>
      <c r="G93" s="10">
        <f t="shared" si="59"/>
        <v>-9.9819847649778382</v>
      </c>
      <c r="H93" s="10">
        <f t="shared" si="59"/>
        <v>-11.661724246358231</v>
      </c>
      <c r="I93" s="10">
        <f t="shared" si="59"/>
        <v>-10.418797156445761</v>
      </c>
      <c r="J93" s="10">
        <f t="shared" si="59"/>
        <v>-14.092818543331498</v>
      </c>
      <c r="K93" s="10">
        <f t="shared" si="59"/>
        <v>-8.0514514660903203</v>
      </c>
      <c r="L93" s="10">
        <f t="shared" si="59"/>
        <v>-9.9249311445087791</v>
      </c>
      <c r="M93" s="10">
        <f t="shared" si="59"/>
        <v>-11.053188205962158</v>
      </c>
      <c r="N93" s="10">
        <f t="shared" si="59"/>
        <v>-10.380503500409702</v>
      </c>
      <c r="O93" s="10">
        <f t="shared" si="59"/>
        <v>-15.732519197754659</v>
      </c>
      <c r="P93" s="10">
        <f t="shared" si="59"/>
        <v>-13.095122617192116</v>
      </c>
      <c r="Q93" s="10">
        <f t="shared" si="59"/>
        <v>-16.945710721810741</v>
      </c>
      <c r="R93" s="10">
        <f t="shared" si="59"/>
        <v>-23.912508765818878</v>
      </c>
      <c r="S93" s="10">
        <f t="shared" si="59"/>
        <v>-15.103978006487759</v>
      </c>
      <c r="T93" s="10">
        <f t="shared" si="59"/>
        <v>-21.083732007079604</v>
      </c>
      <c r="U93" s="10">
        <f t="shared" si="59"/>
        <v>-17.694696206276802</v>
      </c>
      <c r="V93" s="10">
        <f t="shared" si="59"/>
        <v>-11.783859385552299</v>
      </c>
      <c r="W93" s="10">
        <f t="shared" si="59"/>
        <v>-12.955810830359219</v>
      </c>
      <c r="X93" s="10">
        <f t="shared" si="59"/>
        <v>-13.943144761919093</v>
      </c>
      <c r="Y93" s="10">
        <f t="shared" si="59"/>
        <v>-10.119966098708399</v>
      </c>
      <c r="Z93" s="10">
        <f t="shared" si="59"/>
        <v>-15.831531641026297</v>
      </c>
      <c r="AA93" s="10">
        <f t="shared" si="59"/>
        <v>-8.1875952085401043</v>
      </c>
      <c r="AB93" s="10">
        <f t="shared" si="59"/>
        <v>-7.975158378246082</v>
      </c>
      <c r="AC93" s="10">
        <f t="shared" si="59"/>
        <v>-9.929624028751487</v>
      </c>
      <c r="AD93" s="10">
        <f t="shared" si="59"/>
        <v>-6.8981004562724095</v>
      </c>
      <c r="AE93" s="10">
        <f t="shared" si="59"/>
        <v>-7.6905011625759574</v>
      </c>
      <c r="AF93" s="10">
        <f t="shared" si="59"/>
        <v>-10.343855409949258</v>
      </c>
      <c r="AG93" s="10">
        <f t="shared" si="59"/>
        <v>-12.82239085837554</v>
      </c>
      <c r="AH93" s="10">
        <f t="shared" si="59"/>
        <v>-12.329150370952739</v>
      </c>
      <c r="AI93" s="10">
        <f t="shared" si="59"/>
        <v>-9.2491365643747194</v>
      </c>
      <c r="AJ93" s="10">
        <f t="shared" si="59"/>
        <v>-8.9254932637644355</v>
      </c>
      <c r="AK93" s="10">
        <f t="shared" si="59"/>
        <v>-9.7443303671209573</v>
      </c>
      <c r="AL93" s="10">
        <f t="shared" si="59"/>
        <v>-9.9146963994592507</v>
      </c>
      <c r="AM93" s="10">
        <f t="shared" si="59"/>
        <v>-20.730300065381236</v>
      </c>
      <c r="AN93" s="10">
        <f t="shared" si="59"/>
        <v>-9.3992840128801305</v>
      </c>
      <c r="AO93" s="10">
        <f t="shared" si="59"/>
        <v>-10.404035443021673</v>
      </c>
      <c r="AP93" s="10">
        <f t="shared" si="59"/>
        <v>-8.7912113370039808</v>
      </c>
      <c r="AQ93" s="10">
        <f t="shared" si="59"/>
        <v>-12.896395775706232</v>
      </c>
      <c r="AR93" s="10">
        <f t="shared" si="59"/>
        <v>-10.80054518235745</v>
      </c>
      <c r="AS93" s="10">
        <f t="shared" si="59"/>
        <v>-13.278176090714989</v>
      </c>
      <c r="AT93" s="10">
        <f t="shared" si="59"/>
        <v>0</v>
      </c>
      <c r="AU93" s="10">
        <f t="shared" si="59"/>
        <v>0</v>
      </c>
      <c r="AV93" s="10">
        <f t="shared" si="59"/>
        <v>0</v>
      </c>
      <c r="AW93" s="10">
        <f t="shared" si="59"/>
        <v>0</v>
      </c>
      <c r="AX93" s="10">
        <f t="shared" si="59"/>
        <v>0</v>
      </c>
      <c r="AY93" s="10">
        <f t="shared" si="59"/>
        <v>0</v>
      </c>
      <c r="AZ93" s="10">
        <f t="shared" ref="AZ93:BK93" si="60">SUM(AZ91:AZ92)</f>
        <v>-7.1633720530258458</v>
      </c>
      <c r="BA93" s="10">
        <f t="shared" si="60"/>
        <v>-5.7591394121547372</v>
      </c>
      <c r="BB93" s="10">
        <f t="shared" si="60"/>
        <v>-5.9138429856636279</v>
      </c>
      <c r="BC93" s="10">
        <f t="shared" si="60"/>
        <v>-5.7928053835391307</v>
      </c>
      <c r="BD93" s="10">
        <f t="shared" si="60"/>
        <v>-9.5402863954472412</v>
      </c>
      <c r="BE93" s="10">
        <f t="shared" si="60"/>
        <v>-6.1771448158262947</v>
      </c>
      <c r="BF93" s="10">
        <f t="shared" si="60"/>
        <v>-10.727262001526764</v>
      </c>
      <c r="BG93" s="10">
        <f t="shared" si="60"/>
        <v>-4.8210148923607274</v>
      </c>
      <c r="BH93" s="10">
        <f t="shared" si="60"/>
        <v>-4.7938949329385263</v>
      </c>
      <c r="BI93" s="10">
        <f t="shared" si="60"/>
        <v>-4.5053723740877896</v>
      </c>
      <c r="BJ93" s="10">
        <f t="shared" si="60"/>
        <v>-4.229170303334298</v>
      </c>
      <c r="BK93" s="10">
        <f t="shared" si="60"/>
        <v>-8.1956533109385852</v>
      </c>
      <c r="BO93" s="23">
        <f t="shared" ref="BO93:BT93" si="61">SUM(BO91:BO92)</f>
        <v>-52.291471750969464</v>
      </c>
      <c r="BP93" s="23">
        <f t="shared" si="61"/>
        <v>-34.169446229830584</v>
      </c>
      <c r="BQ93" s="23">
        <f t="shared" si="61"/>
        <v>-41.490926568612018</v>
      </c>
      <c r="BR93" s="23">
        <f t="shared" si="61"/>
        <v>-42.837239435795198</v>
      </c>
      <c r="BS93" s="23">
        <f t="shared" si="61"/>
        <v>-90.141052118389098</v>
      </c>
      <c r="BT93" s="23">
        <f t="shared" si="61"/>
        <v>-51.810433830664017</v>
      </c>
    </row>
    <row r="95" spans="1:72" outlineLevel="1" x14ac:dyDescent="0.25">
      <c r="A95" s="11" t="s">
        <v>81</v>
      </c>
      <c r="C95" s="2" t="s">
        <v>82</v>
      </c>
      <c r="D95" s="8">
        <f>IFERROR(
GETPIVOTDATA(
"[Base].[Importe]",
TDinamica_R!$A$5,
"[Calendario].[AñoMes]",
"[Calendario].[AñoMes].&amp;[" &amp; TEXT(D$6,"yyyymm")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E95" s="8">
        <f>IFERROR(
GETPIVOTDATA(
"[Base].[Importe]",
TDinamica_R!$A$5,
"[Calendario].[AñoMes]",
"[Calendario].[AñoMes].&amp;[" &amp; TEXT(E$6,"yyyymm")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F95" s="8">
        <f>IFERROR(
GETPIVOTDATA(
"[Base].[Importe]",
TDinamica_R!$A$5,
"[Calendario].[AñoMes]",
"[Calendario].[AñoMes].&amp;[" &amp; TEXT(F$6,"yyyymm")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G95" s="8">
        <f>IFERROR(
GETPIVOTDATA(
"[Base].[Importe]",
TDinamica_R!$A$5,
"[Calendario].[AñoMes]",
"[Calendario].[AñoMes].&amp;[" &amp; TEXT(G$6,"yyyymm")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H95" s="8">
        <f>IFERROR(
GETPIVOTDATA(
"[Base].[Importe]",
TDinamica_R!$A$5,
"[Calendario].[AñoMes]",
"[Calendario].[AñoMes].&amp;[" &amp; TEXT(H$6,"yyyymm")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I95" s="8">
        <f>IFERROR(
GETPIVOTDATA(
"[Base].[Importe]",
TDinamica_R!$A$5,
"[Calendario].[AñoMes]",
"[Calendario].[AñoMes].&amp;[" &amp; TEXT(I$6,"yyyymm")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J95" s="8">
        <f>IFERROR(
GETPIVOTDATA(
"[Base].[Importe]",
TDinamica_R!$A$5,
"[Calendario].[AñoMes]",
"[Calendario].[AñoMes].&amp;[" &amp; TEXT(J$6,"yyyymm")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K95" s="8">
        <f>IFERROR(
GETPIVOTDATA(
"[Base].[Importe]",
TDinamica_R!$A$5,
"[Calendario].[AñoMes]",
"[Calendario].[AñoMes].&amp;[" &amp; TEXT(K$6,"yyyymm")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L95" s="8">
        <f>IFERROR(
GETPIVOTDATA(
"[Base].[Importe]",
TDinamica_R!$A$5,
"[Calendario].[AñoMes]",
"[Calendario].[AñoMes].&amp;[" &amp; TEXT(L$6,"yyyymm")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M95" s="8">
        <f>IFERROR(
GETPIVOTDATA(
"[Base].[Importe]",
TDinamica_R!$A$5,
"[Calendario].[AñoMes]",
"[Calendario].[AñoMes].&amp;[" &amp; TEXT(M$6,"yyyymm")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N95" s="8">
        <f>IFERROR(
GETPIVOTDATA(
"[Base].[Importe]",
TDinamica_R!$A$5,
"[Calendario].[AñoMes]",
"[Calendario].[AñoMes].&amp;[" &amp; TEXT(N$6,"yyyymm")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O95" s="8">
        <f>IFERROR(
GETPIVOTDATA(
"[Base].[Importe]",
TDinamica_R!$A$5,
"[Calendario].[AñoMes]",
"[Calendario].[AñoMes].&amp;[" &amp; TEXT(O$6,"yyyymm")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P95" s="8">
        <f>IFERROR(
GETPIVOTDATA(
"[Base].[Importe]",
TDinamica_R!$A$5,
"[Calendario].[AñoMes]",
"[Calendario].[AñoMes].&amp;[" &amp; TEXT(P$6,"yyyymm")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Q95" s="8">
        <f>IFERROR(
GETPIVOTDATA(
"[Base].[Importe]",
TDinamica_R!$A$5,
"[Calendario].[AñoMes]",
"[Calendario].[AñoMes].&amp;[" &amp; TEXT(Q$6,"yyyymm")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R95" s="8">
        <f>IFERROR(
GETPIVOTDATA(
"[Base].[Importe]",
TDinamica_R!$A$5,
"[Calendario].[AñoMes]",
"[Calendario].[AñoMes].&amp;[" &amp; TEXT(R$6,"yyyymm")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S95" s="8">
        <f>IFERROR(
GETPIVOTDATA(
"[Base].[Importe]",
TDinamica_R!$A$5,
"[Calendario].[AñoMes]",
"[Calendario].[AñoMes].&amp;[" &amp; TEXT(S$6,"yyyymm")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T95" s="8">
        <f>IFERROR(
GETPIVOTDATA(
"[Base].[Importe]",
TDinamica_R!$A$5,
"[Calendario].[AñoMes]",
"[Calendario].[AñoMes].&amp;[" &amp; TEXT(T$6,"yyyymm")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U95" s="8">
        <f>IFERROR(
GETPIVOTDATA(
"[Base].[Importe]",
TDinamica_R!$A$5,
"[Calendario].[AñoMes]",
"[Calendario].[AñoMes].&amp;[" &amp; TEXT(U$6,"yyyymm")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V95" s="8">
        <f>IFERROR(
GETPIVOTDATA(
"[Base].[Importe]",
TDinamica_R!$A$5,
"[Calendario].[AñoMes]",
"[Calendario].[AñoMes].&amp;[" &amp; TEXT(V$6,"yyyymm")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W95" s="8">
        <f>IFERROR(
GETPIVOTDATA(
"[Base].[Importe]",
TDinamica_R!$A$5,
"[Calendario].[AñoMes]",
"[Calendario].[AñoMes].&amp;[" &amp; TEXT(W$6,"yyyymm")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X95" s="8">
        <f>IFERROR(
GETPIVOTDATA(
"[Base].[Importe]",
TDinamica_R!$A$5,
"[Calendario].[AñoMes]",
"[Calendario].[AñoMes].&amp;[" &amp; TEXT(X$6,"yyyymm")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Y95" s="8">
        <f>IFERROR(
GETPIVOTDATA(
"[Base].[Importe]",
TDinamica_R!$A$5,
"[Calendario].[AñoMes]",
"[Calendario].[AñoMes].&amp;[" &amp; TEXT(Y$6,"yyyymm")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Z95" s="8">
        <f>IFERROR(
GETPIVOTDATA(
"[Base].[Importe]",
TDinamica_R!$A$5,
"[Calendario].[AñoMes]",
"[Calendario].[AñoMes].&amp;[" &amp; TEXT(Z$6,"yyyymm")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A95" s="8">
        <f>IFERROR(
GETPIVOTDATA(
"[Base].[Importe]",
TDinamica_R!$A$5,
"[Calendario].[AñoMes]",
"[Calendario].[AñoMes].&amp;[" &amp; TEXT(AA$6,"yyyymm")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B95" s="8">
        <f>IFERROR(
GETPIVOTDATA(
"[Base].[Importe]",
TDinamica_R!$A$5,
"[Calendario].[AñoMes]",
"[Calendario].[AñoMes].&amp;[" &amp; TEXT(AB$6,"yyyymm")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C95" s="8">
        <f>IFERROR(
GETPIVOTDATA(
"[Base].[Importe]",
TDinamica_R!$A$5,
"[Calendario].[AñoMes]",
"[Calendario].[AñoMes].&amp;[" &amp; TEXT(AC$6,"yyyymm")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D95" s="8">
        <f>IFERROR(
GETPIVOTDATA(
"[Base].[Importe]",
TDinamica_R!$A$5,
"[Calendario].[AñoMes]",
"[Calendario].[AñoMes].&amp;[" &amp; TEXT(AD$6,"yyyymm") &amp; "]",
"[Base].[Metrica]",
"[Base].[Metrica].&amp;[" &amp; $A95 &amp; "]",
"[Base].[SEGMENTO_DESCRIP]",
"[Base].[SEGMENTO_DESCRIP].&amp;[" &amp; $C$6 &amp; "]",
"[Base].[SITUACION]",
"[Base].[SITUACION].&amp;[" &amp; $C95 &amp; "]"
),0)/1000</f>
        <v>13.717447807953905</v>
      </c>
      <c r="AE95" s="8">
        <f>IFERROR(
GETPIVOTDATA(
"[Base].[Importe]",
TDinamica_R!$A$5,
"[Calendario].[AñoMes]",
"[Calendario].[AñoMes].&amp;[" &amp; TEXT(AE$6,"yyyymm") &amp; "]",
"[Base].[Metrica]",
"[Base].[Metrica].&amp;[" &amp; $A95 &amp; "]",
"[Base].[SEGMENTO_DESCRIP]",
"[Base].[SEGMENTO_DESCRIP].&amp;[" &amp; $C$6 &amp; "]",
"[Base].[SITUACION]",
"[Base].[SITUACION].&amp;[" &amp; $C95 &amp; "]"
),0)/1000</f>
        <v>-0.12740880560003193</v>
      </c>
      <c r="AF95" s="8">
        <f>IFERROR(
GETPIVOTDATA(
"[Base].[Importe]",
TDinamica_R!$A$5,
"[Calendario].[AñoMes]",
"[Calendario].[AñoMes].&amp;[" &amp; TEXT(AF$6,"yyyymm")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G95" s="8">
        <f>IFERROR(
GETPIVOTDATA(
"[Base].[Importe]",
TDinamica_R!$A$5,
"[Calendario].[AñoMes]",
"[Calendario].[AñoMes].&amp;[" &amp; TEXT(AG$6,"yyyymm")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H95" s="8">
        <f>IFERROR(
GETPIVOTDATA(
"[Base].[Importe]",
TDinamica_R!$A$5,
"[Calendario].[AñoMes]",
"[Calendario].[AñoMes].&amp;[" &amp; TEXT(AH$6,"yyyymm")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I95" s="8">
        <f>IFERROR(
GETPIVOTDATA(
"[Base].[Importe]",
TDinamica_R!$A$5,
"[Calendario].[AñoMes]",
"[Calendario].[AñoMes].&amp;[" &amp; TEXT(AI$6,"yyyymm")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J95" s="8">
        <f>IFERROR(
GETPIVOTDATA(
"[Base].[Importe]",
TDinamica_R!$A$5,
"[Calendario].[AñoMes]",
"[Calendario].[AñoMes].&amp;[" &amp; TEXT(AJ$6,"yyyymm")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K95" s="8">
        <f>IFERROR(
GETPIVOTDATA(
"[Base].[Importe]",
TDinamica_R!$A$5,
"[Calendario].[AñoMes]",
"[Calendario].[AñoMes].&amp;[" &amp; TEXT(AK$6,"yyyymm") &amp; "]",
"[Base].[Metrica]",
"[Base].[Metrica].&amp;[" &amp; $A95 &amp; "]",
"[Base].[SEGMENTO_DESCRIP]",
"[Base].[SEGMENTO_DESCRIP].&amp;[" &amp; $C$6 &amp; "]",
"[Base].[SITUACION]",
"[Base].[SITUACION].&amp;[" &amp; $C95 &amp; "]"
),0)/1000</f>
        <v>17.855362979307962</v>
      </c>
      <c r="AL95" s="8">
        <f>IFERROR(
GETPIVOTDATA(
"[Base].[Importe]",
TDinamica_R!$A$5,
"[Calendario].[AñoMes]",
"[Calendario].[AñoMes].&amp;[" &amp; TEXT(AL$6,"yyyymm")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M95" s="8">
        <f>IFERROR(
GETPIVOTDATA(
"[Base].[Importe]",
TDinamica_R!$A$5,
"[Calendario].[AñoMes]",
"[Calendario].[AñoMes].&amp;[" &amp; TEXT(AM$6,"yyyymm")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N95" s="8">
        <f>IFERROR(
GETPIVOTDATA(
"[Base].[Importe]",
TDinamica_R!$A$5,
"[Calendario].[AñoMes]",
"[Calendario].[AñoMes].&amp;[" &amp; TEXT(AN$6,"yyyymm")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O95" s="8">
        <f>IFERROR(
GETPIVOTDATA(
"[Base].[Importe]",
TDinamica_R!$A$5,
"[Calendario].[AñoMes]",
"[Calendario].[AñoMes].&amp;[" &amp; TEXT(AO$6,"yyyymm")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P95" s="8">
        <f>IFERROR(
GETPIVOTDATA(
"[Base].[Importe]",
TDinamica_R!$A$5,
"[Calendario].[AñoMes]",
"[Calendario].[AñoMes].&amp;[" &amp; TEXT(AP$6,"yyyymm")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Q95" s="8">
        <f>IFERROR(
GETPIVOTDATA(
"[Base].[Importe]",
TDinamica_R!$A$5,
"[Calendario].[AñoMes]",
"[Calendario].[AñoMes].&amp;[" &amp; TEXT(AQ$6,"yyyymm")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R95" s="8">
        <f>IFERROR(
GETPIVOTDATA(
"[Base].[Importe]",
TDinamica_R!$A$5,
"[Calendario].[AñoMes]",
"[Calendario].[AñoMes].&amp;[" &amp; TEXT(AR$6,"yyyymm")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S95" s="8">
        <f>IFERROR(
GETPIVOTDATA(
"[Base].[Importe]",
TDinamica_R!$A$5,
"[Calendario].[AñoMes]",
"[Calendario].[AñoMes].&amp;[" &amp; TEXT(AS$6,"yyyymm")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T95" s="8">
        <f>IFERROR(
GETPIVOTDATA(
"[Base].[Importe]",
TDinamica_R!$A$5,
"[Calendario].[AñoMes]",
"[Calendario].[AñoMes].&amp;[" &amp; TEXT(AT$6,"yyyymm")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U95" s="8">
        <f>IFERROR(
GETPIVOTDATA(
"[Base].[Importe]",
TDinamica_R!$A$5,
"[Calendario].[AñoMes]",
"[Calendario].[AñoMes].&amp;[" &amp; TEXT(AU$6,"yyyymm")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V95" s="8">
        <f>IFERROR(
GETPIVOTDATA(
"[Base].[Importe]",
TDinamica_R!$A$5,
"[Calendario].[AñoMes]",
"[Calendario].[AñoMes].&amp;[" &amp; TEXT(AV$6,"yyyymm")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W95" s="8">
        <f>IFERROR(
GETPIVOTDATA(
"[Base].[Importe]",
TDinamica_R!$A$5,
"[Calendario].[AñoMes]",
"[Calendario].[AñoMes].&amp;[" &amp; TEXT(AW$6,"yyyymm")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X95" s="8">
        <f>IFERROR(
GETPIVOTDATA(
"[Base].[Importe]",
TDinamica_R!$A$5,
"[Calendario].[AñoMes]",
"[Calendario].[AñoMes].&amp;[" &amp; TEXT(AX$6,"yyyymm")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Y95" s="8">
        <f>IFERROR(
GETPIVOTDATA(
"[Base].[Importe]",
TDinamica_R!$A$5,
"[Calendario].[AñoMes]",
"[Calendario].[AñoMes].&amp;[" &amp; TEXT(AY$6,"yyyymm")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Z95" s="8">
        <f>IFERROR(
GETPIVOTDATA(
"[BASE_CONVE_PPTO].[Importe]",
TDinamica_P!$A$5,
"[BASE_CONVE_PPTO].[Periodo]",
"[BASE_CONVE_PPTO].[Periodo].&amp;[" &amp; TEXT(AZ$6,"yyyymm")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A95" s="8">
        <f>IFERROR(
GETPIVOTDATA(
"[BASE_CONVE_PPTO].[Importe]",
TDinamica_P!$A$5,
"[BASE_CONVE_PPTO].[Periodo]",
"[BASE_CONVE_PPTO].[Periodo].&amp;[" &amp; TEXT(BA$6,"yyyymm")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B95" s="8">
        <f>IFERROR(
GETPIVOTDATA(
"[BASE_CONVE_PPTO].[Importe]",
TDinamica_P!$A$5,
"[BASE_CONVE_PPTO].[Periodo]",
"[BASE_CONVE_PPTO].[Periodo].&amp;[" &amp; TEXT(BB$6,"yyyymm")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C95" s="8">
        <f>IFERROR(
GETPIVOTDATA(
"[BASE_CONVE_PPTO].[Importe]",
TDinamica_P!$A$5,
"[BASE_CONVE_PPTO].[Periodo]",
"[BASE_CONVE_PPTO].[Periodo].&amp;[" &amp; TEXT(BC$6,"yyyymm")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D95" s="8">
        <f>IFERROR(
GETPIVOTDATA(
"[BASE_CONVE_PPTO].[Importe]",
TDinamica_P!$A$5,
"[BASE_CONVE_PPTO].[Periodo]",
"[BASE_CONVE_PPTO].[Periodo].&amp;[" &amp; TEXT(BD$6,"yyyymm")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E95" s="8">
        <f>IFERROR(
GETPIVOTDATA(
"[BASE_CONVE_PPTO].[Importe]",
TDinamica_P!$A$5,
"[BASE_CONVE_PPTO].[Periodo]",
"[BASE_CONVE_PPTO].[Periodo].&amp;[" &amp; TEXT(BE$6,"yyyymm")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F95" s="8">
        <f>IFERROR(
GETPIVOTDATA(
"[BASE_CONVE_PPTO].[Importe]",
TDinamica_P!$A$5,
"[BASE_CONVE_PPTO].[Periodo]",
"[BASE_CONVE_PPTO].[Periodo].&amp;[" &amp; TEXT(BF$6,"yyyymm")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G95" s="8">
        <f>IFERROR(
GETPIVOTDATA(
"[BASE_CONVE_PPTO].[Importe]",
TDinamica_P!$A$5,
"[BASE_CONVE_PPTO].[Periodo]",
"[BASE_CONVE_PPTO].[Periodo].&amp;[" &amp; TEXT(BG$6,"yyyymm")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H95" s="8">
        <f>IFERROR(
GETPIVOTDATA(
"[BASE_CONVE_PPTO].[Importe]",
TDinamica_P!$A$5,
"[BASE_CONVE_PPTO].[Periodo]",
"[BASE_CONVE_PPTO].[Periodo].&amp;[" &amp; TEXT(BH$6,"yyyymm")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34.095481401627445</v>
      </c>
      <c r="BI95" s="8">
        <f>IFERROR(
GETPIVOTDATA(
"[BASE_CONVE_PPTO].[Importe]",
TDinamica_P!$A$5,
"[BASE_CONVE_PPTO].[Periodo]",
"[BASE_CONVE_PPTO].[Periodo].&amp;[" &amp; TEXT(BI$6,"yyyymm")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J95" s="8">
        <f>IFERROR(
GETPIVOTDATA(
"[BASE_CONVE_PPTO].[Importe]",
TDinamica_P!$A$5,
"[BASE_CONVE_PPTO].[Periodo]",
"[BASE_CONVE_PPTO].[Periodo].&amp;[" &amp; TEXT(BJ$6,"yyyymm")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K95" s="8">
        <f>IFERROR(
GETPIVOTDATA(
"[BASE_CONVE_PPTO].[Importe]",
TDinamica_P!$A$5,
"[BASE_CONVE_PPTO].[Periodo]",
"[BASE_CONVE_PPTO].[Periodo].&amp;[" &amp; TEXT(BK$6,"yyyymm") &amp; "]",
"[BASE_CONVE_PPTO].[Metrica]",
"[BASE_CONVE_PPTO].[Metrica].&amp;[" &amp; $A95 &amp; "]",
"[BASE_CONVE_PPTO].[SEGMENTO_DESCRIP]",
"[BASE_CONVE_PPTO].[SEGMENTO_DESCRIP].&amp;[" &amp; $C$6 &amp; "]",
"[BASE_CONVE_PPTO].[SITUACION]",
"[BASE_CONVE_PPTO].[SITUACION].&amp;[" &amp; $C95 &amp; "]"),
0)</f>
        <v>0</v>
      </c>
      <c r="BO95" s="24">
        <f t="shared" ref="BO95:BT95" si="62">SUMIFS($D95:$BM95,$D$6:$BM$6,"&gt;="&amp;BO$2,$D$6:$BM$6,"&lt;="&amp;BO$6,$D$5:$BM$5,BO$5)</f>
        <v>0</v>
      </c>
      <c r="BP95" s="24">
        <f t="shared" si="62"/>
        <v>0</v>
      </c>
      <c r="BQ95" s="24">
        <f t="shared" si="62"/>
        <v>0</v>
      </c>
      <c r="BR95" s="24">
        <f t="shared" si="62"/>
        <v>13.590039002353873</v>
      </c>
      <c r="BS95" s="24">
        <f t="shared" si="62"/>
        <v>0</v>
      </c>
      <c r="BT95" s="24">
        <f t="shared" si="62"/>
        <v>0</v>
      </c>
    </row>
    <row r="96" spans="1:72" x14ac:dyDescent="0.25">
      <c r="C96" s="3" t="s">
        <v>81</v>
      </c>
      <c r="D96" s="10">
        <f>SUM(D95:D95)</f>
        <v>0</v>
      </c>
      <c r="E96" s="10">
        <f t="shared" ref="E96:AY96" si="63">SUM(E95:E95)</f>
        <v>0</v>
      </c>
      <c r="F96" s="10">
        <f t="shared" si="63"/>
        <v>0</v>
      </c>
      <c r="G96" s="10">
        <f t="shared" si="63"/>
        <v>0</v>
      </c>
      <c r="H96" s="10">
        <f t="shared" si="63"/>
        <v>0</v>
      </c>
      <c r="I96" s="10">
        <f t="shared" si="63"/>
        <v>0</v>
      </c>
      <c r="J96" s="10">
        <f t="shared" si="63"/>
        <v>0</v>
      </c>
      <c r="K96" s="10">
        <f t="shared" si="63"/>
        <v>0</v>
      </c>
      <c r="L96" s="10">
        <f t="shared" si="63"/>
        <v>0</v>
      </c>
      <c r="M96" s="10">
        <f t="shared" si="63"/>
        <v>0</v>
      </c>
      <c r="N96" s="10">
        <f t="shared" si="63"/>
        <v>0</v>
      </c>
      <c r="O96" s="10">
        <f t="shared" si="63"/>
        <v>0</v>
      </c>
      <c r="P96" s="10">
        <f t="shared" si="63"/>
        <v>0</v>
      </c>
      <c r="Q96" s="10">
        <f t="shared" si="63"/>
        <v>0</v>
      </c>
      <c r="R96" s="10">
        <f t="shared" si="63"/>
        <v>0</v>
      </c>
      <c r="S96" s="10">
        <f t="shared" si="63"/>
        <v>0</v>
      </c>
      <c r="T96" s="10">
        <f t="shared" si="63"/>
        <v>0</v>
      </c>
      <c r="U96" s="10">
        <f t="shared" si="63"/>
        <v>0</v>
      </c>
      <c r="V96" s="10">
        <f t="shared" si="63"/>
        <v>0</v>
      </c>
      <c r="W96" s="10">
        <f t="shared" si="63"/>
        <v>0</v>
      </c>
      <c r="X96" s="10">
        <f t="shared" si="63"/>
        <v>0</v>
      </c>
      <c r="Y96" s="10">
        <f t="shared" si="63"/>
        <v>0</v>
      </c>
      <c r="Z96" s="10">
        <f t="shared" si="63"/>
        <v>0</v>
      </c>
      <c r="AA96" s="10">
        <f t="shared" si="63"/>
        <v>0</v>
      </c>
      <c r="AB96" s="10">
        <f t="shared" si="63"/>
        <v>0</v>
      </c>
      <c r="AC96" s="10">
        <f t="shared" si="63"/>
        <v>0</v>
      </c>
      <c r="AD96" s="10">
        <f t="shared" si="63"/>
        <v>13.717447807953905</v>
      </c>
      <c r="AE96" s="10">
        <f t="shared" si="63"/>
        <v>-0.12740880560003193</v>
      </c>
      <c r="AF96" s="10">
        <f t="shared" si="63"/>
        <v>0</v>
      </c>
      <c r="AG96" s="10">
        <f t="shared" si="63"/>
        <v>0</v>
      </c>
      <c r="AH96" s="10">
        <f t="shared" si="63"/>
        <v>0</v>
      </c>
      <c r="AI96" s="10">
        <f t="shared" si="63"/>
        <v>0</v>
      </c>
      <c r="AJ96" s="10">
        <f t="shared" si="63"/>
        <v>0</v>
      </c>
      <c r="AK96" s="10">
        <f t="shared" si="63"/>
        <v>17.855362979307962</v>
      </c>
      <c r="AL96" s="10">
        <f t="shared" si="63"/>
        <v>0</v>
      </c>
      <c r="AM96" s="10">
        <f t="shared" si="63"/>
        <v>0</v>
      </c>
      <c r="AN96" s="10">
        <f t="shared" si="63"/>
        <v>0</v>
      </c>
      <c r="AO96" s="10">
        <f t="shared" si="63"/>
        <v>0</v>
      </c>
      <c r="AP96" s="10">
        <f t="shared" si="63"/>
        <v>0</v>
      </c>
      <c r="AQ96" s="10">
        <f t="shared" si="63"/>
        <v>0</v>
      </c>
      <c r="AR96" s="10">
        <f t="shared" si="63"/>
        <v>0</v>
      </c>
      <c r="AS96" s="10">
        <f t="shared" si="63"/>
        <v>0</v>
      </c>
      <c r="AT96" s="10">
        <f t="shared" si="63"/>
        <v>0</v>
      </c>
      <c r="AU96" s="10">
        <f t="shared" si="63"/>
        <v>0</v>
      </c>
      <c r="AV96" s="10">
        <f t="shared" si="63"/>
        <v>0</v>
      </c>
      <c r="AW96" s="10">
        <f t="shared" si="63"/>
        <v>0</v>
      </c>
      <c r="AX96" s="10">
        <f t="shared" si="63"/>
        <v>0</v>
      </c>
      <c r="AY96" s="10">
        <f t="shared" si="63"/>
        <v>0</v>
      </c>
      <c r="AZ96" s="10">
        <f t="shared" ref="AZ96:BK96" si="64">SUM(AZ95)</f>
        <v>0</v>
      </c>
      <c r="BA96" s="10">
        <f t="shared" si="64"/>
        <v>0</v>
      </c>
      <c r="BB96" s="10">
        <f t="shared" si="64"/>
        <v>0</v>
      </c>
      <c r="BC96" s="10">
        <f t="shared" si="64"/>
        <v>0</v>
      </c>
      <c r="BD96" s="10">
        <f t="shared" si="64"/>
        <v>0</v>
      </c>
      <c r="BE96" s="10">
        <f t="shared" si="64"/>
        <v>0</v>
      </c>
      <c r="BF96" s="10">
        <f t="shared" si="64"/>
        <v>0</v>
      </c>
      <c r="BG96" s="10">
        <f t="shared" si="64"/>
        <v>0</v>
      </c>
      <c r="BH96" s="10">
        <f t="shared" si="64"/>
        <v>34.095481401627445</v>
      </c>
      <c r="BI96" s="10">
        <f t="shared" si="64"/>
        <v>0</v>
      </c>
      <c r="BJ96" s="10">
        <f t="shared" si="64"/>
        <v>0</v>
      </c>
      <c r="BK96" s="10">
        <f t="shared" si="64"/>
        <v>0</v>
      </c>
      <c r="BO96" s="23">
        <f>SUM(BO95)</f>
        <v>0</v>
      </c>
      <c r="BP96" s="23">
        <f t="shared" ref="BP96:BT96" si="65">SUM(BP95)</f>
        <v>0</v>
      </c>
      <c r="BQ96" s="23">
        <f t="shared" si="65"/>
        <v>0</v>
      </c>
      <c r="BR96" s="23">
        <f t="shared" si="65"/>
        <v>13.590039002353873</v>
      </c>
      <c r="BS96" s="23">
        <f t="shared" si="65"/>
        <v>0</v>
      </c>
      <c r="BT96" s="23">
        <f t="shared" si="65"/>
        <v>0</v>
      </c>
    </row>
    <row r="98" spans="3:72" x14ac:dyDescent="0.25">
      <c r="C98" s="3" t="s">
        <v>83</v>
      </c>
      <c r="D98" s="10">
        <f t="shared" ref="D98:BK98" si="66">D60+D83+D89+D93+D96</f>
        <v>-632.05568538303396</v>
      </c>
      <c r="E98" s="10">
        <f t="shared" si="66"/>
        <v>-95.417081393557567</v>
      </c>
      <c r="F98" s="10">
        <f t="shared" si="66"/>
        <v>-416.83006658943162</v>
      </c>
      <c r="G98" s="10">
        <f t="shared" si="66"/>
        <v>-539.21824691297513</v>
      </c>
      <c r="H98" s="10">
        <f t="shared" si="66"/>
        <v>-202.89656479874321</v>
      </c>
      <c r="I98" s="10">
        <f t="shared" si="66"/>
        <v>-150.12409872031776</v>
      </c>
      <c r="J98" s="10">
        <f t="shared" si="66"/>
        <v>-194.96394641206464</v>
      </c>
      <c r="K98" s="10">
        <f t="shared" si="66"/>
        <v>-254.55381540437665</v>
      </c>
      <c r="L98" s="10">
        <f t="shared" si="66"/>
        <v>7.0173434171995801</v>
      </c>
      <c r="M98" s="10">
        <f t="shared" si="66"/>
        <v>-520.81295768688074</v>
      </c>
      <c r="N98" s="10">
        <f t="shared" si="66"/>
        <v>-118.3639153309918</v>
      </c>
      <c r="O98" s="10">
        <f t="shared" si="66"/>
        <v>-520.60418393016539</v>
      </c>
      <c r="P98" s="10">
        <f t="shared" si="66"/>
        <v>-393.63994412870051</v>
      </c>
      <c r="Q98" s="10">
        <f t="shared" si="66"/>
        <v>-19.491030803209895</v>
      </c>
      <c r="R98" s="10">
        <f t="shared" si="66"/>
        <v>-344.43794568272102</v>
      </c>
      <c r="S98" s="10">
        <f t="shared" si="66"/>
        <v>-236.45589683939903</v>
      </c>
      <c r="T98" s="10">
        <f t="shared" si="66"/>
        <v>-76.117377898080107</v>
      </c>
      <c r="U98" s="10">
        <f t="shared" si="66"/>
        <v>-252.05276548358782</v>
      </c>
      <c r="V98" s="10">
        <f t="shared" si="66"/>
        <v>-444.27885254754358</v>
      </c>
      <c r="W98" s="10">
        <f t="shared" si="66"/>
        <v>-101.3977393737685</v>
      </c>
      <c r="X98" s="10">
        <f t="shared" si="66"/>
        <v>-152.74159910361061</v>
      </c>
      <c r="Y98" s="10">
        <f t="shared" si="66"/>
        <v>-148.12379536329678</v>
      </c>
      <c r="Z98" s="10">
        <f t="shared" si="66"/>
        <v>-33.735493166925956</v>
      </c>
      <c r="AA98" s="10">
        <f t="shared" si="66"/>
        <v>-282.19268805779137</v>
      </c>
      <c r="AB98" s="10">
        <f t="shared" si="66"/>
        <v>-372.47943129063702</v>
      </c>
      <c r="AC98" s="10">
        <f t="shared" si="66"/>
        <v>-142.53210386606062</v>
      </c>
      <c r="AD98" s="10">
        <f t="shared" si="66"/>
        <v>-318.38635259441827</v>
      </c>
      <c r="AE98" s="10">
        <f t="shared" si="66"/>
        <v>-309.58481205837592</v>
      </c>
      <c r="AF98" s="10">
        <f t="shared" si="66"/>
        <v>-579.4888938416492</v>
      </c>
      <c r="AG98" s="10">
        <f t="shared" si="66"/>
        <v>-471.2045166238758</v>
      </c>
      <c r="AH98" s="10">
        <f t="shared" si="66"/>
        <v>-519.95513400365257</v>
      </c>
      <c r="AI98" s="10">
        <f t="shared" si="66"/>
        <v>-433.38536115437483</v>
      </c>
      <c r="AJ98" s="10">
        <f t="shared" si="66"/>
        <v>-205.58507079226436</v>
      </c>
      <c r="AK98" s="10">
        <f t="shared" si="66"/>
        <v>-565.06725481521289</v>
      </c>
      <c r="AL98" s="10">
        <f t="shared" si="66"/>
        <v>-144.76506052175878</v>
      </c>
      <c r="AM98" s="10">
        <f t="shared" si="66"/>
        <v>-593.62573805698435</v>
      </c>
      <c r="AN98" s="10">
        <f t="shared" si="66"/>
        <v>-232.59882934171839</v>
      </c>
      <c r="AO98" s="10">
        <f t="shared" si="66"/>
        <v>-148.79917835253886</v>
      </c>
      <c r="AP98" s="10">
        <f t="shared" si="66"/>
        <v>-508.2058506732364</v>
      </c>
      <c r="AQ98" s="10">
        <f t="shared" si="66"/>
        <v>-214.86077079970832</v>
      </c>
      <c r="AR98" s="10">
        <f t="shared" si="66"/>
        <v>-364.40821967537369</v>
      </c>
      <c r="AS98" s="10">
        <f t="shared" si="66"/>
        <v>-371.0130457140927</v>
      </c>
      <c r="AT98" s="10">
        <f t="shared" si="66"/>
        <v>0</v>
      </c>
      <c r="AU98" s="10">
        <f t="shared" si="66"/>
        <v>0</v>
      </c>
      <c r="AV98" s="10">
        <f t="shared" si="66"/>
        <v>0</v>
      </c>
      <c r="AW98" s="10">
        <f t="shared" si="66"/>
        <v>0</v>
      </c>
      <c r="AX98" s="10">
        <f t="shared" si="66"/>
        <v>0</v>
      </c>
      <c r="AY98" s="10">
        <f t="shared" si="66"/>
        <v>0</v>
      </c>
      <c r="AZ98" s="10">
        <f t="shared" si="66"/>
        <v>-252.96609999554983</v>
      </c>
      <c r="BA98" s="10">
        <f t="shared" si="66"/>
        <v>-114.81563985790085</v>
      </c>
      <c r="BB98" s="10">
        <f t="shared" si="66"/>
        <v>-282.45077160615517</v>
      </c>
      <c r="BC98" s="10">
        <f t="shared" si="66"/>
        <v>-197.50024929675004</v>
      </c>
      <c r="BD98" s="10">
        <f t="shared" si="66"/>
        <v>-163.23351184869517</v>
      </c>
      <c r="BE98" s="10">
        <f t="shared" si="66"/>
        <v>-164.58682250621723</v>
      </c>
      <c r="BF98" s="10">
        <f t="shared" si="66"/>
        <v>-234.74861988458503</v>
      </c>
      <c r="BG98" s="10">
        <f t="shared" si="66"/>
        <v>-284.60094445004296</v>
      </c>
      <c r="BH98" s="10">
        <f t="shared" si="66"/>
        <v>21.977874419542097</v>
      </c>
      <c r="BI98" s="10">
        <f t="shared" si="66"/>
        <v>-4.8595182046490546</v>
      </c>
      <c r="BJ98" s="10">
        <f t="shared" si="66"/>
        <v>-146.6248903727103</v>
      </c>
      <c r="BK98" s="10">
        <f t="shared" si="66"/>
        <v>-78.258882856019881</v>
      </c>
      <c r="BO98" s="23">
        <f>BO60+BO83+BO89+BO93+BO96</f>
        <v>-1468.8728488425754</v>
      </c>
      <c r="BP98" s="23">
        <f t="shared" ref="BP98:BT98" si="67">BP60+BP83+BP89+BP93+BP96</f>
        <v>-1010.9662726050515</v>
      </c>
      <c r="BQ98" s="23">
        <f t="shared" si="67"/>
        <v>-1104.4646291672022</v>
      </c>
      <c r="BR98" s="23">
        <f t="shared" si="67"/>
        <v>-1722.4715936511416</v>
      </c>
      <c r="BS98" s="23">
        <f t="shared" si="67"/>
        <v>-1070.1421953521101</v>
      </c>
      <c r="BT98" s="23">
        <f t="shared" si="67"/>
        <v>-1886.417645077742</v>
      </c>
    </row>
    <row r="102" spans="3:72" s="48" customFormat="1" x14ac:dyDescent="0.25">
      <c r="C102" s="46" t="s">
        <v>110</v>
      </c>
      <c r="D102" s="47">
        <f>D11</f>
        <v>136045.23336000001</v>
      </c>
      <c r="E102" s="47">
        <f>IFERROR(AVERAGE(D11:E11),0)</f>
        <v>138535.85509</v>
      </c>
      <c r="F102" s="47">
        <f t="shared" ref="F102:BK102" si="68">IFERROR(AVERAGE(E11:F11),0)</f>
        <v>142257.458575</v>
      </c>
      <c r="G102" s="47">
        <f t="shared" si="68"/>
        <v>145020.84751499997</v>
      </c>
      <c r="H102" s="47">
        <f t="shared" si="68"/>
        <v>148456.47906499999</v>
      </c>
      <c r="I102" s="47">
        <f t="shared" si="68"/>
        <v>150930.226295</v>
      </c>
      <c r="J102" s="48">
        <f t="shared" si="68"/>
        <v>152009.00547999999</v>
      </c>
      <c r="K102" s="48">
        <f t="shared" si="68"/>
        <v>152677.25808499998</v>
      </c>
      <c r="L102" s="48">
        <f t="shared" si="68"/>
        <v>152603.1084</v>
      </c>
      <c r="M102" s="48">
        <f t="shared" si="68"/>
        <v>151642.10133999999</v>
      </c>
      <c r="N102" s="48">
        <f t="shared" si="68"/>
        <v>150207.805945</v>
      </c>
      <c r="O102" s="48">
        <f t="shared" si="68"/>
        <v>148110.82693500002</v>
      </c>
      <c r="P102" s="48">
        <f t="shared" si="68"/>
        <v>144713.34976000001</v>
      </c>
      <c r="Q102" s="48">
        <f t="shared" si="68"/>
        <v>142562.78614499999</v>
      </c>
      <c r="R102" s="48">
        <f t="shared" si="68"/>
        <v>143008.78659500001</v>
      </c>
      <c r="S102" s="48">
        <f t="shared" si="68"/>
        <v>144501.94638500002</v>
      </c>
      <c r="T102" s="48">
        <f t="shared" si="68"/>
        <v>144953.06225500006</v>
      </c>
      <c r="U102" s="48">
        <f t="shared" si="68"/>
        <v>143146.13048500003</v>
      </c>
      <c r="V102" s="48">
        <f t="shared" si="68"/>
        <v>141411.71655499999</v>
      </c>
      <c r="W102" s="47">
        <f t="shared" si="68"/>
        <v>139863.43910799999</v>
      </c>
      <c r="X102" s="47">
        <f t="shared" si="68"/>
        <v>137936.04999799997</v>
      </c>
      <c r="Y102" s="47">
        <f t="shared" si="68"/>
        <v>135274.22105999998</v>
      </c>
      <c r="Z102" s="47">
        <f t="shared" si="68"/>
        <v>130877.56202711549</v>
      </c>
      <c r="AA102" s="47">
        <f t="shared" si="68"/>
        <v>125270.5623221155</v>
      </c>
      <c r="AB102" s="47">
        <f t="shared" si="68"/>
        <v>120249.937335</v>
      </c>
      <c r="AC102" s="48">
        <f t="shared" si="68"/>
        <v>117666.907865</v>
      </c>
      <c r="AD102" s="48">
        <f t="shared" si="68"/>
        <v>115381.61321</v>
      </c>
      <c r="AE102" s="48">
        <f t="shared" si="68"/>
        <v>113873.80147499999</v>
      </c>
      <c r="AF102" s="48">
        <f t="shared" si="68"/>
        <v>114264.621065</v>
      </c>
      <c r="AG102" s="48">
        <f t="shared" si="68"/>
        <v>116353.244505</v>
      </c>
      <c r="AH102" s="48">
        <f t="shared" si="68"/>
        <v>121666.12326499999</v>
      </c>
      <c r="AI102" s="48">
        <f t="shared" si="68"/>
        <v>128785.23577499998</v>
      </c>
      <c r="AJ102" s="48">
        <f t="shared" si="68"/>
        <v>134264.16778999998</v>
      </c>
      <c r="AK102" s="48">
        <f t="shared" si="68"/>
        <v>136606.49610500003</v>
      </c>
      <c r="AL102" s="48">
        <f t="shared" si="68"/>
        <v>137582.63028500002</v>
      </c>
      <c r="AM102" s="48">
        <f t="shared" si="68"/>
        <v>138030.18148999999</v>
      </c>
      <c r="AN102" s="48">
        <f t="shared" si="68"/>
        <v>138167.383695</v>
      </c>
      <c r="AO102" s="48">
        <f t="shared" si="68"/>
        <v>138355.34999999998</v>
      </c>
      <c r="AP102" s="48">
        <f t="shared" si="68"/>
        <v>139856.60499999998</v>
      </c>
      <c r="AQ102" s="48">
        <f t="shared" si="68"/>
        <v>141445.86244</v>
      </c>
      <c r="AR102" s="48">
        <f t="shared" si="68"/>
        <v>141926.29448500002</v>
      </c>
      <c r="AS102" s="48">
        <f t="shared" si="68"/>
        <v>142723.83895500004</v>
      </c>
      <c r="AT102" s="48">
        <f t="shared" si="68"/>
        <v>71560.741909999997</v>
      </c>
      <c r="AU102" s="48">
        <f t="shared" si="68"/>
        <v>0</v>
      </c>
      <c r="AV102" s="48">
        <f t="shared" si="68"/>
        <v>0</v>
      </c>
      <c r="AW102" s="48">
        <f t="shared" si="68"/>
        <v>0</v>
      </c>
      <c r="AX102" s="48">
        <f t="shared" si="68"/>
        <v>0</v>
      </c>
      <c r="AY102" s="48">
        <f t="shared" si="68"/>
        <v>0</v>
      </c>
      <c r="AZ102" s="48">
        <f>AZ11</f>
        <v>132981.41710640295</v>
      </c>
      <c r="BA102" s="48">
        <f t="shared" si="68"/>
        <v>132539.08023196438</v>
      </c>
      <c r="BB102" s="48">
        <f t="shared" si="68"/>
        <v>131740.66043632949</v>
      </c>
      <c r="BC102" s="48">
        <f t="shared" si="68"/>
        <v>131035.76383379812</v>
      </c>
      <c r="BD102" s="48">
        <f t="shared" si="68"/>
        <v>129882.36435224164</v>
      </c>
      <c r="BE102" s="48">
        <f t="shared" si="68"/>
        <v>128343.77235886338</v>
      </c>
      <c r="BF102" s="48">
        <f t="shared" si="68"/>
        <v>126868.55655041485</v>
      </c>
      <c r="BG102" s="48">
        <f t="shared" si="68"/>
        <v>125373.89225927377</v>
      </c>
      <c r="BH102" s="48">
        <f t="shared" si="68"/>
        <v>122725.49405803916</v>
      </c>
      <c r="BI102" s="48">
        <f t="shared" si="68"/>
        <v>118967.22041512295</v>
      </c>
      <c r="BJ102" s="48">
        <f t="shared" si="68"/>
        <v>115218.89702864797</v>
      </c>
      <c r="BK102" s="48">
        <f t="shared" si="68"/>
        <v>111629.77939199924</v>
      </c>
      <c r="BO102" s="48">
        <f>IFERROR(AVERAGEIFS($D11:$BM11,$D$6:$BM$6,"&gt;="&amp;EOMONTH(BO$2,-1),$D$6:$BM$6,"&lt;="&amp;BO$6,$D$5:$BM$5,BO$5,$D11:$BM11,"&lt;&gt;0"),0)</f>
        <v>139983.42772666665</v>
      </c>
      <c r="BP102" s="48">
        <f>IFERROR(AVERAGEIFS($D11:$BM11,$D$6:$BM$6,"&gt;="&amp;EOMONTH(BP$2,-1),$D$6:$BM$6,"&lt;="&amp;BP$6,$D$5:$BM$5,BP$5,$D11:$BM11,"&lt;&gt;0"),0)</f>
        <v>131245.49333670904</v>
      </c>
      <c r="BQ102" s="48">
        <f>IFERROR(AVERAGEIFS($D11:$BM11,$D$6:$BM$6,"&gt;="&amp;EOMONTH(BQ$2,-1),$D$6:$BM$6,"&lt;="&amp;BQ$6,$D$5:$BM$5,BQ$5,$D11:$BM11,"&lt;&gt;0"),0)</f>
        <v>139514.87445399998</v>
      </c>
      <c r="BR102" s="48">
        <f>IFERROR(AVERAGEIFS($D11:$BM11,$D$6:$BM$6,"&gt;="&amp;EOMONTH(BR$2,-1),$D$6:$BM$6,"&lt;="&amp;BR$6,$D$5:$BM$5,BR$5,$D11:$BM11,"&lt;&gt;0"),0)</f>
        <v>116632.05720333332</v>
      </c>
      <c r="BS102" s="48">
        <f t="shared" ref="BS102:BT102" si="69">IFERROR(AVERAGEIFS($D11:$BM11,$D$6:$BM$6,"&gt;="&amp;EOMONTH(BS$2,-1),$D$6:$BM$6,"&lt;="&amp;BS$6,$D$5:$BM$5,BS$5,$D11:$BM11,"&lt;&gt;0"),0)</f>
        <v>144225.06620333335</v>
      </c>
      <c r="BT102" s="48">
        <f t="shared" si="69"/>
        <v>143494.621728</v>
      </c>
    </row>
  </sheetData>
  <mergeCells count="4">
    <mergeCell ref="BO1:BT1"/>
    <mergeCell ref="BW1:CB1"/>
    <mergeCell ref="D1:AY1"/>
    <mergeCell ref="AZ1:B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72EB-143B-4BC1-9D9D-98C77DA4F88C}">
  <sheetPr codeName="Hoja10"/>
  <dimension ref="A1:AQ138"/>
  <sheetViews>
    <sheetView zoomScale="70" zoomScaleNormal="70" workbookViewId="0">
      <selection activeCell="A7" sqref="A7"/>
    </sheetView>
  </sheetViews>
  <sheetFormatPr baseColWidth="10" defaultColWidth="13.5703125" defaultRowHeight="15" x14ac:dyDescent="0.25"/>
  <cols>
    <col min="1" max="1" width="34.42578125" bestFit="1" customWidth="1"/>
    <col min="2" max="2" width="15.28515625" style="8" customWidth="1"/>
    <col min="3" max="3" width="16.5703125" style="8" customWidth="1"/>
    <col min="4" max="38" width="20.42578125" style="8" bestFit="1" customWidth="1"/>
    <col min="39" max="49" width="20.42578125" bestFit="1" customWidth="1"/>
  </cols>
  <sheetData>
    <row r="1" spans="1:43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43" x14ac:dyDescent="0.25">
      <c r="A2" s="4" t="s">
        <v>43</v>
      </c>
      <c r="B2" t="s" vm="1">
        <v>4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43" x14ac:dyDescent="0.25">
      <c r="A3" s="4" t="s">
        <v>53</v>
      </c>
      <c r="B3" t="s" vm="2">
        <v>54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</row>
    <row r="4" spans="1:43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 spans="1:43" x14ac:dyDescent="0.25">
      <c r="A5" s="4" t="s">
        <v>42</v>
      </c>
      <c r="B5" s="4" t="s">
        <v>5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43" x14ac:dyDescent="0.25">
      <c r="A6" s="4" t="s">
        <v>44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33</v>
      </c>
      <c r="AD6" t="s">
        <v>34</v>
      </c>
      <c r="AE6" t="s">
        <v>35</v>
      </c>
      <c r="AF6" t="s">
        <v>36</v>
      </c>
      <c r="AG6" t="s">
        <v>37</v>
      </c>
      <c r="AH6" t="s">
        <v>38</v>
      </c>
      <c r="AI6" t="s">
        <v>39</v>
      </c>
      <c r="AJ6" t="s">
        <v>40</v>
      </c>
      <c r="AK6" t="s">
        <v>41</v>
      </c>
      <c r="AL6" t="s">
        <v>76</v>
      </c>
      <c r="AM6" t="s">
        <v>113</v>
      </c>
      <c r="AN6" t="s">
        <v>114</v>
      </c>
      <c r="AO6" t="s">
        <v>115</v>
      </c>
      <c r="AP6" t="s">
        <v>116</v>
      </c>
      <c r="AQ6" t="s">
        <v>117</v>
      </c>
    </row>
    <row r="7" spans="1:43" x14ac:dyDescent="0.25">
      <c r="A7" s="5" t="s">
        <v>51</v>
      </c>
      <c r="B7" s="9">
        <v>4780954076.1280003</v>
      </c>
      <c r="C7" s="9">
        <v>4850962456.2362595</v>
      </c>
      <c r="D7" s="9">
        <v>4931010405.0942192</v>
      </c>
      <c r="E7" s="9">
        <v>4976826123.5200005</v>
      </c>
      <c r="F7" s="9">
        <v>5036099882.3900003</v>
      </c>
      <c r="G7" s="9">
        <v>5095415633.8984003</v>
      </c>
      <c r="H7" s="9">
        <v>5141695438.3108807</v>
      </c>
      <c r="I7" s="9">
        <v>5214070371.7242498</v>
      </c>
      <c r="J7" s="9">
        <v>5261050731.4269791</v>
      </c>
      <c r="K7" s="9">
        <v>5320680998.2791805</v>
      </c>
      <c r="L7" s="9">
        <v>5376200044.4544802</v>
      </c>
      <c r="M7" s="9">
        <v>5395659858.73172</v>
      </c>
      <c r="N7" s="9">
        <v>5449089722.3259602</v>
      </c>
      <c r="O7" s="9">
        <v>5514556382.9535999</v>
      </c>
      <c r="P7" s="9">
        <v>5585080251.6138201</v>
      </c>
      <c r="Q7" s="9">
        <v>5681432151.5044193</v>
      </c>
      <c r="R7" s="9">
        <v>5773595040.350399</v>
      </c>
      <c r="S7" s="9">
        <v>5842996312.3514996</v>
      </c>
      <c r="T7" s="9">
        <v>5921439942.4279995</v>
      </c>
      <c r="U7" s="9">
        <v>5955544304.7049999</v>
      </c>
      <c r="V7" s="9">
        <v>5961448794.6374006</v>
      </c>
      <c r="W7" s="9">
        <v>5937595420.7762995</v>
      </c>
      <c r="X7" s="9">
        <v>5865247507.1009712</v>
      </c>
      <c r="Y7" s="9">
        <v>5801009940.2490997</v>
      </c>
      <c r="Z7" s="9">
        <v>5764109979.5646</v>
      </c>
      <c r="AA7" s="9">
        <v>5750585523.5749006</v>
      </c>
      <c r="AB7" s="9">
        <v>5740966572.5019989</v>
      </c>
      <c r="AC7" s="9">
        <v>5751473051.4872999</v>
      </c>
      <c r="AD7" s="9">
        <v>5763798538.1008005</v>
      </c>
      <c r="AE7" s="9">
        <v>5781778844.8506994</v>
      </c>
      <c r="AF7" s="9">
        <v>5808614384.7738905</v>
      </c>
      <c r="AG7" s="9">
        <v>5846745094.1632996</v>
      </c>
      <c r="AH7" s="9">
        <v>5860864708.4349003</v>
      </c>
      <c r="AI7" s="9">
        <v>5827512178.7950993</v>
      </c>
      <c r="AJ7" s="9">
        <v>5779277320.3081007</v>
      </c>
      <c r="AK7" s="9">
        <v>5725321602.7344999</v>
      </c>
      <c r="AL7" s="9">
        <v>5705090820</v>
      </c>
      <c r="AM7" s="9">
        <v>5659441540</v>
      </c>
      <c r="AN7" s="9">
        <v>5673571460</v>
      </c>
      <c r="AO7" s="9">
        <v>5695772541.7802</v>
      </c>
      <c r="AP7" s="9">
        <v>5708767153.2327404</v>
      </c>
      <c r="AQ7" s="9">
        <v>5729955056.2083979</v>
      </c>
    </row>
    <row r="8" spans="1:43" x14ac:dyDescent="0.25">
      <c r="A8" s="6" t="s">
        <v>49</v>
      </c>
      <c r="B8" s="9">
        <v>75063311.929999992</v>
      </c>
      <c r="C8" s="9">
        <v>75442240.409999996</v>
      </c>
      <c r="D8" s="9">
        <v>76411400.330000013</v>
      </c>
      <c r="E8" s="9">
        <v>77086285.979999989</v>
      </c>
      <c r="F8" s="9">
        <v>77693438.789999992</v>
      </c>
      <c r="G8" s="9">
        <v>79737773.829999998</v>
      </c>
      <c r="H8" s="9">
        <v>80687409.390000001</v>
      </c>
      <c r="I8" s="9">
        <v>81057007.262700006</v>
      </c>
      <c r="J8" s="9">
        <v>81521386.833780006</v>
      </c>
      <c r="K8" s="9">
        <v>80985272.930480003</v>
      </c>
      <c r="L8" s="9">
        <v>80593367.321199998</v>
      </c>
      <c r="M8" s="9">
        <v>80028856.422919989</v>
      </c>
      <c r="N8" s="9">
        <v>80084307.323599994</v>
      </c>
      <c r="O8" s="9">
        <v>80858194.174199998</v>
      </c>
      <c r="P8" s="9">
        <v>81561234.165320009</v>
      </c>
      <c r="Q8" s="9">
        <v>80652270.999719992</v>
      </c>
      <c r="R8" s="9">
        <v>80946997.969999984</v>
      </c>
      <c r="S8" s="9">
        <v>80532866.030000001</v>
      </c>
      <c r="T8" s="9">
        <v>82820563.461499989</v>
      </c>
      <c r="U8" s="9">
        <v>83835285.533999979</v>
      </c>
      <c r="V8" s="9">
        <v>85773621.109099999</v>
      </c>
      <c r="W8" s="9">
        <v>87015929.486900002</v>
      </c>
      <c r="X8" s="9">
        <v>84202384.51854001</v>
      </c>
      <c r="Y8" s="9">
        <v>83791381.062399998</v>
      </c>
      <c r="Z8" s="9">
        <v>83278121.4815</v>
      </c>
      <c r="AA8" s="9">
        <v>83785374.343400002</v>
      </c>
      <c r="AB8" s="9">
        <v>85560378.813600004</v>
      </c>
      <c r="AC8" s="9">
        <v>83341996.855499998</v>
      </c>
      <c r="AD8" s="9">
        <v>83415967.914000005</v>
      </c>
      <c r="AE8" s="9">
        <v>85078896.196400002</v>
      </c>
      <c r="AF8" s="9">
        <v>83987028.108500004</v>
      </c>
      <c r="AG8" s="9">
        <v>83432364.391000003</v>
      </c>
      <c r="AH8" s="9">
        <v>82311688.66139999</v>
      </c>
      <c r="AI8" s="9">
        <v>82496935.393800005</v>
      </c>
      <c r="AJ8" s="9">
        <v>81890675.967600003</v>
      </c>
      <c r="AK8" s="9">
        <v>81558705.292999998</v>
      </c>
      <c r="AL8" s="9">
        <v>82175510</v>
      </c>
      <c r="AM8" s="9">
        <v>82968620</v>
      </c>
      <c r="AN8" s="9">
        <v>83547860</v>
      </c>
      <c r="AO8" s="9">
        <v>83912740.400800005</v>
      </c>
      <c r="AP8" s="9">
        <v>85889059.665659979</v>
      </c>
      <c r="AQ8" s="9">
        <v>89175930.887500033</v>
      </c>
    </row>
    <row r="9" spans="1:43" x14ac:dyDescent="0.25">
      <c r="A9" s="7" t="s">
        <v>0</v>
      </c>
      <c r="B9" s="9">
        <v>74923532.179999992</v>
      </c>
      <c r="C9" s="9">
        <v>75321793.629999995</v>
      </c>
      <c r="D9" s="9">
        <v>76311656.620000005</v>
      </c>
      <c r="E9" s="9">
        <v>77004742.989999995</v>
      </c>
      <c r="F9" s="9">
        <v>77612013.729999989</v>
      </c>
      <c r="G9" s="9">
        <v>79662122.140000001</v>
      </c>
      <c r="H9" s="9">
        <v>80613152.840000004</v>
      </c>
      <c r="I9" s="9">
        <v>80979645.782700002</v>
      </c>
      <c r="J9" s="9">
        <v>81442128.693780005</v>
      </c>
      <c r="K9" s="9">
        <v>80879649.300480008</v>
      </c>
      <c r="L9" s="9">
        <v>80443833.831200004</v>
      </c>
      <c r="M9" s="9">
        <v>79882472.722919986</v>
      </c>
      <c r="N9" s="9">
        <v>79932978.743599996</v>
      </c>
      <c r="O9" s="9">
        <v>80704187.474199995</v>
      </c>
      <c r="P9" s="9">
        <v>81352284.215320006</v>
      </c>
      <c r="Q9" s="9">
        <v>80333071.339719996</v>
      </c>
      <c r="R9" s="9">
        <v>80695427.319999993</v>
      </c>
      <c r="S9" s="9">
        <v>80095532.799999997</v>
      </c>
      <c r="T9" s="9">
        <v>82537040.061499998</v>
      </c>
      <c r="U9" s="9">
        <v>83531354.023999989</v>
      </c>
      <c r="V9" s="9">
        <v>85622870.939099997</v>
      </c>
      <c r="W9" s="9">
        <v>86548652.166899994</v>
      </c>
      <c r="X9" s="9">
        <v>83837579.678540006</v>
      </c>
      <c r="Y9" s="9">
        <v>83034340.192399994</v>
      </c>
      <c r="Z9" s="9">
        <v>82896616.451499999</v>
      </c>
      <c r="AA9" s="9">
        <v>83565441.443399996</v>
      </c>
      <c r="AB9" s="9">
        <v>85422793.203600004</v>
      </c>
      <c r="AC9" s="9">
        <v>83124252.455499992</v>
      </c>
      <c r="AD9" s="9">
        <v>83198040.873999998</v>
      </c>
      <c r="AE9" s="9">
        <v>84900913.146400005</v>
      </c>
      <c r="AF9" s="9">
        <v>83806246.668500006</v>
      </c>
      <c r="AG9" s="9">
        <v>83244190.291000009</v>
      </c>
      <c r="AH9" s="9">
        <v>82216341.921399996</v>
      </c>
      <c r="AI9" s="9">
        <v>82399034.023800001</v>
      </c>
      <c r="AJ9" s="9">
        <v>81790204.317599997</v>
      </c>
      <c r="AK9" s="9">
        <v>81397338.182999998</v>
      </c>
      <c r="AL9" s="9">
        <v>81945190</v>
      </c>
      <c r="AM9" s="9">
        <v>82735760</v>
      </c>
      <c r="AN9" s="9">
        <v>83370240</v>
      </c>
      <c r="AO9" s="9">
        <v>83636974.320800006</v>
      </c>
      <c r="AP9" s="9">
        <v>85289818.515659973</v>
      </c>
      <c r="AQ9" s="9">
        <v>88563948.31750004</v>
      </c>
    </row>
    <row r="10" spans="1:43" x14ac:dyDescent="0.25">
      <c r="A10" s="7" t="s">
        <v>1</v>
      </c>
      <c r="B10" s="9">
        <v>44321.19</v>
      </c>
      <c r="C10" s="9">
        <v>43554.19</v>
      </c>
      <c r="D10" s="9">
        <v>12090.23</v>
      </c>
      <c r="E10" s="9">
        <v>11697.33</v>
      </c>
      <c r="F10" s="9">
        <v>11261.27</v>
      </c>
      <c r="G10" s="9">
        <v>10848.32</v>
      </c>
      <c r="H10" s="9">
        <v>10434.6</v>
      </c>
      <c r="I10" s="9">
        <v>10015.540000000001</v>
      </c>
      <c r="J10" s="9">
        <v>9587.0300000000007</v>
      </c>
      <c r="K10" s="9">
        <v>9157.02</v>
      </c>
      <c r="L10" s="9">
        <v>8717.77</v>
      </c>
      <c r="M10" s="9">
        <v>8276.5300000000007</v>
      </c>
      <c r="N10" s="9">
        <v>7829.59</v>
      </c>
      <c r="O10" s="9">
        <v>7370.62</v>
      </c>
      <c r="P10" s="9">
        <v>6911.98</v>
      </c>
      <c r="Q10" s="9">
        <v>6444.66</v>
      </c>
      <c r="R10" s="9">
        <v>5974.05</v>
      </c>
      <c r="S10" s="9">
        <v>5495.01</v>
      </c>
      <c r="T10" s="9">
        <v>5012.13</v>
      </c>
      <c r="U10" s="9">
        <v>4523.0200000000004</v>
      </c>
      <c r="V10" s="9">
        <v>4025.84</v>
      </c>
      <c r="W10" s="9">
        <v>3523.98</v>
      </c>
      <c r="X10" s="9">
        <v>3014.31</v>
      </c>
      <c r="Y10" s="9">
        <v>0</v>
      </c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spans="1:43" x14ac:dyDescent="0.25">
      <c r="A11" s="7" t="s">
        <v>45</v>
      </c>
      <c r="B11" s="9">
        <v>95458.559999999998</v>
      </c>
      <c r="C11" s="9">
        <v>76892.59</v>
      </c>
      <c r="D11" s="9">
        <v>87653.48000000001</v>
      </c>
      <c r="E11" s="9">
        <v>69845.66</v>
      </c>
      <c r="F11" s="9">
        <v>70163.790000000008</v>
      </c>
      <c r="G11" s="9">
        <v>64803.369999999995</v>
      </c>
      <c r="H11" s="9">
        <v>63821.95</v>
      </c>
      <c r="I11" s="9">
        <v>67345.94</v>
      </c>
      <c r="J11" s="9">
        <v>69671.11</v>
      </c>
      <c r="K11" s="9">
        <v>96466.61</v>
      </c>
      <c r="L11" s="9">
        <v>140815.72</v>
      </c>
      <c r="M11" s="9">
        <v>138107.16999999998</v>
      </c>
      <c r="N11" s="9">
        <v>143498.99</v>
      </c>
      <c r="O11" s="9">
        <v>146636.08000000002</v>
      </c>
      <c r="P11" s="9">
        <v>202037.97</v>
      </c>
      <c r="Q11" s="9">
        <v>312755</v>
      </c>
      <c r="R11" s="9">
        <v>245596.6</v>
      </c>
      <c r="S11" s="9">
        <v>431838.22</v>
      </c>
      <c r="T11" s="9">
        <v>278511.27</v>
      </c>
      <c r="U11" s="9">
        <v>299408.49</v>
      </c>
      <c r="V11" s="9">
        <v>146724.32999999999</v>
      </c>
      <c r="W11" s="9">
        <v>463753.34</v>
      </c>
      <c r="X11" s="9">
        <v>361790.53</v>
      </c>
      <c r="Y11" s="9">
        <v>757040.87</v>
      </c>
      <c r="Z11" s="9">
        <v>381505.03</v>
      </c>
      <c r="AA11" s="9">
        <v>219932.9</v>
      </c>
      <c r="AB11" s="9">
        <v>137585.60999999999</v>
      </c>
      <c r="AC11" s="9">
        <v>217744.4</v>
      </c>
      <c r="AD11" s="9">
        <v>217927.04000000001</v>
      </c>
      <c r="AE11" s="9">
        <v>177983.05</v>
      </c>
      <c r="AF11" s="9">
        <v>180781.44</v>
      </c>
      <c r="AG11" s="9">
        <v>188174.1</v>
      </c>
      <c r="AH11" s="9">
        <v>95346.74</v>
      </c>
      <c r="AI11" s="9">
        <v>97901.37</v>
      </c>
      <c r="AJ11" s="9">
        <v>100471.65</v>
      </c>
      <c r="AK11" s="9">
        <v>161367.10999999999</v>
      </c>
      <c r="AL11" s="9">
        <v>230320</v>
      </c>
      <c r="AM11" s="9">
        <v>232860</v>
      </c>
      <c r="AN11" s="9">
        <v>177620</v>
      </c>
      <c r="AO11" s="9">
        <v>275766.08</v>
      </c>
      <c r="AP11" s="9">
        <v>599241.15</v>
      </c>
      <c r="AQ11" s="9">
        <v>611982.57000000007</v>
      </c>
    </row>
    <row r="12" spans="1:43" x14ac:dyDescent="0.25">
      <c r="A12" s="6" t="s">
        <v>47</v>
      </c>
      <c r="B12" s="9">
        <v>4569845530.8380003</v>
      </c>
      <c r="C12" s="9">
        <v>4634493739.0062599</v>
      </c>
      <c r="D12" s="9">
        <v>4711110564.4342194</v>
      </c>
      <c r="E12" s="9">
        <v>4753186582.8400002</v>
      </c>
      <c r="F12" s="9">
        <v>4808046740.1700001</v>
      </c>
      <c r="G12" s="9">
        <v>4864177110.9084005</v>
      </c>
      <c r="H12" s="9">
        <v>4908490767.1208801</v>
      </c>
      <c r="I12" s="9">
        <v>4980176110.0915499</v>
      </c>
      <c r="J12" s="9">
        <v>5027160382.1631994</v>
      </c>
      <c r="K12" s="9">
        <v>5088780485.0987005</v>
      </c>
      <c r="L12" s="9">
        <v>5146106305.4932804</v>
      </c>
      <c r="M12" s="9">
        <v>5168909720.0788002</v>
      </c>
      <c r="N12" s="9">
        <v>5226299997.7123604</v>
      </c>
      <c r="O12" s="9">
        <v>5291278033.7793999</v>
      </c>
      <c r="P12" s="9">
        <v>5359921599.2585001</v>
      </c>
      <c r="Q12" s="9">
        <v>5455373405.9246998</v>
      </c>
      <c r="R12" s="9">
        <v>5548148392.4503994</v>
      </c>
      <c r="S12" s="9">
        <v>5620670835.2814999</v>
      </c>
      <c r="T12" s="9">
        <v>5697588556.8964996</v>
      </c>
      <c r="U12" s="9">
        <v>5733012963.0249996</v>
      </c>
      <c r="V12" s="9">
        <v>5738499129.6783009</v>
      </c>
      <c r="W12" s="9">
        <v>5717207093.0193996</v>
      </c>
      <c r="X12" s="9">
        <v>5652662396.7981997</v>
      </c>
      <c r="Y12" s="9">
        <v>5595060160.3267002</v>
      </c>
      <c r="Z12" s="9">
        <v>5562490382.2730999</v>
      </c>
      <c r="AA12" s="9">
        <v>5549807809.3115005</v>
      </c>
      <c r="AB12" s="9">
        <v>5541635307.1883993</v>
      </c>
      <c r="AC12" s="9">
        <v>5554154338.1817999</v>
      </c>
      <c r="AD12" s="9">
        <v>5565830044.5068007</v>
      </c>
      <c r="AE12" s="9">
        <v>5578545985.3242998</v>
      </c>
      <c r="AF12" s="9">
        <v>5599449073.4653902</v>
      </c>
      <c r="AG12" s="9">
        <v>5630920541.4222994</v>
      </c>
      <c r="AH12" s="9">
        <v>5642416872.5434999</v>
      </c>
      <c r="AI12" s="9">
        <v>5607938398.421299</v>
      </c>
      <c r="AJ12" s="9">
        <v>5559298228.7505007</v>
      </c>
      <c r="AK12" s="9">
        <v>5505790950.0515003</v>
      </c>
      <c r="AL12" s="9">
        <v>5484552490</v>
      </c>
      <c r="AM12" s="9">
        <v>5438125040</v>
      </c>
      <c r="AN12" s="9">
        <v>5448658270</v>
      </c>
      <c r="AO12" s="9">
        <v>5470333406.4994001</v>
      </c>
      <c r="AP12" s="9">
        <v>5480551899.4770803</v>
      </c>
      <c r="AQ12" s="9">
        <v>5497657641.5008974</v>
      </c>
    </row>
    <row r="13" spans="1:43" x14ac:dyDescent="0.25">
      <c r="A13" s="7" t="s">
        <v>0</v>
      </c>
      <c r="B13" s="9">
        <v>4474146078.158</v>
      </c>
      <c r="C13" s="9">
        <v>4537329180.3562593</v>
      </c>
      <c r="D13" s="9">
        <v>4613783363.2342196</v>
      </c>
      <c r="E13" s="9">
        <v>4658246865</v>
      </c>
      <c r="F13" s="9">
        <v>4716762260.1700001</v>
      </c>
      <c r="G13" s="9">
        <v>4776197362.3884001</v>
      </c>
      <c r="H13" s="9">
        <v>4820282922.28088</v>
      </c>
      <c r="I13" s="9">
        <v>4894734490.6215496</v>
      </c>
      <c r="J13" s="9">
        <v>4936440074.2831993</v>
      </c>
      <c r="K13" s="9">
        <v>5001105925.4887009</v>
      </c>
      <c r="L13" s="9">
        <v>5056459246.8832808</v>
      </c>
      <c r="M13" s="9">
        <v>5077105704.1188002</v>
      </c>
      <c r="N13" s="9">
        <v>5134445284.4723597</v>
      </c>
      <c r="O13" s="9">
        <v>5200503364.8993998</v>
      </c>
      <c r="P13" s="9">
        <v>5268856823.3485003</v>
      </c>
      <c r="Q13" s="9">
        <v>5366720163.4547005</v>
      </c>
      <c r="R13" s="9">
        <v>5461764631.2003994</v>
      </c>
      <c r="S13" s="9">
        <v>5534426366.5915003</v>
      </c>
      <c r="T13" s="9">
        <v>5608554753.7764997</v>
      </c>
      <c r="U13" s="9">
        <v>5638053322.125</v>
      </c>
      <c r="V13" s="9">
        <v>5640762510.4983006</v>
      </c>
      <c r="W13" s="9">
        <v>5617787637.1594</v>
      </c>
      <c r="X13" s="9">
        <v>5553442598.2881994</v>
      </c>
      <c r="Y13" s="9">
        <v>5486059607.7367001</v>
      </c>
      <c r="Z13" s="9">
        <v>5454243489.7931004</v>
      </c>
      <c r="AA13" s="9">
        <v>5441012388.1515007</v>
      </c>
      <c r="AB13" s="9">
        <v>5429172461.4483995</v>
      </c>
      <c r="AC13" s="9">
        <v>5440690911.0417995</v>
      </c>
      <c r="AD13" s="9">
        <v>5449700772.1168003</v>
      </c>
      <c r="AE13" s="9">
        <v>5458258467.5742998</v>
      </c>
      <c r="AF13" s="9">
        <v>5479225131.20539</v>
      </c>
      <c r="AG13" s="9">
        <v>5506978314.3122997</v>
      </c>
      <c r="AH13" s="9">
        <v>5513033501.5135002</v>
      </c>
      <c r="AI13" s="9">
        <v>5469392955.4412994</v>
      </c>
      <c r="AJ13" s="9">
        <v>5419285753.9005003</v>
      </c>
      <c r="AK13" s="9">
        <v>5362941707.9615002</v>
      </c>
      <c r="AL13" s="9">
        <v>5338450260</v>
      </c>
      <c r="AM13" s="9">
        <v>5292591840</v>
      </c>
      <c r="AN13" s="9">
        <v>5306123130</v>
      </c>
      <c r="AO13" s="9">
        <v>5329060440.1694002</v>
      </c>
      <c r="AP13" s="9">
        <v>5339651256.0270805</v>
      </c>
      <c r="AQ13" s="9">
        <v>5361414728.8008976</v>
      </c>
    </row>
    <row r="14" spans="1:43" x14ac:dyDescent="0.25">
      <c r="A14" s="7" t="s">
        <v>1</v>
      </c>
      <c r="B14" s="9">
        <v>27457720.960000001</v>
      </c>
      <c r="C14" s="9">
        <v>27857517.260000002</v>
      </c>
      <c r="D14" s="9">
        <v>28318497.870000001</v>
      </c>
      <c r="E14" s="9">
        <v>27641406.640000001</v>
      </c>
      <c r="F14" s="9">
        <v>27976475.469999999</v>
      </c>
      <c r="G14" s="9">
        <v>28165562.210000001</v>
      </c>
      <c r="H14" s="9">
        <v>27981925.510000002</v>
      </c>
      <c r="I14" s="9">
        <v>27376925.43</v>
      </c>
      <c r="J14" s="9">
        <v>26539492.989999998</v>
      </c>
      <c r="K14" s="9">
        <v>25967150.690000001</v>
      </c>
      <c r="L14" s="9">
        <v>25911567.25</v>
      </c>
      <c r="M14" s="9">
        <v>25929666.34</v>
      </c>
      <c r="N14" s="9">
        <v>25172463.309999999</v>
      </c>
      <c r="O14" s="9">
        <v>24465387.719999999</v>
      </c>
      <c r="P14" s="9">
        <v>23105503.780000001</v>
      </c>
      <c r="Q14" s="9">
        <v>22697199.57</v>
      </c>
      <c r="R14" s="9">
        <v>21519284.989999998</v>
      </c>
      <c r="S14" s="9">
        <v>21077508.489999998</v>
      </c>
      <c r="T14" s="9">
        <v>19895976.41</v>
      </c>
      <c r="U14" s="9">
        <v>19366569.329999998</v>
      </c>
      <c r="V14" s="9">
        <v>18601426.43</v>
      </c>
      <c r="W14" s="9">
        <v>19060744.82</v>
      </c>
      <c r="X14" s="9">
        <v>20401272.379999999</v>
      </c>
      <c r="Y14" s="9">
        <v>20757970.539999999</v>
      </c>
      <c r="Z14" s="9">
        <v>21032130.190000001</v>
      </c>
      <c r="AA14" s="9">
        <v>22272703.109999999</v>
      </c>
      <c r="AB14" s="9">
        <v>23196090.73</v>
      </c>
      <c r="AC14" s="9">
        <v>25587635.469999999</v>
      </c>
      <c r="AD14" s="9">
        <v>26371188.669999998</v>
      </c>
      <c r="AE14" s="9">
        <v>28307949.649999999</v>
      </c>
      <c r="AF14" s="9">
        <v>28234379.379999999</v>
      </c>
      <c r="AG14" s="9">
        <v>28085885.939999998</v>
      </c>
      <c r="AH14" s="9">
        <v>27577470.16</v>
      </c>
      <c r="AI14" s="9">
        <v>28122832.859999999</v>
      </c>
      <c r="AJ14" s="9">
        <v>28040113.759999998</v>
      </c>
      <c r="AK14" s="9">
        <v>28927607.779999997</v>
      </c>
      <c r="AL14" s="9">
        <v>28560430</v>
      </c>
      <c r="AM14" s="9">
        <v>28053690</v>
      </c>
      <c r="AN14" s="9">
        <v>27795720</v>
      </c>
      <c r="AO14" s="9">
        <v>27109063.690000013</v>
      </c>
      <c r="AP14" s="9">
        <v>26511615.120000005</v>
      </c>
      <c r="AQ14" s="9">
        <v>25934411.939999998</v>
      </c>
    </row>
    <row r="15" spans="1:43" x14ac:dyDescent="0.25">
      <c r="A15" s="7" t="s">
        <v>45</v>
      </c>
      <c r="B15" s="9">
        <v>68241731.719999999</v>
      </c>
      <c r="C15" s="9">
        <v>69307041.390000001</v>
      </c>
      <c r="D15" s="9">
        <v>69008703.329999998</v>
      </c>
      <c r="E15" s="9">
        <v>67298311.200000003</v>
      </c>
      <c r="F15" s="9">
        <v>63308004.529999994</v>
      </c>
      <c r="G15" s="9">
        <v>59814186.310000002</v>
      </c>
      <c r="H15" s="9">
        <v>60225919.329999998</v>
      </c>
      <c r="I15" s="9">
        <v>58064694.039999999</v>
      </c>
      <c r="J15" s="9">
        <v>64180814.890000001</v>
      </c>
      <c r="K15" s="9">
        <v>61707408.920000002</v>
      </c>
      <c r="L15" s="9">
        <v>63735491.359999999</v>
      </c>
      <c r="M15" s="9">
        <v>65874349.620000005</v>
      </c>
      <c r="N15" s="9">
        <v>66682249.93</v>
      </c>
      <c r="O15" s="9">
        <v>66309281.159999996</v>
      </c>
      <c r="P15" s="9">
        <v>67959272.129999995</v>
      </c>
      <c r="Q15" s="9">
        <v>65956042.899999999</v>
      </c>
      <c r="R15" s="9">
        <v>64864476.260000005</v>
      </c>
      <c r="S15" s="9">
        <v>65166960.200000003</v>
      </c>
      <c r="T15" s="9">
        <v>69137826.710000008</v>
      </c>
      <c r="U15" s="9">
        <v>75593071.570000008</v>
      </c>
      <c r="V15" s="9">
        <v>79135192.750000015</v>
      </c>
      <c r="W15" s="9">
        <v>80358711.039999992</v>
      </c>
      <c r="X15" s="9">
        <v>78818526.129999995</v>
      </c>
      <c r="Y15" s="9">
        <v>88242582.049999997</v>
      </c>
      <c r="Z15" s="9">
        <v>87214762.289999992</v>
      </c>
      <c r="AA15" s="9">
        <v>86522718.049999997</v>
      </c>
      <c r="AB15" s="9">
        <v>89266755.010000005</v>
      </c>
      <c r="AC15" s="9">
        <v>87875791.670000002</v>
      </c>
      <c r="AD15" s="9">
        <v>89758083.719999999</v>
      </c>
      <c r="AE15" s="9">
        <v>91979568.099999994</v>
      </c>
      <c r="AF15" s="9">
        <v>91989562.879999995</v>
      </c>
      <c r="AG15" s="9">
        <v>95856341.170000002</v>
      </c>
      <c r="AH15" s="9">
        <v>101805900.86999999</v>
      </c>
      <c r="AI15" s="9">
        <v>110422610.12</v>
      </c>
      <c r="AJ15" s="9">
        <v>111972361.09</v>
      </c>
      <c r="AK15" s="9">
        <v>113921634.31</v>
      </c>
      <c r="AL15" s="9">
        <v>117541800</v>
      </c>
      <c r="AM15" s="9">
        <v>117479510</v>
      </c>
      <c r="AN15" s="9">
        <v>114739420</v>
      </c>
      <c r="AO15" s="9">
        <v>114163902.63999996</v>
      </c>
      <c r="AP15" s="9">
        <v>114389028.33</v>
      </c>
      <c r="AQ15" s="9">
        <v>110308500.75999998</v>
      </c>
    </row>
    <row r="16" spans="1:43" x14ac:dyDescent="0.25">
      <c r="A16" s="6" t="s">
        <v>46</v>
      </c>
      <c r="B16" s="9">
        <v>136045233.36000001</v>
      </c>
      <c r="C16" s="9">
        <v>141026476.82000002</v>
      </c>
      <c r="D16" s="9">
        <v>143488440.32999998</v>
      </c>
      <c r="E16" s="9">
        <v>146553254.69999999</v>
      </c>
      <c r="F16" s="9">
        <v>150359703.43000001</v>
      </c>
      <c r="G16" s="9">
        <v>151500749.15999997</v>
      </c>
      <c r="H16" s="9">
        <v>152517261.80000001</v>
      </c>
      <c r="I16" s="9">
        <v>152837254.37</v>
      </c>
      <c r="J16" s="9">
        <v>152368962.43000001</v>
      </c>
      <c r="K16" s="9">
        <v>150915240.24999997</v>
      </c>
      <c r="L16" s="9">
        <v>149500371.63999999</v>
      </c>
      <c r="M16" s="9">
        <v>146721282.23000002</v>
      </c>
      <c r="N16" s="9">
        <v>142705417.28999999</v>
      </c>
      <c r="O16" s="9">
        <v>142420155</v>
      </c>
      <c r="P16" s="9">
        <v>143597418.19000003</v>
      </c>
      <c r="Q16" s="9">
        <v>145406474.58000001</v>
      </c>
      <c r="R16" s="9">
        <v>144499649.93000001</v>
      </c>
      <c r="S16" s="9">
        <v>141792611.03999999</v>
      </c>
      <c r="T16" s="9">
        <v>141030822.07000002</v>
      </c>
      <c r="U16" s="9">
        <v>138696056.146</v>
      </c>
      <c r="V16" s="9">
        <v>137176043.85000002</v>
      </c>
      <c r="W16" s="9">
        <v>133372398.27</v>
      </c>
      <c r="X16" s="9">
        <v>128382725.78423101</v>
      </c>
      <c r="Y16" s="9">
        <v>122158398.86</v>
      </c>
      <c r="Z16" s="9">
        <v>118341475.81</v>
      </c>
      <c r="AA16" s="9">
        <v>116992339.92000002</v>
      </c>
      <c r="AB16" s="9">
        <v>113770886.5</v>
      </c>
      <c r="AC16" s="9">
        <v>113976716.45</v>
      </c>
      <c r="AD16" s="9">
        <v>114552525.68000001</v>
      </c>
      <c r="AE16" s="9">
        <v>118153963.33</v>
      </c>
      <c r="AF16" s="9">
        <v>125178283.19999999</v>
      </c>
      <c r="AG16" s="9">
        <v>132392188.34999999</v>
      </c>
      <c r="AH16" s="9">
        <v>136136147.23000002</v>
      </c>
      <c r="AI16" s="9">
        <v>137076844.97999999</v>
      </c>
      <c r="AJ16" s="9">
        <v>138088415.59</v>
      </c>
      <c r="AK16" s="9">
        <v>137971947.38999999</v>
      </c>
      <c r="AL16" s="9">
        <v>138362820</v>
      </c>
      <c r="AM16" s="9">
        <v>138347880</v>
      </c>
      <c r="AN16" s="9">
        <v>141365330</v>
      </c>
      <c r="AO16" s="9">
        <v>141526394.87999997</v>
      </c>
      <c r="AP16" s="9">
        <v>142326194.09000006</v>
      </c>
      <c r="AQ16" s="9">
        <v>143121483.81999999</v>
      </c>
    </row>
    <row r="17" spans="1:43" x14ac:dyDescent="0.25">
      <c r="A17" s="7" t="s">
        <v>0</v>
      </c>
      <c r="B17" s="9">
        <v>130733582.33000001</v>
      </c>
      <c r="C17" s="9">
        <v>135188536.31</v>
      </c>
      <c r="D17" s="9">
        <v>137158424.97999999</v>
      </c>
      <c r="E17" s="9">
        <v>140522628.94999999</v>
      </c>
      <c r="F17" s="9">
        <v>144482717.68000001</v>
      </c>
      <c r="G17" s="9">
        <v>146236703.82999998</v>
      </c>
      <c r="H17" s="9">
        <v>147394479.28</v>
      </c>
      <c r="I17" s="9">
        <v>148321235.30000001</v>
      </c>
      <c r="J17" s="9">
        <v>147954558.89000002</v>
      </c>
      <c r="K17" s="9">
        <v>146665112.20999998</v>
      </c>
      <c r="L17" s="9">
        <v>145353650.42999998</v>
      </c>
      <c r="M17" s="9">
        <v>142616598.68000001</v>
      </c>
      <c r="N17" s="9">
        <v>138353174.09</v>
      </c>
      <c r="O17" s="9">
        <v>138267717.56</v>
      </c>
      <c r="P17" s="9">
        <v>140313324.13000003</v>
      </c>
      <c r="Q17" s="9">
        <v>142256181.80000001</v>
      </c>
      <c r="R17" s="9">
        <v>141667739.42000002</v>
      </c>
      <c r="S17" s="9">
        <v>139015758.69</v>
      </c>
      <c r="T17" s="9">
        <v>138211741.38</v>
      </c>
      <c r="U17" s="9">
        <v>135569426.24599999</v>
      </c>
      <c r="V17" s="9">
        <v>134060487.46000001</v>
      </c>
      <c r="W17" s="9">
        <v>130455203.55</v>
      </c>
      <c r="X17" s="9">
        <v>125176428.244231</v>
      </c>
      <c r="Y17" s="9">
        <v>118790130.43000001</v>
      </c>
      <c r="Z17" s="9">
        <v>114730718.59</v>
      </c>
      <c r="AA17" s="9">
        <v>112997813.87</v>
      </c>
      <c r="AB17" s="9">
        <v>109617638.13</v>
      </c>
      <c r="AC17" s="9">
        <v>109744218.22</v>
      </c>
      <c r="AD17" s="9">
        <v>110487859.81</v>
      </c>
      <c r="AE17" s="9">
        <v>113723824.59999999</v>
      </c>
      <c r="AF17" s="9">
        <v>121005785.33999999</v>
      </c>
      <c r="AG17" s="9">
        <v>128000423</v>
      </c>
      <c r="AH17" s="9">
        <v>131775625.47</v>
      </c>
      <c r="AI17" s="9">
        <v>132573701.79000001</v>
      </c>
      <c r="AJ17" s="9">
        <v>132964087.11</v>
      </c>
      <c r="AK17" s="9">
        <v>132549272.61999999</v>
      </c>
      <c r="AL17" s="9">
        <v>132786320</v>
      </c>
      <c r="AM17" s="9">
        <v>132503800</v>
      </c>
      <c r="AN17" s="9">
        <v>135647290</v>
      </c>
      <c r="AO17" s="9">
        <v>135891244.84999996</v>
      </c>
      <c r="AP17" s="9">
        <v>137072824.15000007</v>
      </c>
      <c r="AQ17" s="9">
        <v>137963571.22999999</v>
      </c>
    </row>
    <row r="18" spans="1:43" x14ac:dyDescent="0.25">
      <c r="A18" s="7" t="s">
        <v>1</v>
      </c>
      <c r="B18" s="9">
        <v>1377645.29</v>
      </c>
      <c r="C18" s="9">
        <v>1326196.71</v>
      </c>
      <c r="D18" s="9">
        <v>1480472.1</v>
      </c>
      <c r="E18" s="9">
        <v>1550898.87</v>
      </c>
      <c r="F18" s="9">
        <v>1491500.61</v>
      </c>
      <c r="G18" s="9">
        <v>1525271.39</v>
      </c>
      <c r="H18" s="9">
        <v>1457353.22</v>
      </c>
      <c r="I18" s="9">
        <v>1406983.28</v>
      </c>
      <c r="J18" s="9">
        <v>1383327.6</v>
      </c>
      <c r="K18" s="9">
        <v>1374548.4</v>
      </c>
      <c r="L18" s="9">
        <v>1379453.49</v>
      </c>
      <c r="M18" s="9">
        <v>1400014.93</v>
      </c>
      <c r="N18" s="9">
        <v>1373773.98</v>
      </c>
      <c r="O18" s="9">
        <v>1362610.26</v>
      </c>
      <c r="P18" s="9">
        <v>1243803.21</v>
      </c>
      <c r="Q18" s="9">
        <v>1223098.1499999999</v>
      </c>
      <c r="R18" s="9">
        <v>1175419.01</v>
      </c>
      <c r="S18" s="9">
        <v>1153872.17</v>
      </c>
      <c r="T18" s="9">
        <v>1118907.58</v>
      </c>
      <c r="U18" s="9">
        <v>1102604.24</v>
      </c>
      <c r="V18" s="9">
        <v>983954.08</v>
      </c>
      <c r="W18" s="9">
        <v>1032211</v>
      </c>
      <c r="X18" s="9">
        <v>1213175.58</v>
      </c>
      <c r="Y18" s="9">
        <v>1364334.21</v>
      </c>
      <c r="Z18" s="9">
        <v>1392832</v>
      </c>
      <c r="AA18" s="9">
        <v>1585508.76</v>
      </c>
      <c r="AB18" s="9">
        <v>1583737.23</v>
      </c>
      <c r="AC18" s="9">
        <v>1594241.7</v>
      </c>
      <c r="AD18" s="9">
        <v>1648223.29</v>
      </c>
      <c r="AE18" s="9">
        <v>1713145.84</v>
      </c>
      <c r="AF18" s="9">
        <v>1739339.49</v>
      </c>
      <c r="AG18" s="9">
        <v>1753777.49</v>
      </c>
      <c r="AH18" s="9">
        <v>1833572.4</v>
      </c>
      <c r="AI18" s="9">
        <v>1724421.1</v>
      </c>
      <c r="AJ18" s="9">
        <v>1882602.93</v>
      </c>
      <c r="AK18" s="9">
        <v>1995712.45</v>
      </c>
      <c r="AL18" s="9">
        <v>2027090</v>
      </c>
      <c r="AM18" s="9">
        <v>1967180</v>
      </c>
      <c r="AN18" s="9">
        <v>1924670</v>
      </c>
      <c r="AO18" s="9">
        <v>1878748.8300000003</v>
      </c>
      <c r="AP18" s="9">
        <v>1766123.8300000005</v>
      </c>
      <c r="AQ18" s="9">
        <v>1746784.99</v>
      </c>
    </row>
    <row r="19" spans="1:43" x14ac:dyDescent="0.25">
      <c r="A19" s="7" t="s">
        <v>45</v>
      </c>
      <c r="B19" s="9">
        <v>3934005.74</v>
      </c>
      <c r="C19" s="9">
        <v>4511743.8</v>
      </c>
      <c r="D19" s="9">
        <v>4849543.25</v>
      </c>
      <c r="E19" s="9">
        <v>4479726.88</v>
      </c>
      <c r="F19" s="9">
        <v>4385485.1400000006</v>
      </c>
      <c r="G19" s="9">
        <v>3738773.9400000004</v>
      </c>
      <c r="H19" s="9">
        <v>3665429.3000000003</v>
      </c>
      <c r="I19" s="9">
        <v>3109035.7899999996</v>
      </c>
      <c r="J19" s="9">
        <v>3031075.94</v>
      </c>
      <c r="K19" s="9">
        <v>2875579.6399999997</v>
      </c>
      <c r="L19" s="9">
        <v>2767267.7199999997</v>
      </c>
      <c r="M19" s="9">
        <v>2704668.62</v>
      </c>
      <c r="N19" s="9">
        <v>2978469.2199999997</v>
      </c>
      <c r="O19" s="9">
        <v>2789827.18</v>
      </c>
      <c r="P19" s="9">
        <v>2040290.85</v>
      </c>
      <c r="Q19" s="9">
        <v>1927194.63</v>
      </c>
      <c r="R19" s="9">
        <v>1656491.5</v>
      </c>
      <c r="S19" s="9">
        <v>1622980.18</v>
      </c>
      <c r="T19" s="9">
        <v>1700173.1099999999</v>
      </c>
      <c r="U19" s="9">
        <v>2024025.6600000001</v>
      </c>
      <c r="V19" s="9">
        <v>2131602.31</v>
      </c>
      <c r="W19" s="9">
        <v>1884983.7200000002</v>
      </c>
      <c r="X19" s="9">
        <v>1993121.96</v>
      </c>
      <c r="Y19" s="9">
        <v>2003934.2200000002</v>
      </c>
      <c r="Z19" s="9">
        <v>2217925.2200000002</v>
      </c>
      <c r="AA19" s="9">
        <v>2409017.29</v>
      </c>
      <c r="AB19" s="9">
        <v>2569511.14</v>
      </c>
      <c r="AC19" s="9">
        <v>2638256.5299999998</v>
      </c>
      <c r="AD19" s="9">
        <v>2416442.58</v>
      </c>
      <c r="AE19" s="9">
        <v>2716992.89</v>
      </c>
      <c r="AF19" s="9">
        <v>2433158.3699999996</v>
      </c>
      <c r="AG19" s="9">
        <v>2637987.86</v>
      </c>
      <c r="AH19" s="9">
        <v>2526949.3600000003</v>
      </c>
      <c r="AI19" s="9">
        <v>2778722.09</v>
      </c>
      <c r="AJ19" s="9">
        <v>3241725.55</v>
      </c>
      <c r="AK19" s="9">
        <v>3426962.32</v>
      </c>
      <c r="AL19" s="9">
        <v>3549410</v>
      </c>
      <c r="AM19" s="9">
        <v>3876900</v>
      </c>
      <c r="AN19" s="9">
        <v>3793370</v>
      </c>
      <c r="AO19" s="9">
        <v>3756401.2000000007</v>
      </c>
      <c r="AP19" s="9">
        <v>3487246.1099999989</v>
      </c>
      <c r="AQ19" s="9">
        <v>3411127.6</v>
      </c>
    </row>
    <row r="20" spans="1:43" x14ac:dyDescent="0.25">
      <c r="A20" s="6" t="s">
        <v>48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</row>
    <row r="21" spans="1:43" x14ac:dyDescent="0.25">
      <c r="A21" s="7" t="s">
        <v>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</row>
    <row r="22" spans="1:43" x14ac:dyDescent="0.25">
      <c r="A22" s="7" t="s">
        <v>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</row>
    <row r="23" spans="1:43" x14ac:dyDescent="0.25">
      <c r="A23" s="7" t="s">
        <v>45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</row>
    <row r="24" spans="1:43" x14ac:dyDescent="0.25">
      <c r="A24" s="5" t="s">
        <v>52</v>
      </c>
      <c r="B24" s="9">
        <v>4739579861.7056894</v>
      </c>
      <c r="C24" s="9">
        <v>4813229741.3674192</v>
      </c>
      <c r="D24" s="9">
        <v>4878316292.6999998</v>
      </c>
      <c r="E24" s="9">
        <v>4941152517.3806801</v>
      </c>
      <c r="F24" s="9">
        <v>4989236121.6926403</v>
      </c>
      <c r="G24" s="9">
        <v>5050354808.0515003</v>
      </c>
      <c r="H24" s="9">
        <v>5100764056.02384</v>
      </c>
      <c r="I24" s="9">
        <v>5157838541.7663193</v>
      </c>
      <c r="J24" s="9">
        <v>5217471310.4077005</v>
      </c>
      <c r="K24" s="9">
        <v>5272913575.5137501</v>
      </c>
      <c r="L24" s="9">
        <v>5330942255.8724003</v>
      </c>
      <c r="M24" s="9">
        <v>5370302972.2264309</v>
      </c>
      <c r="N24" s="9">
        <v>5405565168.5249596</v>
      </c>
      <c r="O24" s="9">
        <v>5467638846.1770401</v>
      </c>
      <c r="P24" s="9">
        <v>5540577293.2078495</v>
      </c>
      <c r="Q24" s="9">
        <v>5630188287.9881201</v>
      </c>
      <c r="R24" s="9">
        <v>5703455826.2993994</v>
      </c>
      <c r="S24" s="9">
        <v>5785256574.97861</v>
      </c>
      <c r="T24" s="9">
        <v>5862740216.4342995</v>
      </c>
      <c r="U24" s="9">
        <v>5911410217.0716</v>
      </c>
      <c r="V24" s="9">
        <v>5933098773.8752995</v>
      </c>
      <c r="W24" s="9">
        <v>5730492105.2342005</v>
      </c>
      <c r="X24" s="9">
        <v>5875059591.3102999</v>
      </c>
      <c r="Y24" s="9">
        <v>5814691316.1893005</v>
      </c>
      <c r="Z24" s="9">
        <v>5758368186.6001005</v>
      </c>
      <c r="AA24" s="9">
        <v>5724069820.6169996</v>
      </c>
      <c r="AB24" s="9">
        <v>5720435590.7839003</v>
      </c>
      <c r="AC24" s="9">
        <v>5702892839.3412991</v>
      </c>
      <c r="AD24" s="9">
        <v>5721954820.0109997</v>
      </c>
      <c r="AE24" s="9">
        <v>5737948004.0585995</v>
      </c>
      <c r="AF24" s="9">
        <v>5765182230.9468594</v>
      </c>
      <c r="AG24" s="9">
        <v>5796814191.3299999</v>
      </c>
      <c r="AH24" s="9">
        <v>5820275001.6765995</v>
      </c>
      <c r="AI24" s="9">
        <v>5810498646.9450998</v>
      </c>
      <c r="AJ24" s="9">
        <v>5767149665.4106998</v>
      </c>
      <c r="AK24" s="9">
        <v>5716484266.4144001</v>
      </c>
      <c r="AL24" s="9">
        <v>5676408230</v>
      </c>
      <c r="AM24" s="9">
        <v>5648366070</v>
      </c>
      <c r="AN24" s="9">
        <v>5639313190</v>
      </c>
      <c r="AO24" s="9">
        <v>5650487340.204668</v>
      </c>
      <c r="AP24" s="9">
        <v>5670889307.3795319</v>
      </c>
      <c r="AQ24" s="9">
        <v>5694594026.7867985</v>
      </c>
    </row>
    <row r="25" spans="1:43" x14ac:dyDescent="0.25">
      <c r="A25" s="6" t="s">
        <v>49</v>
      </c>
      <c r="B25" s="9">
        <v>74404538.370000005</v>
      </c>
      <c r="C25" s="9">
        <v>75620794.089999989</v>
      </c>
      <c r="D25" s="9">
        <v>75815411.479999989</v>
      </c>
      <c r="E25" s="9">
        <v>76463967.239999995</v>
      </c>
      <c r="F25" s="9">
        <v>77315182.050000012</v>
      </c>
      <c r="G25" s="9">
        <v>78579075.540000007</v>
      </c>
      <c r="H25" s="9">
        <v>80246764.686399996</v>
      </c>
      <c r="I25" s="9">
        <v>80838096.646160007</v>
      </c>
      <c r="J25" s="9">
        <v>81087193.093889996</v>
      </c>
      <c r="K25" s="9">
        <v>81064889.817000017</v>
      </c>
      <c r="L25" s="9">
        <v>80966329.166500002</v>
      </c>
      <c r="M25" s="9">
        <v>80534182.495939985</v>
      </c>
      <c r="N25" s="9">
        <v>79329575.906320006</v>
      </c>
      <c r="O25" s="9">
        <v>80493714.025920004</v>
      </c>
      <c r="P25" s="9">
        <v>81161780.310550004</v>
      </c>
      <c r="Q25" s="9">
        <v>80356682.273120001</v>
      </c>
      <c r="R25" s="9">
        <v>80233461.420000002</v>
      </c>
      <c r="S25" s="9">
        <v>80008800.11511001</v>
      </c>
      <c r="T25" s="9">
        <v>81193235.352799982</v>
      </c>
      <c r="U25" s="9">
        <v>82609170.801100001</v>
      </c>
      <c r="V25" s="9">
        <v>84125593.740099996</v>
      </c>
      <c r="W25" s="9">
        <v>83844478.139599994</v>
      </c>
      <c r="X25" s="9">
        <v>85402889.421399996</v>
      </c>
      <c r="Y25" s="9">
        <v>83775184.873999998</v>
      </c>
      <c r="Z25" s="9">
        <v>83038765.333200008</v>
      </c>
      <c r="AA25" s="9">
        <v>82583785.537</v>
      </c>
      <c r="AB25" s="9">
        <v>84202269.14819999</v>
      </c>
      <c r="AC25" s="9">
        <v>83487907.236400008</v>
      </c>
      <c r="AD25" s="9">
        <v>82876495.021599993</v>
      </c>
      <c r="AE25" s="9">
        <v>84093901.659699991</v>
      </c>
      <c r="AF25" s="9">
        <v>84065624.755899996</v>
      </c>
      <c r="AG25" s="9">
        <v>83275904.372999996</v>
      </c>
      <c r="AH25" s="9">
        <v>82266095.993699998</v>
      </c>
      <c r="AI25" s="9">
        <v>81515322.344600007</v>
      </c>
      <c r="AJ25" s="9">
        <v>81690880.077000007</v>
      </c>
      <c r="AK25" s="9">
        <v>81286007.642199993</v>
      </c>
      <c r="AL25" s="9">
        <v>81051280</v>
      </c>
      <c r="AM25" s="9">
        <v>81612270</v>
      </c>
      <c r="AN25" s="9">
        <v>82887900</v>
      </c>
      <c r="AO25" s="9">
        <v>82758452.653810009</v>
      </c>
      <c r="AP25" s="9">
        <v>84024247.598849997</v>
      </c>
      <c r="AQ25" s="9">
        <v>87326275.073350012</v>
      </c>
    </row>
    <row r="26" spans="1:43" x14ac:dyDescent="0.25">
      <c r="A26" s="7" t="s">
        <v>0</v>
      </c>
      <c r="B26" s="9">
        <v>74267653.370000005</v>
      </c>
      <c r="C26" s="9">
        <v>75489191.530000001</v>
      </c>
      <c r="D26" s="9">
        <v>75667410.689999998</v>
      </c>
      <c r="E26" s="9">
        <v>76371727.299999997</v>
      </c>
      <c r="F26" s="9">
        <v>77219628.620000005</v>
      </c>
      <c r="G26" s="9">
        <v>78486141.590000004</v>
      </c>
      <c r="H26" s="9">
        <v>80171570.1664</v>
      </c>
      <c r="I26" s="9">
        <v>80761767.186159998</v>
      </c>
      <c r="J26" s="9">
        <v>81007182.163890004</v>
      </c>
      <c r="K26" s="9">
        <v>80964622.697000012</v>
      </c>
      <c r="L26" s="9">
        <v>80818605.156499997</v>
      </c>
      <c r="M26" s="9">
        <v>80373270.50593999</v>
      </c>
      <c r="N26" s="9">
        <v>79166934.746319994</v>
      </c>
      <c r="O26" s="9">
        <v>80338249.145920008</v>
      </c>
      <c r="P26" s="9">
        <v>80954037.250550002</v>
      </c>
      <c r="Q26" s="9">
        <v>80006153.423120007</v>
      </c>
      <c r="R26" s="9">
        <v>79976093.5</v>
      </c>
      <c r="S26" s="9">
        <v>79577675.255110011</v>
      </c>
      <c r="T26" s="9">
        <v>80801487.652799994</v>
      </c>
      <c r="U26" s="9">
        <v>82249726.631099999</v>
      </c>
      <c r="V26" s="9">
        <v>83838497.150099993</v>
      </c>
      <c r="W26" s="9">
        <v>83370936.79959999</v>
      </c>
      <c r="X26" s="9">
        <v>84961565.091399997</v>
      </c>
      <c r="Y26" s="9">
        <v>83069955.994000003</v>
      </c>
      <c r="Z26" s="9">
        <v>82409962.193200007</v>
      </c>
      <c r="AA26" s="9">
        <v>82305292.056999996</v>
      </c>
      <c r="AB26" s="9">
        <v>83984983.548199996</v>
      </c>
      <c r="AC26" s="9">
        <v>83275295.746400014</v>
      </c>
      <c r="AD26" s="9">
        <v>82657548.331599995</v>
      </c>
      <c r="AE26" s="9">
        <v>83883198.189699993</v>
      </c>
      <c r="AF26" s="9">
        <v>83883793.6259</v>
      </c>
      <c r="AG26" s="9">
        <v>83085736.663000003</v>
      </c>
      <c r="AH26" s="9">
        <v>82104843.523699999</v>
      </c>
      <c r="AI26" s="9">
        <v>81417136.944600001</v>
      </c>
      <c r="AJ26" s="9">
        <v>81582598.717000008</v>
      </c>
      <c r="AK26" s="9">
        <v>81090466.592199996</v>
      </c>
      <c r="AL26" s="9">
        <v>80825060</v>
      </c>
      <c r="AM26" s="9">
        <v>81378910</v>
      </c>
      <c r="AN26" s="9">
        <v>82644110</v>
      </c>
      <c r="AO26" s="9">
        <v>82538353.333810017</v>
      </c>
      <c r="AP26" s="9">
        <v>83463216.448849991</v>
      </c>
      <c r="AQ26" s="9">
        <v>86629489.423350006</v>
      </c>
    </row>
    <row r="27" spans="1:43" x14ac:dyDescent="0.25">
      <c r="A27" s="7" t="s">
        <v>1</v>
      </c>
      <c r="B27" s="9">
        <v>44588.22</v>
      </c>
      <c r="C27" s="9">
        <v>43691.07</v>
      </c>
      <c r="D27" s="9">
        <v>41632.1</v>
      </c>
      <c r="E27" s="9">
        <v>11723.49</v>
      </c>
      <c r="F27" s="9">
        <v>11407.45</v>
      </c>
      <c r="G27" s="9">
        <v>10958.4</v>
      </c>
      <c r="H27" s="9">
        <v>10461.25</v>
      </c>
      <c r="I27" s="9">
        <v>10015.540000000001</v>
      </c>
      <c r="J27" s="9">
        <v>9734.74</v>
      </c>
      <c r="K27" s="9">
        <v>9170.84</v>
      </c>
      <c r="L27" s="9">
        <v>8732.3700000000008</v>
      </c>
      <c r="M27" s="9">
        <v>8276.5300000000007</v>
      </c>
      <c r="N27" s="9">
        <v>7858.37</v>
      </c>
      <c r="O27" s="9">
        <v>7386.38</v>
      </c>
      <c r="P27" s="9">
        <v>6911.98</v>
      </c>
      <c r="Q27" s="9">
        <v>6460.19</v>
      </c>
      <c r="R27" s="9">
        <v>5989.19</v>
      </c>
      <c r="S27" s="9">
        <v>5574.8</v>
      </c>
      <c r="T27" s="9">
        <v>5012.13</v>
      </c>
      <c r="U27" s="9">
        <v>4523.0200000000004</v>
      </c>
      <c r="V27" s="9">
        <v>4042.37</v>
      </c>
      <c r="W27" s="9">
        <v>3523.98</v>
      </c>
      <c r="X27" s="9">
        <v>3065.22</v>
      </c>
      <c r="Y27" s="9">
        <v>177.82</v>
      </c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 spans="1:43" x14ac:dyDescent="0.25">
      <c r="A28" s="7" t="s">
        <v>45</v>
      </c>
      <c r="B28" s="9">
        <v>92296.78</v>
      </c>
      <c r="C28" s="9">
        <v>87911.49</v>
      </c>
      <c r="D28" s="9">
        <v>106368.69</v>
      </c>
      <c r="E28" s="9">
        <v>80516.45</v>
      </c>
      <c r="F28" s="9">
        <v>84145.98000000001</v>
      </c>
      <c r="G28" s="9">
        <v>81975.55</v>
      </c>
      <c r="H28" s="9">
        <v>64733.270000000004</v>
      </c>
      <c r="I28" s="9">
        <v>66313.919999999998</v>
      </c>
      <c r="J28" s="9">
        <v>70276.19</v>
      </c>
      <c r="K28" s="9">
        <v>91096.28</v>
      </c>
      <c r="L28" s="9">
        <v>138991.63999999998</v>
      </c>
      <c r="M28" s="9">
        <v>152635.46</v>
      </c>
      <c r="N28" s="9">
        <v>154782.79</v>
      </c>
      <c r="O28" s="9">
        <v>148078.5</v>
      </c>
      <c r="P28" s="9">
        <v>200831.08</v>
      </c>
      <c r="Q28" s="9">
        <v>344068.66</v>
      </c>
      <c r="R28" s="9">
        <v>251378.73</v>
      </c>
      <c r="S28" s="9">
        <v>425550.06</v>
      </c>
      <c r="T28" s="9">
        <v>386735.57</v>
      </c>
      <c r="U28" s="9">
        <v>354921.15</v>
      </c>
      <c r="V28" s="9">
        <v>283054.21999999997</v>
      </c>
      <c r="W28" s="9">
        <v>470017.36</v>
      </c>
      <c r="X28" s="9">
        <v>438259.11</v>
      </c>
      <c r="Y28" s="9">
        <v>705051.06</v>
      </c>
      <c r="Z28" s="9">
        <v>628803.14</v>
      </c>
      <c r="AA28" s="9">
        <v>278493.48</v>
      </c>
      <c r="AB28" s="9">
        <v>217285.6</v>
      </c>
      <c r="AC28" s="9">
        <v>212611.49</v>
      </c>
      <c r="AD28" s="9">
        <v>218946.69</v>
      </c>
      <c r="AE28" s="9">
        <v>210703.47</v>
      </c>
      <c r="AF28" s="9">
        <v>181831.13</v>
      </c>
      <c r="AG28" s="9">
        <v>190167.71</v>
      </c>
      <c r="AH28" s="9">
        <v>161252.47</v>
      </c>
      <c r="AI28" s="9">
        <v>98185.4</v>
      </c>
      <c r="AJ28" s="9">
        <v>108281.36</v>
      </c>
      <c r="AK28" s="9">
        <v>195541.05</v>
      </c>
      <c r="AL28" s="9">
        <v>226220</v>
      </c>
      <c r="AM28" s="9">
        <v>233360</v>
      </c>
      <c r="AN28" s="9">
        <v>243790</v>
      </c>
      <c r="AO28" s="9">
        <v>220099.31999999998</v>
      </c>
      <c r="AP28" s="9">
        <v>561031.15000000014</v>
      </c>
      <c r="AQ28" s="9">
        <v>696785.65000000014</v>
      </c>
    </row>
    <row r="29" spans="1:43" x14ac:dyDescent="0.25">
      <c r="A29" s="6" t="s">
        <v>47</v>
      </c>
      <c r="B29" s="9">
        <v>4533270925.7656898</v>
      </c>
      <c r="C29" s="9">
        <v>4601293037.1774197</v>
      </c>
      <c r="D29" s="9">
        <v>4662529023.5699997</v>
      </c>
      <c r="E29" s="9">
        <v>4722200426.1206799</v>
      </c>
      <c r="F29" s="9">
        <v>4766521390.5326405</v>
      </c>
      <c r="G29" s="9">
        <v>4824694894.1015005</v>
      </c>
      <c r="H29" s="9">
        <v>4872169067.3774395</v>
      </c>
      <c r="I29" s="9">
        <v>4928051020.6201591</v>
      </c>
      <c r="J29" s="9">
        <v>4987705664.7638102</v>
      </c>
      <c r="K29" s="9">
        <v>5044387978.5967503</v>
      </c>
      <c r="L29" s="9">
        <v>5103708491.3459005</v>
      </c>
      <c r="M29" s="9">
        <v>5145855890.4804907</v>
      </c>
      <c r="N29" s="9">
        <v>5185100154.1886396</v>
      </c>
      <c r="O29" s="9">
        <v>5247896554.56112</v>
      </c>
      <c r="P29" s="9">
        <v>5319166394.7262993</v>
      </c>
      <c r="Q29" s="9">
        <v>5407253010.165</v>
      </c>
      <c r="R29" s="9">
        <v>5481023999.3893995</v>
      </c>
      <c r="S29" s="9">
        <v>5565044765.6134996</v>
      </c>
      <c r="T29" s="9">
        <v>5642405660.6814995</v>
      </c>
      <c r="U29" s="9">
        <v>5692533095.4425001</v>
      </c>
      <c r="V29" s="9">
        <v>5713169501.0651999</v>
      </c>
      <c r="W29" s="9">
        <v>5517660530.4566002</v>
      </c>
      <c r="X29" s="9">
        <v>5661453319.2389002</v>
      </c>
      <c r="Y29" s="9">
        <v>5608083558.2653008</v>
      </c>
      <c r="Z29" s="9">
        <v>5557331753.4369001</v>
      </c>
      <c r="AA29" s="9">
        <v>5526484303.7199993</v>
      </c>
      <c r="AB29" s="9">
        <v>5522459708.2657003</v>
      </c>
      <c r="AC29" s="9">
        <v>5507864771.0648994</v>
      </c>
      <c r="AD29" s="9">
        <v>5528046358.9094</v>
      </c>
      <c r="AE29" s="9">
        <v>5540163358.3288994</v>
      </c>
      <c r="AF29" s="9">
        <v>5560463857.7109594</v>
      </c>
      <c r="AG29" s="9">
        <v>5585650546.1470003</v>
      </c>
      <c r="AH29" s="9">
        <v>5604503004.9428997</v>
      </c>
      <c r="AI29" s="9">
        <v>5593372082.2404995</v>
      </c>
      <c r="AJ29" s="9">
        <v>5548752544.6036997</v>
      </c>
      <c r="AK29" s="9">
        <v>5498290300.0222006</v>
      </c>
      <c r="AL29" s="9">
        <v>5458125330</v>
      </c>
      <c r="AM29" s="9">
        <v>5430012700</v>
      </c>
      <c r="AN29" s="9">
        <v>5416954960</v>
      </c>
      <c r="AO29" s="9">
        <v>5427518443.8108587</v>
      </c>
      <c r="AP29" s="9">
        <v>5445977534.1506815</v>
      </c>
      <c r="AQ29" s="9">
        <v>5465338188.2534485</v>
      </c>
    </row>
    <row r="30" spans="1:43" x14ac:dyDescent="0.25">
      <c r="A30" s="7" t="s">
        <v>0</v>
      </c>
      <c r="B30" s="9">
        <v>4429764066.5956898</v>
      </c>
      <c r="C30" s="9">
        <v>4499625475.8874197</v>
      </c>
      <c r="D30" s="9">
        <v>4560237504.2799997</v>
      </c>
      <c r="E30" s="9">
        <v>4621285453.0506802</v>
      </c>
      <c r="F30" s="9">
        <v>4668734469.6926403</v>
      </c>
      <c r="G30" s="9">
        <v>4728956628.2515001</v>
      </c>
      <c r="H30" s="9">
        <v>4780625458.9574404</v>
      </c>
      <c r="I30" s="9">
        <v>4835004058.4001598</v>
      </c>
      <c r="J30" s="9">
        <v>4893436969.2638102</v>
      </c>
      <c r="K30" s="9">
        <v>4949677613.3267498</v>
      </c>
      <c r="L30" s="9">
        <v>5011054440.0859003</v>
      </c>
      <c r="M30" s="9">
        <v>5052485197.99049</v>
      </c>
      <c r="N30" s="9">
        <v>5086452166.32864</v>
      </c>
      <c r="O30" s="9">
        <v>5150104096.0911198</v>
      </c>
      <c r="P30" s="9">
        <v>5225047763.8262997</v>
      </c>
      <c r="Q30" s="9">
        <v>5310432176.2950001</v>
      </c>
      <c r="R30" s="9">
        <v>5386938941.0993996</v>
      </c>
      <c r="S30" s="9">
        <v>5474327037.1534996</v>
      </c>
      <c r="T30" s="9">
        <v>5550769987.7414999</v>
      </c>
      <c r="U30" s="9">
        <v>5595547719.5725002</v>
      </c>
      <c r="V30" s="9">
        <v>5609760421.9152002</v>
      </c>
      <c r="W30" s="9">
        <v>5414972250.1166</v>
      </c>
      <c r="X30" s="9">
        <v>5559286973.6788998</v>
      </c>
      <c r="Y30" s="9">
        <v>5499936659.4553003</v>
      </c>
      <c r="Z30" s="9">
        <v>5438095687.5068998</v>
      </c>
      <c r="AA30" s="9">
        <v>5413009923.8699999</v>
      </c>
      <c r="AB30" s="9">
        <v>5404473702.0356998</v>
      </c>
      <c r="AC30" s="9">
        <v>5388135339.8748999</v>
      </c>
      <c r="AD30" s="9">
        <v>5408719855.7293997</v>
      </c>
      <c r="AE30" s="9">
        <v>5415772009.4789</v>
      </c>
      <c r="AF30" s="9">
        <v>5435155543.7309599</v>
      </c>
      <c r="AG30" s="9">
        <v>5456009296.4370003</v>
      </c>
      <c r="AH30" s="9">
        <v>5470678070.2728996</v>
      </c>
      <c r="AI30" s="9">
        <v>5449896495.4805002</v>
      </c>
      <c r="AJ30" s="9">
        <v>5404433425.8936996</v>
      </c>
      <c r="AK30" s="9">
        <v>5354228321.3322001</v>
      </c>
      <c r="AL30" s="9">
        <v>5303132440</v>
      </c>
      <c r="AM30" s="9">
        <v>5274058920</v>
      </c>
      <c r="AN30" s="9">
        <v>5267424850</v>
      </c>
      <c r="AO30" s="9">
        <v>5283261037.7608585</v>
      </c>
      <c r="AP30" s="9">
        <v>5301595445.7906809</v>
      </c>
      <c r="AQ30" s="9">
        <v>5320272475.483448</v>
      </c>
    </row>
    <row r="31" spans="1:43" x14ac:dyDescent="0.25">
      <c r="A31" s="7" t="s">
        <v>1</v>
      </c>
      <c r="B31" s="9">
        <v>27427701.43</v>
      </c>
      <c r="C31" s="9">
        <v>27389457.039999999</v>
      </c>
      <c r="D31" s="9">
        <v>27699043.059999999</v>
      </c>
      <c r="E31" s="9">
        <v>27766908.539999999</v>
      </c>
      <c r="F31" s="9">
        <v>27286064.789999999</v>
      </c>
      <c r="G31" s="9">
        <v>27844363.5</v>
      </c>
      <c r="H31" s="9">
        <v>27827809.940000001</v>
      </c>
      <c r="I31" s="9">
        <v>27574344.530000001</v>
      </c>
      <c r="J31" s="9">
        <v>26741561.510000002</v>
      </c>
      <c r="K31" s="9">
        <v>25997847.43</v>
      </c>
      <c r="L31" s="9">
        <v>25419246.079999998</v>
      </c>
      <c r="M31" s="9">
        <v>25756756.93</v>
      </c>
      <c r="N31" s="9">
        <v>25367945.920000002</v>
      </c>
      <c r="O31" s="9">
        <v>24605382.789999999</v>
      </c>
      <c r="P31" s="9">
        <v>23380516.16</v>
      </c>
      <c r="Q31" s="9">
        <v>22713934.420000002</v>
      </c>
      <c r="R31" s="9">
        <v>21882491</v>
      </c>
      <c r="S31" s="9">
        <v>21169041.890000001</v>
      </c>
      <c r="T31" s="9">
        <v>19979991.32</v>
      </c>
      <c r="U31" s="9">
        <v>19320006.170000002</v>
      </c>
      <c r="V31" s="9">
        <v>18792096.439999998</v>
      </c>
      <c r="W31" s="9">
        <v>18261299.32</v>
      </c>
      <c r="X31" s="9">
        <v>19141140.709999997</v>
      </c>
      <c r="Y31" s="9">
        <v>19897105.669999998</v>
      </c>
      <c r="Z31" s="9">
        <v>20328904.350000001</v>
      </c>
      <c r="AA31" s="9">
        <v>21260193.359999999</v>
      </c>
      <c r="AB31" s="9">
        <v>22313240.68</v>
      </c>
      <c r="AC31" s="9">
        <v>23632398.199999999</v>
      </c>
      <c r="AD31" s="9">
        <v>25576875.210000001</v>
      </c>
      <c r="AE31" s="9">
        <v>26522130.240000002</v>
      </c>
      <c r="AF31" s="9">
        <v>27886759.740000002</v>
      </c>
      <c r="AG31" s="9">
        <v>27757007.379999999</v>
      </c>
      <c r="AH31" s="9">
        <v>27332383.84</v>
      </c>
      <c r="AI31" s="9">
        <v>27309515.780000001</v>
      </c>
      <c r="AJ31" s="9">
        <v>27673278.609999999</v>
      </c>
      <c r="AK31" s="9">
        <v>28192704.129999999</v>
      </c>
      <c r="AL31" s="9">
        <v>28367200</v>
      </c>
      <c r="AM31" s="9">
        <v>28037920</v>
      </c>
      <c r="AN31" s="9">
        <v>27591580</v>
      </c>
      <c r="AO31" s="9">
        <v>27391392.259999994</v>
      </c>
      <c r="AP31" s="9">
        <v>26590637.929999996</v>
      </c>
      <c r="AQ31" s="9">
        <v>25914528.20999999</v>
      </c>
    </row>
    <row r="32" spans="1:43" x14ac:dyDescent="0.25">
      <c r="A32" s="7" t="s">
        <v>45</v>
      </c>
      <c r="B32" s="9">
        <v>76079157.74000001</v>
      </c>
      <c r="C32" s="9">
        <v>74278104.25</v>
      </c>
      <c r="D32" s="9">
        <v>74592476.230000004</v>
      </c>
      <c r="E32" s="9">
        <v>73148064.530000001</v>
      </c>
      <c r="F32" s="9">
        <v>70500856.049999997</v>
      </c>
      <c r="G32" s="9">
        <v>67893902.349999994</v>
      </c>
      <c r="H32" s="9">
        <v>63715798.480000004</v>
      </c>
      <c r="I32" s="9">
        <v>65472617.689999998</v>
      </c>
      <c r="J32" s="9">
        <v>67527133.989999995</v>
      </c>
      <c r="K32" s="9">
        <v>68712517.840000004</v>
      </c>
      <c r="L32" s="9">
        <v>67234805.179999992</v>
      </c>
      <c r="M32" s="9">
        <v>67613935.560000002</v>
      </c>
      <c r="N32" s="9">
        <v>73280041.939999998</v>
      </c>
      <c r="O32" s="9">
        <v>73187075.679999992</v>
      </c>
      <c r="P32" s="9">
        <v>70738114.739999995</v>
      </c>
      <c r="Q32" s="9">
        <v>74106899.450000003</v>
      </c>
      <c r="R32" s="9">
        <v>72202567.290000007</v>
      </c>
      <c r="S32" s="9">
        <v>69548686.569999993</v>
      </c>
      <c r="T32" s="9">
        <v>71655681.620000005</v>
      </c>
      <c r="U32" s="9">
        <v>77665369.700000003</v>
      </c>
      <c r="V32" s="9">
        <v>84616982.710000008</v>
      </c>
      <c r="W32" s="9">
        <v>84426981.019999996</v>
      </c>
      <c r="X32" s="9">
        <v>83025204.850000009</v>
      </c>
      <c r="Y32" s="9">
        <v>88249793.140000001</v>
      </c>
      <c r="Z32" s="9">
        <v>98907161.579999998</v>
      </c>
      <c r="AA32" s="9">
        <v>92214186.489999995</v>
      </c>
      <c r="AB32" s="9">
        <v>95672765.549999997</v>
      </c>
      <c r="AC32" s="9">
        <v>96097032.99000001</v>
      </c>
      <c r="AD32" s="9">
        <v>93749627.970000014</v>
      </c>
      <c r="AE32" s="9">
        <v>97869218.609999999</v>
      </c>
      <c r="AF32" s="9">
        <v>97421554.239999995</v>
      </c>
      <c r="AG32" s="9">
        <v>101884242.33</v>
      </c>
      <c r="AH32" s="9">
        <v>106492550.83</v>
      </c>
      <c r="AI32" s="9">
        <v>116166070.97999999</v>
      </c>
      <c r="AJ32" s="9">
        <v>116645840.10000001</v>
      </c>
      <c r="AK32" s="9">
        <v>115869274.56</v>
      </c>
      <c r="AL32" s="9">
        <v>126625690</v>
      </c>
      <c r="AM32" s="9">
        <v>127915860</v>
      </c>
      <c r="AN32" s="9">
        <v>121938530</v>
      </c>
      <c r="AO32" s="9">
        <v>116866013.78999998</v>
      </c>
      <c r="AP32" s="9">
        <v>117791450.43000004</v>
      </c>
      <c r="AQ32" s="9">
        <v>119151184.55999996</v>
      </c>
    </row>
    <row r="33" spans="1:43" x14ac:dyDescent="0.25">
      <c r="A33" s="6" t="s">
        <v>46</v>
      </c>
      <c r="B33" s="9">
        <v>131904397.56999999</v>
      </c>
      <c r="C33" s="9">
        <v>136315910.10000002</v>
      </c>
      <c r="D33" s="9">
        <v>139971857.65000001</v>
      </c>
      <c r="E33" s="9">
        <v>142488124.02000001</v>
      </c>
      <c r="F33" s="9">
        <v>145399549.11000001</v>
      </c>
      <c r="G33" s="9">
        <v>147080838.41</v>
      </c>
      <c r="H33" s="9">
        <v>148348223.96000004</v>
      </c>
      <c r="I33" s="9">
        <v>148949424.49999997</v>
      </c>
      <c r="J33" s="9">
        <v>148678452.55000001</v>
      </c>
      <c r="K33" s="9">
        <v>147460707.10000002</v>
      </c>
      <c r="L33" s="9">
        <v>146267435.36000001</v>
      </c>
      <c r="M33" s="9">
        <v>143912899.25000003</v>
      </c>
      <c r="N33" s="9">
        <v>141135438.43000001</v>
      </c>
      <c r="O33" s="9">
        <v>139248577.59</v>
      </c>
      <c r="P33" s="9">
        <v>140249118.17099997</v>
      </c>
      <c r="Q33" s="9">
        <v>142578595.54999998</v>
      </c>
      <c r="R33" s="9">
        <v>142198365.49000001</v>
      </c>
      <c r="S33" s="9">
        <v>140203009.25</v>
      </c>
      <c r="T33" s="9">
        <v>139141320.40000001</v>
      </c>
      <c r="U33" s="9">
        <v>136267950.82800001</v>
      </c>
      <c r="V33" s="9">
        <v>135803679.06999999</v>
      </c>
      <c r="W33" s="9">
        <v>128987096.638</v>
      </c>
      <c r="X33" s="9">
        <v>128203382.65000001</v>
      </c>
      <c r="Y33" s="9">
        <v>122832573.05</v>
      </c>
      <c r="Z33" s="9">
        <v>117997667.83</v>
      </c>
      <c r="AA33" s="9">
        <v>115001731.36</v>
      </c>
      <c r="AB33" s="9">
        <v>113773613.37</v>
      </c>
      <c r="AC33" s="9">
        <v>111540161.03999999</v>
      </c>
      <c r="AD33" s="9">
        <v>111031966.08000001</v>
      </c>
      <c r="AE33" s="9">
        <v>113690744.06999999</v>
      </c>
      <c r="AF33" s="9">
        <v>120652748.47999999</v>
      </c>
      <c r="AG33" s="9">
        <v>127887740.81</v>
      </c>
      <c r="AH33" s="9">
        <v>133505900.73999999</v>
      </c>
      <c r="AI33" s="9">
        <v>135611242.36000001</v>
      </c>
      <c r="AJ33" s="9">
        <v>136706240.73000002</v>
      </c>
      <c r="AK33" s="9">
        <v>136907958.75</v>
      </c>
      <c r="AL33" s="9">
        <v>137231620</v>
      </c>
      <c r="AM33" s="9">
        <v>136741100</v>
      </c>
      <c r="AN33" s="9">
        <v>139470330</v>
      </c>
      <c r="AO33" s="9">
        <v>140210443.74000001</v>
      </c>
      <c r="AP33" s="9">
        <v>140887525.63</v>
      </c>
      <c r="AQ33" s="9">
        <v>141929563.46000001</v>
      </c>
    </row>
    <row r="34" spans="1:43" x14ac:dyDescent="0.25">
      <c r="A34" s="7" t="s">
        <v>0</v>
      </c>
      <c r="B34" s="9">
        <v>125639048.08</v>
      </c>
      <c r="C34" s="9">
        <v>130110624.68000001</v>
      </c>
      <c r="D34" s="9">
        <v>133184615.52000001</v>
      </c>
      <c r="E34" s="9">
        <v>135882154.13</v>
      </c>
      <c r="F34" s="9">
        <v>138989860.30000001</v>
      </c>
      <c r="G34" s="9">
        <v>141066344.34</v>
      </c>
      <c r="H34" s="9">
        <v>142983484.08000001</v>
      </c>
      <c r="I34" s="9">
        <v>143818235.82999998</v>
      </c>
      <c r="J34" s="9">
        <v>143727204.38</v>
      </c>
      <c r="K34" s="9">
        <v>142767618.52000001</v>
      </c>
      <c r="L34" s="9">
        <v>141955225.53</v>
      </c>
      <c r="M34" s="9">
        <v>139738351.08000001</v>
      </c>
      <c r="N34" s="9">
        <v>136399673.56999999</v>
      </c>
      <c r="O34" s="9">
        <v>134646204.15000001</v>
      </c>
      <c r="P34" s="9">
        <v>136340062.13099998</v>
      </c>
      <c r="Q34" s="9">
        <v>139154403.5</v>
      </c>
      <c r="R34" s="9">
        <v>138951730.99000001</v>
      </c>
      <c r="S34" s="9">
        <v>137202830.29999998</v>
      </c>
      <c r="T34" s="9">
        <v>136302870.56</v>
      </c>
      <c r="U34" s="9">
        <v>132968804.87800001</v>
      </c>
      <c r="V34" s="9">
        <v>132532282.52</v>
      </c>
      <c r="W34" s="9">
        <v>125770635.478</v>
      </c>
      <c r="X34" s="9">
        <v>125046511.09</v>
      </c>
      <c r="Y34" s="9">
        <v>119462033.33</v>
      </c>
      <c r="Z34" s="9">
        <v>114237229.83999999</v>
      </c>
      <c r="AA34" s="9">
        <v>111047110.15000001</v>
      </c>
      <c r="AB34" s="9">
        <v>109381220.97</v>
      </c>
      <c r="AC34" s="9">
        <v>107070514.48</v>
      </c>
      <c r="AD34" s="9">
        <v>106754557.2</v>
      </c>
      <c r="AE34" s="9">
        <v>109083597.45999999</v>
      </c>
      <c r="AF34" s="9">
        <v>116023669.53</v>
      </c>
      <c r="AG34" s="9">
        <v>123279639.09</v>
      </c>
      <c r="AH34" s="9">
        <v>128793514.34999999</v>
      </c>
      <c r="AI34" s="9">
        <v>130937985.06</v>
      </c>
      <c r="AJ34" s="9">
        <v>131640243.29000001</v>
      </c>
      <c r="AK34" s="9">
        <v>131429504.16</v>
      </c>
      <c r="AL34" s="9">
        <v>131275170</v>
      </c>
      <c r="AM34" s="9">
        <v>130692650</v>
      </c>
      <c r="AN34" s="9">
        <v>133528320</v>
      </c>
      <c r="AO34" s="9">
        <v>134402780.78000003</v>
      </c>
      <c r="AP34" s="9">
        <v>135244955.13999999</v>
      </c>
      <c r="AQ34" s="9">
        <v>136560251.30000001</v>
      </c>
    </row>
    <row r="35" spans="1:43" x14ac:dyDescent="0.25">
      <c r="A35" s="7" t="s">
        <v>1</v>
      </c>
      <c r="B35" s="9">
        <v>1371175.44</v>
      </c>
      <c r="C35" s="9">
        <v>1343911.17</v>
      </c>
      <c r="D35" s="9">
        <v>1361955.37</v>
      </c>
      <c r="E35" s="9">
        <v>1523576.12</v>
      </c>
      <c r="F35" s="9">
        <v>1460554.05</v>
      </c>
      <c r="G35" s="9">
        <v>1524362.81</v>
      </c>
      <c r="H35" s="9">
        <v>1468195.55</v>
      </c>
      <c r="I35" s="9">
        <v>1414174.92</v>
      </c>
      <c r="J35" s="9">
        <v>1390580.52</v>
      </c>
      <c r="K35" s="9">
        <v>1382607.55</v>
      </c>
      <c r="L35" s="9">
        <v>1361780.81</v>
      </c>
      <c r="M35" s="9">
        <v>1372540.37</v>
      </c>
      <c r="N35" s="9">
        <v>1381306.09</v>
      </c>
      <c r="O35" s="9">
        <v>1359471.95</v>
      </c>
      <c r="P35" s="9">
        <v>1256742.17</v>
      </c>
      <c r="Q35" s="9">
        <v>1221284.95</v>
      </c>
      <c r="R35" s="9">
        <v>1200962.24</v>
      </c>
      <c r="S35" s="9">
        <v>1160078.08</v>
      </c>
      <c r="T35" s="9">
        <v>1112410.26</v>
      </c>
      <c r="U35" s="9">
        <v>1093787.56</v>
      </c>
      <c r="V35" s="9">
        <v>1008210.13</v>
      </c>
      <c r="W35" s="9">
        <v>970474.99</v>
      </c>
      <c r="X35" s="9">
        <v>1078833.26</v>
      </c>
      <c r="Y35" s="9">
        <v>1207145.96</v>
      </c>
      <c r="Z35" s="9">
        <v>1274408.68</v>
      </c>
      <c r="AA35" s="9">
        <v>1460836.21</v>
      </c>
      <c r="AB35" s="9">
        <v>1557889.56</v>
      </c>
      <c r="AC35" s="9">
        <v>1596735.49</v>
      </c>
      <c r="AD35" s="9">
        <v>1585392.62</v>
      </c>
      <c r="AE35" s="9">
        <v>1658093.95</v>
      </c>
      <c r="AF35" s="9">
        <v>1712964.21</v>
      </c>
      <c r="AG35" s="9">
        <v>1690089.22</v>
      </c>
      <c r="AH35" s="9">
        <v>1750524.37</v>
      </c>
      <c r="AI35" s="9">
        <v>1727817.12</v>
      </c>
      <c r="AJ35" s="9">
        <v>1750776.52</v>
      </c>
      <c r="AK35" s="9">
        <v>1902387.3</v>
      </c>
      <c r="AL35" s="9">
        <v>1994600</v>
      </c>
      <c r="AM35" s="9">
        <v>1972570</v>
      </c>
      <c r="AN35" s="9">
        <v>1889210</v>
      </c>
      <c r="AO35" s="9">
        <v>1894353.3900000001</v>
      </c>
      <c r="AP35" s="9">
        <v>1803574.9300000002</v>
      </c>
      <c r="AQ35" s="9">
        <v>1746990.1000000003</v>
      </c>
    </row>
    <row r="36" spans="1:43" x14ac:dyDescent="0.25">
      <c r="A36" s="7" t="s">
        <v>45</v>
      </c>
      <c r="B36" s="9">
        <v>4894174.0500000007</v>
      </c>
      <c r="C36" s="9">
        <v>4861374.25</v>
      </c>
      <c r="D36" s="9">
        <v>5425286.7600000007</v>
      </c>
      <c r="E36" s="9">
        <v>5082393.7699999996</v>
      </c>
      <c r="F36" s="9">
        <v>4949134.76</v>
      </c>
      <c r="G36" s="9">
        <v>4490131.2600000007</v>
      </c>
      <c r="H36" s="9">
        <v>3896544.33</v>
      </c>
      <c r="I36" s="9">
        <v>3717013.75</v>
      </c>
      <c r="J36" s="9">
        <v>3560667.65</v>
      </c>
      <c r="K36" s="9">
        <v>3310481.0300000003</v>
      </c>
      <c r="L36" s="9">
        <v>2950429.02</v>
      </c>
      <c r="M36" s="9">
        <v>2802007.8</v>
      </c>
      <c r="N36" s="9">
        <v>3354458.77</v>
      </c>
      <c r="O36" s="9">
        <v>3242901.4899999998</v>
      </c>
      <c r="P36" s="9">
        <v>2652313.8699999996</v>
      </c>
      <c r="Q36" s="9">
        <v>2202907.1</v>
      </c>
      <c r="R36" s="9">
        <v>2045672.2599999998</v>
      </c>
      <c r="S36" s="9">
        <v>1840100.87</v>
      </c>
      <c r="T36" s="9">
        <v>1726039.58</v>
      </c>
      <c r="U36" s="9">
        <v>2205358.39</v>
      </c>
      <c r="V36" s="9">
        <v>2263186.42</v>
      </c>
      <c r="W36" s="9">
        <v>2245986.17</v>
      </c>
      <c r="X36" s="9">
        <v>2078038.2999999998</v>
      </c>
      <c r="Y36" s="9">
        <v>2163393.7599999998</v>
      </c>
      <c r="Z36" s="9">
        <v>2486029.31</v>
      </c>
      <c r="AA36" s="9">
        <v>2493785</v>
      </c>
      <c r="AB36" s="9">
        <v>2834502.84</v>
      </c>
      <c r="AC36" s="9">
        <v>2872911.07</v>
      </c>
      <c r="AD36" s="9">
        <v>2692016.2600000002</v>
      </c>
      <c r="AE36" s="9">
        <v>2949052.6599999997</v>
      </c>
      <c r="AF36" s="9">
        <v>2916114.74</v>
      </c>
      <c r="AG36" s="9">
        <v>2918012.5</v>
      </c>
      <c r="AH36" s="9">
        <v>2961862.0200000005</v>
      </c>
      <c r="AI36" s="9">
        <v>2945440.18</v>
      </c>
      <c r="AJ36" s="9">
        <v>3315220.92</v>
      </c>
      <c r="AK36" s="9">
        <v>3576067.29</v>
      </c>
      <c r="AL36" s="9">
        <v>3961850</v>
      </c>
      <c r="AM36" s="9">
        <v>4075880</v>
      </c>
      <c r="AN36" s="9">
        <v>4052800</v>
      </c>
      <c r="AO36" s="9">
        <v>3913309.5700000008</v>
      </c>
      <c r="AP36" s="9">
        <v>3838995.5600000005</v>
      </c>
      <c r="AQ36" s="9">
        <v>3622322.0599999996</v>
      </c>
    </row>
    <row r="37" spans="1:43" x14ac:dyDescent="0.25">
      <c r="A37" s="6" t="s">
        <v>48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</row>
    <row r="38" spans="1:43" x14ac:dyDescent="0.25">
      <c r="A38" s="7" t="s">
        <v>0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</row>
    <row r="39" spans="1:43" x14ac:dyDescent="0.25">
      <c r="A39" s="7" t="s">
        <v>1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</row>
    <row r="40" spans="1:43" x14ac:dyDescent="0.25">
      <c r="A40" s="7" t="s">
        <v>45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</row>
    <row r="41" spans="1:43" x14ac:dyDescent="0.25">
      <c r="A41" s="5" t="s">
        <v>55</v>
      </c>
      <c r="B41" s="9">
        <v>45162788.134290002</v>
      </c>
      <c r="C41" s="9">
        <v>45105576.846200004</v>
      </c>
      <c r="D41" s="9">
        <v>45547198.64097999</v>
      </c>
      <c r="E41" s="9">
        <v>45928039.019409999</v>
      </c>
      <c r="F41" s="9">
        <v>46619589.287250005</v>
      </c>
      <c r="G41" s="9">
        <v>47843867.198679999</v>
      </c>
      <c r="H41" s="9">
        <v>48067902.091170013</v>
      </c>
      <c r="I41" s="9">
        <v>48882164.755509995</v>
      </c>
      <c r="J41" s="9">
        <v>49314138.933880009</v>
      </c>
      <c r="K41" s="9">
        <v>49576963.526040003</v>
      </c>
      <c r="L41" s="9">
        <v>50062699.891489998</v>
      </c>
      <c r="M41" s="9">
        <v>50521830.861619994</v>
      </c>
      <c r="N41" s="9">
        <v>50600969.750960022</v>
      </c>
      <c r="O41" s="9">
        <v>52278485.527160004</v>
      </c>
      <c r="P41" s="9">
        <v>51313506.001960009</v>
      </c>
      <c r="Q41" s="9">
        <v>51131396.81363</v>
      </c>
      <c r="R41" s="9">
        <v>52943345.562240012</v>
      </c>
      <c r="S41" s="9">
        <v>53856154.842179999</v>
      </c>
      <c r="T41" s="9">
        <v>54728529.331499994</v>
      </c>
      <c r="U41" s="9">
        <v>55117329.575120002</v>
      </c>
      <c r="V41" s="9">
        <v>55444386.454790011</v>
      </c>
      <c r="W41" s="9">
        <v>54898538.35036999</v>
      </c>
      <c r="X41" s="9">
        <v>54697844.929200009</v>
      </c>
      <c r="Y41" s="9">
        <v>53610868.086790003</v>
      </c>
      <c r="Z41" s="9">
        <v>53181320.622800007</v>
      </c>
      <c r="AA41" s="9">
        <v>52635084.316100001</v>
      </c>
      <c r="AB41" s="9">
        <v>52962030.174660005</v>
      </c>
      <c r="AC41" s="9">
        <v>52442582.753480002</v>
      </c>
      <c r="AD41" s="9">
        <v>53141322.892029993</v>
      </c>
      <c r="AE41" s="9">
        <v>52625984.762399994</v>
      </c>
      <c r="AF41" s="9">
        <v>52718848.316250004</v>
      </c>
      <c r="AG41" s="9">
        <v>52365920.867119998</v>
      </c>
      <c r="AH41" s="9">
        <v>52893211.296969995</v>
      </c>
      <c r="AI41" s="9">
        <v>53132376.974290006</v>
      </c>
      <c r="AJ41" s="9">
        <v>52210016.460369997</v>
      </c>
      <c r="AK41" s="9">
        <v>51642841.095589995</v>
      </c>
      <c r="AL41" s="9">
        <v>50800362.227430001</v>
      </c>
      <c r="AM41" s="9">
        <v>50060188.605800003</v>
      </c>
      <c r="AN41" s="9">
        <v>50213056.65851</v>
      </c>
      <c r="AO41" s="9">
        <v>50038913.801440001</v>
      </c>
      <c r="AP41" s="9">
        <v>50124422.404239997</v>
      </c>
      <c r="AQ41" s="9">
        <v>49891439.605410002</v>
      </c>
    </row>
    <row r="42" spans="1:43" x14ac:dyDescent="0.25">
      <c r="A42" s="6" t="s">
        <v>49</v>
      </c>
      <c r="B42" s="9">
        <v>667207.51764999982</v>
      </c>
      <c r="C42" s="9">
        <v>670009.60309000011</v>
      </c>
      <c r="D42" s="9">
        <v>673048.19731000008</v>
      </c>
      <c r="E42" s="9">
        <v>673750.13713000016</v>
      </c>
      <c r="F42" s="9">
        <v>692627.75328000006</v>
      </c>
      <c r="G42" s="9">
        <v>706046.71965999994</v>
      </c>
      <c r="H42" s="9">
        <v>719504.39517000003</v>
      </c>
      <c r="I42" s="9">
        <v>719866.56871000014</v>
      </c>
      <c r="J42" s="9">
        <v>731291.92590999999</v>
      </c>
      <c r="K42" s="9">
        <v>725726.94841000007</v>
      </c>
      <c r="L42" s="9">
        <v>725232.18316000013</v>
      </c>
      <c r="M42" s="9">
        <v>726579.06013000011</v>
      </c>
      <c r="N42" s="9">
        <v>713731.00691</v>
      </c>
      <c r="O42" s="9">
        <v>720188.34189000004</v>
      </c>
      <c r="P42" s="9">
        <v>730210.28677000012</v>
      </c>
      <c r="Q42" s="9">
        <v>699037.55135999992</v>
      </c>
      <c r="R42" s="9">
        <v>709395.18542999995</v>
      </c>
      <c r="S42" s="9">
        <v>705751.41998000001</v>
      </c>
      <c r="T42" s="9">
        <v>710814.90422999999</v>
      </c>
      <c r="U42" s="9">
        <v>720146.27859999996</v>
      </c>
      <c r="V42" s="9">
        <v>736169.9362900001</v>
      </c>
      <c r="W42" s="9">
        <v>756469.30180000002</v>
      </c>
      <c r="X42" s="9">
        <v>748091.1801</v>
      </c>
      <c r="Y42" s="9">
        <v>739547.59044000006</v>
      </c>
      <c r="Z42" s="9">
        <v>724966.02453000005</v>
      </c>
      <c r="AA42" s="9">
        <v>722206.70796999999</v>
      </c>
      <c r="AB42" s="9">
        <v>746118.00072999997</v>
      </c>
      <c r="AC42" s="9">
        <v>733944.94741999998</v>
      </c>
      <c r="AD42" s="9">
        <v>734782.88392999989</v>
      </c>
      <c r="AE42" s="9">
        <v>745669.68340999994</v>
      </c>
      <c r="AF42" s="9">
        <v>738711.91457999998</v>
      </c>
      <c r="AG42" s="9">
        <v>733776.58684</v>
      </c>
      <c r="AH42" s="9">
        <v>726288.55507999985</v>
      </c>
      <c r="AI42" s="9">
        <v>709605.19472000015</v>
      </c>
      <c r="AJ42" s="9">
        <v>705758.56461</v>
      </c>
      <c r="AK42" s="9">
        <v>705001.83976000012</v>
      </c>
      <c r="AL42" s="9">
        <v>699451.4161700001</v>
      </c>
      <c r="AM42" s="9">
        <v>692464.60123000015</v>
      </c>
      <c r="AN42" s="9">
        <v>702885.50328999991</v>
      </c>
      <c r="AO42" s="9">
        <v>699109.99210999988</v>
      </c>
      <c r="AP42" s="9">
        <v>695214.49763999996</v>
      </c>
      <c r="AQ42" s="9">
        <v>719198.54771000007</v>
      </c>
    </row>
    <row r="43" spans="1:43" x14ac:dyDescent="0.25">
      <c r="A43" s="7" t="s">
        <v>0</v>
      </c>
      <c r="B43" s="9">
        <v>665985.95767999988</v>
      </c>
      <c r="C43" s="9">
        <v>668295.4349600001</v>
      </c>
      <c r="D43" s="9">
        <v>670298.56296000013</v>
      </c>
      <c r="E43" s="9">
        <v>672046.15388000011</v>
      </c>
      <c r="F43" s="9">
        <v>689810.31454000005</v>
      </c>
      <c r="G43" s="9">
        <v>705493.21008999995</v>
      </c>
      <c r="H43" s="9">
        <v>718664.67500000005</v>
      </c>
      <c r="I43" s="9">
        <v>719693.4135400001</v>
      </c>
      <c r="J43" s="9">
        <v>729790.25061999995</v>
      </c>
      <c r="K43" s="9">
        <v>723266.39976000006</v>
      </c>
      <c r="L43" s="9">
        <v>722442.33619000018</v>
      </c>
      <c r="M43" s="9">
        <v>721452.49780000013</v>
      </c>
      <c r="N43" s="9">
        <v>711480.93400000001</v>
      </c>
      <c r="O43" s="9">
        <v>715963.37380000006</v>
      </c>
      <c r="P43" s="9">
        <v>729219.81802000012</v>
      </c>
      <c r="Q43" s="9">
        <v>697949.81753999996</v>
      </c>
      <c r="R43" s="9">
        <v>706952.42346999992</v>
      </c>
      <c r="S43" s="9">
        <v>700334.79981</v>
      </c>
      <c r="T43" s="9">
        <v>708799.66252000001</v>
      </c>
      <c r="U43" s="9">
        <v>717331.45094000001</v>
      </c>
      <c r="V43" s="9">
        <v>734046.90281</v>
      </c>
      <c r="W43" s="9">
        <v>754404.60828000004</v>
      </c>
      <c r="X43" s="9">
        <v>747872.69365999999</v>
      </c>
      <c r="Y43" s="9">
        <v>739334.76435000007</v>
      </c>
      <c r="Z43" s="9">
        <v>724654.96454000007</v>
      </c>
      <c r="AA43" s="9">
        <v>721248.57938000001</v>
      </c>
      <c r="AB43" s="9">
        <v>744396.76590999996</v>
      </c>
      <c r="AC43" s="9">
        <v>733403.13084</v>
      </c>
      <c r="AD43" s="9">
        <v>733993.32915999985</v>
      </c>
      <c r="AE43" s="9">
        <v>745270.32528999995</v>
      </c>
      <c r="AF43" s="9">
        <v>738266.32785</v>
      </c>
      <c r="AG43" s="9">
        <v>733177.32174000004</v>
      </c>
      <c r="AH43" s="9">
        <v>721425.86846999987</v>
      </c>
      <c r="AI43" s="9">
        <v>708536.18403000012</v>
      </c>
      <c r="AJ43" s="9">
        <v>704944.99072</v>
      </c>
      <c r="AK43" s="9">
        <v>704230.09209000017</v>
      </c>
      <c r="AL43" s="9">
        <v>690195.76175000006</v>
      </c>
      <c r="AM43" s="9">
        <v>691632.5257900001</v>
      </c>
      <c r="AN43" s="9">
        <v>701927.35299999989</v>
      </c>
      <c r="AO43" s="9">
        <v>697242.1918599999</v>
      </c>
      <c r="AP43" s="9">
        <v>693158.14173999999</v>
      </c>
      <c r="AQ43" s="9">
        <v>714935.22238000005</v>
      </c>
    </row>
    <row r="44" spans="1:43" x14ac:dyDescent="0.25">
      <c r="A44" s="7" t="s">
        <v>1</v>
      </c>
      <c r="B44" s="9">
        <v>851.11302000000001</v>
      </c>
      <c r="C44" s="9">
        <v>466.61926</v>
      </c>
      <c r="D44" s="9">
        <v>570.99908000000005</v>
      </c>
      <c r="E44" s="9">
        <v>147.37481</v>
      </c>
      <c r="F44" s="9">
        <v>190.60290000000001</v>
      </c>
      <c r="G44" s="9">
        <v>127.87584</v>
      </c>
      <c r="H44" s="9">
        <v>119.55804000000001</v>
      </c>
      <c r="I44" s="9">
        <v>122.87387</v>
      </c>
      <c r="J44" s="9">
        <v>112.87841</v>
      </c>
      <c r="K44" s="9">
        <v>112.31968999999999</v>
      </c>
      <c r="L44" s="9">
        <v>103.4948</v>
      </c>
      <c r="M44" s="9">
        <v>101.66498</v>
      </c>
      <c r="N44" s="9">
        <v>91.209209999999999</v>
      </c>
      <c r="O44" s="9">
        <v>84.996290000000002</v>
      </c>
      <c r="P44" s="9">
        <v>86.121139999999997</v>
      </c>
      <c r="Q44" s="9">
        <v>77.13588</v>
      </c>
      <c r="R44" s="9">
        <v>74.601759999999999</v>
      </c>
      <c r="S44" s="9">
        <v>61.90598</v>
      </c>
      <c r="T44" s="9">
        <v>62.76614</v>
      </c>
      <c r="U44" s="9">
        <v>56.746490000000001</v>
      </c>
      <c r="V44" s="9">
        <v>49.157539999999997</v>
      </c>
      <c r="W44" s="9">
        <v>44.69708</v>
      </c>
      <c r="X44" s="9">
        <v>34.930370000000003</v>
      </c>
      <c r="Y44" s="9">
        <v>2.4962599999999999</v>
      </c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</row>
    <row r="45" spans="1:43" x14ac:dyDescent="0.25">
      <c r="A45" s="7" t="s">
        <v>45</v>
      </c>
      <c r="B45" s="9">
        <v>370.44695000000002</v>
      </c>
      <c r="C45" s="9">
        <v>1247.5488700000001</v>
      </c>
      <c r="D45" s="9">
        <v>2178.6352700000002</v>
      </c>
      <c r="E45" s="9">
        <v>1556.60844</v>
      </c>
      <c r="F45" s="9">
        <v>2626.8358400000002</v>
      </c>
      <c r="G45" s="9">
        <v>425.63373000000001</v>
      </c>
      <c r="H45" s="9">
        <v>720.16213000000005</v>
      </c>
      <c r="I45" s="9">
        <v>50.281300000000002</v>
      </c>
      <c r="J45" s="9">
        <v>1388.7968800000001</v>
      </c>
      <c r="K45" s="9">
        <v>2348.2289599999999</v>
      </c>
      <c r="L45" s="9">
        <v>2686.3521700000001</v>
      </c>
      <c r="M45" s="9">
        <v>5024.8973499999993</v>
      </c>
      <c r="N45" s="9">
        <v>2158.8636999999999</v>
      </c>
      <c r="O45" s="9">
        <v>4139.9718000000003</v>
      </c>
      <c r="P45" s="9">
        <v>904.34761000000003</v>
      </c>
      <c r="Q45" s="9">
        <v>1010.59794</v>
      </c>
      <c r="R45" s="9">
        <v>2368.1602000000003</v>
      </c>
      <c r="S45" s="9">
        <v>5354.7141900000006</v>
      </c>
      <c r="T45" s="9">
        <v>1952.4755700000001</v>
      </c>
      <c r="U45" s="9">
        <v>2758.0811699999999</v>
      </c>
      <c r="V45" s="9">
        <v>2073.8759399999999</v>
      </c>
      <c r="W45" s="9">
        <v>2019.9964399999999</v>
      </c>
      <c r="X45" s="9">
        <v>183.55607000000001</v>
      </c>
      <c r="Y45" s="9">
        <v>210.32982999999999</v>
      </c>
      <c r="Z45" s="9">
        <v>311.05999000000003</v>
      </c>
      <c r="AA45" s="9">
        <v>958.12858999999992</v>
      </c>
      <c r="AB45" s="9">
        <v>1721.2348200000001</v>
      </c>
      <c r="AC45" s="9">
        <v>541.81658000000004</v>
      </c>
      <c r="AD45" s="9">
        <v>789.55476999999996</v>
      </c>
      <c r="AE45" s="9">
        <v>399.35811999999999</v>
      </c>
      <c r="AF45" s="9">
        <v>445.58672999999999</v>
      </c>
      <c r="AG45" s="9">
        <v>599.26509999999996</v>
      </c>
      <c r="AH45" s="9">
        <v>4862.6866099999997</v>
      </c>
      <c r="AI45" s="9">
        <v>1069.0106900000001</v>
      </c>
      <c r="AJ45" s="9">
        <v>813.57389000000001</v>
      </c>
      <c r="AK45" s="9">
        <v>771.74766999999986</v>
      </c>
      <c r="AL45" s="9">
        <v>9255.6544200000008</v>
      </c>
      <c r="AM45" s="9">
        <v>832.07543999999996</v>
      </c>
      <c r="AN45" s="9">
        <v>958.15029000000004</v>
      </c>
      <c r="AO45" s="9">
        <v>1867.8002499999998</v>
      </c>
      <c r="AP45" s="9">
        <v>2056.3559</v>
      </c>
      <c r="AQ45" s="9">
        <v>4263.3253299999997</v>
      </c>
    </row>
    <row r="46" spans="1:43" x14ac:dyDescent="0.25">
      <c r="A46" s="6" t="s">
        <v>47</v>
      </c>
      <c r="B46" s="9">
        <v>43205585.138659999</v>
      </c>
      <c r="C46" s="9">
        <v>43056064.970679998</v>
      </c>
      <c r="D46" s="9">
        <v>43511208.916059993</v>
      </c>
      <c r="E46" s="9">
        <v>43833934.401459999</v>
      </c>
      <c r="F46" s="9">
        <v>44495459.660990007</v>
      </c>
      <c r="G46" s="9">
        <v>45653940.110019997</v>
      </c>
      <c r="H46" s="9">
        <v>45863801.639450006</v>
      </c>
      <c r="I46" s="9">
        <v>46676472.645149998</v>
      </c>
      <c r="J46" s="9">
        <v>47084366.756920002</v>
      </c>
      <c r="K46" s="9">
        <v>47372781.281730004</v>
      </c>
      <c r="L46" s="9">
        <v>47878252.5484</v>
      </c>
      <c r="M46" s="9">
        <v>48357603.572819993</v>
      </c>
      <c r="N46" s="9">
        <v>48478708.410010017</v>
      </c>
      <c r="O46" s="9">
        <v>50158020.100670002</v>
      </c>
      <c r="P46" s="9">
        <v>49187928.066270009</v>
      </c>
      <c r="Q46" s="9">
        <v>49031073.825569995</v>
      </c>
      <c r="R46" s="9">
        <v>50830322.109270014</v>
      </c>
      <c r="S46" s="9">
        <v>51747820.772470005</v>
      </c>
      <c r="T46" s="9">
        <v>52635791.869119994</v>
      </c>
      <c r="U46" s="9">
        <v>53035936.70651</v>
      </c>
      <c r="V46" s="9">
        <v>53357980.636080004</v>
      </c>
      <c r="W46" s="9">
        <v>52822103.284329996</v>
      </c>
      <c r="X46" s="9">
        <v>52681481.949680008</v>
      </c>
      <c r="Y46" s="9">
        <v>51680523.630580008</v>
      </c>
      <c r="Z46" s="9">
        <v>51301950.960820004</v>
      </c>
      <c r="AA46" s="9">
        <v>50800108.833900005</v>
      </c>
      <c r="AB46" s="9">
        <v>51115183.282300003</v>
      </c>
      <c r="AC46" s="9">
        <v>50631128.849990003</v>
      </c>
      <c r="AD46" s="9">
        <v>51332421.600759998</v>
      </c>
      <c r="AE46" s="9">
        <v>50795754.377549998</v>
      </c>
      <c r="AF46" s="9">
        <v>50824743.3354</v>
      </c>
      <c r="AG46" s="9">
        <v>50427283.68626</v>
      </c>
      <c r="AH46" s="9">
        <v>50890064.354789995</v>
      </c>
      <c r="AI46" s="9">
        <v>51114755.337540008</v>
      </c>
      <c r="AJ46" s="9">
        <v>50196864.167400002</v>
      </c>
      <c r="AK46" s="9">
        <v>49637053.582970001</v>
      </c>
      <c r="AL46" s="9">
        <v>48835295.03328</v>
      </c>
      <c r="AM46" s="9">
        <v>48092986.490039997</v>
      </c>
      <c r="AN46" s="9">
        <v>48223793.868560001</v>
      </c>
      <c r="AO46" s="9">
        <v>48042783.616209999</v>
      </c>
      <c r="AP46" s="9">
        <v>48145893.475759998</v>
      </c>
      <c r="AQ46" s="9">
        <v>47884571.715010002</v>
      </c>
    </row>
    <row r="47" spans="1:43" x14ac:dyDescent="0.25">
      <c r="A47" s="7" t="s">
        <v>0</v>
      </c>
      <c r="B47" s="9">
        <v>42679740.686420001</v>
      </c>
      <c r="C47" s="9">
        <v>42483378.450580001</v>
      </c>
      <c r="D47" s="9">
        <v>43032824.033459991</v>
      </c>
      <c r="E47" s="9">
        <v>43310123.688479997</v>
      </c>
      <c r="F47" s="9">
        <v>44007107.481080011</v>
      </c>
      <c r="G47" s="9">
        <v>45151834.044129997</v>
      </c>
      <c r="H47" s="9">
        <v>45403715.706750005</v>
      </c>
      <c r="I47" s="9">
        <v>46266175.387929998</v>
      </c>
      <c r="J47" s="9">
        <v>46679848.789620005</v>
      </c>
      <c r="K47" s="9">
        <v>46922051.839220002</v>
      </c>
      <c r="L47" s="9">
        <v>47484450.437430002</v>
      </c>
      <c r="M47" s="9">
        <v>47949814.915359996</v>
      </c>
      <c r="N47" s="9">
        <v>48035699.521480016</v>
      </c>
      <c r="O47" s="9">
        <v>49709845.805150002</v>
      </c>
      <c r="P47" s="9">
        <v>48799927.318880007</v>
      </c>
      <c r="Q47" s="9">
        <v>48653520.234529994</v>
      </c>
      <c r="R47" s="9">
        <v>50399896.732940011</v>
      </c>
      <c r="S47" s="9">
        <v>51298282.448810004</v>
      </c>
      <c r="T47" s="9">
        <v>52237268.213559993</v>
      </c>
      <c r="U47" s="9">
        <v>52686394.652089998</v>
      </c>
      <c r="V47" s="9">
        <v>53030360.989690006</v>
      </c>
      <c r="W47" s="9">
        <v>52518059.753449999</v>
      </c>
      <c r="X47" s="9">
        <v>52363869.722930007</v>
      </c>
      <c r="Y47" s="9">
        <v>51318769.690140009</v>
      </c>
      <c r="Z47" s="9">
        <v>50921008.439790003</v>
      </c>
      <c r="AA47" s="9">
        <v>50400126.251560003</v>
      </c>
      <c r="AB47" s="9">
        <v>50694295.675379999</v>
      </c>
      <c r="AC47" s="9">
        <v>50243034.488350004</v>
      </c>
      <c r="AD47" s="9">
        <v>50880800.597709998</v>
      </c>
      <c r="AE47" s="9">
        <v>50349023.338699996</v>
      </c>
      <c r="AF47" s="9">
        <v>50393528.80951</v>
      </c>
      <c r="AG47" s="9">
        <v>49946696.546039999</v>
      </c>
      <c r="AH47" s="9">
        <v>50345810.972109996</v>
      </c>
      <c r="AI47" s="9">
        <v>50655706.687050007</v>
      </c>
      <c r="AJ47" s="9">
        <v>49757315.446550004</v>
      </c>
      <c r="AK47" s="9">
        <v>49191833.498860002</v>
      </c>
      <c r="AL47" s="9">
        <v>48326220.995240003</v>
      </c>
      <c r="AM47" s="9">
        <v>47582558.883619994</v>
      </c>
      <c r="AN47" s="9">
        <v>47673019.043990001</v>
      </c>
      <c r="AO47" s="9">
        <v>47581420.338809997</v>
      </c>
      <c r="AP47" s="9">
        <v>47677618.570220001</v>
      </c>
      <c r="AQ47" s="9">
        <v>47330399.988420002</v>
      </c>
    </row>
    <row r="48" spans="1:43" x14ac:dyDescent="0.25">
      <c r="A48" s="7" t="s">
        <v>1</v>
      </c>
      <c r="B48" s="9">
        <v>250744.815</v>
      </c>
      <c r="C48" s="9">
        <v>243244.43900000001</v>
      </c>
      <c r="D48" s="9">
        <v>237364.69089999999</v>
      </c>
      <c r="E48" s="9">
        <v>243821.92499999999</v>
      </c>
      <c r="F48" s="9">
        <v>222265.91329999999</v>
      </c>
      <c r="G48" s="9">
        <v>232806.84469999999</v>
      </c>
      <c r="H48" s="9">
        <v>272520.03950000001</v>
      </c>
      <c r="I48" s="9">
        <v>254236.32339999999</v>
      </c>
      <c r="J48" s="9">
        <v>245868.6728</v>
      </c>
      <c r="K48" s="9">
        <v>238785.57889999999</v>
      </c>
      <c r="L48" s="9">
        <v>233164.49100000001</v>
      </c>
      <c r="M48" s="9">
        <v>235985.6293</v>
      </c>
      <c r="N48" s="9">
        <v>228115.60370000001</v>
      </c>
      <c r="O48" s="9">
        <v>212913.68719999999</v>
      </c>
      <c r="P48" s="9">
        <v>210943.0171</v>
      </c>
      <c r="Q48" s="9">
        <v>195377.62849999999</v>
      </c>
      <c r="R48" s="9">
        <v>201987.47320000001</v>
      </c>
      <c r="S48" s="9">
        <v>176059.66140000001</v>
      </c>
      <c r="T48" s="9">
        <v>188582.46549999999</v>
      </c>
      <c r="U48" s="9">
        <v>181519.97399999999</v>
      </c>
      <c r="V48" s="9">
        <v>180614.43268</v>
      </c>
      <c r="W48" s="9">
        <v>176329.74721999999</v>
      </c>
      <c r="X48" s="9">
        <v>174779.79523999998</v>
      </c>
      <c r="Y48" s="9">
        <v>193615.86444</v>
      </c>
      <c r="Z48" s="9">
        <v>195137.78075000001</v>
      </c>
      <c r="AA48" s="9">
        <v>188855.60053</v>
      </c>
      <c r="AB48" s="9">
        <v>202178.74486000001</v>
      </c>
      <c r="AC48" s="9">
        <v>218807.39607000002</v>
      </c>
      <c r="AD48" s="9">
        <v>233998.65471999999</v>
      </c>
      <c r="AE48" s="9">
        <v>234251.82982000001</v>
      </c>
      <c r="AF48" s="9">
        <v>251008.36403000003</v>
      </c>
      <c r="AG48" s="9">
        <v>263050.29833999998</v>
      </c>
      <c r="AH48" s="9">
        <v>258055.64544999998</v>
      </c>
      <c r="AI48" s="9">
        <v>255778.86384999999</v>
      </c>
      <c r="AJ48" s="9">
        <v>250341.82316</v>
      </c>
      <c r="AK48" s="9">
        <v>249633.32303</v>
      </c>
      <c r="AL48" s="9">
        <v>259533.80981999999</v>
      </c>
      <c r="AM48" s="9">
        <v>251673.83399000001</v>
      </c>
      <c r="AN48" s="9">
        <v>233166.91939</v>
      </c>
      <c r="AO48" s="9">
        <v>240562.81505999999</v>
      </c>
      <c r="AP48" s="9">
        <v>225716.07649000001</v>
      </c>
      <c r="AQ48" s="9">
        <v>226808.24012</v>
      </c>
    </row>
    <row r="49" spans="1:43" x14ac:dyDescent="0.25">
      <c r="A49" s="7" t="s">
        <v>45</v>
      </c>
      <c r="B49" s="9">
        <v>275099.63724000001</v>
      </c>
      <c r="C49" s="9">
        <v>329442.08109999995</v>
      </c>
      <c r="D49" s="9">
        <v>241020.19169999994</v>
      </c>
      <c r="E49" s="9">
        <v>279988.78798000002</v>
      </c>
      <c r="F49" s="9">
        <v>266086.26660999993</v>
      </c>
      <c r="G49" s="9">
        <v>269299.22119000001</v>
      </c>
      <c r="H49" s="9">
        <v>187565.89320000002</v>
      </c>
      <c r="I49" s="9">
        <v>156060.93382000001</v>
      </c>
      <c r="J49" s="9">
        <v>158649.29449999996</v>
      </c>
      <c r="K49" s="9">
        <v>211943.86360999997</v>
      </c>
      <c r="L49" s="9">
        <v>160637.61997</v>
      </c>
      <c r="M49" s="9">
        <v>171803.02815999999</v>
      </c>
      <c r="N49" s="9">
        <v>214893.28483000002</v>
      </c>
      <c r="O49" s="9">
        <v>235260.60832</v>
      </c>
      <c r="P49" s="9">
        <v>177057.73029000001</v>
      </c>
      <c r="Q49" s="9">
        <v>182175.96254000004</v>
      </c>
      <c r="R49" s="9">
        <v>228437.90312999999</v>
      </c>
      <c r="S49" s="9">
        <v>273478.66226000001</v>
      </c>
      <c r="T49" s="9">
        <v>209941.19006000002</v>
      </c>
      <c r="U49" s="9">
        <v>168022.08042000001</v>
      </c>
      <c r="V49" s="9">
        <v>147005.21371000001</v>
      </c>
      <c r="W49" s="9">
        <v>127713.78366</v>
      </c>
      <c r="X49" s="9">
        <v>142832.43150999999</v>
      </c>
      <c r="Y49" s="9">
        <v>168138.07599999997</v>
      </c>
      <c r="Z49" s="9">
        <v>185804.74028</v>
      </c>
      <c r="AA49" s="9">
        <v>211126.98181</v>
      </c>
      <c r="AB49" s="9">
        <v>218708.86206000001</v>
      </c>
      <c r="AC49" s="9">
        <v>169286.96557000003</v>
      </c>
      <c r="AD49" s="9">
        <v>217622.34833000001</v>
      </c>
      <c r="AE49" s="9">
        <v>212479.20903</v>
      </c>
      <c r="AF49" s="9">
        <v>180206.16185999999</v>
      </c>
      <c r="AG49" s="9">
        <v>217536.84187999999</v>
      </c>
      <c r="AH49" s="9">
        <v>286197.73722999997</v>
      </c>
      <c r="AI49" s="9">
        <v>203269.78663999998</v>
      </c>
      <c r="AJ49" s="9">
        <v>189206.89769000004</v>
      </c>
      <c r="AK49" s="9">
        <v>195586.76108000003</v>
      </c>
      <c r="AL49" s="9">
        <v>249540.22822000002</v>
      </c>
      <c r="AM49" s="9">
        <v>258753.77242999998</v>
      </c>
      <c r="AN49" s="9">
        <v>317607.90518</v>
      </c>
      <c r="AO49" s="9">
        <v>220800.46234</v>
      </c>
      <c r="AP49" s="9">
        <v>242558.82904999997</v>
      </c>
      <c r="AQ49" s="9">
        <v>327363.48647</v>
      </c>
    </row>
    <row r="50" spans="1:43" x14ac:dyDescent="0.25">
      <c r="A50" s="6" t="s">
        <v>46</v>
      </c>
      <c r="B50" s="9">
        <v>1289995.4779800002</v>
      </c>
      <c r="C50" s="9">
        <v>1379502.2724299999</v>
      </c>
      <c r="D50" s="9">
        <v>1362941.5276100002</v>
      </c>
      <c r="E50" s="9">
        <v>1420354.4808200002</v>
      </c>
      <c r="F50" s="9">
        <v>1431501.87298</v>
      </c>
      <c r="G50" s="9">
        <v>1483880.3690000002</v>
      </c>
      <c r="H50" s="9">
        <v>1484596.0565500001</v>
      </c>
      <c r="I50" s="9">
        <v>1485825.5416499998</v>
      </c>
      <c r="J50" s="9">
        <v>1498480.2510500001</v>
      </c>
      <c r="K50" s="9">
        <v>1478455.2958999998</v>
      </c>
      <c r="L50" s="9">
        <v>1459215.1599300001</v>
      </c>
      <c r="M50" s="9">
        <v>1437648.2286700001</v>
      </c>
      <c r="N50" s="9">
        <v>1408530.3340400001</v>
      </c>
      <c r="O50" s="9">
        <v>1400277.0845999999</v>
      </c>
      <c r="P50" s="9">
        <v>1395367.6489200001</v>
      </c>
      <c r="Q50" s="9">
        <v>1401285.4366999997</v>
      </c>
      <c r="R50" s="9">
        <v>1403628.2675399997</v>
      </c>
      <c r="S50" s="9">
        <v>1402582.6497299999</v>
      </c>
      <c r="T50" s="9">
        <v>1381922.5581499997</v>
      </c>
      <c r="U50" s="9">
        <v>1361246.5900099999</v>
      </c>
      <c r="V50" s="9">
        <v>1350235.8824199999</v>
      </c>
      <c r="W50" s="9">
        <v>1319965.7642399999</v>
      </c>
      <c r="X50" s="9">
        <v>1268271.7994199998</v>
      </c>
      <c r="Y50" s="9">
        <v>1190796.8657699998</v>
      </c>
      <c r="Z50" s="9">
        <v>1154403.6374499996</v>
      </c>
      <c r="AA50" s="9">
        <v>1112768.7742300003</v>
      </c>
      <c r="AB50" s="9">
        <v>1100728.89163</v>
      </c>
      <c r="AC50" s="9">
        <v>1077508.9560700001</v>
      </c>
      <c r="AD50" s="9">
        <v>1074118.4073399999</v>
      </c>
      <c r="AE50" s="9">
        <v>1084560.70144</v>
      </c>
      <c r="AF50" s="9">
        <v>1155393.0662700003</v>
      </c>
      <c r="AG50" s="9">
        <v>1204860.59402</v>
      </c>
      <c r="AH50" s="9">
        <v>1276858.3870999999</v>
      </c>
      <c r="AI50" s="9">
        <v>1308016.44203</v>
      </c>
      <c r="AJ50" s="9">
        <v>1307393.7283600001</v>
      </c>
      <c r="AK50" s="9">
        <v>1300785.6728599998</v>
      </c>
      <c r="AL50" s="9">
        <v>1265615.7779800002</v>
      </c>
      <c r="AM50" s="9">
        <v>1274737.51453</v>
      </c>
      <c r="AN50" s="9">
        <v>1286377.2866600002</v>
      </c>
      <c r="AO50" s="9">
        <v>1297020.19312</v>
      </c>
      <c r="AP50" s="9">
        <v>1283314.43084</v>
      </c>
      <c r="AQ50" s="9">
        <v>1287669.3426899998</v>
      </c>
    </row>
    <row r="51" spans="1:43" x14ac:dyDescent="0.25">
      <c r="A51" s="7" t="s">
        <v>0</v>
      </c>
      <c r="B51" s="9">
        <v>1269331.0201700001</v>
      </c>
      <c r="C51" s="9">
        <v>1339653.1506099999</v>
      </c>
      <c r="D51" s="9">
        <v>1344112.6644900001</v>
      </c>
      <c r="E51" s="9">
        <v>1392909.8370300003</v>
      </c>
      <c r="F51" s="9">
        <v>1411098.1615299999</v>
      </c>
      <c r="G51" s="9">
        <v>1457563.4244100002</v>
      </c>
      <c r="H51" s="9">
        <v>1464751.61938</v>
      </c>
      <c r="I51" s="9">
        <v>1468353.4440299999</v>
      </c>
      <c r="J51" s="9">
        <v>1479526.00358</v>
      </c>
      <c r="K51" s="9">
        <v>1459450.5170199999</v>
      </c>
      <c r="L51" s="9">
        <v>1443802.1678800001</v>
      </c>
      <c r="M51" s="9">
        <v>1419717.5784700001</v>
      </c>
      <c r="N51" s="9">
        <v>1390400.4255100002</v>
      </c>
      <c r="O51" s="9">
        <v>1383034.83824</v>
      </c>
      <c r="P51" s="9">
        <v>1378091.3849900002</v>
      </c>
      <c r="Q51" s="9">
        <v>1383342.7914999998</v>
      </c>
      <c r="R51" s="9">
        <v>1386793.5256999996</v>
      </c>
      <c r="S51" s="9">
        <v>1385434.8936099999</v>
      </c>
      <c r="T51" s="9">
        <v>1365744.1153699998</v>
      </c>
      <c r="U51" s="9">
        <v>1344210.55207</v>
      </c>
      <c r="V51" s="9">
        <v>1337588.4222899999</v>
      </c>
      <c r="W51" s="9">
        <v>1306319.0786600001</v>
      </c>
      <c r="X51" s="9">
        <v>1253554.8425999999</v>
      </c>
      <c r="Y51" s="9">
        <v>1174326.2922999999</v>
      </c>
      <c r="Z51" s="9">
        <v>1137979.9084099997</v>
      </c>
      <c r="AA51" s="9">
        <v>1095799.3151200002</v>
      </c>
      <c r="AB51" s="9">
        <v>1081138.37338</v>
      </c>
      <c r="AC51" s="9">
        <v>1057027.5343299999</v>
      </c>
      <c r="AD51" s="9">
        <v>1054477.60522</v>
      </c>
      <c r="AE51" s="9">
        <v>1064605.79844</v>
      </c>
      <c r="AF51" s="9">
        <v>1134270.2989200002</v>
      </c>
      <c r="AG51" s="9">
        <v>1180155.3293299999</v>
      </c>
      <c r="AH51" s="9">
        <v>1238992.2464099999</v>
      </c>
      <c r="AI51" s="9">
        <v>1285661.5631800001</v>
      </c>
      <c r="AJ51" s="9">
        <v>1284608.5430600001</v>
      </c>
      <c r="AK51" s="9">
        <v>1277498.1746299998</v>
      </c>
      <c r="AL51" s="9">
        <v>1240289.8004400001</v>
      </c>
      <c r="AM51" s="9">
        <v>1248756.9563899999</v>
      </c>
      <c r="AN51" s="9">
        <v>1257842.4615200001</v>
      </c>
      <c r="AO51" s="9">
        <v>1273338.7607799999</v>
      </c>
      <c r="AP51" s="9">
        <v>1259858.3722999999</v>
      </c>
      <c r="AQ51" s="9">
        <v>1258738.1845999998</v>
      </c>
    </row>
    <row r="52" spans="1:43" x14ac:dyDescent="0.25">
      <c r="A52" s="7" t="s">
        <v>1</v>
      </c>
      <c r="B52" s="9">
        <v>12536.88198</v>
      </c>
      <c r="C52" s="9">
        <v>12088.741749999999</v>
      </c>
      <c r="D52" s="9">
        <v>10725.010039999999</v>
      </c>
      <c r="E52" s="9">
        <v>11956.26023</v>
      </c>
      <c r="F52" s="9">
        <v>12619.50383</v>
      </c>
      <c r="G52" s="9">
        <v>13922.45947</v>
      </c>
      <c r="H52" s="9">
        <v>14223.42251</v>
      </c>
      <c r="I52" s="9">
        <v>13578.26275</v>
      </c>
      <c r="J52" s="9">
        <v>14262.81884</v>
      </c>
      <c r="K52" s="9">
        <v>13480.23142</v>
      </c>
      <c r="L52" s="9">
        <v>13559.484210000001</v>
      </c>
      <c r="M52" s="9">
        <v>13557.565720000001</v>
      </c>
      <c r="N52" s="9">
        <v>13626.527050000001</v>
      </c>
      <c r="O52" s="9">
        <v>13283.736489999999</v>
      </c>
      <c r="P52" s="9">
        <v>11561.311820000001</v>
      </c>
      <c r="Q52" s="9">
        <v>12022.70566</v>
      </c>
      <c r="R52" s="9">
        <v>11315.355089999999</v>
      </c>
      <c r="S52" s="9">
        <v>10151.8426</v>
      </c>
      <c r="T52" s="9">
        <v>9818.0583999999999</v>
      </c>
      <c r="U52" s="9">
        <v>9144.7295300000005</v>
      </c>
      <c r="V52" s="9">
        <v>8668.2497899999998</v>
      </c>
      <c r="W52" s="9">
        <v>8625.7956699999995</v>
      </c>
      <c r="X52" s="9">
        <v>8593.0443899999991</v>
      </c>
      <c r="Y52" s="9">
        <v>9165.3192899999995</v>
      </c>
      <c r="Z52" s="9">
        <v>11472.4293</v>
      </c>
      <c r="AA52" s="9">
        <v>12300.029490000001</v>
      </c>
      <c r="AB52" s="9">
        <v>13986.8351</v>
      </c>
      <c r="AC52" s="9">
        <v>15048.32388</v>
      </c>
      <c r="AD52" s="9">
        <v>15006.06524</v>
      </c>
      <c r="AE52" s="9">
        <v>15808.75015</v>
      </c>
      <c r="AF52" s="9">
        <v>16089.78595</v>
      </c>
      <c r="AG52" s="9">
        <v>16978.451679999998</v>
      </c>
      <c r="AH52" s="9">
        <v>16462.454529999999</v>
      </c>
      <c r="AI52" s="9">
        <v>17578.146140000001</v>
      </c>
      <c r="AJ52" s="9">
        <v>17137.83684</v>
      </c>
      <c r="AK52" s="9">
        <v>17159.877</v>
      </c>
      <c r="AL52" s="9">
        <v>18400.420170000001</v>
      </c>
      <c r="AM52" s="9">
        <v>18738.206010000002</v>
      </c>
      <c r="AN52" s="9">
        <v>16513.980609999999</v>
      </c>
      <c r="AO52" s="9">
        <v>17429.424940000001</v>
      </c>
      <c r="AP52" s="9">
        <v>17538.013510000001</v>
      </c>
      <c r="AQ52" s="9">
        <v>17083.719880000001</v>
      </c>
    </row>
    <row r="53" spans="1:43" x14ac:dyDescent="0.25">
      <c r="A53" s="7" t="s">
        <v>45</v>
      </c>
      <c r="B53" s="9">
        <v>8127.5758299999998</v>
      </c>
      <c r="C53" s="9">
        <v>27760.380070000003</v>
      </c>
      <c r="D53" s="9">
        <v>8103.8530799999999</v>
      </c>
      <c r="E53" s="9">
        <v>15488.383559999998</v>
      </c>
      <c r="F53" s="9">
        <v>7784.2076199999992</v>
      </c>
      <c r="G53" s="9">
        <v>12394.485119999999</v>
      </c>
      <c r="H53" s="9">
        <v>5621.0146599999998</v>
      </c>
      <c r="I53" s="9">
        <v>3893.8348699999997</v>
      </c>
      <c r="J53" s="9">
        <v>4691.4286300000003</v>
      </c>
      <c r="K53" s="9">
        <v>5524.5474599999998</v>
      </c>
      <c r="L53" s="9">
        <v>1853.5078399999998</v>
      </c>
      <c r="M53" s="9">
        <v>4373.0844800000004</v>
      </c>
      <c r="N53" s="9">
        <v>4503.38148</v>
      </c>
      <c r="O53" s="9">
        <v>3958.5098699999999</v>
      </c>
      <c r="P53" s="9">
        <v>5714.9521100000002</v>
      </c>
      <c r="Q53" s="9">
        <v>5919.9395399999994</v>
      </c>
      <c r="R53" s="9">
        <v>5519.3867499999997</v>
      </c>
      <c r="S53" s="9">
        <v>6995.913520000001</v>
      </c>
      <c r="T53" s="9">
        <v>6360.3843799999995</v>
      </c>
      <c r="U53" s="9">
        <v>7891.3084100000005</v>
      </c>
      <c r="V53" s="9">
        <v>3979.2103400000001</v>
      </c>
      <c r="W53" s="9">
        <v>5020.8899100000008</v>
      </c>
      <c r="X53" s="9">
        <v>6123.9124299999994</v>
      </c>
      <c r="Y53" s="9">
        <v>7305.254179999999</v>
      </c>
      <c r="Z53" s="9">
        <v>4951.2997400000004</v>
      </c>
      <c r="AA53" s="9">
        <v>4669.4296199999999</v>
      </c>
      <c r="AB53" s="9">
        <v>5603.6831499999998</v>
      </c>
      <c r="AC53" s="9">
        <v>5433.0978599999999</v>
      </c>
      <c r="AD53" s="9">
        <v>4634.7368800000004</v>
      </c>
      <c r="AE53" s="9">
        <v>4146.1528500000004</v>
      </c>
      <c r="AF53" s="9">
        <v>5032.9813999999997</v>
      </c>
      <c r="AG53" s="9">
        <v>7726.8130100000017</v>
      </c>
      <c r="AH53" s="9">
        <v>21403.686160000001</v>
      </c>
      <c r="AI53" s="9">
        <v>4776.7327100000002</v>
      </c>
      <c r="AJ53" s="9">
        <v>5647.3484600000002</v>
      </c>
      <c r="AK53" s="9">
        <v>6127.6212299999997</v>
      </c>
      <c r="AL53" s="9">
        <v>6925.5573700000004</v>
      </c>
      <c r="AM53" s="9">
        <v>7242.3521299999993</v>
      </c>
      <c r="AN53" s="9">
        <v>12020.84453</v>
      </c>
      <c r="AO53" s="9">
        <v>6252.0073999999995</v>
      </c>
      <c r="AP53" s="9">
        <v>5918.0450299999993</v>
      </c>
      <c r="AQ53" s="9">
        <v>11847.43821</v>
      </c>
    </row>
    <row r="54" spans="1:43" x14ac:dyDescent="0.25">
      <c r="A54" s="5" t="s">
        <v>50</v>
      </c>
      <c r="B54" s="9">
        <v>23952755.016369998</v>
      </c>
      <c r="C54" s="9">
        <v>22712995.709989995</v>
      </c>
      <c r="D54" s="9">
        <v>26388170.760600001</v>
      </c>
      <c r="E54" s="9">
        <v>26697895.315919999</v>
      </c>
      <c r="F54" s="9">
        <v>28365985.504720002</v>
      </c>
      <c r="G54" s="9">
        <v>28270087.404500004</v>
      </c>
      <c r="H54" s="9">
        <v>29844887.445169996</v>
      </c>
      <c r="I54" s="9">
        <v>30610324.896800004</v>
      </c>
      <c r="J54" s="9">
        <v>30224685.789159995</v>
      </c>
      <c r="K54" s="9">
        <v>31941519.101950001</v>
      </c>
      <c r="L54" s="9">
        <v>31532990.032639999</v>
      </c>
      <c r="M54" s="9">
        <v>32942779.857100002</v>
      </c>
      <c r="N54" s="9">
        <v>33151454.462480001</v>
      </c>
      <c r="O54" s="9">
        <v>31236499.038120002</v>
      </c>
      <c r="P54" s="9">
        <v>33652604.823199995</v>
      </c>
      <c r="Q54" s="9">
        <v>32942304.330000002</v>
      </c>
      <c r="R54" s="9">
        <v>34374966.369900003</v>
      </c>
      <c r="S54" s="9">
        <v>33502129.103319999</v>
      </c>
      <c r="T54" s="9">
        <v>34869991.702620007</v>
      </c>
      <c r="U54" s="9">
        <v>34902183.056150004</v>
      </c>
      <c r="V54" s="9">
        <v>33594478.077480003</v>
      </c>
      <c r="W54" s="9">
        <v>33236678.559760001</v>
      </c>
      <c r="X54" s="9">
        <v>32748716.793559995</v>
      </c>
      <c r="Y54" s="9">
        <v>33303600.028549999</v>
      </c>
      <c r="Z54" s="9">
        <v>32832920.61431</v>
      </c>
      <c r="AA54" s="9">
        <v>29227918.693000004</v>
      </c>
      <c r="AB54" s="9">
        <v>31938276.758709997</v>
      </c>
      <c r="AC54" s="9">
        <v>30409862.080160003</v>
      </c>
      <c r="AD54" s="9">
        <v>31222951.063999999</v>
      </c>
      <c r="AE54" s="9">
        <v>29957394.991560001</v>
      </c>
      <c r="AF54" s="9">
        <v>30623214.489819996</v>
      </c>
      <c r="AG54" s="9">
        <v>30325937.6424</v>
      </c>
      <c r="AH54" s="9">
        <v>29082048.063539997</v>
      </c>
      <c r="AI54" s="9">
        <v>29833633.108400002</v>
      </c>
      <c r="AJ54" s="9">
        <v>28381702.878419999</v>
      </c>
      <c r="AK54" s="9">
        <v>28745833.04778</v>
      </c>
      <c r="AL54" s="9">
        <v>28302308.72986</v>
      </c>
      <c r="AM54" s="9">
        <v>25120948.764909998</v>
      </c>
      <c r="AN54" s="9">
        <v>27472585.112000003</v>
      </c>
      <c r="AO54" s="9">
        <v>26439613.79273</v>
      </c>
      <c r="AP54" s="9">
        <v>27286325.623624895</v>
      </c>
      <c r="AQ54" s="9">
        <v>26320332.296250001</v>
      </c>
    </row>
    <row r="55" spans="1:43" x14ac:dyDescent="0.25">
      <c r="A55" s="6" t="s">
        <v>49</v>
      </c>
      <c r="B55" s="9">
        <v>349708.64999999997</v>
      </c>
      <c r="C55" s="9">
        <v>333634.31</v>
      </c>
      <c r="D55" s="9">
        <v>384205.49</v>
      </c>
      <c r="E55" s="9">
        <v>389515.81</v>
      </c>
      <c r="F55" s="9">
        <v>418001.46</v>
      </c>
      <c r="G55" s="9">
        <v>419060.24000000005</v>
      </c>
      <c r="H55" s="9">
        <v>452586.57221999997</v>
      </c>
      <c r="I55" s="9">
        <v>463706.66592</v>
      </c>
      <c r="J55" s="9">
        <v>454063.08961999998</v>
      </c>
      <c r="K55" s="9">
        <v>474151.33799999999</v>
      </c>
      <c r="L55" s="9">
        <v>463011.95989999996</v>
      </c>
      <c r="M55" s="9">
        <v>477322.32964000007</v>
      </c>
      <c r="N55" s="9">
        <v>470149.58368000004</v>
      </c>
      <c r="O55" s="9">
        <v>445312.33264000004</v>
      </c>
      <c r="P55" s="9">
        <v>478270.97392000002</v>
      </c>
      <c r="Q55" s="9">
        <v>456557.90928000008</v>
      </c>
      <c r="R55" s="9">
        <v>471750.11</v>
      </c>
      <c r="S55" s="9">
        <v>453032.20309999998</v>
      </c>
      <c r="T55" s="9">
        <v>472247.5491</v>
      </c>
      <c r="U55" s="9">
        <v>476859.50014999998</v>
      </c>
      <c r="V55" s="9">
        <v>464937.90104000003</v>
      </c>
      <c r="W55" s="9">
        <v>474333.85775999998</v>
      </c>
      <c r="X55" s="9">
        <v>464299.40545999998</v>
      </c>
      <c r="Y55" s="9">
        <v>469493.11934999994</v>
      </c>
      <c r="Z55" s="9">
        <v>463941.15364999999</v>
      </c>
      <c r="AA55" s="9">
        <v>414189.87499999994</v>
      </c>
      <c r="AB55" s="9">
        <v>461986.07897000003</v>
      </c>
      <c r="AC55" s="9">
        <v>438300.82209999993</v>
      </c>
      <c r="AD55" s="9">
        <v>447220.86979999999</v>
      </c>
      <c r="AE55" s="9">
        <v>434554.45471999998</v>
      </c>
      <c r="AF55" s="9">
        <v>444646.35591999994</v>
      </c>
      <c r="AG55" s="9">
        <v>435911.89785000001</v>
      </c>
      <c r="AH55" s="9">
        <v>412370.38568999997</v>
      </c>
      <c r="AI55" s="9">
        <v>421293.90367999999</v>
      </c>
      <c r="AJ55" s="9">
        <v>403293.34333</v>
      </c>
      <c r="AK55" s="9">
        <v>411467.74979999999</v>
      </c>
      <c r="AL55" s="9">
        <v>406071.47232</v>
      </c>
      <c r="AM55" s="9">
        <v>363694.89130999998</v>
      </c>
      <c r="AN55" s="9">
        <v>403466.505</v>
      </c>
      <c r="AO55" s="9">
        <v>386646.27851999999</v>
      </c>
      <c r="AP55" s="9">
        <v>403307.00011815736</v>
      </c>
      <c r="AQ55" s="9">
        <v>400703.62555</v>
      </c>
    </row>
    <row r="56" spans="1:43" x14ac:dyDescent="0.25">
      <c r="A56" s="7" t="s">
        <v>0</v>
      </c>
      <c r="B56" s="9">
        <v>349242.92</v>
      </c>
      <c r="C56" s="9">
        <v>333194.51</v>
      </c>
      <c r="D56" s="9">
        <v>383556.87</v>
      </c>
      <c r="E56" s="9">
        <v>389072.15</v>
      </c>
      <c r="F56" s="9">
        <v>417565.9</v>
      </c>
      <c r="G56" s="9">
        <v>418657.51</v>
      </c>
      <c r="H56" s="9">
        <v>452194.27221999998</v>
      </c>
      <c r="I56" s="9">
        <v>463304.09591999999</v>
      </c>
      <c r="J56" s="9">
        <v>453661.45961999998</v>
      </c>
      <c r="K56" s="9">
        <v>473679.43800000002</v>
      </c>
      <c r="L56" s="9">
        <v>462234.79989999998</v>
      </c>
      <c r="M56" s="9">
        <v>476476.32964000007</v>
      </c>
      <c r="N56" s="9">
        <v>469381.08368000004</v>
      </c>
      <c r="O56" s="9">
        <v>444740.88264000003</v>
      </c>
      <c r="P56" s="9">
        <v>477262.47392000002</v>
      </c>
      <c r="Q56" s="9">
        <v>454756.37928000005</v>
      </c>
      <c r="R56" s="9">
        <v>470005.27</v>
      </c>
      <c r="S56" s="9">
        <v>450388.39309999999</v>
      </c>
      <c r="T56" s="9">
        <v>469677.05910000001</v>
      </c>
      <c r="U56" s="9">
        <v>474541.45014999999</v>
      </c>
      <c r="V56" s="9">
        <v>463245.55104000005</v>
      </c>
      <c r="W56" s="9">
        <v>471635.05776</v>
      </c>
      <c r="X56" s="9">
        <v>461896.18546000001</v>
      </c>
      <c r="Y56" s="9">
        <v>465597.24934999994</v>
      </c>
      <c r="Z56" s="9">
        <v>460416.23365000001</v>
      </c>
      <c r="AA56" s="9">
        <v>412867.61499999993</v>
      </c>
      <c r="AB56" s="9">
        <v>460733.54897</v>
      </c>
      <c r="AC56" s="9">
        <v>437102.41209999996</v>
      </c>
      <c r="AD56" s="9">
        <v>445940.39980000001</v>
      </c>
      <c r="AE56" s="9">
        <v>433345.39471999998</v>
      </c>
      <c r="AF56" s="9">
        <v>443620.30591999996</v>
      </c>
      <c r="AG56" s="9">
        <v>434859.39785000001</v>
      </c>
      <c r="AH56" s="9">
        <v>411521.69568999996</v>
      </c>
      <c r="AI56" s="9">
        <v>420882.45367999998</v>
      </c>
      <c r="AJ56" s="9">
        <v>402854.13332999998</v>
      </c>
      <c r="AK56" s="9">
        <v>410572.6398</v>
      </c>
      <c r="AL56" s="9">
        <v>405044.91232</v>
      </c>
      <c r="AM56" s="9">
        <v>362760.91131</v>
      </c>
      <c r="AN56" s="9">
        <v>402404.90500000003</v>
      </c>
      <c r="AO56" s="9">
        <v>385756.24851999996</v>
      </c>
      <c r="AP56" s="9">
        <v>400762.44011815736</v>
      </c>
      <c r="AQ56" s="9">
        <v>397538.41554999998</v>
      </c>
    </row>
    <row r="57" spans="1:43" x14ac:dyDescent="0.25">
      <c r="A57" s="7" t="s">
        <v>1</v>
      </c>
      <c r="B57" s="9">
        <v>125.19</v>
      </c>
      <c r="C57" s="9">
        <v>109.94</v>
      </c>
      <c r="D57" s="9">
        <v>116.76</v>
      </c>
      <c r="E57" s="9">
        <v>77.05</v>
      </c>
      <c r="F57" s="9">
        <v>77.48</v>
      </c>
      <c r="G57" s="9">
        <v>72.03</v>
      </c>
      <c r="H57" s="9">
        <v>71.06</v>
      </c>
      <c r="I57" s="9">
        <v>68.03</v>
      </c>
      <c r="J57" s="9">
        <v>68.290000000000006</v>
      </c>
      <c r="K57" s="9">
        <v>66.48</v>
      </c>
      <c r="L57" s="9">
        <v>61.25</v>
      </c>
      <c r="M57" s="9">
        <v>60</v>
      </c>
      <c r="N57" s="9">
        <v>56.97</v>
      </c>
      <c r="O57" s="9">
        <v>50.08</v>
      </c>
      <c r="P57" s="9">
        <v>50.11</v>
      </c>
      <c r="Q57" s="9">
        <v>45.32</v>
      </c>
      <c r="R57" s="9">
        <v>43.42</v>
      </c>
      <c r="S57" s="9">
        <v>39.11</v>
      </c>
      <c r="T57" s="9">
        <v>36.33</v>
      </c>
      <c r="U57" s="9">
        <v>32.79</v>
      </c>
      <c r="V57" s="9">
        <v>28.36</v>
      </c>
      <c r="W57" s="9">
        <v>25.55</v>
      </c>
      <c r="X57" s="9">
        <v>21.5</v>
      </c>
      <c r="Y57" s="9">
        <v>1.29</v>
      </c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</row>
    <row r="58" spans="1:43" x14ac:dyDescent="0.25">
      <c r="A58" s="7" t="s">
        <v>45</v>
      </c>
      <c r="B58" s="9">
        <v>340.54</v>
      </c>
      <c r="C58" s="9">
        <v>329.86</v>
      </c>
      <c r="D58" s="9">
        <v>531.86</v>
      </c>
      <c r="E58" s="9">
        <v>366.61</v>
      </c>
      <c r="F58" s="9">
        <v>358.08000000000004</v>
      </c>
      <c r="G58" s="9">
        <v>330.70000000000005</v>
      </c>
      <c r="H58" s="9">
        <v>321.24</v>
      </c>
      <c r="I58" s="9">
        <v>334.54</v>
      </c>
      <c r="J58" s="9">
        <v>333.34</v>
      </c>
      <c r="K58" s="9">
        <v>405.42</v>
      </c>
      <c r="L58" s="9">
        <v>715.91</v>
      </c>
      <c r="M58" s="9">
        <v>786</v>
      </c>
      <c r="N58" s="9">
        <v>711.53</v>
      </c>
      <c r="O58" s="9">
        <v>521.36999999999989</v>
      </c>
      <c r="P58" s="9">
        <v>958.39</v>
      </c>
      <c r="Q58" s="9">
        <v>1756.21</v>
      </c>
      <c r="R58" s="9">
        <v>1701.42</v>
      </c>
      <c r="S58" s="9">
        <v>2604.6999999999998</v>
      </c>
      <c r="T58" s="9">
        <v>2534.16</v>
      </c>
      <c r="U58" s="9">
        <v>2285.2600000000002</v>
      </c>
      <c r="V58" s="9">
        <v>1663.99</v>
      </c>
      <c r="W58" s="9">
        <v>2673.25</v>
      </c>
      <c r="X58" s="9">
        <v>2381.7199999999998</v>
      </c>
      <c r="Y58" s="9">
        <v>3894.58</v>
      </c>
      <c r="Z58" s="9">
        <v>3524.92</v>
      </c>
      <c r="AA58" s="9">
        <v>1322.26</v>
      </c>
      <c r="AB58" s="9">
        <v>1252.53</v>
      </c>
      <c r="AC58" s="9">
        <v>1198.4100000000001</v>
      </c>
      <c r="AD58" s="9">
        <v>1280.47</v>
      </c>
      <c r="AE58" s="9">
        <v>1209.06</v>
      </c>
      <c r="AF58" s="9">
        <v>1026.05</v>
      </c>
      <c r="AG58" s="9">
        <v>1052.5</v>
      </c>
      <c r="AH58" s="9">
        <v>848.69</v>
      </c>
      <c r="AI58" s="9">
        <v>411.45</v>
      </c>
      <c r="AJ58" s="9">
        <v>439.21</v>
      </c>
      <c r="AK58" s="9">
        <v>895.11</v>
      </c>
      <c r="AL58" s="9">
        <v>1026.56</v>
      </c>
      <c r="AM58" s="9">
        <v>933.98</v>
      </c>
      <c r="AN58" s="9">
        <v>1061.5999999999999</v>
      </c>
      <c r="AO58" s="9">
        <v>890.03</v>
      </c>
      <c r="AP58" s="9">
        <v>2544.56</v>
      </c>
      <c r="AQ58" s="9">
        <v>3165.21</v>
      </c>
    </row>
    <row r="59" spans="1:43" x14ac:dyDescent="0.25">
      <c r="A59" s="6" t="s">
        <v>47</v>
      </c>
      <c r="B59" s="9">
        <v>22900808.446369998</v>
      </c>
      <c r="C59" s="9">
        <v>21697012.989989996</v>
      </c>
      <c r="D59" s="9">
        <v>25198566.330600001</v>
      </c>
      <c r="E59" s="9">
        <v>25496792.015919998</v>
      </c>
      <c r="F59" s="9">
        <v>27078461.17472</v>
      </c>
      <c r="G59" s="9">
        <v>26989141.244500004</v>
      </c>
      <c r="H59" s="9">
        <v>28488743.922949996</v>
      </c>
      <c r="I59" s="9">
        <v>29234805.700880002</v>
      </c>
      <c r="J59" s="9">
        <v>28878923.079539996</v>
      </c>
      <c r="K59" s="9">
        <v>30544288.693950001</v>
      </c>
      <c r="L59" s="9">
        <v>30176590.632739998</v>
      </c>
      <c r="M59" s="9">
        <v>31557152.667460002</v>
      </c>
      <c r="N59" s="9">
        <v>31793580.0288</v>
      </c>
      <c r="O59" s="9">
        <v>29979708.895479999</v>
      </c>
      <c r="P59" s="9">
        <v>32311508.029279996</v>
      </c>
      <c r="Q59" s="9">
        <v>31644671.230720002</v>
      </c>
      <c r="R59" s="9">
        <v>33042048.869899999</v>
      </c>
      <c r="S59" s="9">
        <v>32234314.560219999</v>
      </c>
      <c r="T59" s="9">
        <v>33567495.313520007</v>
      </c>
      <c r="U59" s="9">
        <v>33619094.826650001</v>
      </c>
      <c r="V59" s="9">
        <v>32360350.486440003</v>
      </c>
      <c r="W59" s="9">
        <v>32014145.712000001</v>
      </c>
      <c r="X59" s="9">
        <v>31569452.078099996</v>
      </c>
      <c r="Y59" s="9">
        <v>32130089.229199998</v>
      </c>
      <c r="Z59" s="9">
        <v>31694629.62066</v>
      </c>
      <c r="AA59" s="9">
        <v>28224670.118000004</v>
      </c>
      <c r="AB59" s="9">
        <v>30840267.419739999</v>
      </c>
      <c r="AC59" s="9">
        <v>29376689.708060004</v>
      </c>
      <c r="AD59" s="9">
        <v>30170836.484200001</v>
      </c>
      <c r="AE59" s="9">
        <v>28933545.42684</v>
      </c>
      <c r="AF59" s="9">
        <v>29548648.623899996</v>
      </c>
      <c r="AG59" s="9">
        <v>29238180.634550001</v>
      </c>
      <c r="AH59" s="9">
        <v>28023787.347849999</v>
      </c>
      <c r="AI59" s="9">
        <v>28735126.144720003</v>
      </c>
      <c r="AJ59" s="9">
        <v>27328996.435089998</v>
      </c>
      <c r="AK59" s="9">
        <v>27669414.477979999</v>
      </c>
      <c r="AL59" s="9">
        <v>27234485.53754</v>
      </c>
      <c r="AM59" s="9">
        <v>24167844.453599997</v>
      </c>
      <c r="AN59" s="9">
        <v>26410908.467000004</v>
      </c>
      <c r="AO59" s="9">
        <v>25416976.994210001</v>
      </c>
      <c r="AP59" s="9">
        <v>26224555.207064334</v>
      </c>
      <c r="AQ59" s="9">
        <v>25281423.700700004</v>
      </c>
    </row>
    <row r="60" spans="1:43" x14ac:dyDescent="0.25">
      <c r="A60" s="7" t="s">
        <v>0</v>
      </c>
      <c r="B60" s="9">
        <v>22549641.04637</v>
      </c>
      <c r="C60" s="9">
        <v>21372845.619989999</v>
      </c>
      <c r="D60" s="9">
        <v>24816477.080600001</v>
      </c>
      <c r="E60" s="9">
        <v>25123001.84592</v>
      </c>
      <c r="F60" s="9">
        <v>26709623.12472</v>
      </c>
      <c r="G60" s="9">
        <v>26627138.494500004</v>
      </c>
      <c r="H60" s="9">
        <v>28109375.272949997</v>
      </c>
      <c r="I60" s="9">
        <v>28790145.07088</v>
      </c>
      <c r="J60" s="9">
        <v>28459087.519539997</v>
      </c>
      <c r="K60" s="9">
        <v>30069824.23395</v>
      </c>
      <c r="L60" s="9">
        <v>29693230.562739998</v>
      </c>
      <c r="M60" s="9">
        <v>31045902.527460001</v>
      </c>
      <c r="N60" s="9">
        <v>31247440.148800001</v>
      </c>
      <c r="O60" s="9">
        <v>29469524.395479999</v>
      </c>
      <c r="P60" s="9">
        <v>31782168.119279996</v>
      </c>
      <c r="Q60" s="9">
        <v>31112553.730720002</v>
      </c>
      <c r="R60" s="9">
        <v>32502248.709899999</v>
      </c>
      <c r="S60" s="9">
        <v>31733010.980220001</v>
      </c>
      <c r="T60" s="9">
        <v>33046192.763520002</v>
      </c>
      <c r="U60" s="9">
        <v>33062808.966650002</v>
      </c>
      <c r="V60" s="9">
        <v>31783657.366440002</v>
      </c>
      <c r="W60" s="9">
        <v>31425188.602000002</v>
      </c>
      <c r="X60" s="9">
        <v>31009317.918099996</v>
      </c>
      <c r="Y60" s="9">
        <v>31519773.529199999</v>
      </c>
      <c r="Z60" s="9">
        <v>31020999.58066</v>
      </c>
      <c r="AA60" s="9">
        <v>27651326.548000004</v>
      </c>
      <c r="AB60" s="9">
        <v>30183276.489739999</v>
      </c>
      <c r="AC60" s="9">
        <v>28733506.578060005</v>
      </c>
      <c r="AD60" s="9">
        <v>29516641.124200001</v>
      </c>
      <c r="AE60" s="9">
        <v>28280952.966839999</v>
      </c>
      <c r="AF60" s="9">
        <v>28870702.113899998</v>
      </c>
      <c r="AG60" s="9">
        <v>28542315.55455</v>
      </c>
      <c r="AH60" s="9">
        <v>27329955.53785</v>
      </c>
      <c r="AI60" s="9">
        <v>27585290.614720002</v>
      </c>
      <c r="AJ60" s="9">
        <v>26597606.705089998</v>
      </c>
      <c r="AK60" s="9">
        <v>26926929.607979998</v>
      </c>
      <c r="AL60" s="9">
        <v>26474865.807539999</v>
      </c>
      <c r="AM60" s="9">
        <v>23504680.413599998</v>
      </c>
      <c r="AN60" s="9">
        <v>25703514.357000001</v>
      </c>
      <c r="AO60" s="9">
        <v>24750697.19421</v>
      </c>
      <c r="AP60" s="9">
        <v>25528577.257064331</v>
      </c>
      <c r="AQ60" s="9">
        <v>24603103.410700001</v>
      </c>
    </row>
    <row r="61" spans="1:43" x14ac:dyDescent="0.25">
      <c r="A61" s="7" t="s">
        <v>1</v>
      </c>
      <c r="B61" s="9">
        <v>123144.61</v>
      </c>
      <c r="C61" s="9">
        <v>114131.99</v>
      </c>
      <c r="D61" s="9">
        <v>131594.04999999999</v>
      </c>
      <c r="E61" s="9">
        <v>131376.26999999999</v>
      </c>
      <c r="F61" s="9">
        <v>135777.54999999999</v>
      </c>
      <c r="G61" s="9">
        <v>138533.82</v>
      </c>
      <c r="H61" s="9">
        <v>143333.54</v>
      </c>
      <c r="I61" s="9">
        <v>145925.62</v>
      </c>
      <c r="J61" s="9">
        <v>137961.25</v>
      </c>
      <c r="K61" s="9">
        <v>140448.53</v>
      </c>
      <c r="L61" s="9">
        <v>134798.22</v>
      </c>
      <c r="M61" s="9">
        <v>143121.21</v>
      </c>
      <c r="N61" s="9">
        <v>141922.39000000001</v>
      </c>
      <c r="O61" s="9">
        <v>129409.17</v>
      </c>
      <c r="P61" s="9">
        <v>134008.38</v>
      </c>
      <c r="Q61" s="9">
        <v>126376.57</v>
      </c>
      <c r="R61" s="9">
        <v>126333.43</v>
      </c>
      <c r="S61" s="9">
        <v>118346.56</v>
      </c>
      <c r="T61" s="9">
        <v>115463.13</v>
      </c>
      <c r="U61" s="9">
        <v>111956.4</v>
      </c>
      <c r="V61" s="9">
        <v>105104.48</v>
      </c>
      <c r="W61" s="9">
        <v>105740.06</v>
      </c>
      <c r="X61" s="9">
        <v>106619.76999999999</v>
      </c>
      <c r="Y61" s="9">
        <v>112990.66</v>
      </c>
      <c r="Z61" s="9">
        <v>115019.08</v>
      </c>
      <c r="AA61" s="9">
        <v>108179.03000000001</v>
      </c>
      <c r="AB61" s="9">
        <v>124679.08</v>
      </c>
      <c r="AC61" s="9">
        <v>125948.29000000001</v>
      </c>
      <c r="AD61" s="9">
        <v>139342.33000000002</v>
      </c>
      <c r="AE61" s="9">
        <v>138604.37</v>
      </c>
      <c r="AF61" s="9">
        <v>149015.43000000002</v>
      </c>
      <c r="AG61" s="9">
        <v>147626.71</v>
      </c>
      <c r="AH61" s="9">
        <v>140425.15</v>
      </c>
      <c r="AI61" s="9">
        <v>145777.76999999999</v>
      </c>
      <c r="AJ61" s="9">
        <v>141183.72</v>
      </c>
      <c r="AK61" s="9">
        <v>147295.96</v>
      </c>
      <c r="AL61" s="9">
        <v>147485.86000000002</v>
      </c>
      <c r="AM61" s="9">
        <v>131009.24</v>
      </c>
      <c r="AN61" s="9">
        <v>142440.50999999998</v>
      </c>
      <c r="AO61" s="9">
        <v>136467.67000000001</v>
      </c>
      <c r="AP61" s="9">
        <v>136957.19</v>
      </c>
      <c r="AQ61" s="9">
        <v>129157.92</v>
      </c>
    </row>
    <row r="62" spans="1:43" x14ac:dyDescent="0.25">
      <c r="A62" s="7" t="s">
        <v>45</v>
      </c>
      <c r="B62" s="9">
        <v>228022.78999999998</v>
      </c>
      <c r="C62" s="9">
        <v>210035.38</v>
      </c>
      <c r="D62" s="9">
        <v>250495.19999999998</v>
      </c>
      <c r="E62" s="9">
        <v>242413.89999999997</v>
      </c>
      <c r="F62" s="9">
        <v>233060.5</v>
      </c>
      <c r="G62" s="9">
        <v>223468.93</v>
      </c>
      <c r="H62" s="9">
        <v>236035.11</v>
      </c>
      <c r="I62" s="9">
        <v>298735.01</v>
      </c>
      <c r="J62" s="9">
        <v>281874.30999999994</v>
      </c>
      <c r="K62" s="9">
        <v>334015.93</v>
      </c>
      <c r="L62" s="9">
        <v>348561.85</v>
      </c>
      <c r="M62" s="9">
        <v>368128.93</v>
      </c>
      <c r="N62" s="9">
        <v>404217.49000000005</v>
      </c>
      <c r="O62" s="9">
        <v>380775.33</v>
      </c>
      <c r="P62" s="9">
        <v>395331.52999999997</v>
      </c>
      <c r="Q62" s="9">
        <v>405740.93</v>
      </c>
      <c r="R62" s="9">
        <v>413466.73</v>
      </c>
      <c r="S62" s="9">
        <v>382957.02</v>
      </c>
      <c r="T62" s="9">
        <v>405839.42000000004</v>
      </c>
      <c r="U62" s="9">
        <v>444329.46000000008</v>
      </c>
      <c r="V62" s="9">
        <v>471588.64</v>
      </c>
      <c r="W62" s="9">
        <v>483217.05</v>
      </c>
      <c r="X62" s="9">
        <v>453514.39</v>
      </c>
      <c r="Y62" s="9">
        <v>497325.04</v>
      </c>
      <c r="Z62" s="9">
        <v>558610.96</v>
      </c>
      <c r="AA62" s="9">
        <v>465164.54</v>
      </c>
      <c r="AB62" s="9">
        <v>532311.85</v>
      </c>
      <c r="AC62" s="9">
        <v>517234.84</v>
      </c>
      <c r="AD62" s="9">
        <v>514853.02999999997</v>
      </c>
      <c r="AE62" s="9">
        <v>513988.09</v>
      </c>
      <c r="AF62" s="9">
        <v>528931.07999999996</v>
      </c>
      <c r="AG62" s="9">
        <v>548238.37</v>
      </c>
      <c r="AH62" s="9">
        <v>553406.66</v>
      </c>
      <c r="AI62" s="9">
        <v>1004057.76</v>
      </c>
      <c r="AJ62" s="9">
        <v>590206.00999999989</v>
      </c>
      <c r="AK62" s="9">
        <v>595188.91</v>
      </c>
      <c r="AL62" s="9">
        <v>612133.87</v>
      </c>
      <c r="AM62" s="9">
        <v>532154.80000000005</v>
      </c>
      <c r="AN62" s="9">
        <v>564953.59999999998</v>
      </c>
      <c r="AO62" s="9">
        <v>529812.13</v>
      </c>
      <c r="AP62" s="9">
        <v>559020.76000000013</v>
      </c>
      <c r="AQ62" s="9">
        <v>549162.37</v>
      </c>
    </row>
    <row r="63" spans="1:43" x14ac:dyDescent="0.25">
      <c r="A63" s="6" t="s">
        <v>46</v>
      </c>
      <c r="B63" s="9">
        <v>702237.92</v>
      </c>
      <c r="C63" s="9">
        <v>682348.41</v>
      </c>
      <c r="D63" s="9">
        <v>805398.94</v>
      </c>
      <c r="E63" s="9">
        <v>811587.48999999987</v>
      </c>
      <c r="F63" s="9">
        <v>869522.87</v>
      </c>
      <c r="G63" s="9">
        <v>861885.92</v>
      </c>
      <c r="H63" s="9">
        <v>903556.95000000007</v>
      </c>
      <c r="I63" s="9">
        <v>911812.52999999991</v>
      </c>
      <c r="J63" s="9">
        <v>891699.62</v>
      </c>
      <c r="K63" s="9">
        <v>923079.07000000007</v>
      </c>
      <c r="L63" s="9">
        <v>893387.44</v>
      </c>
      <c r="M63" s="9">
        <v>908304.86</v>
      </c>
      <c r="N63" s="9">
        <v>887724.85</v>
      </c>
      <c r="O63" s="9">
        <v>811477.81</v>
      </c>
      <c r="P63" s="9">
        <v>862825.82000000007</v>
      </c>
      <c r="Q63" s="9">
        <v>841075.19</v>
      </c>
      <c r="R63" s="9">
        <v>861167.3899999999</v>
      </c>
      <c r="S63" s="9">
        <v>814782.34</v>
      </c>
      <c r="T63" s="9">
        <v>830248.84</v>
      </c>
      <c r="U63" s="9">
        <v>806228.72934999992</v>
      </c>
      <c r="V63" s="9">
        <v>769189.69000000006</v>
      </c>
      <c r="W63" s="9">
        <v>748198.99</v>
      </c>
      <c r="X63" s="9">
        <v>714965.31</v>
      </c>
      <c r="Y63" s="9">
        <v>704017.67999999993</v>
      </c>
      <c r="Z63" s="9">
        <v>674349.84</v>
      </c>
      <c r="AA63" s="9">
        <v>589058.69999999995</v>
      </c>
      <c r="AB63" s="9">
        <v>636023.26</v>
      </c>
      <c r="AC63" s="9">
        <v>594871.55000000005</v>
      </c>
      <c r="AD63" s="9">
        <v>604893.71</v>
      </c>
      <c r="AE63" s="9">
        <v>589295.11</v>
      </c>
      <c r="AF63" s="9">
        <v>629919.51</v>
      </c>
      <c r="AG63" s="9">
        <v>651845.11</v>
      </c>
      <c r="AH63" s="9">
        <v>645890.32999999996</v>
      </c>
      <c r="AI63" s="9">
        <v>677213.06</v>
      </c>
      <c r="AJ63" s="9">
        <v>649413.1</v>
      </c>
      <c r="AK63" s="9">
        <v>664950.82000000007</v>
      </c>
      <c r="AL63" s="9">
        <v>661751.72000000009</v>
      </c>
      <c r="AM63" s="9">
        <v>589409.41999999993</v>
      </c>
      <c r="AN63" s="9">
        <v>658210.14</v>
      </c>
      <c r="AO63" s="9">
        <v>635990.5199999999</v>
      </c>
      <c r="AP63" s="9">
        <v>658463.41644240264</v>
      </c>
      <c r="AQ63" s="9">
        <v>638204.97</v>
      </c>
    </row>
    <row r="64" spans="1:43" x14ac:dyDescent="0.25">
      <c r="A64" s="7" t="s">
        <v>0</v>
      </c>
      <c r="B64" s="9">
        <v>677670.25</v>
      </c>
      <c r="C64" s="9">
        <v>657874.30999999994</v>
      </c>
      <c r="D64" s="9">
        <v>773840.86</v>
      </c>
      <c r="E64" s="9">
        <v>781786.7</v>
      </c>
      <c r="F64" s="9">
        <v>839742.76</v>
      </c>
      <c r="G64" s="9">
        <v>834180.63</v>
      </c>
      <c r="H64" s="9">
        <v>877293.59</v>
      </c>
      <c r="I64" s="9">
        <v>884854.83</v>
      </c>
      <c r="J64" s="9">
        <v>867064.45000000007</v>
      </c>
      <c r="K64" s="9">
        <v>896718.05</v>
      </c>
      <c r="L64" s="9">
        <v>867902.66999999993</v>
      </c>
      <c r="M64" s="9">
        <v>882191.37</v>
      </c>
      <c r="N64" s="9">
        <v>858073.41</v>
      </c>
      <c r="O64" s="9">
        <v>784867.09</v>
      </c>
      <c r="P64" s="9">
        <v>838710.04</v>
      </c>
      <c r="Q64" s="9">
        <v>820534.47</v>
      </c>
      <c r="R64" s="9">
        <v>840593.44</v>
      </c>
      <c r="S64" s="9">
        <v>796787.15999999992</v>
      </c>
      <c r="T64" s="9">
        <v>812883.13</v>
      </c>
      <c r="U64" s="9">
        <v>785924.52934999997</v>
      </c>
      <c r="V64" s="9">
        <v>749650.74</v>
      </c>
      <c r="W64" s="9">
        <v>728491.76</v>
      </c>
      <c r="X64" s="9">
        <v>696294</v>
      </c>
      <c r="Y64" s="9">
        <v>683655.11</v>
      </c>
      <c r="Z64" s="9">
        <v>651608.22</v>
      </c>
      <c r="AA64" s="9">
        <v>568128.55999999994</v>
      </c>
      <c r="AB64" s="9">
        <v>610709</v>
      </c>
      <c r="AC64" s="9">
        <v>570175.12</v>
      </c>
      <c r="AD64" s="9">
        <v>580494.59</v>
      </c>
      <c r="AE64" s="9">
        <v>563836.67000000004</v>
      </c>
      <c r="AF64" s="9">
        <v>603804.07999999996</v>
      </c>
      <c r="AG64" s="9">
        <v>626097.64</v>
      </c>
      <c r="AH64" s="9">
        <v>620696.40999999992</v>
      </c>
      <c r="AI64" s="9">
        <v>642935.08000000007</v>
      </c>
      <c r="AJ64" s="9">
        <v>624162</v>
      </c>
      <c r="AK64" s="9">
        <v>637187.56000000006</v>
      </c>
      <c r="AL64" s="9">
        <v>632326.44000000006</v>
      </c>
      <c r="AM64" s="9">
        <v>562736.25</v>
      </c>
      <c r="AN64" s="9">
        <v>629547.52000000002</v>
      </c>
      <c r="AO64" s="9">
        <v>609154.26</v>
      </c>
      <c r="AP64" s="9">
        <v>631332.37644240272</v>
      </c>
      <c r="AQ64" s="9">
        <v>613203.93000000005</v>
      </c>
    </row>
    <row r="65" spans="1:43" x14ac:dyDescent="0.25">
      <c r="A65" s="7" t="s">
        <v>1</v>
      </c>
      <c r="B65" s="9">
        <v>6985.78</v>
      </c>
      <c r="C65" s="9">
        <v>6279.42</v>
      </c>
      <c r="D65" s="9">
        <v>7212.09</v>
      </c>
      <c r="E65" s="9">
        <v>8157.44</v>
      </c>
      <c r="F65" s="9">
        <v>8033.82</v>
      </c>
      <c r="G65" s="9">
        <v>8073.01</v>
      </c>
      <c r="H65" s="9">
        <v>7918.18</v>
      </c>
      <c r="I65" s="9">
        <v>7668.62</v>
      </c>
      <c r="J65" s="9">
        <v>7344.72</v>
      </c>
      <c r="K65" s="9">
        <v>7619.78</v>
      </c>
      <c r="L65" s="9">
        <v>7276.87</v>
      </c>
      <c r="M65" s="9">
        <v>7723.19</v>
      </c>
      <c r="N65" s="9">
        <v>7816.25</v>
      </c>
      <c r="O65" s="9">
        <v>7194.54</v>
      </c>
      <c r="P65" s="9">
        <v>7453.49</v>
      </c>
      <c r="Q65" s="9">
        <v>7065.32</v>
      </c>
      <c r="R65" s="9">
        <v>7507.95</v>
      </c>
      <c r="S65" s="9">
        <v>6855.38</v>
      </c>
      <c r="T65" s="9">
        <v>6809.57</v>
      </c>
      <c r="U65" s="9">
        <v>6686.19</v>
      </c>
      <c r="V65" s="9">
        <v>5909.81</v>
      </c>
      <c r="W65" s="9">
        <v>5843.54</v>
      </c>
      <c r="X65" s="9">
        <v>6325.25</v>
      </c>
      <c r="Y65" s="9">
        <v>7115.61</v>
      </c>
      <c r="Z65" s="9">
        <v>7400.8</v>
      </c>
      <c r="AA65" s="9">
        <v>7318.65</v>
      </c>
      <c r="AB65" s="9">
        <v>8537.6200000000008</v>
      </c>
      <c r="AC65" s="9">
        <v>8432.25</v>
      </c>
      <c r="AD65" s="9">
        <v>8536.91</v>
      </c>
      <c r="AE65" s="9">
        <v>8535.73</v>
      </c>
      <c r="AF65" s="9">
        <v>9055.7999999999993</v>
      </c>
      <c r="AG65" s="9">
        <v>8786.2199999999993</v>
      </c>
      <c r="AH65" s="9">
        <v>8678.52</v>
      </c>
      <c r="AI65" s="9">
        <v>8802.75</v>
      </c>
      <c r="AJ65" s="9">
        <v>8578.9500000000007</v>
      </c>
      <c r="AK65" s="9">
        <v>9570.4699999999993</v>
      </c>
      <c r="AL65" s="9">
        <v>9969.86</v>
      </c>
      <c r="AM65" s="9">
        <v>8809.9699999999993</v>
      </c>
      <c r="AN65" s="9">
        <v>9284.27</v>
      </c>
      <c r="AO65" s="9">
        <v>8883.82</v>
      </c>
      <c r="AP65" s="9">
        <v>8654.82</v>
      </c>
      <c r="AQ65" s="9">
        <v>8130.45</v>
      </c>
    </row>
    <row r="66" spans="1:43" x14ac:dyDescent="0.25">
      <c r="A66" s="7" t="s">
        <v>45</v>
      </c>
      <c r="B66" s="9">
        <v>17581.89</v>
      </c>
      <c r="C66" s="9">
        <v>18194.68</v>
      </c>
      <c r="D66" s="9">
        <v>24345.989999999998</v>
      </c>
      <c r="E66" s="9">
        <v>21643.350000000002</v>
      </c>
      <c r="F66" s="9">
        <v>21746.29</v>
      </c>
      <c r="G66" s="9">
        <v>19632.280000000002</v>
      </c>
      <c r="H66" s="9">
        <v>18345.18</v>
      </c>
      <c r="I66" s="9">
        <v>19289.080000000002</v>
      </c>
      <c r="J66" s="9">
        <v>17290.45</v>
      </c>
      <c r="K66" s="9">
        <v>18741.239999999998</v>
      </c>
      <c r="L66" s="9">
        <v>18207.900000000001</v>
      </c>
      <c r="M66" s="9">
        <v>18390.300000000003</v>
      </c>
      <c r="N66" s="9">
        <v>21835.19</v>
      </c>
      <c r="O66" s="9">
        <v>19416.18</v>
      </c>
      <c r="P66" s="9">
        <v>16662.29</v>
      </c>
      <c r="Q66" s="9">
        <v>13475.4</v>
      </c>
      <c r="R66" s="9">
        <v>13066</v>
      </c>
      <c r="S66" s="9">
        <v>11139.8</v>
      </c>
      <c r="T66" s="9">
        <v>10556.14</v>
      </c>
      <c r="U66" s="9">
        <v>13618.01</v>
      </c>
      <c r="V66" s="9">
        <v>13629.14</v>
      </c>
      <c r="W66" s="9">
        <v>13863.69</v>
      </c>
      <c r="X66" s="9">
        <v>12346.06</v>
      </c>
      <c r="Y66" s="9">
        <v>13246.960000000001</v>
      </c>
      <c r="Z66" s="9">
        <v>15340.82</v>
      </c>
      <c r="AA66" s="9">
        <v>13611.49</v>
      </c>
      <c r="AB66" s="9">
        <v>16776.640000000003</v>
      </c>
      <c r="AC66" s="9">
        <v>16264.18</v>
      </c>
      <c r="AD66" s="9">
        <v>15862.210000000001</v>
      </c>
      <c r="AE66" s="9">
        <v>16922.710000000003</v>
      </c>
      <c r="AF66" s="9">
        <v>17059.63</v>
      </c>
      <c r="AG66" s="9">
        <v>16961.25</v>
      </c>
      <c r="AH66" s="9">
        <v>16515.400000000001</v>
      </c>
      <c r="AI66" s="9">
        <v>25475.23</v>
      </c>
      <c r="AJ66" s="9">
        <v>16672.149999999998</v>
      </c>
      <c r="AK66" s="9">
        <v>18192.79</v>
      </c>
      <c r="AL66" s="9">
        <v>19455.419999999998</v>
      </c>
      <c r="AM66" s="9">
        <v>17863.199999999997</v>
      </c>
      <c r="AN66" s="9">
        <v>19378.349999999999</v>
      </c>
      <c r="AO66" s="9">
        <v>17952.439999999999</v>
      </c>
      <c r="AP66" s="9">
        <v>18476.22</v>
      </c>
      <c r="AQ66" s="9">
        <v>16870.59</v>
      </c>
    </row>
    <row r="67" spans="1:43" x14ac:dyDescent="0.25">
      <c r="A67" s="6" t="s">
        <v>48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</row>
    <row r="68" spans="1:43" x14ac:dyDescent="0.25">
      <c r="A68" s="7" t="s">
        <v>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</row>
    <row r="69" spans="1:43" x14ac:dyDescent="0.25">
      <c r="A69" s="7" t="s">
        <v>1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</row>
    <row r="70" spans="1:43" x14ac:dyDescent="0.25">
      <c r="A70" s="7" t="s">
        <v>45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</row>
    <row r="71" spans="1:43" x14ac:dyDescent="0.25">
      <c r="A71" s="5" t="s">
        <v>64</v>
      </c>
      <c r="B71" s="9">
        <v>-11269008.349499268</v>
      </c>
      <c r="C71" s="9">
        <v>-3540048.4209041973</v>
      </c>
      <c r="D71" s="9">
        <v>-8011059.4259009371</v>
      </c>
      <c r="E71" s="9">
        <v>-7677811.6555177253</v>
      </c>
      <c r="F71" s="9">
        <v>-8448194.2709969152</v>
      </c>
      <c r="G71" s="9">
        <v>-7993241.9448989881</v>
      </c>
      <c r="H71" s="9">
        <v>-7775726.0068237968</v>
      </c>
      <c r="I71" s="9">
        <v>-12181989.134454932</v>
      </c>
      <c r="J71" s="9">
        <v>-7595038.8442496518</v>
      </c>
      <c r="K71" s="9">
        <v>-15274745.948873445</v>
      </c>
      <c r="L71" s="9">
        <v>-9692419.003327325</v>
      </c>
      <c r="M71" s="9">
        <v>-9809541.2713556308</v>
      </c>
      <c r="N71" s="9">
        <v>-14526371.567798613</v>
      </c>
      <c r="O71" s="9">
        <v>-9179090.3623131625</v>
      </c>
      <c r="P71" s="9">
        <v>-10909973.737034291</v>
      </c>
      <c r="Q71" s="9">
        <v>-12233667.873575011</v>
      </c>
      <c r="R71" s="9">
        <v>-9856138.4315685909</v>
      </c>
      <c r="S71" s="9">
        <v>-11246033.706347248</v>
      </c>
      <c r="T71" s="9">
        <v>-12026911.436225913</v>
      </c>
      <c r="U71" s="9">
        <v>-11453337.72598958</v>
      </c>
      <c r="V71" s="9">
        <v>-10826789.045927718</v>
      </c>
      <c r="W71" s="9">
        <v>-14736440.136954002</v>
      </c>
      <c r="X71" s="9">
        <v>-9703035.4059488252</v>
      </c>
      <c r="Y71" s="9">
        <v>-9724555.9647142272</v>
      </c>
      <c r="Z71" s="9">
        <v>-14610572.190993747</v>
      </c>
      <c r="AA71" s="9">
        <v>-7963252.8331384109</v>
      </c>
      <c r="AB71" s="9">
        <v>-9518285.830567129</v>
      </c>
      <c r="AC71" s="9">
        <v>-11994408.754581543</v>
      </c>
      <c r="AD71" s="9">
        <v>-11611597.095198447</v>
      </c>
      <c r="AE71" s="9">
        <v>-13213729.598864747</v>
      </c>
      <c r="AF71" s="9">
        <v>-12599756.436168462</v>
      </c>
      <c r="AG71" s="9">
        <v>-14152485.333917836</v>
      </c>
      <c r="AH71" s="9">
        <v>-13822844.388882641</v>
      </c>
      <c r="AI71" s="9">
        <v>-17983673.164048985</v>
      </c>
      <c r="AJ71" s="9">
        <v>-11873314.146038534</v>
      </c>
      <c r="AK71" s="9">
        <v>-13367269.361887202</v>
      </c>
      <c r="AL71" s="9">
        <v>-11740586.442441754</v>
      </c>
      <c r="AM71" s="9">
        <v>-11958874.190515161</v>
      </c>
      <c r="AN71" s="9">
        <v>-11593220.036033273</v>
      </c>
      <c r="AO71" s="9">
        <v>-13060035.843702298</v>
      </c>
      <c r="AP71" s="9">
        <v>-12270894.809999801</v>
      </c>
      <c r="AQ71" s="9">
        <v>-13469985.449999701</v>
      </c>
    </row>
    <row r="72" spans="1:43" x14ac:dyDescent="0.25">
      <c r="A72" s="6" t="s">
        <v>49</v>
      </c>
      <c r="B72" s="9">
        <v>13849.649999989611</v>
      </c>
      <c r="C72" s="9">
        <v>-72157.080000000205</v>
      </c>
      <c r="D72" s="9">
        <v>27540.810000000303</v>
      </c>
      <c r="E72" s="9">
        <v>45623.679999990949</v>
      </c>
      <c r="F72" s="9">
        <v>-2760.5799999999012</v>
      </c>
      <c r="G72" s="9">
        <v>-7073.120000001154</v>
      </c>
      <c r="H72" s="9">
        <v>-25611.039999998982</v>
      </c>
      <c r="I72" s="9">
        <v>-12849.530000000334</v>
      </c>
      <c r="J72" s="9">
        <v>-67054.568276048711</v>
      </c>
      <c r="K72" s="9">
        <v>-82286.802731357195</v>
      </c>
      <c r="L72" s="9">
        <v>-10991.486274101433</v>
      </c>
      <c r="M72" s="9">
        <v>51253.382529452923</v>
      </c>
      <c r="N72" s="9">
        <v>-43531.323917508031</v>
      </c>
      <c r="O72" s="9">
        <v>-38030.819842281126</v>
      </c>
      <c r="P72" s="9">
        <v>-146289.13446030833</v>
      </c>
      <c r="Q72" s="9">
        <v>-37985.832192048605</v>
      </c>
      <c r="R72" s="9">
        <v>-99800.431953562729</v>
      </c>
      <c r="S72" s="9">
        <v>-29921.630000000117</v>
      </c>
      <c r="T72" s="9">
        <v>-62567.30999999019</v>
      </c>
      <c r="U72" s="9">
        <v>-7370.7768523004333</v>
      </c>
      <c r="V72" s="9">
        <v>-12978.826706720793</v>
      </c>
      <c r="W72" s="9">
        <v>-33977.913391749753</v>
      </c>
      <c r="X72" s="9">
        <v>64977.880631624765</v>
      </c>
      <c r="Y72" s="9">
        <v>11094.011496525751</v>
      </c>
      <c r="Z72" s="9">
        <v>-51322.234426132032</v>
      </c>
      <c r="AA72" s="9">
        <v>63861.232670606783</v>
      </c>
      <c r="AB72" s="9">
        <v>-4540.6399999999967</v>
      </c>
      <c r="AC72" s="9">
        <v>-23121.149999999998</v>
      </c>
      <c r="AD72" s="9">
        <v>-92261.83</v>
      </c>
      <c r="AE72" s="9">
        <v>20611.18</v>
      </c>
      <c r="AF72" s="9">
        <v>46109.869999999988</v>
      </c>
      <c r="AG72" s="9">
        <v>11608.421692264699</v>
      </c>
      <c r="AH72" s="9">
        <v>17806.681456859998</v>
      </c>
      <c r="AI72" s="9">
        <v>-72300.121383285295</v>
      </c>
      <c r="AJ72" s="9">
        <v>-36840.8986933333</v>
      </c>
      <c r="AK72" s="9">
        <v>-126984.580496728</v>
      </c>
      <c r="AL72" s="9">
        <v>-6966.81</v>
      </c>
      <c r="AM72" s="9">
        <v>-198882.42</v>
      </c>
      <c r="AN72" s="9">
        <v>-22007.32</v>
      </c>
      <c r="AO72" s="9">
        <v>-221259.11</v>
      </c>
      <c r="AP72" s="9">
        <v>-90816.26</v>
      </c>
      <c r="AQ72" s="9">
        <v>-327475.28999999998</v>
      </c>
    </row>
    <row r="73" spans="1:43" x14ac:dyDescent="0.25">
      <c r="A73" s="7" t="s">
        <v>67</v>
      </c>
      <c r="B73" s="9">
        <v>13849.649999989611</v>
      </c>
      <c r="C73" s="9">
        <v>-72157.080000000205</v>
      </c>
      <c r="D73" s="9">
        <v>27540.810000000303</v>
      </c>
      <c r="E73" s="9">
        <v>45623.679999990949</v>
      </c>
      <c r="F73" s="9">
        <v>-2760.5799999999012</v>
      </c>
      <c r="G73" s="9">
        <v>-7073.120000001154</v>
      </c>
      <c r="H73" s="9">
        <v>-25611.039999998982</v>
      </c>
      <c r="I73" s="9">
        <v>-12849.530000000334</v>
      </c>
      <c r="J73" s="9">
        <v>-67054.568276048711</v>
      </c>
      <c r="K73" s="9">
        <v>-82286.802731357195</v>
      </c>
      <c r="L73" s="9">
        <v>-10991.486274101433</v>
      </c>
      <c r="M73" s="9">
        <v>51253.382529452923</v>
      </c>
      <c r="N73" s="9">
        <v>-43531.323917508031</v>
      </c>
      <c r="O73" s="9">
        <v>-38030.819842281126</v>
      </c>
      <c r="P73" s="9">
        <v>-146289.13446030833</v>
      </c>
      <c r="Q73" s="9">
        <v>-37985.832192048605</v>
      </c>
      <c r="R73" s="9">
        <v>-99800.431953562729</v>
      </c>
      <c r="S73" s="9">
        <v>-29921.630000000117</v>
      </c>
      <c r="T73" s="9">
        <v>-62567.30999999019</v>
      </c>
      <c r="U73" s="9">
        <v>-7370.7768523004333</v>
      </c>
      <c r="V73" s="9">
        <v>-12978.826706720793</v>
      </c>
      <c r="W73" s="9">
        <v>-33977.913391749753</v>
      </c>
      <c r="X73" s="9">
        <v>64977.880631624765</v>
      </c>
      <c r="Y73" s="9">
        <v>11094.011496525751</v>
      </c>
      <c r="Z73" s="9">
        <v>-51322.234426132032</v>
      </c>
      <c r="AA73" s="9">
        <v>63861.232670606783</v>
      </c>
      <c r="AB73" s="9">
        <v>-4540.6399999999967</v>
      </c>
      <c r="AC73" s="9">
        <v>-23121.149999999998</v>
      </c>
      <c r="AD73" s="9">
        <v>-92261.83</v>
      </c>
      <c r="AE73" s="9">
        <v>20611.18</v>
      </c>
      <c r="AF73" s="9">
        <v>46109.869999999988</v>
      </c>
      <c r="AG73" s="9">
        <v>11608.421692264699</v>
      </c>
      <c r="AH73" s="9">
        <v>17806.681456859998</v>
      </c>
      <c r="AI73" s="9">
        <v>-72300.121383285295</v>
      </c>
      <c r="AJ73" s="9">
        <v>-36840.8986933333</v>
      </c>
      <c r="AK73" s="9">
        <v>-126984.580496728</v>
      </c>
      <c r="AL73" s="9">
        <v>-6966.81</v>
      </c>
      <c r="AM73" s="9">
        <v>-198882.42</v>
      </c>
      <c r="AN73" s="9">
        <v>-22007.32</v>
      </c>
      <c r="AO73" s="9">
        <v>-221259.11</v>
      </c>
      <c r="AP73" s="9">
        <v>-90816.26</v>
      </c>
      <c r="AQ73" s="9">
        <v>-327475.28999999998</v>
      </c>
    </row>
    <row r="74" spans="1:43" x14ac:dyDescent="0.25">
      <c r="A74" s="6" t="s">
        <v>47</v>
      </c>
      <c r="B74" s="9">
        <v>-10263071.839499271</v>
      </c>
      <c r="C74" s="9">
        <v>-3080489.5409042067</v>
      </c>
      <c r="D74" s="9">
        <v>-7371887.7359009376</v>
      </c>
      <c r="E74" s="9">
        <v>-6831958.2455177289</v>
      </c>
      <c r="F74" s="9">
        <v>-7878370.7809969038</v>
      </c>
      <c r="G74" s="9">
        <v>-7356907.5948989866</v>
      </c>
      <c r="H74" s="9">
        <v>-7349161.9168237774</v>
      </c>
      <c r="I74" s="9">
        <v>-11343639.344454931</v>
      </c>
      <c r="J74" s="9">
        <v>-7169448.145973606</v>
      </c>
      <c r="K74" s="9">
        <v>-14317996.476142101</v>
      </c>
      <c r="L74" s="9">
        <v>-9197279.6670532152</v>
      </c>
      <c r="M74" s="9">
        <v>-9119776.1438850835</v>
      </c>
      <c r="N74" s="9">
        <v>-13821889.193881096</v>
      </c>
      <c r="O74" s="9">
        <v>-8880723.0624708831</v>
      </c>
      <c r="P74" s="9">
        <v>-10291006.17257398</v>
      </c>
      <c r="Q74" s="9">
        <v>-11733345.551382951</v>
      </c>
      <c r="R74" s="9">
        <v>-9471115.2296150289</v>
      </c>
      <c r="S74" s="9">
        <v>-10721456.696347237</v>
      </c>
      <c r="T74" s="9">
        <v>-11356283.606225932</v>
      </c>
      <c r="U74" s="9">
        <v>-11107975.989137271</v>
      </c>
      <c r="V74" s="9">
        <v>-10449941.829221006</v>
      </c>
      <c r="W74" s="9">
        <v>-14335522.023562264</v>
      </c>
      <c r="X74" s="9">
        <v>-9489576.446580451</v>
      </c>
      <c r="Y74" s="9">
        <v>-9332080.2262107544</v>
      </c>
      <c r="Z74" s="9">
        <v>-13977501.546567624</v>
      </c>
      <c r="AA74" s="9">
        <v>-7724493.7158090081</v>
      </c>
      <c r="AB74" s="9">
        <v>-9145435.1205671281</v>
      </c>
      <c r="AC74" s="9">
        <v>-11722424.084581543</v>
      </c>
      <c r="AD74" s="9">
        <v>-11036180.875198446</v>
      </c>
      <c r="AE74" s="9">
        <v>-12864615.268864747</v>
      </c>
      <c r="AF74" s="9">
        <v>-12261319.906168463</v>
      </c>
      <c r="AG74" s="9">
        <v>-13820406.1256101</v>
      </c>
      <c r="AH74" s="9">
        <v>-13558327.1103395</v>
      </c>
      <c r="AI74" s="9">
        <v>-17283276.652665701</v>
      </c>
      <c r="AJ74" s="9">
        <v>-11654517.947345201</v>
      </c>
      <c r="AK74" s="9">
        <v>-12786404.351390474</v>
      </c>
      <c r="AL74" s="9">
        <v>-11501585.532441754</v>
      </c>
      <c r="AM74" s="9">
        <v>-11470857.500515161</v>
      </c>
      <c r="AN74" s="9">
        <v>-11082392.15</v>
      </c>
      <c r="AO74" s="9">
        <v>-12539956.933702298</v>
      </c>
      <c r="AP74" s="9">
        <v>-11757988.3499998</v>
      </c>
      <c r="AQ74" s="9">
        <v>-12740706.059999701</v>
      </c>
    </row>
    <row r="75" spans="1:43" x14ac:dyDescent="0.25">
      <c r="A75" s="7" t="s">
        <v>67</v>
      </c>
      <c r="B75" s="9">
        <v>-10263071.839499271</v>
      </c>
      <c r="C75" s="9">
        <v>-3080489.5409042067</v>
      </c>
      <c r="D75" s="9">
        <v>-7371887.7359009376</v>
      </c>
      <c r="E75" s="9">
        <v>-6831958.2455177289</v>
      </c>
      <c r="F75" s="9">
        <v>-7878370.7809969038</v>
      </c>
      <c r="G75" s="9">
        <v>-7356907.5948989866</v>
      </c>
      <c r="H75" s="9">
        <v>-7349161.9168237774</v>
      </c>
      <c r="I75" s="9">
        <v>-11343639.344454931</v>
      </c>
      <c r="J75" s="9">
        <v>-7169448.145973606</v>
      </c>
      <c r="K75" s="9">
        <v>-14317996.476142101</v>
      </c>
      <c r="L75" s="9">
        <v>-9197279.6670532152</v>
      </c>
      <c r="M75" s="9">
        <v>-9119776.1438850835</v>
      </c>
      <c r="N75" s="9">
        <v>-13821889.193881096</v>
      </c>
      <c r="O75" s="9">
        <v>-8880723.0624708831</v>
      </c>
      <c r="P75" s="9">
        <v>-10291006.17257398</v>
      </c>
      <c r="Q75" s="9">
        <v>-11733345.551382951</v>
      </c>
      <c r="R75" s="9">
        <v>-9471115.2296150289</v>
      </c>
      <c r="S75" s="9">
        <v>-10721456.696347237</v>
      </c>
      <c r="T75" s="9">
        <v>-11356283.606225932</v>
      </c>
      <c r="U75" s="9">
        <v>-11107975.989137271</v>
      </c>
      <c r="V75" s="9">
        <v>-10449941.829221006</v>
      </c>
      <c r="W75" s="9">
        <v>-14335522.023562264</v>
      </c>
      <c r="X75" s="9">
        <v>-9489576.446580451</v>
      </c>
      <c r="Y75" s="9">
        <v>-9332080.2262107544</v>
      </c>
      <c r="Z75" s="9">
        <v>-13977501.546567624</v>
      </c>
      <c r="AA75" s="9">
        <v>-7724493.7158090081</v>
      </c>
      <c r="AB75" s="9">
        <v>-9145435.1205671281</v>
      </c>
      <c r="AC75" s="9">
        <v>-11722424.084581543</v>
      </c>
      <c r="AD75" s="9">
        <v>-11036180.875198446</v>
      </c>
      <c r="AE75" s="9">
        <v>-12864615.268864747</v>
      </c>
      <c r="AF75" s="9">
        <v>-12261319.906168463</v>
      </c>
      <c r="AG75" s="9">
        <v>-13820406.1256101</v>
      </c>
      <c r="AH75" s="9">
        <v>-13558327.1103395</v>
      </c>
      <c r="AI75" s="9">
        <v>-17283276.652665701</v>
      </c>
      <c r="AJ75" s="9">
        <v>-11654517.947345201</v>
      </c>
      <c r="AK75" s="9">
        <v>-12786404.351390474</v>
      </c>
      <c r="AL75" s="9">
        <v>-11501585.532441754</v>
      </c>
      <c r="AM75" s="9">
        <v>-11470857.500515161</v>
      </c>
      <c r="AN75" s="9">
        <v>-11082392.15</v>
      </c>
      <c r="AO75" s="9">
        <v>-12539956.933702298</v>
      </c>
      <c r="AP75" s="9">
        <v>-11757988.3499998</v>
      </c>
      <c r="AQ75" s="9">
        <v>-12740706.059999701</v>
      </c>
    </row>
    <row r="76" spans="1:43" x14ac:dyDescent="0.25">
      <c r="A76" s="6" t="s">
        <v>46</v>
      </c>
      <c r="B76" s="9">
        <v>-1019786.1599999883</v>
      </c>
      <c r="C76" s="9">
        <v>-387401.79999999044</v>
      </c>
      <c r="D76" s="9">
        <v>-666712.49999999965</v>
      </c>
      <c r="E76" s="9">
        <v>-891477.08999998763</v>
      </c>
      <c r="F76" s="9">
        <v>-567062.91000001074</v>
      </c>
      <c r="G76" s="9">
        <v>-629261.23000000033</v>
      </c>
      <c r="H76" s="9">
        <v>-400953.05000002048</v>
      </c>
      <c r="I76" s="9">
        <v>-825500.25999999966</v>
      </c>
      <c r="J76" s="9">
        <v>-358536.12999999698</v>
      </c>
      <c r="K76" s="9">
        <v>-874462.66999998782</v>
      </c>
      <c r="L76" s="9">
        <v>-484147.85000000859</v>
      </c>
      <c r="M76" s="9">
        <v>-741018.51000000024</v>
      </c>
      <c r="N76" s="9">
        <v>-660951.05000000843</v>
      </c>
      <c r="O76" s="9">
        <v>-260336.47999999899</v>
      </c>
      <c r="P76" s="9">
        <v>-472678.4300000022</v>
      </c>
      <c r="Q76" s="9">
        <v>-462336.49000001099</v>
      </c>
      <c r="R76" s="9">
        <v>-285222.76999999996</v>
      </c>
      <c r="S76" s="9">
        <v>-494655.38000001101</v>
      </c>
      <c r="T76" s="9">
        <v>-608060.51999999071</v>
      </c>
      <c r="U76" s="9">
        <v>-337990.96000000916</v>
      </c>
      <c r="V76" s="9">
        <v>-363868.38999999128</v>
      </c>
      <c r="W76" s="9">
        <v>-366940.19999998843</v>
      </c>
      <c r="X76" s="9">
        <v>-278436.83999999944</v>
      </c>
      <c r="Y76" s="9">
        <v>-403569.74999999825</v>
      </c>
      <c r="Z76" s="9">
        <v>-581748.40999999049</v>
      </c>
      <c r="AA76" s="9">
        <v>-302620.35000000935</v>
      </c>
      <c r="AB76" s="9">
        <v>-368310.07</v>
      </c>
      <c r="AC76" s="9">
        <v>-248863.52000000002</v>
      </c>
      <c r="AD76" s="9">
        <v>-483154.38999999996</v>
      </c>
      <c r="AE76" s="9">
        <v>-369725.51</v>
      </c>
      <c r="AF76" s="9">
        <v>-384546.4</v>
      </c>
      <c r="AG76" s="9">
        <v>-343687.63</v>
      </c>
      <c r="AH76" s="9">
        <v>-282323.96000000002</v>
      </c>
      <c r="AI76" s="9">
        <v>-628096.39</v>
      </c>
      <c r="AJ76" s="9">
        <v>-181955.3</v>
      </c>
      <c r="AK76" s="9">
        <v>-453880.43</v>
      </c>
      <c r="AL76" s="9">
        <v>-232034.1</v>
      </c>
      <c r="AM76" s="9">
        <v>-289134.27</v>
      </c>
      <c r="AN76" s="9">
        <v>-488820.56603327172</v>
      </c>
      <c r="AO76" s="9">
        <v>-298819.8</v>
      </c>
      <c r="AP76" s="9">
        <v>-422090.2</v>
      </c>
      <c r="AQ76" s="9">
        <v>-401804.1</v>
      </c>
    </row>
    <row r="77" spans="1:43" x14ac:dyDescent="0.25">
      <c r="A77" s="7" t="s">
        <v>67</v>
      </c>
      <c r="B77" s="9">
        <v>-1019786.1599999883</v>
      </c>
      <c r="C77" s="9">
        <v>-387401.79999999044</v>
      </c>
      <c r="D77" s="9">
        <v>-666712.49999999965</v>
      </c>
      <c r="E77" s="9">
        <v>-891477.08999998763</v>
      </c>
      <c r="F77" s="9">
        <v>-567062.91000001074</v>
      </c>
      <c r="G77" s="9">
        <v>-629261.23000000033</v>
      </c>
      <c r="H77" s="9">
        <v>-400953.05000002048</v>
      </c>
      <c r="I77" s="9">
        <v>-825500.25999999966</v>
      </c>
      <c r="J77" s="9">
        <v>-358536.12999999698</v>
      </c>
      <c r="K77" s="9">
        <v>-874462.66999998782</v>
      </c>
      <c r="L77" s="9">
        <v>-484147.85000000859</v>
      </c>
      <c r="M77" s="9">
        <v>-741018.51000000024</v>
      </c>
      <c r="N77" s="9">
        <v>-660951.05000000843</v>
      </c>
      <c r="O77" s="9">
        <v>-260336.47999999899</v>
      </c>
      <c r="P77" s="9">
        <v>-472678.4300000022</v>
      </c>
      <c r="Q77" s="9">
        <v>-462336.49000001099</v>
      </c>
      <c r="R77" s="9">
        <v>-285222.76999999996</v>
      </c>
      <c r="S77" s="9">
        <v>-494655.38000001101</v>
      </c>
      <c r="T77" s="9">
        <v>-608060.51999999071</v>
      </c>
      <c r="U77" s="9">
        <v>-337990.96000000916</v>
      </c>
      <c r="V77" s="9">
        <v>-363868.38999999128</v>
      </c>
      <c r="W77" s="9">
        <v>-366940.19999998843</v>
      </c>
      <c r="X77" s="9">
        <v>-278436.83999999944</v>
      </c>
      <c r="Y77" s="9">
        <v>-403569.74999999825</v>
      </c>
      <c r="Z77" s="9">
        <v>-581748.40999999049</v>
      </c>
      <c r="AA77" s="9">
        <v>-302620.35000000935</v>
      </c>
      <c r="AB77" s="9">
        <v>-368310.07</v>
      </c>
      <c r="AC77" s="9">
        <v>-248863.52000000002</v>
      </c>
      <c r="AD77" s="9">
        <v>-483154.38999999996</v>
      </c>
      <c r="AE77" s="9">
        <v>-369725.51</v>
      </c>
      <c r="AF77" s="9">
        <v>-384546.4</v>
      </c>
      <c r="AG77" s="9">
        <v>-343687.63</v>
      </c>
      <c r="AH77" s="9">
        <v>-282323.96000000002</v>
      </c>
      <c r="AI77" s="9">
        <v>-628096.39</v>
      </c>
      <c r="AJ77" s="9">
        <v>-181955.3</v>
      </c>
      <c r="AK77" s="9">
        <v>-453880.43</v>
      </c>
      <c r="AL77" s="9">
        <v>-232034.1</v>
      </c>
      <c r="AM77" s="9">
        <v>-289134.27</v>
      </c>
      <c r="AN77" s="9">
        <v>-488820.56603327172</v>
      </c>
      <c r="AO77" s="9">
        <v>-298819.8</v>
      </c>
      <c r="AP77" s="9">
        <v>-422090.2</v>
      </c>
      <c r="AQ77" s="9">
        <v>-401804.1</v>
      </c>
    </row>
    <row r="78" spans="1:43" x14ac:dyDescent="0.25">
      <c r="A78" s="5" t="s">
        <v>65</v>
      </c>
      <c r="B78" s="9">
        <v>2288384.0500000017</v>
      </c>
      <c r="C78" s="9">
        <v>2448815.1500000036</v>
      </c>
      <c r="D78" s="9">
        <v>2390371.1100000022</v>
      </c>
      <c r="E78" s="9">
        <v>2915247.8200000003</v>
      </c>
      <c r="F78" s="9">
        <v>3445870.7300000065</v>
      </c>
      <c r="G78" s="9">
        <v>3111492.8200000017</v>
      </c>
      <c r="H78" s="9">
        <v>2778759.6100000045</v>
      </c>
      <c r="I78" s="9">
        <v>4065234.1900000009</v>
      </c>
      <c r="J78" s="9">
        <v>2997533.8500000024</v>
      </c>
      <c r="K78" s="9">
        <v>3829865.7600000026</v>
      </c>
      <c r="L78" s="9">
        <v>2977485.3900000034</v>
      </c>
      <c r="M78" s="9">
        <v>2888365.1500000013</v>
      </c>
      <c r="N78" s="9">
        <v>3185845.17</v>
      </c>
      <c r="O78" s="9">
        <v>3068232.19</v>
      </c>
      <c r="P78" s="9">
        <v>2414402.83</v>
      </c>
      <c r="Q78" s="9">
        <v>2212797.77</v>
      </c>
      <c r="R78" s="9">
        <v>2500029.4899999998</v>
      </c>
      <c r="S78" s="9">
        <v>2172778.9500000002</v>
      </c>
      <c r="T78" s="9">
        <v>2728375.9900000039</v>
      </c>
      <c r="U78" s="9">
        <v>2686041.5800000005</v>
      </c>
      <c r="V78" s="9">
        <v>2097585.7799999998</v>
      </c>
      <c r="W78" s="9">
        <v>2122527.0217611692</v>
      </c>
      <c r="X78" s="9">
        <v>2734362.5500000003</v>
      </c>
      <c r="Y78" s="9">
        <v>2163345.62</v>
      </c>
      <c r="Z78" s="9">
        <v>2735843.46</v>
      </c>
      <c r="AA78" s="9">
        <v>2213500.04</v>
      </c>
      <c r="AB78" s="9">
        <v>3204830.3699999996</v>
      </c>
      <c r="AC78" s="9">
        <v>2130610.1999999997</v>
      </c>
      <c r="AD78" s="9">
        <v>2498610.67</v>
      </c>
      <c r="AE78" s="9">
        <v>2277129.86</v>
      </c>
      <c r="AF78" s="9">
        <v>2153868.48</v>
      </c>
      <c r="AG78" s="9">
        <v>2372810.5299999998</v>
      </c>
      <c r="AH78" s="9">
        <v>3216824.4499999997</v>
      </c>
      <c r="AI78" s="9">
        <v>2626194.5699999998</v>
      </c>
      <c r="AJ78" s="9">
        <v>2130056.79999999</v>
      </c>
      <c r="AK78" s="9">
        <v>1918654.3799999871</v>
      </c>
      <c r="AL78" s="9">
        <v>2452940.83</v>
      </c>
      <c r="AM78" s="9">
        <v>2451457.96</v>
      </c>
      <c r="AN78" s="9">
        <v>2189851.67</v>
      </c>
      <c r="AO78" s="9">
        <v>2202904.8600000003</v>
      </c>
      <c r="AP78" s="9">
        <v>2058729.39</v>
      </c>
      <c r="AQ78" s="9">
        <v>2179839.1699999901</v>
      </c>
    </row>
    <row r="79" spans="1:43" x14ac:dyDescent="0.25">
      <c r="A79" s="6" t="s">
        <v>49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7.8761621281736209</v>
      </c>
      <c r="K79" s="9">
        <v>0</v>
      </c>
      <c r="L79" s="9">
        <v>0</v>
      </c>
      <c r="M79" s="9">
        <v>0</v>
      </c>
      <c r="N79" s="9">
        <v>6894.74</v>
      </c>
      <c r="O79" s="9">
        <v>3537.7599999999998</v>
      </c>
      <c r="P79" s="9">
        <v>4000</v>
      </c>
      <c r="Q79" s="9">
        <v>4046.1200000000003</v>
      </c>
      <c r="R79" s="9">
        <v>21.36</v>
      </c>
      <c r="S79" s="9">
        <v>7669.55</v>
      </c>
      <c r="T79" s="9">
        <v>1434.2</v>
      </c>
      <c r="U79" s="9">
        <v>3006.8199999999997</v>
      </c>
      <c r="V79" s="9">
        <v>474.01</v>
      </c>
      <c r="W79" s="9">
        <v>527.01</v>
      </c>
      <c r="X79" s="9">
        <v>6464.7300000000005</v>
      </c>
      <c r="Y79" s="9">
        <v>776.53</v>
      </c>
      <c r="Z79" s="9">
        <v>819.85</v>
      </c>
      <c r="AA79" s="9">
        <v>988.65</v>
      </c>
      <c r="AB79" s="9">
        <v>1047.6300000000001</v>
      </c>
      <c r="AC79" s="9">
        <v>7885.2699999999995</v>
      </c>
      <c r="AD79" s="9">
        <v>576.44000000000005</v>
      </c>
      <c r="AE79" s="9">
        <v>669.81</v>
      </c>
      <c r="AF79" s="9">
        <v>4535.4799999999996</v>
      </c>
      <c r="AG79" s="9">
        <v>629.30999999999995</v>
      </c>
      <c r="AH79" s="9">
        <v>748.93</v>
      </c>
      <c r="AI79" s="9">
        <v>748.93</v>
      </c>
      <c r="AJ79" s="9">
        <v>748.93</v>
      </c>
      <c r="AK79" s="9">
        <v>748.93</v>
      </c>
      <c r="AL79" s="9">
        <v>711.43</v>
      </c>
      <c r="AM79" s="9">
        <v>781.05</v>
      </c>
      <c r="AN79" s="9">
        <v>285.43</v>
      </c>
      <c r="AO79" s="9">
        <v>512.29999999999995</v>
      </c>
      <c r="AP79" s="9">
        <v>504.25</v>
      </c>
      <c r="AQ79" s="9">
        <v>504.25</v>
      </c>
    </row>
    <row r="80" spans="1:43" x14ac:dyDescent="0.25">
      <c r="A80" s="7" t="s">
        <v>69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7.8761621281736209</v>
      </c>
      <c r="K80" s="9">
        <v>0</v>
      </c>
      <c r="L80" s="9">
        <v>0</v>
      </c>
      <c r="M80" s="9">
        <v>0</v>
      </c>
      <c r="N80" s="9">
        <v>6894.74</v>
      </c>
      <c r="O80" s="9">
        <v>3537.7599999999998</v>
      </c>
      <c r="P80" s="9">
        <v>4000</v>
      </c>
      <c r="Q80" s="9">
        <v>4046.1200000000003</v>
      </c>
      <c r="R80" s="9">
        <v>21.36</v>
      </c>
      <c r="S80" s="9">
        <v>7669.55</v>
      </c>
      <c r="T80" s="9">
        <v>1434.2</v>
      </c>
      <c r="U80" s="9">
        <v>3006.8199999999997</v>
      </c>
      <c r="V80" s="9">
        <v>474.01</v>
      </c>
      <c r="W80" s="9">
        <v>527.01</v>
      </c>
      <c r="X80" s="9">
        <v>6464.7300000000005</v>
      </c>
      <c r="Y80" s="9">
        <v>776.53</v>
      </c>
      <c r="Z80" s="9">
        <v>819.85</v>
      </c>
      <c r="AA80" s="9">
        <v>988.65</v>
      </c>
      <c r="AB80" s="9">
        <v>1047.6300000000001</v>
      </c>
      <c r="AC80" s="9">
        <v>7885.2699999999995</v>
      </c>
      <c r="AD80" s="9">
        <v>576.44000000000005</v>
      </c>
      <c r="AE80" s="9">
        <v>669.81</v>
      </c>
      <c r="AF80" s="9">
        <v>4535.4799999999996</v>
      </c>
      <c r="AG80" s="9">
        <v>629.30999999999995</v>
      </c>
      <c r="AH80" s="9">
        <v>748.93</v>
      </c>
      <c r="AI80" s="9">
        <v>748.93</v>
      </c>
      <c r="AJ80" s="9">
        <v>748.93</v>
      </c>
      <c r="AK80" s="9">
        <v>748.93</v>
      </c>
      <c r="AL80" s="9">
        <v>711.43</v>
      </c>
      <c r="AM80" s="9">
        <v>781.05</v>
      </c>
      <c r="AN80" s="9">
        <v>285.43</v>
      </c>
      <c r="AO80" s="9">
        <v>512.29999999999995</v>
      </c>
      <c r="AP80" s="9">
        <v>504.25</v>
      </c>
      <c r="AQ80" s="9">
        <v>504.25</v>
      </c>
    </row>
    <row r="81" spans="1:43" x14ac:dyDescent="0.25">
      <c r="A81" s="6" t="s">
        <v>47</v>
      </c>
      <c r="B81" s="9">
        <v>1992572.5723259179</v>
      </c>
      <c r="C81" s="9">
        <v>2288831.9799395236</v>
      </c>
      <c r="D81" s="9">
        <v>2179984.0983420829</v>
      </c>
      <c r="E81" s="9">
        <v>2594775.0008348105</v>
      </c>
      <c r="F81" s="9">
        <v>3138277.2591287806</v>
      </c>
      <c r="G81" s="9">
        <v>2748930.6893313737</v>
      </c>
      <c r="H81" s="9">
        <v>2606640.293071317</v>
      </c>
      <c r="I81" s="9">
        <v>3625743.7802686878</v>
      </c>
      <c r="J81" s="9">
        <v>2757818.1959290686</v>
      </c>
      <c r="K81" s="9">
        <v>3540830.4962776331</v>
      </c>
      <c r="L81" s="9">
        <v>2750875.3793967771</v>
      </c>
      <c r="M81" s="9">
        <v>2765444.9777732119</v>
      </c>
      <c r="N81" s="9">
        <v>2996970.12</v>
      </c>
      <c r="O81" s="9">
        <v>2849701.56</v>
      </c>
      <c r="P81" s="9">
        <v>2289666.34</v>
      </c>
      <c r="Q81" s="9">
        <v>2020424.85</v>
      </c>
      <c r="R81" s="9">
        <v>2277798.7899999996</v>
      </c>
      <c r="S81" s="9">
        <v>2010664.44</v>
      </c>
      <c r="T81" s="9">
        <v>2539751.1600000039</v>
      </c>
      <c r="U81" s="9">
        <v>2488966.2100000004</v>
      </c>
      <c r="V81" s="9">
        <v>1956196.92</v>
      </c>
      <c r="W81" s="9">
        <v>1950949.3617611693</v>
      </c>
      <c r="X81" s="9">
        <v>2517568.6500000004</v>
      </c>
      <c r="Y81" s="9">
        <v>2056278.8900000001</v>
      </c>
      <c r="Z81" s="9">
        <v>2416652.61</v>
      </c>
      <c r="AA81" s="9">
        <v>2030114.92</v>
      </c>
      <c r="AB81" s="9">
        <v>3042999.9599999995</v>
      </c>
      <c r="AC81" s="9">
        <v>2045421.9399999997</v>
      </c>
      <c r="AD81" s="9">
        <v>2424478.1999999997</v>
      </c>
      <c r="AE81" s="9">
        <v>2191225.11</v>
      </c>
      <c r="AF81" s="9">
        <v>2089781.12</v>
      </c>
      <c r="AG81" s="9">
        <v>2302607.19</v>
      </c>
      <c r="AH81" s="9">
        <v>3145586.01</v>
      </c>
      <c r="AI81" s="9">
        <v>2550548.09</v>
      </c>
      <c r="AJ81" s="9">
        <v>2068785.8299999901</v>
      </c>
      <c r="AK81" s="9">
        <v>1927016.54999999</v>
      </c>
      <c r="AL81" s="9">
        <v>2384607.79</v>
      </c>
      <c r="AM81" s="9">
        <v>2367235.54</v>
      </c>
      <c r="AN81" s="9">
        <v>2116967.41</v>
      </c>
      <c r="AO81" s="9">
        <v>2105190.9300000002</v>
      </c>
      <c r="AP81" s="9">
        <v>1969508.22</v>
      </c>
      <c r="AQ81" s="9">
        <v>2090175.3299999901</v>
      </c>
    </row>
    <row r="82" spans="1:43" x14ac:dyDescent="0.25">
      <c r="A82" s="7" t="s">
        <v>69</v>
      </c>
      <c r="B82" s="9">
        <v>1992572.5723259179</v>
      </c>
      <c r="C82" s="9">
        <v>2288831.9799395236</v>
      </c>
      <c r="D82" s="9">
        <v>2179984.0983420829</v>
      </c>
      <c r="E82" s="9">
        <v>2594775.0008348105</v>
      </c>
      <c r="F82" s="9">
        <v>3138277.2591287806</v>
      </c>
      <c r="G82" s="9">
        <v>2748930.6893313737</v>
      </c>
      <c r="H82" s="9">
        <v>2606640.293071317</v>
      </c>
      <c r="I82" s="9">
        <v>3625743.7802686878</v>
      </c>
      <c r="J82" s="9">
        <v>2757818.1959290686</v>
      </c>
      <c r="K82" s="9">
        <v>3540830.4962776331</v>
      </c>
      <c r="L82" s="9">
        <v>2750875.3793967771</v>
      </c>
      <c r="M82" s="9">
        <v>2765444.9777732119</v>
      </c>
      <c r="N82" s="9">
        <v>2996970.12</v>
      </c>
      <c r="O82" s="9">
        <v>2849701.56</v>
      </c>
      <c r="P82" s="9">
        <v>2289666.34</v>
      </c>
      <c r="Q82" s="9">
        <v>2020424.85</v>
      </c>
      <c r="R82" s="9">
        <v>2277798.7899999996</v>
      </c>
      <c r="S82" s="9">
        <v>2010664.44</v>
      </c>
      <c r="T82" s="9">
        <v>2539751.1600000039</v>
      </c>
      <c r="U82" s="9">
        <v>2488966.2100000004</v>
      </c>
      <c r="V82" s="9">
        <v>1956196.92</v>
      </c>
      <c r="W82" s="9">
        <v>1950949.3617611693</v>
      </c>
      <c r="X82" s="9">
        <v>2517568.6500000004</v>
      </c>
      <c r="Y82" s="9">
        <v>2056278.8900000001</v>
      </c>
      <c r="Z82" s="9">
        <v>2416652.61</v>
      </c>
      <c r="AA82" s="9">
        <v>2030114.92</v>
      </c>
      <c r="AB82" s="9">
        <v>3042999.9599999995</v>
      </c>
      <c r="AC82" s="9">
        <v>2045421.9399999997</v>
      </c>
      <c r="AD82" s="9">
        <v>2424478.1999999997</v>
      </c>
      <c r="AE82" s="9">
        <v>2191225.11</v>
      </c>
      <c r="AF82" s="9">
        <v>2089781.12</v>
      </c>
      <c r="AG82" s="9">
        <v>2302607.19</v>
      </c>
      <c r="AH82" s="9">
        <v>3145586.01</v>
      </c>
      <c r="AI82" s="9">
        <v>2550548.09</v>
      </c>
      <c r="AJ82" s="9">
        <v>2068785.8299999901</v>
      </c>
      <c r="AK82" s="9">
        <v>1927016.54999999</v>
      </c>
      <c r="AL82" s="9">
        <v>2384607.79</v>
      </c>
      <c r="AM82" s="9">
        <v>2367235.54</v>
      </c>
      <c r="AN82" s="9">
        <v>2116967.41</v>
      </c>
      <c r="AO82" s="9">
        <v>2105190.9300000002</v>
      </c>
      <c r="AP82" s="9">
        <v>1969508.22</v>
      </c>
      <c r="AQ82" s="9">
        <v>2090175.3299999901</v>
      </c>
    </row>
    <row r="83" spans="1:43" x14ac:dyDescent="0.25">
      <c r="A83" s="6" t="s">
        <v>46</v>
      </c>
      <c r="B83" s="9">
        <v>295811.47767408373</v>
      </c>
      <c r="C83" s="9">
        <v>159983.17006048007</v>
      </c>
      <c r="D83" s="9">
        <v>210387.01165791924</v>
      </c>
      <c r="E83" s="9">
        <v>320472.81916518969</v>
      </c>
      <c r="F83" s="9">
        <v>307593.47087122593</v>
      </c>
      <c r="G83" s="9">
        <v>362562.1306686282</v>
      </c>
      <c r="H83" s="9">
        <v>172119.31692868733</v>
      </c>
      <c r="I83" s="9">
        <v>439490.40973131324</v>
      </c>
      <c r="J83" s="9">
        <v>239707.77790880555</v>
      </c>
      <c r="K83" s="9">
        <v>289035.26372236921</v>
      </c>
      <c r="L83" s="9">
        <v>226610.01060322649</v>
      </c>
      <c r="M83" s="9">
        <v>122920.17222678952</v>
      </c>
      <c r="N83" s="9">
        <v>181980.31</v>
      </c>
      <c r="O83" s="9">
        <v>214992.87</v>
      </c>
      <c r="P83" s="9">
        <v>120736.49</v>
      </c>
      <c r="Q83" s="9">
        <v>188326.8</v>
      </c>
      <c r="R83" s="9">
        <v>222209.34</v>
      </c>
      <c r="S83" s="9">
        <v>154444.96000000002</v>
      </c>
      <c r="T83" s="9">
        <v>187190.62999999998</v>
      </c>
      <c r="U83" s="9">
        <v>194068.55</v>
      </c>
      <c r="V83" s="9">
        <v>140914.85</v>
      </c>
      <c r="W83" s="9">
        <v>171050.65000000002</v>
      </c>
      <c r="X83" s="9">
        <v>210329.17</v>
      </c>
      <c r="Y83" s="9">
        <v>106290.20000000001</v>
      </c>
      <c r="Z83" s="9">
        <v>318371</v>
      </c>
      <c r="AA83" s="9">
        <v>182396.47</v>
      </c>
      <c r="AB83" s="9">
        <v>160782.78</v>
      </c>
      <c r="AC83" s="9">
        <v>77302.989999999991</v>
      </c>
      <c r="AD83" s="9">
        <v>73556.03</v>
      </c>
      <c r="AE83" s="9">
        <v>85234.94</v>
      </c>
      <c r="AF83" s="9">
        <v>59551.880000000005</v>
      </c>
      <c r="AG83" s="9">
        <v>69574.03</v>
      </c>
      <c r="AH83" s="9">
        <v>70489.509999999995</v>
      </c>
      <c r="AI83" s="9">
        <v>74897.55</v>
      </c>
      <c r="AJ83" s="9">
        <v>60522.04</v>
      </c>
      <c r="AK83" s="9">
        <v>-9111.1000000029017</v>
      </c>
      <c r="AL83" s="9">
        <v>67621.61</v>
      </c>
      <c r="AM83" s="9">
        <v>83441.37</v>
      </c>
      <c r="AN83" s="9">
        <v>72598.83</v>
      </c>
      <c r="AO83" s="9">
        <v>97201.63</v>
      </c>
      <c r="AP83" s="9">
        <v>88716.92</v>
      </c>
      <c r="AQ83" s="9">
        <v>89159.59</v>
      </c>
    </row>
    <row r="84" spans="1:43" x14ac:dyDescent="0.25">
      <c r="A84" s="7" t="s">
        <v>69</v>
      </c>
      <c r="B84" s="9">
        <v>295811.47767408373</v>
      </c>
      <c r="C84" s="9">
        <v>159983.17006048007</v>
      </c>
      <c r="D84" s="9">
        <v>210387.01165791924</v>
      </c>
      <c r="E84" s="9">
        <v>320472.81916518969</v>
      </c>
      <c r="F84" s="9">
        <v>307593.47087122593</v>
      </c>
      <c r="G84" s="9">
        <v>362562.1306686282</v>
      </c>
      <c r="H84" s="9">
        <v>172119.31692868733</v>
      </c>
      <c r="I84" s="9">
        <v>439490.40973131324</v>
      </c>
      <c r="J84" s="9">
        <v>239707.77790880555</v>
      </c>
      <c r="K84" s="9">
        <v>289035.26372236921</v>
      </c>
      <c r="L84" s="9">
        <v>226610.01060322649</v>
      </c>
      <c r="M84" s="9">
        <v>122920.17222678952</v>
      </c>
      <c r="N84" s="9">
        <v>181980.31</v>
      </c>
      <c r="O84" s="9">
        <v>214992.87</v>
      </c>
      <c r="P84" s="9">
        <v>120736.49</v>
      </c>
      <c r="Q84" s="9">
        <v>188326.8</v>
      </c>
      <c r="R84" s="9">
        <v>222209.34</v>
      </c>
      <c r="S84" s="9">
        <v>154444.96000000002</v>
      </c>
      <c r="T84" s="9">
        <v>187190.62999999998</v>
      </c>
      <c r="U84" s="9">
        <v>194068.55</v>
      </c>
      <c r="V84" s="9">
        <v>140914.85</v>
      </c>
      <c r="W84" s="9">
        <v>171050.65000000002</v>
      </c>
      <c r="X84" s="9">
        <v>210329.17</v>
      </c>
      <c r="Y84" s="9">
        <v>106290.20000000001</v>
      </c>
      <c r="Z84" s="9">
        <v>318371</v>
      </c>
      <c r="AA84" s="9">
        <v>182396.47</v>
      </c>
      <c r="AB84" s="9">
        <v>160782.78</v>
      </c>
      <c r="AC84" s="9">
        <v>77302.989999999991</v>
      </c>
      <c r="AD84" s="9">
        <v>73556.03</v>
      </c>
      <c r="AE84" s="9">
        <v>85234.94</v>
      </c>
      <c r="AF84" s="9">
        <v>59551.880000000005</v>
      </c>
      <c r="AG84" s="9">
        <v>69574.03</v>
      </c>
      <c r="AH84" s="9">
        <v>70489.509999999995</v>
      </c>
      <c r="AI84" s="9">
        <v>74897.55</v>
      </c>
      <c r="AJ84" s="9">
        <v>60522.04</v>
      </c>
      <c r="AK84" s="9">
        <v>-9111.1000000029017</v>
      </c>
      <c r="AL84" s="9">
        <v>67621.61</v>
      </c>
      <c r="AM84" s="9">
        <v>83441.37</v>
      </c>
      <c r="AN84" s="9">
        <v>72598.83</v>
      </c>
      <c r="AO84" s="9">
        <v>97201.63</v>
      </c>
      <c r="AP84" s="9">
        <v>88716.92</v>
      </c>
      <c r="AQ84" s="9">
        <v>89159.59</v>
      </c>
    </row>
    <row r="85" spans="1:43" x14ac:dyDescent="0.25">
      <c r="A85" s="5" t="s">
        <v>71</v>
      </c>
      <c r="B85" s="9">
        <v>693837.55990870006</v>
      </c>
      <c r="C85" s="9">
        <v>621052.94003870001</v>
      </c>
      <c r="D85" s="9">
        <v>604425.05005019996</v>
      </c>
      <c r="E85" s="9">
        <v>686513.24004499998</v>
      </c>
      <c r="F85" s="9">
        <v>593602.69993200013</v>
      </c>
      <c r="G85" s="9">
        <v>657136.67993799993</v>
      </c>
      <c r="H85" s="9">
        <v>568076.62998800015</v>
      </c>
      <c r="I85" s="9">
        <v>570079.60997500003</v>
      </c>
      <c r="J85" s="9">
        <v>584463.70999099989</v>
      </c>
      <c r="K85" s="9">
        <v>484250.41006600007</v>
      </c>
      <c r="L85" s="9">
        <v>697650.16999919992</v>
      </c>
      <c r="M85" s="9">
        <v>273414.08007999993</v>
      </c>
      <c r="N85" s="9">
        <v>553558.36001260008</v>
      </c>
      <c r="O85" s="9">
        <v>629547.48998700001</v>
      </c>
      <c r="P85" s="9">
        <v>625520.760014</v>
      </c>
      <c r="Q85" s="9">
        <v>597160.27999399998</v>
      </c>
      <c r="R85" s="9">
        <v>497483.24997800001</v>
      </c>
      <c r="S85" s="9">
        <v>699336.87998900004</v>
      </c>
      <c r="T85" s="9">
        <v>716233.16993029998</v>
      </c>
      <c r="U85" s="9">
        <v>538699.350019</v>
      </c>
      <c r="V85" s="9">
        <v>1238108.3600910001</v>
      </c>
      <c r="W85" s="9">
        <v>87126.240064599988</v>
      </c>
      <c r="X85" s="9">
        <v>219039.46992800003</v>
      </c>
      <c r="Y85" s="9">
        <v>1234669.1999749148</v>
      </c>
      <c r="Z85" s="9">
        <v>462858.13999999996</v>
      </c>
      <c r="AA85" s="9">
        <v>523997.08001400006</v>
      </c>
      <c r="AB85" s="9">
        <v>627378.81998999999</v>
      </c>
      <c r="AC85" s="9">
        <v>485034.40007799992</v>
      </c>
      <c r="AD85" s="9">
        <v>1069266.0899636</v>
      </c>
      <c r="AE85" s="9">
        <v>1030975.5899954999</v>
      </c>
      <c r="AF85" s="9">
        <v>1061889.0500002999</v>
      </c>
      <c r="AG85" s="9">
        <v>1113602.2099559999</v>
      </c>
      <c r="AH85" s="9">
        <v>1650772.7699871997</v>
      </c>
      <c r="AI85" s="9">
        <v>1097925.1500150498</v>
      </c>
      <c r="AJ85" s="9">
        <v>1096655.6800629999</v>
      </c>
      <c r="AK85" s="9">
        <v>1072476.1999299999</v>
      </c>
      <c r="AL85" s="9">
        <v>949521.29000000015</v>
      </c>
      <c r="AM85" s="9">
        <v>1141239.31</v>
      </c>
      <c r="AN85" s="9">
        <v>828259.44999999972</v>
      </c>
      <c r="AO85" s="9">
        <v>1222060.6099999999</v>
      </c>
      <c r="AP85" s="9">
        <v>914446.39999999991</v>
      </c>
      <c r="AQ85" s="9">
        <v>1104405.7700000003</v>
      </c>
    </row>
    <row r="86" spans="1:43" x14ac:dyDescent="0.25">
      <c r="A86" s="6" t="s">
        <v>49</v>
      </c>
      <c r="B86" s="9">
        <v>13015.605138699999</v>
      </c>
      <c r="C86" s="9">
        <v>10213.799559699999</v>
      </c>
      <c r="D86" s="9">
        <v>9169.2488961999989</v>
      </c>
      <c r="E86" s="9">
        <v>9216.4824989999997</v>
      </c>
      <c r="F86" s="9">
        <v>9967.4298010000002</v>
      </c>
      <c r="G86" s="9">
        <v>8726.4973410000002</v>
      </c>
      <c r="H86" s="9">
        <v>9867.0575279999994</v>
      </c>
      <c r="I86" s="9">
        <v>9305.3461400000015</v>
      </c>
      <c r="J86" s="9">
        <v>9734.8478030000006</v>
      </c>
      <c r="K86" s="9">
        <v>8593.0952290000005</v>
      </c>
      <c r="L86" s="9">
        <v>10593.592964200001</v>
      </c>
      <c r="M86" s="9">
        <v>7653.9625050000013</v>
      </c>
      <c r="N86" s="9">
        <v>8946.6745760000013</v>
      </c>
      <c r="O86" s="9">
        <v>8290.0096480000011</v>
      </c>
      <c r="P86" s="9">
        <v>9309.7266679999993</v>
      </c>
      <c r="Q86" s="9">
        <v>8469.1780900000012</v>
      </c>
      <c r="R86" s="9">
        <v>7952.3969720000005</v>
      </c>
      <c r="S86" s="9">
        <v>8412.8186779999996</v>
      </c>
      <c r="T86" s="9">
        <v>10399.1976173</v>
      </c>
      <c r="U86" s="9">
        <v>8550.1539589999993</v>
      </c>
      <c r="V86" s="9">
        <v>17409.303393000002</v>
      </c>
      <c r="W86" s="9">
        <v>1538.1904479</v>
      </c>
      <c r="X86" s="9">
        <v>5570.4540390000002</v>
      </c>
      <c r="Y86" s="9">
        <v>13623.920927068</v>
      </c>
      <c r="Z86" s="9">
        <v>8911.5648390000006</v>
      </c>
      <c r="AA86" s="9">
        <v>7612.1976219999997</v>
      </c>
      <c r="AB86" s="9">
        <v>8643.4893319999992</v>
      </c>
      <c r="AC86" s="9">
        <v>8140.5460869999997</v>
      </c>
      <c r="AD86" s="9">
        <v>10519.5849156</v>
      </c>
      <c r="AE86" s="9">
        <v>11015.107966699999</v>
      </c>
      <c r="AF86" s="9">
        <v>10719.617537300001</v>
      </c>
      <c r="AG86" s="9">
        <v>8561.9571169999999</v>
      </c>
      <c r="AH86" s="9">
        <v>13754.7585378</v>
      </c>
      <c r="AI86" s="9">
        <v>10812.965152549999</v>
      </c>
      <c r="AJ86" s="9">
        <v>10627.820901999999</v>
      </c>
      <c r="AK86" s="9">
        <v>10894.926112000001</v>
      </c>
      <c r="AL86" s="9">
        <v>8729.9283601599927</v>
      </c>
      <c r="AM86" s="9">
        <v>11633.506984648749</v>
      </c>
      <c r="AN86" s="9">
        <v>8144.7429040089492</v>
      </c>
      <c r="AO86" s="9">
        <v>12129.925885545945</v>
      </c>
      <c r="AP86" s="9">
        <v>8610.6742298874815</v>
      </c>
      <c r="AQ86" s="9">
        <v>12221.802672086356</v>
      </c>
    </row>
    <row r="87" spans="1:43" x14ac:dyDescent="0.25">
      <c r="A87" s="7" t="s">
        <v>72</v>
      </c>
      <c r="B87" s="9">
        <v>5871</v>
      </c>
      <c r="C87" s="9">
        <v>5726.44</v>
      </c>
      <c r="D87" s="9">
        <v>5666</v>
      </c>
      <c r="E87" s="9">
        <v>5615</v>
      </c>
      <c r="F87" s="9">
        <v>5496.07</v>
      </c>
      <c r="G87" s="9">
        <v>5710.89</v>
      </c>
      <c r="H87" s="9">
        <v>5639.74</v>
      </c>
      <c r="I87" s="9">
        <v>5587.5</v>
      </c>
      <c r="J87" s="9">
        <v>5488</v>
      </c>
      <c r="K87" s="9">
        <v>5368.25</v>
      </c>
      <c r="L87" s="9">
        <v>5496.73</v>
      </c>
      <c r="M87" s="9">
        <v>5509.47</v>
      </c>
      <c r="N87" s="9">
        <v>5519.8</v>
      </c>
      <c r="O87" s="9">
        <v>5469.5</v>
      </c>
      <c r="P87" s="9">
        <v>5410.5</v>
      </c>
      <c r="Q87" s="9">
        <v>5419.5</v>
      </c>
      <c r="R87" s="9">
        <v>5558.59</v>
      </c>
      <c r="S87" s="9">
        <v>5546.32</v>
      </c>
      <c r="T87" s="9">
        <v>5541.2</v>
      </c>
      <c r="U87" s="9">
        <v>5601.5</v>
      </c>
      <c r="V87" s="9">
        <v>5752.5</v>
      </c>
      <c r="W87" s="9">
        <v>5785.97</v>
      </c>
      <c r="X87" s="9">
        <v>5752.5</v>
      </c>
      <c r="Y87" s="9">
        <v>5708</v>
      </c>
      <c r="Z87" s="9">
        <v>5588</v>
      </c>
      <c r="AA87" s="9">
        <v>5387.9</v>
      </c>
      <c r="AB87" s="9">
        <v>5610.86</v>
      </c>
      <c r="AC87" s="9">
        <v>5492.64</v>
      </c>
      <c r="AD87" s="9">
        <v>5547.5</v>
      </c>
      <c r="AE87" s="9">
        <v>5673</v>
      </c>
      <c r="AF87" s="9">
        <v>5636</v>
      </c>
      <c r="AG87" s="9">
        <v>5734.5</v>
      </c>
      <c r="AH87" s="9">
        <v>5493.5</v>
      </c>
      <c r="AI87" s="9">
        <v>5394</v>
      </c>
      <c r="AJ87" s="9">
        <v>5462.5</v>
      </c>
      <c r="AK87" s="9">
        <v>5343.87</v>
      </c>
      <c r="AL87" s="9">
        <v>5358.5</v>
      </c>
      <c r="AM87" s="9">
        <v>5224</v>
      </c>
      <c r="AN87" s="9">
        <v>5187.5</v>
      </c>
      <c r="AO87" s="9">
        <v>5138.5</v>
      </c>
      <c r="AP87" s="9">
        <v>5187.5</v>
      </c>
      <c r="AQ87" s="9">
        <v>5142</v>
      </c>
    </row>
    <row r="88" spans="1:43" x14ac:dyDescent="0.25">
      <c r="A88" s="7" t="s">
        <v>73</v>
      </c>
      <c r="B88" s="9">
        <v>-1766.5586043000001</v>
      </c>
      <c r="C88" s="9">
        <v>-2685.3894783000001</v>
      </c>
      <c r="D88" s="9">
        <v>-4102.3432128000004</v>
      </c>
      <c r="E88" s="9">
        <v>-3980.8849909999999</v>
      </c>
      <c r="F88" s="9">
        <v>-3171.6099459999996</v>
      </c>
      <c r="G88" s="9">
        <v>-5212.8635100000001</v>
      </c>
      <c r="H88" s="9">
        <v>-4108.3674439999995</v>
      </c>
      <c r="I88" s="9">
        <v>-4727.1577520000001</v>
      </c>
      <c r="J88" s="9">
        <v>-4290.9344339999998</v>
      </c>
      <c r="K88" s="9">
        <v>-5225.4741720000002</v>
      </c>
      <c r="L88" s="9">
        <v>-3370.8941678000001</v>
      </c>
      <c r="M88" s="9">
        <v>-6116.9242459999996</v>
      </c>
      <c r="N88" s="9">
        <v>-4769.3379949999999</v>
      </c>
      <c r="O88" s="9">
        <v>-5459.5192339999994</v>
      </c>
      <c r="P88" s="9">
        <v>-4295.8384100000003</v>
      </c>
      <c r="Q88" s="9">
        <v>-5604.126319</v>
      </c>
      <c r="R88" s="9">
        <v>-5397.3211449999999</v>
      </c>
      <c r="S88" s="9">
        <v>-5668.9485249999998</v>
      </c>
      <c r="T88" s="9">
        <v>-3687.8496886999997</v>
      </c>
      <c r="U88" s="9">
        <v>-5632.6614460000001</v>
      </c>
      <c r="V88" s="9">
        <v>-6415.0251970000008</v>
      </c>
      <c r="W88" s="9">
        <v>-3966.9088690000003</v>
      </c>
      <c r="X88" s="9">
        <v>-9066.4815209999997</v>
      </c>
      <c r="Y88" s="9">
        <v>-655.77884293199998</v>
      </c>
      <c r="Z88" s="9">
        <v>-5654.3863359999996</v>
      </c>
      <c r="AA88" s="9">
        <v>-5404.0843850000001</v>
      </c>
      <c r="AB88" s="9">
        <v>-4719.0841070000006</v>
      </c>
      <c r="AC88" s="9">
        <v>-5124.1135720000002</v>
      </c>
      <c r="AD88" s="9">
        <v>-2591.3642703999999</v>
      </c>
      <c r="AE88" s="9">
        <v>-2728.4664353000003</v>
      </c>
      <c r="AF88" s="9">
        <v>-2685.5373327000002</v>
      </c>
      <c r="AG88" s="9">
        <v>-5600.1542470000004</v>
      </c>
      <c r="AH88" s="9">
        <v>318.68847579999999</v>
      </c>
      <c r="AI88" s="9">
        <v>-2378.8872344500001</v>
      </c>
      <c r="AJ88" s="9">
        <v>-3550.1673639999999</v>
      </c>
      <c r="AK88" s="9">
        <v>-2344.7293589999999</v>
      </c>
      <c r="AL88" s="9">
        <v>-4322.5164435483894</v>
      </c>
      <c r="AM88" s="9">
        <v>-1232.4655903201929</v>
      </c>
      <c r="AN88" s="9">
        <v>-4681.8762596583902</v>
      </c>
      <c r="AO88" s="9">
        <v>-790.64486098587008</v>
      </c>
      <c r="AP88" s="9">
        <v>-4552.1829810505806</v>
      </c>
      <c r="AQ88" s="9">
        <v>-1130.141234603856</v>
      </c>
    </row>
    <row r="89" spans="1:43" x14ac:dyDescent="0.25">
      <c r="A89" s="7" t="s">
        <v>74</v>
      </c>
      <c r="B89" s="9">
        <v>8911.1637429999992</v>
      </c>
      <c r="C89" s="9">
        <v>7172.7490379999999</v>
      </c>
      <c r="D89" s="9">
        <v>7605.5921090000002</v>
      </c>
      <c r="E89" s="9">
        <v>7582.3674899999996</v>
      </c>
      <c r="F89" s="9">
        <v>7642.9697470000001</v>
      </c>
      <c r="G89" s="9">
        <v>8228.470851</v>
      </c>
      <c r="H89" s="9">
        <v>8335.6849719999991</v>
      </c>
      <c r="I89" s="9">
        <v>8445.0038920000006</v>
      </c>
      <c r="J89" s="9">
        <v>8537.7822369999994</v>
      </c>
      <c r="K89" s="9">
        <v>8450.3194010000007</v>
      </c>
      <c r="L89" s="9">
        <v>8467.7571320000006</v>
      </c>
      <c r="M89" s="9">
        <v>8261.4167510000007</v>
      </c>
      <c r="N89" s="9">
        <v>8196.212571</v>
      </c>
      <c r="O89" s="9">
        <v>8280.0288820000005</v>
      </c>
      <c r="P89" s="9">
        <v>8195.0650779999996</v>
      </c>
      <c r="Q89" s="9">
        <v>8653.8044090000003</v>
      </c>
      <c r="R89" s="9">
        <v>7791.1281170000002</v>
      </c>
      <c r="S89" s="9">
        <v>8535.4472029999997</v>
      </c>
      <c r="T89" s="9">
        <v>8545.8473059999997</v>
      </c>
      <c r="U89" s="9">
        <v>8581.3154049999994</v>
      </c>
      <c r="V89" s="9">
        <v>18071.828590000001</v>
      </c>
      <c r="W89" s="9">
        <v>-280.87068310000001</v>
      </c>
      <c r="X89" s="9">
        <v>8884.4355599999999</v>
      </c>
      <c r="Y89" s="9">
        <v>8571.6997699999993</v>
      </c>
      <c r="Z89" s="9">
        <v>8977.9511750000001</v>
      </c>
      <c r="AA89" s="9">
        <v>7628.3820070000002</v>
      </c>
      <c r="AB89" s="9">
        <v>7751.7134390000001</v>
      </c>
      <c r="AC89" s="9">
        <v>7772.0196589999996</v>
      </c>
      <c r="AD89" s="9">
        <v>7563.4491859999998</v>
      </c>
      <c r="AE89" s="9">
        <v>8070.5744020000002</v>
      </c>
      <c r="AF89" s="9">
        <v>7769.1548700000003</v>
      </c>
      <c r="AG89" s="9">
        <v>8427.6113640000003</v>
      </c>
      <c r="AH89" s="9">
        <v>7942.5700619999998</v>
      </c>
      <c r="AI89" s="9">
        <v>7797.8523869999999</v>
      </c>
      <c r="AJ89" s="9">
        <v>8715.4882660000003</v>
      </c>
      <c r="AK89" s="9">
        <v>7895.7854710000001</v>
      </c>
      <c r="AL89" s="9">
        <v>7693.9448037083821</v>
      </c>
      <c r="AM89" s="9">
        <v>7641.9725749689414</v>
      </c>
      <c r="AN89" s="9">
        <v>7639.1191636673393</v>
      </c>
      <c r="AO89" s="9">
        <v>7782.0707465318137</v>
      </c>
      <c r="AP89" s="9">
        <v>7975.3572109380621</v>
      </c>
      <c r="AQ89" s="9">
        <v>8209.9439066902123</v>
      </c>
    </row>
    <row r="90" spans="1:43" x14ac:dyDescent="0.25">
      <c r="A90" s="6" t="s">
        <v>47</v>
      </c>
      <c r="B90" s="9">
        <v>656527.62920000008</v>
      </c>
      <c r="C90" s="9">
        <v>588513.53820000007</v>
      </c>
      <c r="D90" s="9">
        <v>572511.41899999999</v>
      </c>
      <c r="E90" s="9">
        <v>648450.62459999998</v>
      </c>
      <c r="F90" s="9">
        <v>561183.08410000009</v>
      </c>
      <c r="G90" s="9">
        <v>624620.2956999999</v>
      </c>
      <c r="H90" s="9">
        <v>535830.61190000013</v>
      </c>
      <c r="I90" s="9">
        <v>537048.82680000004</v>
      </c>
      <c r="J90" s="9">
        <v>549261.39799999993</v>
      </c>
      <c r="K90" s="9">
        <v>457264.39760000003</v>
      </c>
      <c r="L90" s="9">
        <v>655563.73060000001</v>
      </c>
      <c r="M90" s="9">
        <v>248990.4831999999</v>
      </c>
      <c r="N90" s="9">
        <v>502651.0682000001</v>
      </c>
      <c r="O90" s="9">
        <v>597474.63089999999</v>
      </c>
      <c r="P90" s="9">
        <v>592719.25470000005</v>
      </c>
      <c r="Q90" s="9">
        <v>568730.60149999987</v>
      </c>
      <c r="R90" s="9">
        <v>467203.60849999997</v>
      </c>
      <c r="S90" s="9">
        <v>664795.46039999998</v>
      </c>
      <c r="T90" s="9">
        <v>680014.53700000001</v>
      </c>
      <c r="U90" s="9">
        <v>509255.60060000001</v>
      </c>
      <c r="V90" s="9">
        <v>1183249.0605000001</v>
      </c>
      <c r="W90" s="9">
        <v>75742.974159999998</v>
      </c>
      <c r="X90" s="9">
        <v>196967.58860000002</v>
      </c>
      <c r="Y90" s="9">
        <v>1188684.1182770999</v>
      </c>
      <c r="Z90" s="9">
        <v>433772.48589999997</v>
      </c>
      <c r="AA90" s="9">
        <v>496448.63690000004</v>
      </c>
      <c r="AB90" s="9">
        <v>599331.01339999994</v>
      </c>
      <c r="AC90" s="9">
        <v>459502.66239999991</v>
      </c>
      <c r="AD90" s="9">
        <v>1035187.62574</v>
      </c>
      <c r="AE90" s="9">
        <v>995116.18617999996</v>
      </c>
      <c r="AF90" s="9">
        <v>1028972.1759599999</v>
      </c>
      <c r="AG90" s="9">
        <v>1076569.5667099999</v>
      </c>
      <c r="AH90" s="9">
        <v>1599612.2983999997</v>
      </c>
      <c r="AI90" s="9">
        <v>1060207.1976089999</v>
      </c>
      <c r="AJ90" s="9">
        <v>1057128.4991200001</v>
      </c>
      <c r="AK90" s="9">
        <v>1033192.3393499999</v>
      </c>
      <c r="AL90" s="9">
        <v>917845.21427337849</v>
      </c>
      <c r="AM90" s="9">
        <v>1097249.1079106682</v>
      </c>
      <c r="AN90" s="9">
        <v>802610.87099065166</v>
      </c>
      <c r="AO90" s="9">
        <v>1173818.5824222555</v>
      </c>
      <c r="AP90" s="9">
        <v>883458.75710572582</v>
      </c>
      <c r="AQ90" s="9">
        <v>1062131.9726226917</v>
      </c>
    </row>
    <row r="91" spans="1:43" x14ac:dyDescent="0.25">
      <c r="A91" s="7" t="s">
        <v>72</v>
      </c>
      <c r="B91" s="9">
        <v>661000.06999999995</v>
      </c>
      <c r="C91" s="9">
        <v>655594.31000000006</v>
      </c>
      <c r="D91" s="9">
        <v>658042.22</v>
      </c>
      <c r="E91" s="9">
        <v>625908.9</v>
      </c>
      <c r="F91" s="9">
        <v>646436.76</v>
      </c>
      <c r="G91" s="9">
        <v>661827.88</v>
      </c>
      <c r="H91" s="9">
        <v>669610.30000000005</v>
      </c>
      <c r="I91" s="9">
        <v>680776.93</v>
      </c>
      <c r="J91" s="9">
        <v>680595.58</v>
      </c>
      <c r="K91" s="9">
        <v>684286.99</v>
      </c>
      <c r="L91" s="9">
        <v>685536.07</v>
      </c>
      <c r="M91" s="9">
        <v>683813.23</v>
      </c>
      <c r="N91" s="9">
        <v>690851.14</v>
      </c>
      <c r="O91" s="9">
        <v>687564.47</v>
      </c>
      <c r="P91" s="9">
        <v>695104.8</v>
      </c>
      <c r="Q91" s="9">
        <v>666662.71</v>
      </c>
      <c r="R91" s="9">
        <v>703032.98</v>
      </c>
      <c r="S91" s="9">
        <v>729674.08</v>
      </c>
      <c r="T91" s="9">
        <v>742513.21</v>
      </c>
      <c r="U91" s="9">
        <v>753064.81</v>
      </c>
      <c r="V91" s="9">
        <v>763957.37</v>
      </c>
      <c r="W91" s="9">
        <v>760333.81</v>
      </c>
      <c r="X91" s="9">
        <v>768335.09</v>
      </c>
      <c r="Y91" s="9">
        <v>764062.27</v>
      </c>
      <c r="Z91" s="9">
        <v>758273.52</v>
      </c>
      <c r="AA91" s="9">
        <v>744734.95</v>
      </c>
      <c r="AB91" s="9">
        <v>743123.75</v>
      </c>
      <c r="AC91" s="9">
        <v>716374.57</v>
      </c>
      <c r="AD91" s="9">
        <v>726464.05</v>
      </c>
      <c r="AE91" s="9">
        <v>730279.83</v>
      </c>
      <c r="AF91" s="9">
        <v>731770.83</v>
      </c>
      <c r="AG91" s="9">
        <v>728128.05</v>
      </c>
      <c r="AH91" s="9">
        <v>716521.38</v>
      </c>
      <c r="AI91" s="9">
        <v>718837.5</v>
      </c>
      <c r="AJ91" s="9">
        <v>718760.87</v>
      </c>
      <c r="AK91" s="9">
        <v>715356.34</v>
      </c>
      <c r="AL91" s="9">
        <v>715554.1</v>
      </c>
      <c r="AM91" s="9">
        <v>685328.60000000009</v>
      </c>
      <c r="AN91" s="9">
        <v>693086.85999999987</v>
      </c>
      <c r="AO91" s="9">
        <v>671145.50999999989</v>
      </c>
      <c r="AP91" s="9">
        <v>685074.05999999994</v>
      </c>
      <c r="AQ91" s="9">
        <v>683137.58</v>
      </c>
    </row>
    <row r="92" spans="1:43" x14ac:dyDescent="0.25">
      <c r="A92" s="7" t="s">
        <v>73</v>
      </c>
      <c r="B92" s="9">
        <v>-547405.98209999991</v>
      </c>
      <c r="C92" s="9">
        <v>-503520.5183</v>
      </c>
      <c r="D92" s="9">
        <v>-553262.79980000004</v>
      </c>
      <c r="E92" s="9">
        <v>-445724.05189999996</v>
      </c>
      <c r="F92" s="9">
        <v>-556446.75619999995</v>
      </c>
      <c r="G92" s="9">
        <v>-542429.37560000003</v>
      </c>
      <c r="H92" s="9">
        <v>-639879.42469999997</v>
      </c>
      <c r="I92" s="9">
        <v>-658552.32310000004</v>
      </c>
      <c r="J92" s="9">
        <v>-656496.58070000005</v>
      </c>
      <c r="K92" s="9">
        <v>-752856.76919999998</v>
      </c>
      <c r="L92" s="9">
        <v>-563736.98479999998</v>
      </c>
      <c r="M92" s="9">
        <v>-962698.72120000003</v>
      </c>
      <c r="N92" s="9">
        <v>-723916.82779999997</v>
      </c>
      <c r="O92" s="9">
        <v>-629917.5209</v>
      </c>
      <c r="P92" s="9">
        <v>-639472.27009999997</v>
      </c>
      <c r="Q92" s="9">
        <v>-680252.19220000005</v>
      </c>
      <c r="R92" s="9">
        <v>-768068.15859999997</v>
      </c>
      <c r="S92" s="9">
        <v>-658565.13540000003</v>
      </c>
      <c r="T92" s="9">
        <v>-656379.88740000001</v>
      </c>
      <c r="U92" s="9">
        <v>-835140.91590000002</v>
      </c>
      <c r="V92" s="9">
        <v>-808009.24549999996</v>
      </c>
      <c r="W92" s="9">
        <v>-666107.22050000005</v>
      </c>
      <c r="X92" s="9">
        <v>-1160326.6984999999</v>
      </c>
      <c r="Y92" s="9">
        <v>-149185.40282290001</v>
      </c>
      <c r="Z92" s="9">
        <v>-925346.34950000001</v>
      </c>
      <c r="AA92" s="9">
        <v>-758775.54719999991</v>
      </c>
      <c r="AB92" s="9">
        <v>-652193.82330000005</v>
      </c>
      <c r="AC92" s="9">
        <v>-769607.64020000002</v>
      </c>
      <c r="AD92" s="9">
        <v>-195775.28995999999</v>
      </c>
      <c r="AE92" s="9">
        <v>-266858.56692000001</v>
      </c>
      <c r="AF92" s="9">
        <v>-216684.14514000001</v>
      </c>
      <c r="AG92" s="9">
        <v>-216832.34458999999</v>
      </c>
      <c r="AH92" s="9">
        <v>341991.24369999999</v>
      </c>
      <c r="AI92" s="9">
        <v>-193698.90779100001</v>
      </c>
      <c r="AJ92" s="9">
        <v>-253621.19078</v>
      </c>
      <c r="AK92" s="9">
        <v>-216245.10415</v>
      </c>
      <c r="AL92" s="9">
        <v>-315831.67195211479</v>
      </c>
      <c r="AM92" s="9">
        <v>-96532.548659539403</v>
      </c>
      <c r="AN92" s="9">
        <v>-389713.68768018973</v>
      </c>
      <c r="AO92" s="9">
        <v>-7695.7316505671597</v>
      </c>
      <c r="AP92" s="9">
        <v>-318532.9479645025</v>
      </c>
      <c r="AQ92" s="9">
        <v>-134827.13381896529</v>
      </c>
    </row>
    <row r="93" spans="1:43" x14ac:dyDescent="0.25">
      <c r="A93" s="7" t="s">
        <v>74</v>
      </c>
      <c r="B93" s="9">
        <v>542933.54130000004</v>
      </c>
      <c r="C93" s="9">
        <v>436439.74650000001</v>
      </c>
      <c r="D93" s="9">
        <v>467731.9988</v>
      </c>
      <c r="E93" s="9">
        <v>468265.77649999998</v>
      </c>
      <c r="F93" s="9">
        <v>471193.08029999997</v>
      </c>
      <c r="G93" s="9">
        <v>505221.79129999998</v>
      </c>
      <c r="H93" s="9">
        <v>506099.7366</v>
      </c>
      <c r="I93" s="9">
        <v>514824.21990000003</v>
      </c>
      <c r="J93" s="9">
        <v>525162.39870000002</v>
      </c>
      <c r="K93" s="9">
        <v>525834.17680000002</v>
      </c>
      <c r="L93" s="9">
        <v>533764.64540000004</v>
      </c>
      <c r="M93" s="9">
        <v>527875.97439999995</v>
      </c>
      <c r="N93" s="9">
        <v>535716.75600000005</v>
      </c>
      <c r="O93" s="9">
        <v>539827.68180000002</v>
      </c>
      <c r="P93" s="9">
        <v>537086.72479999997</v>
      </c>
      <c r="Q93" s="9">
        <v>582320.08369999996</v>
      </c>
      <c r="R93" s="9">
        <v>532238.78709999996</v>
      </c>
      <c r="S93" s="9">
        <v>593686.51580000005</v>
      </c>
      <c r="T93" s="9">
        <v>593881.21440000006</v>
      </c>
      <c r="U93" s="9">
        <v>591331.70649999997</v>
      </c>
      <c r="V93" s="9">
        <v>1227300.936</v>
      </c>
      <c r="W93" s="9">
        <v>-18483.61534</v>
      </c>
      <c r="X93" s="9">
        <v>588959.19709999999</v>
      </c>
      <c r="Y93" s="9">
        <v>573807.25109999999</v>
      </c>
      <c r="Z93" s="9">
        <v>600845.31539999996</v>
      </c>
      <c r="AA93" s="9">
        <v>510489.2341</v>
      </c>
      <c r="AB93" s="9">
        <v>508401.08669999999</v>
      </c>
      <c r="AC93" s="9">
        <v>512735.73259999999</v>
      </c>
      <c r="AD93" s="9">
        <v>504498.86570000002</v>
      </c>
      <c r="AE93" s="9">
        <v>531694.92310000001</v>
      </c>
      <c r="AF93" s="9">
        <v>513885.49109999998</v>
      </c>
      <c r="AG93" s="9">
        <v>565273.86129999999</v>
      </c>
      <c r="AH93" s="9">
        <v>541099.67469999997</v>
      </c>
      <c r="AI93" s="9">
        <v>535068.6054</v>
      </c>
      <c r="AJ93" s="9">
        <v>591988.8199</v>
      </c>
      <c r="AK93" s="9">
        <v>534081.10349999997</v>
      </c>
      <c r="AL93" s="9">
        <v>518122.78622549336</v>
      </c>
      <c r="AM93" s="9">
        <v>508453.05657020758</v>
      </c>
      <c r="AN93" s="9">
        <v>499237.69867084152</v>
      </c>
      <c r="AO93" s="9">
        <v>510368.80407282291</v>
      </c>
      <c r="AP93" s="9">
        <v>516917.64507022832</v>
      </c>
      <c r="AQ93" s="9">
        <v>513821.52644165698</v>
      </c>
    </row>
    <row r="94" spans="1:43" x14ac:dyDescent="0.25">
      <c r="A94" s="6" t="s">
        <v>46</v>
      </c>
      <c r="B94" s="9">
        <v>24294.325570000001</v>
      </c>
      <c r="C94" s="9">
        <v>22325.602278999999</v>
      </c>
      <c r="D94" s="9">
        <v>22744.382153999999</v>
      </c>
      <c r="E94" s="9">
        <v>28846.132945999998</v>
      </c>
      <c r="F94" s="9">
        <v>22452.186030999997</v>
      </c>
      <c r="G94" s="9">
        <v>23789.886897000004</v>
      </c>
      <c r="H94" s="9">
        <v>22378.960560000003</v>
      </c>
      <c r="I94" s="9">
        <v>23725.437034999999</v>
      </c>
      <c r="J94" s="9">
        <v>25467.464188000002</v>
      </c>
      <c r="K94" s="9">
        <v>18392.917236999998</v>
      </c>
      <c r="L94" s="9">
        <v>31492.846434999999</v>
      </c>
      <c r="M94" s="9">
        <v>16769.634375000001</v>
      </c>
      <c r="N94" s="9">
        <v>41960.617236600003</v>
      </c>
      <c r="O94" s="9">
        <v>23782.849439000001</v>
      </c>
      <c r="P94" s="9">
        <v>23491.778645999999</v>
      </c>
      <c r="Q94" s="9">
        <v>19960.500404000002</v>
      </c>
      <c r="R94" s="9">
        <v>22327.244505999995</v>
      </c>
      <c r="S94" s="9">
        <v>26128.600911000001</v>
      </c>
      <c r="T94" s="9">
        <v>25819.435313000002</v>
      </c>
      <c r="U94" s="9">
        <v>20893.595459999997</v>
      </c>
      <c r="V94" s="9">
        <v>37449.996197999993</v>
      </c>
      <c r="W94" s="9">
        <v>9845.0754567000022</v>
      </c>
      <c r="X94" s="9">
        <v>16501.427288999999</v>
      </c>
      <c r="Y94" s="9">
        <v>32361.160770746996</v>
      </c>
      <c r="Z94" s="9">
        <v>20174.089260999997</v>
      </c>
      <c r="AA94" s="9">
        <v>19936.245491999998</v>
      </c>
      <c r="AB94" s="9">
        <v>19404.317258000003</v>
      </c>
      <c r="AC94" s="9">
        <v>17391.191591000003</v>
      </c>
      <c r="AD94" s="9">
        <v>23558.879308</v>
      </c>
      <c r="AE94" s="9">
        <v>24844.2958488</v>
      </c>
      <c r="AF94" s="9">
        <v>22197.256502999997</v>
      </c>
      <c r="AG94" s="9">
        <v>28470.686128999998</v>
      </c>
      <c r="AH94" s="9">
        <v>37405.713049400001</v>
      </c>
      <c r="AI94" s="9">
        <v>26904.987253500003</v>
      </c>
      <c r="AJ94" s="9">
        <v>28899.360041</v>
      </c>
      <c r="AK94" s="9">
        <v>28388.934467999999</v>
      </c>
      <c r="AL94" s="9">
        <v>22946.14736646165</v>
      </c>
      <c r="AM94" s="9">
        <v>32356.695104683022</v>
      </c>
      <c r="AN94" s="9">
        <v>17503.836105339069</v>
      </c>
      <c r="AO94" s="9">
        <v>36112.101692198339</v>
      </c>
      <c r="AP94" s="9">
        <v>22376.968664386608</v>
      </c>
      <c r="AQ94" s="9">
        <v>30051.994705222263</v>
      </c>
    </row>
    <row r="95" spans="1:43" x14ac:dyDescent="0.25">
      <c r="A95" s="7" t="s">
        <v>72</v>
      </c>
      <c r="B95" s="9">
        <v>25481.31</v>
      </c>
      <c r="C95" s="9">
        <v>26342.53</v>
      </c>
      <c r="D95" s="9">
        <v>25520.61</v>
      </c>
      <c r="E95" s="9">
        <v>25410.1</v>
      </c>
      <c r="F95" s="9">
        <v>25176.37</v>
      </c>
      <c r="G95" s="9">
        <v>25603.96</v>
      </c>
      <c r="H95" s="9">
        <v>25215.63</v>
      </c>
      <c r="I95" s="9">
        <v>25488.85</v>
      </c>
      <c r="J95" s="9">
        <v>25384.58</v>
      </c>
      <c r="K95" s="9">
        <v>24804.89</v>
      </c>
      <c r="L95" s="9">
        <v>25004.799999999999</v>
      </c>
      <c r="M95" s="9">
        <v>24263.27</v>
      </c>
      <c r="N95" s="9">
        <v>24239.84</v>
      </c>
      <c r="O95" s="9">
        <v>24257.86</v>
      </c>
      <c r="P95" s="9">
        <v>23823.27</v>
      </c>
      <c r="Q95" s="9">
        <v>23520.880000000001</v>
      </c>
      <c r="R95" s="9">
        <v>23724.42</v>
      </c>
      <c r="S95" s="9">
        <v>24343.82</v>
      </c>
      <c r="T95" s="9">
        <v>23872.19</v>
      </c>
      <c r="U95" s="9">
        <v>23649.61</v>
      </c>
      <c r="V95" s="9">
        <v>23761.599999999999</v>
      </c>
      <c r="W95" s="9">
        <v>23307.24</v>
      </c>
      <c r="X95" s="9">
        <v>23349.22</v>
      </c>
      <c r="Y95" s="9">
        <v>22839.599999999999</v>
      </c>
      <c r="Z95" s="9">
        <v>22296.14</v>
      </c>
      <c r="AA95" s="9">
        <v>21979.37</v>
      </c>
      <c r="AB95" s="9">
        <v>21312.02</v>
      </c>
      <c r="AC95" s="9">
        <v>20379.490000000002</v>
      </c>
      <c r="AD95" s="9">
        <v>20482.82</v>
      </c>
      <c r="AE95" s="9">
        <v>20040.419999999998</v>
      </c>
      <c r="AF95" s="9">
        <v>20580.599999999999</v>
      </c>
      <c r="AG95" s="9">
        <v>20918.91</v>
      </c>
      <c r="AH95" s="9">
        <v>22187.55</v>
      </c>
      <c r="AI95" s="9">
        <v>21985.49</v>
      </c>
      <c r="AJ95" s="9">
        <v>23005.65</v>
      </c>
      <c r="AK95" s="9">
        <v>23051.39</v>
      </c>
      <c r="AL95" s="9">
        <v>23528.48</v>
      </c>
      <c r="AM95" s="9">
        <v>22849.709999999995</v>
      </c>
      <c r="AN95" s="9">
        <v>22885.910000000003</v>
      </c>
      <c r="AO95" s="9">
        <v>22618.53</v>
      </c>
      <c r="AP95" s="9">
        <v>23224.390000000003</v>
      </c>
      <c r="AQ95" s="9">
        <v>23277.410000000003</v>
      </c>
    </row>
    <row r="96" spans="1:43" x14ac:dyDescent="0.25">
      <c r="A96" s="7" t="s">
        <v>73</v>
      </c>
      <c r="B96" s="9">
        <v>-16984.699339999999</v>
      </c>
      <c r="C96" s="9">
        <v>-16946.702191</v>
      </c>
      <c r="D96" s="9">
        <v>-16817.816945999999</v>
      </c>
      <c r="E96" s="9">
        <v>-10693.463054</v>
      </c>
      <c r="F96" s="9">
        <v>-17097.613939000003</v>
      </c>
      <c r="G96" s="9">
        <v>-17215.760932999998</v>
      </c>
      <c r="H96" s="9">
        <v>-18246.437859999998</v>
      </c>
      <c r="I96" s="9">
        <v>-17323.879154999999</v>
      </c>
      <c r="J96" s="9">
        <v>-15571.674852</v>
      </c>
      <c r="K96" s="9">
        <v>-21783.486583000002</v>
      </c>
      <c r="L96" s="9">
        <v>-8809.1410649999998</v>
      </c>
      <c r="M96" s="9">
        <v>-22256.614515000001</v>
      </c>
      <c r="N96" s="9">
        <v>3138.8758366000002</v>
      </c>
      <c r="O96" s="9">
        <v>-14798.889861</v>
      </c>
      <c r="P96" s="9">
        <v>-14492.721503999999</v>
      </c>
      <c r="Q96" s="9">
        <v>-18915.011515999999</v>
      </c>
      <c r="R96" s="9">
        <v>-15205.450294000002</v>
      </c>
      <c r="S96" s="9">
        <v>-13172.266079000001</v>
      </c>
      <c r="T96" s="9">
        <v>-12697.822987</v>
      </c>
      <c r="U96" s="9">
        <v>-16911.322650000002</v>
      </c>
      <c r="V96" s="9">
        <v>-15484.899352</v>
      </c>
      <c r="W96" s="9">
        <v>-13030.070566999999</v>
      </c>
      <c r="X96" s="9">
        <v>-20184.750031</v>
      </c>
      <c r="Y96" s="9">
        <v>-3046.4083692529998</v>
      </c>
      <c r="Z96" s="9">
        <v>-14879.674189000001</v>
      </c>
      <c r="AA96" s="9">
        <v>-12665.998388</v>
      </c>
      <c r="AB96" s="9">
        <v>-12381.772582</v>
      </c>
      <c r="AC96" s="9">
        <v>-13371.746189</v>
      </c>
      <c r="AD96" s="9">
        <v>-7056.905812</v>
      </c>
      <c r="AE96" s="9">
        <v>-6107.1366011999999</v>
      </c>
      <c r="AF96" s="9">
        <v>-9533.7975669999996</v>
      </c>
      <c r="AG96" s="9">
        <v>-5390.6012110000001</v>
      </c>
      <c r="AH96" s="9">
        <v>2328.5277993999998</v>
      </c>
      <c r="AI96" s="9">
        <v>-8053.2349765000008</v>
      </c>
      <c r="AJ96" s="9">
        <v>-8691.2918090000003</v>
      </c>
      <c r="AK96" s="9">
        <v>-7961.1265220000005</v>
      </c>
      <c r="AL96" s="9">
        <v>-13609.30160433663</v>
      </c>
      <c r="AM96" s="9">
        <v>-3297.1157501404618</v>
      </c>
      <c r="AN96" s="9">
        <v>-18235.946060152011</v>
      </c>
      <c r="AO96" s="9">
        <v>309.08651155298298</v>
      </c>
      <c r="AP96" s="9">
        <v>-14220.089054447215</v>
      </c>
      <c r="AQ96" s="9">
        <v>-6568.864946430539</v>
      </c>
    </row>
    <row r="97" spans="1:43" x14ac:dyDescent="0.25">
      <c r="A97" s="7" t="s">
        <v>74</v>
      </c>
      <c r="B97" s="9">
        <v>15797.714910000001</v>
      </c>
      <c r="C97" s="9">
        <v>12929.77447</v>
      </c>
      <c r="D97" s="9">
        <v>14041.589099999999</v>
      </c>
      <c r="E97" s="9">
        <v>14129.495999999999</v>
      </c>
      <c r="F97" s="9">
        <v>14373.429969999999</v>
      </c>
      <c r="G97" s="9">
        <v>15401.687830000001</v>
      </c>
      <c r="H97" s="9">
        <v>15409.76842</v>
      </c>
      <c r="I97" s="9">
        <v>15560.466189999999</v>
      </c>
      <c r="J97" s="9">
        <v>15654.55904</v>
      </c>
      <c r="K97" s="9">
        <v>15371.51382</v>
      </c>
      <c r="L97" s="9">
        <v>15297.1875</v>
      </c>
      <c r="M97" s="9">
        <v>14762.97889</v>
      </c>
      <c r="N97" s="9">
        <v>14581.901400000001</v>
      </c>
      <c r="O97" s="9">
        <v>14323.879300000001</v>
      </c>
      <c r="P97" s="9">
        <v>14161.230149999999</v>
      </c>
      <c r="Q97" s="9">
        <v>15354.63192</v>
      </c>
      <c r="R97" s="9">
        <v>13808.274799999999</v>
      </c>
      <c r="S97" s="9">
        <v>14957.046990000001</v>
      </c>
      <c r="T97" s="9">
        <v>14645.068300000001</v>
      </c>
      <c r="U97" s="9">
        <v>14155.30811</v>
      </c>
      <c r="V97" s="9">
        <v>29173.295549999999</v>
      </c>
      <c r="W97" s="9">
        <v>-432.09397630000001</v>
      </c>
      <c r="X97" s="9">
        <v>13336.95732</v>
      </c>
      <c r="Y97" s="9">
        <v>12567.969139999999</v>
      </c>
      <c r="Z97" s="9">
        <v>12757.623449999999</v>
      </c>
      <c r="AA97" s="9">
        <v>10622.873879999999</v>
      </c>
      <c r="AB97" s="9">
        <v>10474.06984</v>
      </c>
      <c r="AC97" s="9">
        <v>10383.44778</v>
      </c>
      <c r="AD97" s="9">
        <v>10132.965120000001</v>
      </c>
      <c r="AE97" s="9">
        <v>10911.01245</v>
      </c>
      <c r="AF97" s="9">
        <v>11150.45407</v>
      </c>
      <c r="AG97" s="9">
        <v>12942.377339999999</v>
      </c>
      <c r="AH97" s="9">
        <v>12889.635249999999</v>
      </c>
      <c r="AI97" s="9">
        <v>12972.73223</v>
      </c>
      <c r="AJ97" s="9">
        <v>14585.001850000001</v>
      </c>
      <c r="AK97" s="9">
        <v>13298.670990000001</v>
      </c>
      <c r="AL97" s="9">
        <v>13026.968970798282</v>
      </c>
      <c r="AM97" s="9">
        <v>12804.100854823491</v>
      </c>
      <c r="AN97" s="9">
        <v>12853.872165491075</v>
      </c>
      <c r="AO97" s="9">
        <v>13184.485180645359</v>
      </c>
      <c r="AP97" s="9">
        <v>13372.66771883382</v>
      </c>
      <c r="AQ97" s="9">
        <v>13343.4496516528</v>
      </c>
    </row>
    <row r="98" spans="1:43" x14ac:dyDescent="0.25">
      <c r="A98" s="6" t="s">
        <v>48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</row>
    <row r="99" spans="1:43" x14ac:dyDescent="0.25">
      <c r="A99" s="7" t="s">
        <v>74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</row>
    <row r="100" spans="1:43" x14ac:dyDescent="0.25">
      <c r="A100" s="5" t="s">
        <v>75</v>
      </c>
      <c r="B100" s="9">
        <v>-6643766.129437401</v>
      </c>
      <c r="C100" s="9">
        <v>-7047181.1215290008</v>
      </c>
      <c r="D100" s="9">
        <v>-6761709.5193170998</v>
      </c>
      <c r="E100" s="9">
        <v>-7341629.285018499</v>
      </c>
      <c r="F100" s="9">
        <v>-6521805.0001155995</v>
      </c>
      <c r="G100" s="9">
        <v>-6422439.6145131001</v>
      </c>
      <c r="H100" s="9">
        <v>-6759396.2518639006</v>
      </c>
      <c r="I100" s="9">
        <v>-5994784.9462179001</v>
      </c>
      <c r="J100" s="9">
        <v>-6407136.5433894005</v>
      </c>
      <c r="K100" s="9">
        <v>-6311707.0755094998</v>
      </c>
      <c r="L100" s="9">
        <v>-6132715.9529093001</v>
      </c>
      <c r="M100" s="9">
        <v>-5623191.0506559005</v>
      </c>
      <c r="N100" s="9">
        <v>-5993221.6487515001</v>
      </c>
      <c r="O100" s="9">
        <v>-7035646.1013425998</v>
      </c>
      <c r="P100" s="9">
        <v>-6506434.9762108997</v>
      </c>
      <c r="Q100" s="9">
        <v>-6521212.4159221994</v>
      </c>
      <c r="R100" s="9">
        <v>-7106002.0869503003</v>
      </c>
      <c r="S100" s="9">
        <v>-7642958.7541215997</v>
      </c>
      <c r="T100" s="9">
        <v>-7577902.0702808993</v>
      </c>
      <c r="U100" s="9">
        <v>-6846303.0980621008</v>
      </c>
      <c r="V100" s="9">
        <v>-6780010.5253574997</v>
      </c>
      <c r="W100" s="9">
        <v>-6732072.7435306003</v>
      </c>
      <c r="X100" s="9">
        <v>-6626224.0337720001</v>
      </c>
      <c r="Y100" s="9">
        <v>-6468433.3176622</v>
      </c>
      <c r="Z100" s="9">
        <v>-7232148.8478997992</v>
      </c>
      <c r="AA100" s="9">
        <v>-6868833.3556364989</v>
      </c>
      <c r="AB100" s="9">
        <v>-7208494.3880452998</v>
      </c>
      <c r="AC100" s="9">
        <v>-7350761.4515092997</v>
      </c>
      <c r="AD100" s="9">
        <v>-7675418.1412387993</v>
      </c>
      <c r="AE100" s="9">
        <v>-7719374.4247954004</v>
      </c>
      <c r="AF100" s="9">
        <v>-7680521.3769265004</v>
      </c>
      <c r="AG100" s="9">
        <v>-8077544.3208015999</v>
      </c>
      <c r="AH100" s="9">
        <v>-7521917.0054073008</v>
      </c>
      <c r="AI100" s="9">
        <v>-7351913.7600216987</v>
      </c>
      <c r="AJ100" s="9">
        <v>-7877766.6887576003</v>
      </c>
      <c r="AK100" s="9">
        <v>-8144143.0901909005</v>
      </c>
      <c r="AL100" s="9">
        <v>-7799121.1578497002</v>
      </c>
      <c r="AM100" s="9">
        <v>-7414882.1288448004</v>
      </c>
      <c r="AN100" s="9">
        <v>-7988555.0453823013</v>
      </c>
      <c r="AO100" s="9">
        <v>-7901242.6920497008</v>
      </c>
      <c r="AP100" s="9">
        <v>-8480740.0652293004</v>
      </c>
      <c r="AQ100" s="9">
        <v>-7993002.8626358006</v>
      </c>
    </row>
    <row r="101" spans="1:43" x14ac:dyDescent="0.25">
      <c r="A101" s="6" t="s">
        <v>49</v>
      </c>
      <c r="B101" s="9">
        <v>-319506.7781613</v>
      </c>
      <c r="C101" s="9">
        <v>-324558.33721889998</v>
      </c>
      <c r="D101" s="9">
        <v>-340081.1097422</v>
      </c>
      <c r="E101" s="9">
        <v>-356496.67307499994</v>
      </c>
      <c r="F101" s="9">
        <v>-333399.13629210001</v>
      </c>
      <c r="G101" s="9">
        <v>-328483.3401194</v>
      </c>
      <c r="H101" s="9">
        <v>-366441.56779389997</v>
      </c>
      <c r="I101" s="9">
        <v>-348824.26692289999</v>
      </c>
      <c r="J101" s="9">
        <v>-364173.24622769997</v>
      </c>
      <c r="K101" s="9">
        <v>-345612.98022939998</v>
      </c>
      <c r="L101" s="9">
        <v>-329036.6604698</v>
      </c>
      <c r="M101" s="9">
        <v>-314913.3754204</v>
      </c>
      <c r="N101" s="9">
        <v>-291256.87334690004</v>
      </c>
      <c r="O101" s="9">
        <v>-353632.8156574</v>
      </c>
      <c r="P101" s="9">
        <v>-333595.6999678</v>
      </c>
      <c r="Q101" s="9">
        <v>-323394.85933979996</v>
      </c>
      <c r="R101" s="9">
        <v>-362138.56839969999</v>
      </c>
      <c r="S101" s="9">
        <v>-312149.76125630003</v>
      </c>
      <c r="T101" s="9">
        <v>-402095.60443760001</v>
      </c>
      <c r="U101" s="9">
        <v>-402380.4160494</v>
      </c>
      <c r="V101" s="9">
        <v>-392720.08750690008</v>
      </c>
      <c r="W101" s="9">
        <v>-378500.31285880005</v>
      </c>
      <c r="X101" s="9">
        <v>-384565.01622080005</v>
      </c>
      <c r="Y101" s="9">
        <v>-383439.72419449996</v>
      </c>
      <c r="Z101" s="9">
        <v>-372900.30916080001</v>
      </c>
      <c r="AA101" s="9">
        <v>-380122.08876209997</v>
      </c>
      <c r="AB101" s="9">
        <v>-392360.25114270003</v>
      </c>
      <c r="AC101" s="9">
        <v>-435927.30257240002</v>
      </c>
      <c r="AD101" s="9">
        <v>-451961.45948269998</v>
      </c>
      <c r="AE101" s="9">
        <v>-455649.09792899998</v>
      </c>
      <c r="AF101" s="9">
        <v>-462388.56521100004</v>
      </c>
      <c r="AG101" s="9">
        <v>-484794.86427479994</v>
      </c>
      <c r="AH101" s="9">
        <v>-396555.25011589995</v>
      </c>
      <c r="AI101" s="9">
        <v>-427688.20424329996</v>
      </c>
      <c r="AJ101" s="9">
        <v>-442412.46806480002</v>
      </c>
      <c r="AK101" s="9">
        <v>-506073.13819930004</v>
      </c>
      <c r="AL101" s="9">
        <v>-419320.62476770009</v>
      </c>
      <c r="AM101" s="9">
        <v>-407921.38676989998</v>
      </c>
      <c r="AN101" s="9">
        <v>-470457.51117289998</v>
      </c>
      <c r="AO101" s="9">
        <v>-427779.43440710002</v>
      </c>
      <c r="AP101" s="9">
        <v>-335582.42929369997</v>
      </c>
      <c r="AQ101" s="9">
        <v>-448640.9615109</v>
      </c>
    </row>
    <row r="102" spans="1:43" x14ac:dyDescent="0.25">
      <c r="A102" s="7" t="s">
        <v>77</v>
      </c>
      <c r="B102" s="9">
        <v>-14028.820267700001</v>
      </c>
      <c r="C102" s="9">
        <v>-13967.073413599999</v>
      </c>
      <c r="D102" s="9">
        <v>-15257.1331034</v>
      </c>
      <c r="E102" s="9">
        <v>-13560.4220136</v>
      </c>
      <c r="F102" s="9">
        <v>-15224.0039837</v>
      </c>
      <c r="G102" s="9">
        <v>-14941.403007700001</v>
      </c>
      <c r="H102" s="9">
        <v>-16846.4670816</v>
      </c>
      <c r="I102" s="9">
        <v>-17428.0277116</v>
      </c>
      <c r="J102" s="9">
        <v>-17154.294258499998</v>
      </c>
      <c r="K102" s="9">
        <v>-16868.088804200001</v>
      </c>
      <c r="L102" s="9">
        <v>-17737.074098099998</v>
      </c>
      <c r="M102" s="9">
        <v>-18420.783740500003</v>
      </c>
      <c r="N102" s="9">
        <v>-19042.4933146</v>
      </c>
      <c r="O102" s="9">
        <v>-19639.1314891</v>
      </c>
      <c r="P102" s="9">
        <v>-19807.415515600002</v>
      </c>
      <c r="Q102" s="9">
        <v>-19419.285460400002</v>
      </c>
      <c r="R102" s="9">
        <v>-20051.546116199999</v>
      </c>
      <c r="S102" s="9">
        <v>-18347.115321600002</v>
      </c>
      <c r="T102" s="9">
        <v>-16575.6857815</v>
      </c>
      <c r="U102" s="9">
        <v>-29381.653697099999</v>
      </c>
      <c r="V102" s="9">
        <v>-14738.115165299998</v>
      </c>
      <c r="W102" s="9">
        <v>-15082.360790399998</v>
      </c>
      <c r="X102" s="9">
        <v>-16276.858375899999</v>
      </c>
      <c r="Y102" s="9">
        <v>-14638.625646199998</v>
      </c>
      <c r="Z102" s="9">
        <v>-17785.915898499999</v>
      </c>
      <c r="AA102" s="9">
        <v>-17113.514861399999</v>
      </c>
      <c r="AB102" s="9">
        <v>-18989.279815800001</v>
      </c>
      <c r="AC102" s="9">
        <v>-18939.750818600001</v>
      </c>
      <c r="AD102" s="9">
        <v>-20270.400400899998</v>
      </c>
      <c r="AE102" s="9">
        <v>-20330.6739757</v>
      </c>
      <c r="AF102" s="9">
        <v>-19312.918545100001</v>
      </c>
      <c r="AG102" s="9">
        <v>-16105.3453606</v>
      </c>
      <c r="AH102" s="9">
        <v>-14648.823834499999</v>
      </c>
      <c r="AI102" s="9">
        <v>-14765.230248299998</v>
      </c>
      <c r="AJ102" s="9">
        <v>-16198.161262999998</v>
      </c>
      <c r="AK102" s="9">
        <v>-14574.899249600001</v>
      </c>
      <c r="AL102" s="9">
        <v>-16018.214060099999</v>
      </c>
      <c r="AM102" s="9">
        <v>-16072.4918383</v>
      </c>
      <c r="AN102" s="9">
        <v>-14895.0251002</v>
      </c>
      <c r="AO102" s="9">
        <v>-15712.626738700001</v>
      </c>
      <c r="AP102" s="9">
        <v>-15755.382156600001</v>
      </c>
      <c r="AQ102" s="9">
        <v>-15937.776887200002</v>
      </c>
    </row>
    <row r="103" spans="1:43" x14ac:dyDescent="0.25">
      <c r="A103" s="7" t="s">
        <v>78</v>
      </c>
      <c r="B103" s="9">
        <v>-288863.45750299998</v>
      </c>
      <c r="C103" s="9">
        <v>-293208.34245230001</v>
      </c>
      <c r="D103" s="9">
        <v>-308871.52638430003</v>
      </c>
      <c r="E103" s="9">
        <v>-325029.31448199996</v>
      </c>
      <c r="F103" s="9">
        <v>-301408.91331159999</v>
      </c>
      <c r="G103" s="9">
        <v>-297594.63463859999</v>
      </c>
      <c r="H103" s="9">
        <v>-332651.75240960001</v>
      </c>
      <c r="I103" s="9">
        <v>-315963.93269539997</v>
      </c>
      <c r="J103" s="9">
        <v>-329736.00707429997</v>
      </c>
      <c r="K103" s="9">
        <v>-312230.01752569998</v>
      </c>
      <c r="L103" s="9">
        <v>-292371.86054580001</v>
      </c>
      <c r="M103" s="9">
        <v>-280253.9071525</v>
      </c>
      <c r="N103" s="9">
        <v>-254756.75149329999</v>
      </c>
      <c r="O103" s="9">
        <v>-315856.47287659999</v>
      </c>
      <c r="P103" s="9">
        <v>-297274.82899880002</v>
      </c>
      <c r="Q103" s="9">
        <v>-285174.1961997</v>
      </c>
      <c r="R103" s="9">
        <v>-320969.74556900002</v>
      </c>
      <c r="S103" s="9">
        <v>-269612.79609970003</v>
      </c>
      <c r="T103" s="9">
        <v>-362111.56163359998</v>
      </c>
      <c r="U103" s="9">
        <v>-351761.67577819998</v>
      </c>
      <c r="V103" s="9">
        <v>-357684.83254790003</v>
      </c>
      <c r="W103" s="9">
        <v>-343296.59413630003</v>
      </c>
      <c r="X103" s="9">
        <v>-348751.75125750003</v>
      </c>
      <c r="Y103" s="9">
        <v>-349435.77051399997</v>
      </c>
      <c r="Z103" s="9">
        <v>-331845.72432879999</v>
      </c>
      <c r="AA103" s="9">
        <v>-343898.02808329999</v>
      </c>
      <c r="AB103" s="9">
        <v>-352433.53118809999</v>
      </c>
      <c r="AC103" s="9">
        <v>-397323.81934069999</v>
      </c>
      <c r="AD103" s="9">
        <v>-409279.20064180001</v>
      </c>
      <c r="AE103" s="9">
        <v>-412905.21804870002</v>
      </c>
      <c r="AF103" s="9">
        <v>-421574.53740170004</v>
      </c>
      <c r="AG103" s="9">
        <v>-446992.99989779998</v>
      </c>
      <c r="AH103" s="9">
        <v>-359583.26235459995</v>
      </c>
      <c r="AI103" s="9">
        <v>-392306.11856959993</v>
      </c>
      <c r="AJ103" s="9">
        <v>-401244.28133150004</v>
      </c>
      <c r="AK103" s="9">
        <v>-470433.5059935</v>
      </c>
      <c r="AL103" s="9">
        <v>-376689.79295330006</v>
      </c>
      <c r="AM103" s="9">
        <v>-368712.59837359999</v>
      </c>
      <c r="AN103" s="9">
        <v>-429719.64777159999</v>
      </c>
      <c r="AO103" s="9">
        <v>-385764.50554789999</v>
      </c>
      <c r="AP103" s="9">
        <v>-296773.37124459998</v>
      </c>
      <c r="AQ103" s="9">
        <v>-407984.83965679997</v>
      </c>
    </row>
    <row r="104" spans="1:43" x14ac:dyDescent="0.25">
      <c r="A104" s="7" t="s">
        <v>79</v>
      </c>
      <c r="B104" s="9">
        <v>-16614.500390599998</v>
      </c>
      <c r="C104" s="9">
        <v>-17382.921352999998</v>
      </c>
      <c r="D104" s="9">
        <v>-15952.4502545</v>
      </c>
      <c r="E104" s="9">
        <v>-17906.9365794</v>
      </c>
      <c r="F104" s="9">
        <v>-16766.218996799998</v>
      </c>
      <c r="G104" s="9">
        <v>-15947.3024731</v>
      </c>
      <c r="H104" s="9">
        <v>-16943.3483027</v>
      </c>
      <c r="I104" s="9">
        <v>-15432.3065159</v>
      </c>
      <c r="J104" s="9">
        <v>-17282.9448949</v>
      </c>
      <c r="K104" s="9">
        <v>-16514.873899499999</v>
      </c>
      <c r="L104" s="9">
        <v>-18927.725825900001</v>
      </c>
      <c r="M104" s="9">
        <v>-16238.684527400001</v>
      </c>
      <c r="N104" s="9">
        <v>-17457.628538999998</v>
      </c>
      <c r="O104" s="9">
        <v>-18137.211291700001</v>
      </c>
      <c r="P104" s="9">
        <v>-16513.455453399998</v>
      </c>
      <c r="Q104" s="9">
        <v>-18801.377679699999</v>
      </c>
      <c r="R104" s="9">
        <v>-21117.2767145</v>
      </c>
      <c r="S104" s="9">
        <v>-24189.849835000001</v>
      </c>
      <c r="T104" s="9">
        <v>-23408.3570225</v>
      </c>
      <c r="U104" s="9">
        <v>-21237.086574100002</v>
      </c>
      <c r="V104" s="9">
        <v>-20297.1397937</v>
      </c>
      <c r="W104" s="9">
        <v>-20121.3579321</v>
      </c>
      <c r="X104" s="9">
        <v>-19536.406587400001</v>
      </c>
      <c r="Y104" s="9">
        <v>-19365.328034300001</v>
      </c>
      <c r="Z104" s="9">
        <v>-23268.668933500001</v>
      </c>
      <c r="AA104" s="9">
        <v>-19110.545817400001</v>
      </c>
      <c r="AB104" s="9">
        <v>-20937.440138800001</v>
      </c>
      <c r="AC104" s="9">
        <v>-19663.732413099999</v>
      </c>
      <c r="AD104" s="9">
        <v>-22411.858440000004</v>
      </c>
      <c r="AE104" s="9">
        <v>-22413.205904599999</v>
      </c>
      <c r="AF104" s="9">
        <v>-21501.1092642</v>
      </c>
      <c r="AG104" s="9">
        <v>-21696.519016400001</v>
      </c>
      <c r="AH104" s="9">
        <v>-22323.1639268</v>
      </c>
      <c r="AI104" s="9">
        <v>-20616.855425400001</v>
      </c>
      <c r="AJ104" s="9">
        <v>-24970.025470299996</v>
      </c>
      <c r="AK104" s="9">
        <v>-21064.732956200001</v>
      </c>
      <c r="AL104" s="9">
        <v>-26612.617754300001</v>
      </c>
      <c r="AM104" s="9">
        <v>-23136.296557999998</v>
      </c>
      <c r="AN104" s="9">
        <v>-25842.838301100004</v>
      </c>
      <c r="AO104" s="9">
        <v>-26302.3021205</v>
      </c>
      <c r="AP104" s="9">
        <v>-23053.675892499999</v>
      </c>
      <c r="AQ104" s="9">
        <v>-24718.3449669</v>
      </c>
    </row>
    <row r="105" spans="1:43" x14ac:dyDescent="0.25">
      <c r="A105" s="6" t="s">
        <v>47</v>
      </c>
      <c r="B105" s="9">
        <v>-5812131.5566653004</v>
      </c>
      <c r="C105" s="9">
        <v>-6144133.1216889005</v>
      </c>
      <c r="D105" s="9">
        <v>-5894010.2408446996</v>
      </c>
      <c r="E105" s="9">
        <v>-6389287.4968642993</v>
      </c>
      <c r="F105" s="9">
        <v>-5672209.2733888999</v>
      </c>
      <c r="G105" s="9">
        <v>-5575165.7362641999</v>
      </c>
      <c r="H105" s="9">
        <v>-5837499.2221626006</v>
      </c>
      <c r="I105" s="9">
        <v>-5187729.7169404002</v>
      </c>
      <c r="J105" s="9">
        <v>-5546485.8285766002</v>
      </c>
      <c r="K105" s="9">
        <v>-5467992.5889397999</v>
      </c>
      <c r="L105" s="9">
        <v>-5355913.1536406996</v>
      </c>
      <c r="M105" s="9">
        <v>-4875391.3452313002</v>
      </c>
      <c r="N105" s="9">
        <v>-5237624.5926165003</v>
      </c>
      <c r="O105" s="9">
        <v>-6112229.4515648</v>
      </c>
      <c r="P105" s="9">
        <v>-5648222.1717601996</v>
      </c>
      <c r="Q105" s="9">
        <v>-5670304.5806454998</v>
      </c>
      <c r="R105" s="9">
        <v>-6187055.1806135997</v>
      </c>
      <c r="S105" s="9">
        <v>-6822732.4329469996</v>
      </c>
      <c r="T105" s="9">
        <v>-6586688.2092182999</v>
      </c>
      <c r="U105" s="9">
        <v>-5923491.7073493004</v>
      </c>
      <c r="V105" s="9">
        <v>-5852949.3348908992</v>
      </c>
      <c r="W105" s="9">
        <v>-5829846.3017104995</v>
      </c>
      <c r="X105" s="9">
        <v>-5722054.8093163008</v>
      </c>
      <c r="Y105" s="9">
        <v>-5589127.7040777002</v>
      </c>
      <c r="Z105" s="9">
        <v>-6257893.7891155994</v>
      </c>
      <c r="AA105" s="9">
        <v>-5932686.3473150991</v>
      </c>
      <c r="AB105" s="9">
        <v>-6214345.7780684996</v>
      </c>
      <c r="AC105" s="9">
        <v>-6284599.1791856997</v>
      </c>
      <c r="AD105" s="9">
        <v>-6571126.4266764</v>
      </c>
      <c r="AE105" s="9">
        <v>-6569723.8838121006</v>
      </c>
      <c r="AF105" s="9">
        <v>-6487830.5353097999</v>
      </c>
      <c r="AG105" s="9">
        <v>-6861240.6617877996</v>
      </c>
      <c r="AH105" s="9">
        <v>-6472162.8576135002</v>
      </c>
      <c r="AI105" s="9">
        <v>-6246537.7390674995</v>
      </c>
      <c r="AJ105" s="9">
        <v>-6735057.1281695003</v>
      </c>
      <c r="AK105" s="9">
        <v>-6863942.2566719996</v>
      </c>
      <c r="AL105" s="9">
        <v>-6694203.2724067001</v>
      </c>
      <c r="AM105" s="9">
        <v>-6356573.7095307</v>
      </c>
      <c r="AN105" s="9">
        <v>-6789233.648141101</v>
      </c>
      <c r="AO105" s="9">
        <v>-6775975.2778064003</v>
      </c>
      <c r="AP105" s="9">
        <v>-7477695.2583806003</v>
      </c>
      <c r="AQ105" s="9">
        <v>-6819755.1741062999</v>
      </c>
    </row>
    <row r="106" spans="1:43" x14ac:dyDescent="0.25">
      <c r="A106" s="7" t="s">
        <v>77</v>
      </c>
      <c r="B106" s="9">
        <v>-245581.17986190002</v>
      </c>
      <c r="C106" s="9">
        <v>-239160.31603350001</v>
      </c>
      <c r="D106" s="9">
        <v>-262217.56249470002</v>
      </c>
      <c r="E106" s="9">
        <v>-235127.65628699999</v>
      </c>
      <c r="F106" s="9">
        <v>-249822.95921569999</v>
      </c>
      <c r="G106" s="9">
        <v>-241512.3791007</v>
      </c>
      <c r="H106" s="9">
        <v>-280385.15177559998</v>
      </c>
      <c r="I106" s="9">
        <v>-299027.03929819999</v>
      </c>
      <c r="J106" s="9">
        <v>-302897.65643520001</v>
      </c>
      <c r="K106" s="9">
        <v>-309239.5792792</v>
      </c>
      <c r="L106" s="9">
        <v>-288667.23983520002</v>
      </c>
      <c r="M106" s="9">
        <v>-288567.8648786</v>
      </c>
      <c r="N106" s="9">
        <v>-308292.30122169998</v>
      </c>
      <c r="O106" s="9">
        <v>-299160.27462169999</v>
      </c>
      <c r="P106" s="9">
        <v>-325771.54775829997</v>
      </c>
      <c r="Q106" s="9">
        <v>-312508.06470520003</v>
      </c>
      <c r="R106" s="9">
        <v>-298145.92408980004</v>
      </c>
      <c r="S106" s="9">
        <v>-290103.10679370002</v>
      </c>
      <c r="T106" s="9">
        <v>-276621.34184820001</v>
      </c>
      <c r="U106" s="9">
        <v>-269961.30727660004</v>
      </c>
      <c r="V106" s="9">
        <v>-285207.28648360004</v>
      </c>
      <c r="W106" s="9">
        <v>-265286.48151740001</v>
      </c>
      <c r="X106" s="9">
        <v>-247882.05543870002</v>
      </c>
      <c r="Y106" s="9">
        <v>-238952.93400120002</v>
      </c>
      <c r="Z106" s="9">
        <v>-270542.11418609996</v>
      </c>
      <c r="AA106" s="9">
        <v>-261574.91721769999</v>
      </c>
      <c r="AB106" s="9">
        <v>-269946.83851709997</v>
      </c>
      <c r="AC106" s="9">
        <v>-254230.03446289996</v>
      </c>
      <c r="AD106" s="9">
        <v>-274691.55537289998</v>
      </c>
      <c r="AE106" s="9">
        <v>-223302.071467</v>
      </c>
      <c r="AF106" s="9">
        <v>-221053.09743040003</v>
      </c>
      <c r="AG106" s="9">
        <v>-247165.74338180001</v>
      </c>
      <c r="AH106" s="9">
        <v>-226979.89438040002</v>
      </c>
      <c r="AI106" s="9">
        <v>-239081.04392599998</v>
      </c>
      <c r="AJ106" s="9">
        <v>-232846.09861329998</v>
      </c>
      <c r="AK106" s="9">
        <v>-222333.63271640002</v>
      </c>
      <c r="AL106" s="9">
        <v>-206115.00164169999</v>
      </c>
      <c r="AM106" s="9">
        <v>-236333.12955299998</v>
      </c>
      <c r="AN106" s="9">
        <v>-250378.21885310003</v>
      </c>
      <c r="AO106" s="9">
        <v>-242874.0721662</v>
      </c>
      <c r="AP106" s="9">
        <v>-242846.70617620001</v>
      </c>
      <c r="AQ106" s="9">
        <v>-236304.37773200002</v>
      </c>
    </row>
    <row r="107" spans="1:43" x14ac:dyDescent="0.25">
      <c r="A107" s="7" t="s">
        <v>78</v>
      </c>
      <c r="B107" s="9">
        <v>-3933888.9669704996</v>
      </c>
      <c r="C107" s="9">
        <v>-4227796.2690724004</v>
      </c>
      <c r="D107" s="9">
        <v>-3998757.8633194002</v>
      </c>
      <c r="E107" s="9">
        <v>-4402711.3791511999</v>
      </c>
      <c r="F107" s="9">
        <v>-3793299.8599781003</v>
      </c>
      <c r="G107" s="9">
        <v>-3790872.0370291001</v>
      </c>
      <c r="H107" s="9">
        <v>-3896531.7398085003</v>
      </c>
      <c r="I107" s="9">
        <v>-3349395.2383580003</v>
      </c>
      <c r="J107" s="9">
        <v>-3580921.6614987999</v>
      </c>
      <c r="K107" s="9">
        <v>-3546320.1633551</v>
      </c>
      <c r="L107" s="9">
        <v>-3272570.5115026999</v>
      </c>
      <c r="M107" s="9">
        <v>-3061090.4263549997</v>
      </c>
      <c r="N107" s="9">
        <v>-3213725.7340077003</v>
      </c>
      <c r="O107" s="9">
        <v>-3979433.5745834</v>
      </c>
      <c r="P107" s="9">
        <v>-3696484.8919071001</v>
      </c>
      <c r="Q107" s="9">
        <v>-3529025.9220313001</v>
      </c>
      <c r="R107" s="9">
        <v>-3869846.4182907999</v>
      </c>
      <c r="S107" s="9">
        <v>-3419224.1004644996</v>
      </c>
      <c r="T107" s="9">
        <v>-3776279.9530497999</v>
      </c>
      <c r="U107" s="9">
        <v>-3465750.1565509001</v>
      </c>
      <c r="V107" s="9">
        <v>-3570881.8836534</v>
      </c>
      <c r="W107" s="9">
        <v>-3556115.0225877995</v>
      </c>
      <c r="X107" s="9">
        <v>-3518926.4349081004</v>
      </c>
      <c r="Y107" s="9">
        <v>-3385887.7127524</v>
      </c>
      <c r="Z107" s="9">
        <v>-3716460.5656888001</v>
      </c>
      <c r="AA107" s="9">
        <v>-3715373.3081503999</v>
      </c>
      <c r="AB107" s="9">
        <v>-3946579.1009789002</v>
      </c>
      <c r="AC107" s="9">
        <v>-4147205.3170216996</v>
      </c>
      <c r="AD107" s="9">
        <v>-4144970.7712562997</v>
      </c>
      <c r="AE107" s="9">
        <v>-4155339.9344696002</v>
      </c>
      <c r="AF107" s="9">
        <v>-4178604.3858035998</v>
      </c>
      <c r="AG107" s="9">
        <v>-4535099.4587464994</v>
      </c>
      <c r="AH107" s="9">
        <v>-4144585.7568603</v>
      </c>
      <c r="AI107" s="9">
        <v>-4012286.7053779</v>
      </c>
      <c r="AJ107" s="9">
        <v>-4108894.8999889996</v>
      </c>
      <c r="AK107" s="9">
        <v>-4537383.2528074002</v>
      </c>
      <c r="AL107" s="9">
        <v>-4052829.667262</v>
      </c>
      <c r="AM107" s="9">
        <v>-3898938.8764916998</v>
      </c>
      <c r="AN107" s="9">
        <v>-4144426.4220106006</v>
      </c>
      <c r="AO107" s="9">
        <v>-4085383.6547335</v>
      </c>
      <c r="AP107" s="9">
        <v>-5014142.494791301</v>
      </c>
      <c r="AQ107" s="9">
        <v>-4217268.0431215996</v>
      </c>
    </row>
    <row r="108" spans="1:43" x14ac:dyDescent="0.25">
      <c r="A108" s="7" t="s">
        <v>79</v>
      </c>
      <c r="B108" s="9">
        <v>-1632661.4098328999</v>
      </c>
      <c r="C108" s="9">
        <v>-1677176.5365829999</v>
      </c>
      <c r="D108" s="9">
        <v>-1633034.8150305999</v>
      </c>
      <c r="E108" s="9">
        <v>-1751448.4614260998</v>
      </c>
      <c r="F108" s="9">
        <v>-1629086.4541951001</v>
      </c>
      <c r="G108" s="9">
        <v>-1542781.3201343999</v>
      </c>
      <c r="H108" s="9">
        <v>-1660582.3305784999</v>
      </c>
      <c r="I108" s="9">
        <v>-1539307.4392841998</v>
      </c>
      <c r="J108" s="9">
        <v>-1662666.5106426</v>
      </c>
      <c r="K108" s="9">
        <v>-1612432.8463054998</v>
      </c>
      <c r="L108" s="9">
        <v>-1794675.4023027997</v>
      </c>
      <c r="M108" s="9">
        <v>-1525733.0539977001</v>
      </c>
      <c r="N108" s="9">
        <v>-1715606.5573870998</v>
      </c>
      <c r="O108" s="9">
        <v>-1833635.6023597</v>
      </c>
      <c r="P108" s="9">
        <v>-1625965.7320947999</v>
      </c>
      <c r="Q108" s="9">
        <v>-1828770.593909</v>
      </c>
      <c r="R108" s="9">
        <v>-2019062.8382329999</v>
      </c>
      <c r="S108" s="9">
        <v>-3113405.2256888002</v>
      </c>
      <c r="T108" s="9">
        <v>-2533786.9143202999</v>
      </c>
      <c r="U108" s="9">
        <v>-2187780.2435218003</v>
      </c>
      <c r="V108" s="9">
        <v>-1996860.1647538999</v>
      </c>
      <c r="W108" s="9">
        <v>-2008444.7976053001</v>
      </c>
      <c r="X108" s="9">
        <v>-1955246.3189695003</v>
      </c>
      <c r="Y108" s="9">
        <v>-1964287.0573241001</v>
      </c>
      <c r="Z108" s="9">
        <v>-2270891.1092407</v>
      </c>
      <c r="AA108" s="9">
        <v>-1955738.1219469998</v>
      </c>
      <c r="AB108" s="9">
        <v>-1997819.8385725</v>
      </c>
      <c r="AC108" s="9">
        <v>-1883163.8277011001</v>
      </c>
      <c r="AD108" s="9">
        <v>-2151464.1000472</v>
      </c>
      <c r="AE108" s="9">
        <v>-2191081.8778754999</v>
      </c>
      <c r="AF108" s="9">
        <v>-2088173.0520758</v>
      </c>
      <c r="AG108" s="9">
        <v>-2078975.4596595</v>
      </c>
      <c r="AH108" s="9">
        <v>-2100597.2063727998</v>
      </c>
      <c r="AI108" s="9">
        <v>-1995169.9897636001</v>
      </c>
      <c r="AJ108" s="9">
        <v>-2393316.1295671999</v>
      </c>
      <c r="AK108" s="9">
        <v>-2104225.3711482002</v>
      </c>
      <c r="AL108" s="9">
        <v>-2435258.603503</v>
      </c>
      <c r="AM108" s="9">
        <v>-2221301.7034860002</v>
      </c>
      <c r="AN108" s="9">
        <v>-2394429.0072774002</v>
      </c>
      <c r="AO108" s="9">
        <v>-2447717.5509067001</v>
      </c>
      <c r="AP108" s="9">
        <v>-2220706.0574130998</v>
      </c>
      <c r="AQ108" s="9">
        <v>-2366182.7532527</v>
      </c>
    </row>
    <row r="109" spans="1:43" x14ac:dyDescent="0.25">
      <c r="A109" s="6" t="s">
        <v>46</v>
      </c>
      <c r="B109" s="9">
        <v>-512127.79461079999</v>
      </c>
      <c r="C109" s="9">
        <v>-578489.66262119997</v>
      </c>
      <c r="D109" s="9">
        <v>-527618.16873019992</v>
      </c>
      <c r="E109" s="9">
        <v>-595845.11507920001</v>
      </c>
      <c r="F109" s="9">
        <v>-516196.59043460002</v>
      </c>
      <c r="G109" s="9">
        <v>-518790.5381295</v>
      </c>
      <c r="H109" s="9">
        <v>-555455.46190739993</v>
      </c>
      <c r="I109" s="9">
        <v>-458230.96235460002</v>
      </c>
      <c r="J109" s="9">
        <v>-496477.46858509997</v>
      </c>
      <c r="K109" s="9">
        <v>-498101.50634029997</v>
      </c>
      <c r="L109" s="9">
        <v>-447766.13879880001</v>
      </c>
      <c r="M109" s="9">
        <v>-432886.33000419999</v>
      </c>
      <c r="N109" s="9">
        <v>-464340.18278810004</v>
      </c>
      <c r="O109" s="9">
        <v>-569783.83412040013</v>
      </c>
      <c r="P109" s="9">
        <v>-524617.10448290012</v>
      </c>
      <c r="Q109" s="9">
        <v>-527512.97593690001</v>
      </c>
      <c r="R109" s="9">
        <v>-556808.33793699997</v>
      </c>
      <c r="S109" s="9">
        <v>-508076.55991830002</v>
      </c>
      <c r="T109" s="9">
        <v>-589118.25662499992</v>
      </c>
      <c r="U109" s="9">
        <v>-520430.97466340003</v>
      </c>
      <c r="V109" s="9">
        <v>-534341.10295969993</v>
      </c>
      <c r="W109" s="9">
        <v>-523726.12896130001</v>
      </c>
      <c r="X109" s="9">
        <v>-519604.20823490003</v>
      </c>
      <c r="Y109" s="9">
        <v>-495865.88938999997</v>
      </c>
      <c r="Z109" s="9">
        <v>-601354.74962340004</v>
      </c>
      <c r="AA109" s="9">
        <v>-556024.91955929995</v>
      </c>
      <c r="AB109" s="9">
        <v>-601788.35883410007</v>
      </c>
      <c r="AC109" s="9">
        <v>-630234.96975119994</v>
      </c>
      <c r="AD109" s="9">
        <v>-652330.25507970003</v>
      </c>
      <c r="AE109" s="9">
        <v>-694001.44305430003</v>
      </c>
      <c r="AF109" s="9">
        <v>-730302.27640570002</v>
      </c>
      <c r="AG109" s="9">
        <v>-731508.79473900015</v>
      </c>
      <c r="AH109" s="9">
        <v>-653198.89767790004</v>
      </c>
      <c r="AI109" s="9">
        <v>-677687.81671090005</v>
      </c>
      <c r="AJ109" s="9">
        <v>-700297.09252329997</v>
      </c>
      <c r="AK109" s="9">
        <v>-774127.69531960005</v>
      </c>
      <c r="AL109" s="9">
        <v>-685597.26067529991</v>
      </c>
      <c r="AM109" s="9">
        <v>-650387.03254419996</v>
      </c>
      <c r="AN109" s="9">
        <v>-728863.88606829999</v>
      </c>
      <c r="AO109" s="9">
        <v>-697487.97983620001</v>
      </c>
      <c r="AP109" s="9">
        <v>-667462.37755500001</v>
      </c>
      <c r="AQ109" s="9">
        <v>-724606.72701859998</v>
      </c>
    </row>
    <row r="110" spans="1:43" x14ac:dyDescent="0.25">
      <c r="A110" s="7" t="s">
        <v>77</v>
      </c>
      <c r="B110" s="9">
        <v>-23245.833624999999</v>
      </c>
      <c r="C110" s="9">
        <v>-23478.095948800001</v>
      </c>
      <c r="D110" s="9">
        <v>-26659.785026699999</v>
      </c>
      <c r="E110" s="9">
        <v>-23353.961630099999</v>
      </c>
      <c r="F110" s="9">
        <v>-30832.006086300004</v>
      </c>
      <c r="G110" s="9">
        <v>-30600.2725679</v>
      </c>
      <c r="H110" s="9">
        <v>-28828.776692900003</v>
      </c>
      <c r="I110" s="9">
        <v>-32933.9694743</v>
      </c>
      <c r="J110" s="9">
        <v>-36321.609170899996</v>
      </c>
      <c r="K110" s="9">
        <v>-33128.800304400007</v>
      </c>
      <c r="L110" s="9">
        <v>-33355.325317199997</v>
      </c>
      <c r="M110" s="9">
        <v>-40495.847926699993</v>
      </c>
      <c r="N110" s="9">
        <v>-38557.010795300004</v>
      </c>
      <c r="O110" s="9">
        <v>-39298.486413400002</v>
      </c>
      <c r="P110" s="9">
        <v>-43954.6632961</v>
      </c>
      <c r="Q110" s="9">
        <v>-42564.603407100003</v>
      </c>
      <c r="R110" s="9">
        <v>-44268.431024999998</v>
      </c>
      <c r="S110" s="9">
        <v>-40917.373960600002</v>
      </c>
      <c r="T110" s="9">
        <v>-39860.443199799993</v>
      </c>
      <c r="U110" s="9">
        <v>-37207.379539899994</v>
      </c>
      <c r="V110" s="9">
        <v>-33623.988778400002</v>
      </c>
      <c r="W110" s="9">
        <v>-33200.068918899997</v>
      </c>
      <c r="X110" s="9">
        <v>-30397.574836</v>
      </c>
      <c r="Y110" s="9">
        <v>-30179.047040999998</v>
      </c>
      <c r="Z110" s="9">
        <v>-47952.409267700001</v>
      </c>
      <c r="AA110" s="9">
        <v>-33518.905363900005</v>
      </c>
      <c r="AB110" s="9">
        <v>-38389.274955200002</v>
      </c>
      <c r="AC110" s="9">
        <v>-36168.491476900002</v>
      </c>
      <c r="AD110" s="9">
        <v>-38228.841399199999</v>
      </c>
      <c r="AE110" s="9">
        <v>-66457.147687999997</v>
      </c>
      <c r="AF110" s="9">
        <v>-68955.946436800004</v>
      </c>
      <c r="AG110" s="9">
        <v>-33604.098839300001</v>
      </c>
      <c r="AH110" s="9">
        <v>-30990.813313500003</v>
      </c>
      <c r="AI110" s="9">
        <v>-33514.930988300002</v>
      </c>
      <c r="AJ110" s="9">
        <v>-34073.225785000002</v>
      </c>
      <c r="AK110" s="9">
        <v>-31569.550851700002</v>
      </c>
      <c r="AL110" s="9">
        <v>-32952.815606100005</v>
      </c>
      <c r="AM110" s="9">
        <v>-33780.995072099999</v>
      </c>
      <c r="AN110" s="9">
        <v>-34305.367051699999</v>
      </c>
      <c r="AO110" s="9">
        <v>-38926.190542099997</v>
      </c>
      <c r="AP110" s="9">
        <v>-38333.036294199999</v>
      </c>
      <c r="AQ110" s="9">
        <v>-38008.504594699996</v>
      </c>
    </row>
    <row r="111" spans="1:43" x14ac:dyDescent="0.25">
      <c r="A111" s="7" t="s">
        <v>78</v>
      </c>
      <c r="B111" s="9">
        <v>-453422.86850540002</v>
      </c>
      <c r="C111" s="9">
        <v>-517129.93733670004</v>
      </c>
      <c r="D111" s="9">
        <v>-466033.08845599997</v>
      </c>
      <c r="E111" s="9">
        <v>-532681.54695679992</v>
      </c>
      <c r="F111" s="9">
        <v>-448518.83238410001</v>
      </c>
      <c r="G111" s="9">
        <v>-452865.7277861</v>
      </c>
      <c r="H111" s="9">
        <v>-488137.97627869999</v>
      </c>
      <c r="I111" s="9">
        <v>-390662.81917540001</v>
      </c>
      <c r="J111" s="9">
        <v>-420981.68404999998</v>
      </c>
      <c r="K111" s="9">
        <v>-427303.92914389999</v>
      </c>
      <c r="L111" s="9">
        <v>-371799.95194260002</v>
      </c>
      <c r="M111" s="9">
        <v>-356332.67999700003</v>
      </c>
      <c r="N111" s="9">
        <v>-387837.58748560003</v>
      </c>
      <c r="O111" s="9">
        <v>-490586.68470030004</v>
      </c>
      <c r="P111" s="9">
        <v>-445211.20368670009</v>
      </c>
      <c r="Q111" s="9">
        <v>-444970.60496710002</v>
      </c>
      <c r="R111" s="9">
        <v>-467652.81155970006</v>
      </c>
      <c r="S111" s="9">
        <v>-416738.45102809998</v>
      </c>
      <c r="T111" s="9">
        <v>-499615.44500459998</v>
      </c>
      <c r="U111" s="9">
        <v>-437082.77069900004</v>
      </c>
      <c r="V111" s="9">
        <v>-457556.22931209998</v>
      </c>
      <c r="W111" s="9">
        <v>-446723.37823640002</v>
      </c>
      <c r="X111" s="9">
        <v>-447476.89067800005</v>
      </c>
      <c r="Y111" s="9">
        <v>-422994.058265</v>
      </c>
      <c r="Z111" s="9">
        <v>-502453.06114530005</v>
      </c>
      <c r="AA111" s="9">
        <v>-479713.19075519999</v>
      </c>
      <c r="AB111" s="9">
        <v>-517744.15995280002</v>
      </c>
      <c r="AC111" s="9">
        <v>-554432.36794889998</v>
      </c>
      <c r="AD111" s="9">
        <v>-564389.02576360002</v>
      </c>
      <c r="AE111" s="9">
        <v>-576970.80278070003</v>
      </c>
      <c r="AF111" s="9">
        <v>-613548.56254720001</v>
      </c>
      <c r="AG111" s="9">
        <v>-650349.03950530011</v>
      </c>
      <c r="AH111" s="9">
        <v>-574973.01311010006</v>
      </c>
      <c r="AI111" s="9">
        <v>-596970.14361300005</v>
      </c>
      <c r="AJ111" s="9">
        <v>-612246.61312479991</v>
      </c>
      <c r="AK111" s="9">
        <v>-694903.04719910002</v>
      </c>
      <c r="AL111" s="9">
        <v>-597713.33875559992</v>
      </c>
      <c r="AM111" s="9">
        <v>-564592.93011880002</v>
      </c>
      <c r="AN111" s="9">
        <v>-635415.19722940004</v>
      </c>
      <c r="AO111" s="9">
        <v>-599163.48944210005</v>
      </c>
      <c r="AP111" s="9">
        <v>-576289.5983983</v>
      </c>
      <c r="AQ111" s="9">
        <v>-630357.24095080001</v>
      </c>
    </row>
    <row r="112" spans="1:43" x14ac:dyDescent="0.25">
      <c r="A112" s="7" t="s">
        <v>79</v>
      </c>
      <c r="B112" s="9">
        <v>-35459.092480400002</v>
      </c>
      <c r="C112" s="9">
        <v>-37881.629335699996</v>
      </c>
      <c r="D112" s="9">
        <v>-34925.295247499998</v>
      </c>
      <c r="E112" s="9">
        <v>-39809.606492300001</v>
      </c>
      <c r="F112" s="9">
        <v>-36845.751964200004</v>
      </c>
      <c r="G112" s="9">
        <v>-35324.537775500001</v>
      </c>
      <c r="H112" s="9">
        <v>-38488.708935800001</v>
      </c>
      <c r="I112" s="9">
        <v>-34634.1737049</v>
      </c>
      <c r="J112" s="9">
        <v>-39174.175364199997</v>
      </c>
      <c r="K112" s="9">
        <v>-37668.776892000002</v>
      </c>
      <c r="L112" s="9">
        <v>-42610.861538999998</v>
      </c>
      <c r="M112" s="9">
        <v>-36057.802080499998</v>
      </c>
      <c r="N112" s="9">
        <v>-37945.584507200001</v>
      </c>
      <c r="O112" s="9">
        <v>-39898.663006700001</v>
      </c>
      <c r="P112" s="9">
        <v>-35451.237500100004</v>
      </c>
      <c r="Q112" s="9">
        <v>-39977.767562699999</v>
      </c>
      <c r="R112" s="9">
        <v>-44887.095352299999</v>
      </c>
      <c r="S112" s="9">
        <v>-50420.734929600003</v>
      </c>
      <c r="T112" s="9">
        <v>-49642.368420600003</v>
      </c>
      <c r="U112" s="9">
        <v>-46140.824424499995</v>
      </c>
      <c r="V112" s="9">
        <v>-43160.884869200003</v>
      </c>
      <c r="W112" s="9">
        <v>-43802.681806000001</v>
      </c>
      <c r="X112" s="9">
        <v>-41729.742720900002</v>
      </c>
      <c r="Y112" s="9">
        <v>-42692.784084000006</v>
      </c>
      <c r="Z112" s="9">
        <v>-50949.279210400004</v>
      </c>
      <c r="AA112" s="9">
        <v>-42792.823440200002</v>
      </c>
      <c r="AB112" s="9">
        <v>-45654.923926100004</v>
      </c>
      <c r="AC112" s="9">
        <v>-39634.110325399997</v>
      </c>
      <c r="AD112" s="9">
        <v>-49712.387916900007</v>
      </c>
      <c r="AE112" s="9">
        <v>-50573.492585600005</v>
      </c>
      <c r="AF112" s="9">
        <v>-47797.767421700002</v>
      </c>
      <c r="AG112" s="9">
        <v>-47555.656394400008</v>
      </c>
      <c r="AH112" s="9">
        <v>-47235.07125429999</v>
      </c>
      <c r="AI112" s="9">
        <v>-47202.742109599996</v>
      </c>
      <c r="AJ112" s="9">
        <v>-53977.253613499997</v>
      </c>
      <c r="AK112" s="9">
        <v>-47655.097268799997</v>
      </c>
      <c r="AL112" s="9">
        <v>-54931.106313600001</v>
      </c>
      <c r="AM112" s="9">
        <v>-52013.107353300002</v>
      </c>
      <c r="AN112" s="9">
        <v>-59143.321787199988</v>
      </c>
      <c r="AO112" s="9">
        <v>-59398.299851999996</v>
      </c>
      <c r="AP112" s="9">
        <v>-52839.742862499996</v>
      </c>
      <c r="AQ112" s="9">
        <v>-56240.981473100001</v>
      </c>
    </row>
    <row r="113" spans="1:43" x14ac:dyDescent="0.25">
      <c r="A113" s="5" t="s">
        <v>80</v>
      </c>
      <c r="B113" s="9">
        <v>-287638.42</v>
      </c>
      <c r="C113" s="9">
        <v>-317369.62984929699</v>
      </c>
      <c r="D113" s="9">
        <v>-459120.22999999992</v>
      </c>
      <c r="E113" s="9">
        <v>-346151.71999999986</v>
      </c>
      <c r="F113" s="9">
        <v>-400160.09</v>
      </c>
      <c r="G113" s="9">
        <v>-357753.08</v>
      </c>
      <c r="H113" s="9">
        <v>-484563.55</v>
      </c>
      <c r="I113" s="9">
        <v>-278806.63000000006</v>
      </c>
      <c r="J113" s="9">
        <v>-348288.82999999996</v>
      </c>
      <c r="K113" s="9">
        <v>-395240.92</v>
      </c>
      <c r="L113" s="9">
        <v>-378333.45999999996</v>
      </c>
      <c r="M113" s="9">
        <v>-587080.06000000006</v>
      </c>
      <c r="N113" s="9">
        <v>-501550.42999999993</v>
      </c>
      <c r="O113" s="9">
        <v>-665378.6102198672</v>
      </c>
      <c r="P113" s="9">
        <v>-944669.76000000013</v>
      </c>
      <c r="Q113" s="9">
        <v>-596430.61999999988</v>
      </c>
      <c r="R113" s="9">
        <v>-845650.60000000009</v>
      </c>
      <c r="S113" s="9">
        <v>-730143.8</v>
      </c>
      <c r="T113" s="9">
        <v>-496514.66000000003</v>
      </c>
      <c r="U113" s="9">
        <v>-562033.20999999985</v>
      </c>
      <c r="V113" s="9">
        <v>-609159.16976333328</v>
      </c>
      <c r="W113" s="9">
        <v>-449598.35</v>
      </c>
      <c r="X113" s="9">
        <v>-725497.17484574334</v>
      </c>
      <c r="Y113" s="9">
        <v>-387587.24143155076</v>
      </c>
      <c r="Z113" s="9">
        <v>-389193.28000000009</v>
      </c>
      <c r="AA113" s="9">
        <v>-494234.83049423475</v>
      </c>
      <c r="AB113" s="9">
        <v>-346830.32965316967</v>
      </c>
      <c r="AC113" s="9">
        <v>-393204.59703861369</v>
      </c>
      <c r="AD113" s="9">
        <v>-533063.37312052515</v>
      </c>
      <c r="AE113" s="9">
        <v>-647143.38000000012</v>
      </c>
      <c r="AF113" s="9">
        <v>-589127.06000000006</v>
      </c>
      <c r="AG113" s="9">
        <v>-419238.98958076106</v>
      </c>
      <c r="AH113" s="9">
        <v>-389112.58437996771</v>
      </c>
      <c r="AI113" s="9">
        <v>-417512.72685614217</v>
      </c>
      <c r="AJ113" s="9">
        <v>-418265.75</v>
      </c>
      <c r="AK113" s="9">
        <v>-865577.40127658227</v>
      </c>
      <c r="AL113" s="9">
        <v>-388789.21000000008</v>
      </c>
      <c r="AM113" s="9">
        <v>-429759.60254408541</v>
      </c>
      <c r="AN113" s="9">
        <v>-355461.9398179102</v>
      </c>
      <c r="AO113" s="9">
        <v>-519725.34371280938</v>
      </c>
      <c r="AP113" s="9">
        <v>-434734.70000000007</v>
      </c>
      <c r="AQ113" s="9">
        <v>-532755.97000000009</v>
      </c>
    </row>
    <row r="114" spans="1:43" x14ac:dyDescent="0.25">
      <c r="A114" s="6" t="s">
        <v>49</v>
      </c>
      <c r="B114" s="9">
        <v>-4515.50640592942</v>
      </c>
      <c r="C114" s="9">
        <v>-4986.203463267776</v>
      </c>
      <c r="D114" s="9">
        <v>-7135.3284443406101</v>
      </c>
      <c r="E114" s="9">
        <v>-5356.6722517727185</v>
      </c>
      <c r="F114" s="9">
        <v>-6201.0396181957303</v>
      </c>
      <c r="G114" s="9">
        <v>-5566.3231020896001</v>
      </c>
      <c r="H114" s="9">
        <v>-7623.300591355649</v>
      </c>
      <c r="I114" s="9">
        <v>-4369.6981154816895</v>
      </c>
      <c r="J114" s="9">
        <v>-5412.9217959354191</v>
      </c>
      <c r="K114" s="9">
        <v>-6076.3675036054392</v>
      </c>
      <c r="L114" s="9">
        <v>-5746.1270771461604</v>
      </c>
      <c r="M114" s="9">
        <v>-8803.9746924124793</v>
      </c>
      <c r="N114" s="9">
        <v>-7360.5223943813389</v>
      </c>
      <c r="O114" s="9">
        <v>-9795.5987600408735</v>
      </c>
      <c r="P114" s="9">
        <v>-13838.102671712641</v>
      </c>
      <c r="Q114" s="9">
        <v>-8512.5369381701585</v>
      </c>
      <c r="R114" s="9">
        <v>-11896.204191560202</v>
      </c>
      <c r="S114" s="9">
        <v>-10097.7252017888</v>
      </c>
      <c r="T114" s="9">
        <v>-6876.2439392064998</v>
      </c>
      <c r="U114" s="9">
        <v>-7854.1493921080873</v>
      </c>
      <c r="V114" s="9">
        <v>-8637.2867606458531</v>
      </c>
      <c r="W114" s="9">
        <v>-6578.2029431747997</v>
      </c>
      <c r="X114" s="9">
        <v>-10546.200564602772</v>
      </c>
      <c r="Y114" s="9">
        <v>-5584.1643436867926</v>
      </c>
      <c r="Z114" s="9">
        <v>-5612.3764835846414</v>
      </c>
      <c r="AA114" s="9">
        <v>-7130.5532404317983</v>
      </c>
      <c r="AB114" s="9">
        <v>-5105.1881181031513</v>
      </c>
      <c r="AC114" s="9">
        <v>-5756.346621629521</v>
      </c>
      <c r="AD114" s="9">
        <v>-7720.862176982283</v>
      </c>
      <c r="AE114" s="9">
        <v>-9484.3683557180993</v>
      </c>
      <c r="AF114" s="9">
        <v>-8590.4198511124778</v>
      </c>
      <c r="AG114" s="9">
        <v>-6022.70557873695</v>
      </c>
      <c r="AH114" s="9">
        <v>-5499.8729181600884</v>
      </c>
      <c r="AI114" s="9">
        <v>-5857.2743547084674</v>
      </c>
      <c r="AJ114" s="9">
        <v>-5924.6766280765005</v>
      </c>
      <c r="AK114" s="9">
        <v>-12308.147115952615</v>
      </c>
      <c r="AL114" s="9">
        <v>-5551.3736581078829</v>
      </c>
      <c r="AM114" s="9">
        <v>-6209.5225917113021</v>
      </c>
      <c r="AN114" s="9">
        <v>-5224.659941511949</v>
      </c>
      <c r="AO114" s="9">
        <v>-7612.0275404570193</v>
      </c>
      <c r="AP114" s="9">
        <v>-6441.3629137633725</v>
      </c>
      <c r="AQ114" s="9">
        <v>-8169.7824575987488</v>
      </c>
    </row>
    <row r="115" spans="1:43" x14ac:dyDescent="0.25">
      <c r="A115" s="7" t="s">
        <v>84</v>
      </c>
      <c r="B115" s="9">
        <v>-2616.4212943574203</v>
      </c>
      <c r="C115" s="9">
        <v>-2618.5048857034303</v>
      </c>
      <c r="D115" s="9">
        <v>-3342.7979059591903</v>
      </c>
      <c r="E115" s="9">
        <v>-2868.2612854277004</v>
      </c>
      <c r="F115" s="9">
        <v>-3985.1172976756393</v>
      </c>
      <c r="G115" s="9">
        <v>-2765.8929505304004</v>
      </c>
      <c r="H115" s="9">
        <v>-3287.2249091234098</v>
      </c>
      <c r="I115" s="9">
        <v>-2826.07846552621</v>
      </c>
      <c r="J115" s="9">
        <v>-2590.2457184715799</v>
      </c>
      <c r="K115" s="9">
        <v>-3496.5271874617601</v>
      </c>
      <c r="L115" s="9">
        <v>-3579.5801034207198</v>
      </c>
      <c r="M115" s="9">
        <v>-2781.320004509756</v>
      </c>
      <c r="N115" s="9">
        <v>-2445.9230489184602</v>
      </c>
      <c r="O115" s="9">
        <v>-2453.6403824061399</v>
      </c>
      <c r="P115" s="9">
        <v>-2441.43571549538</v>
      </c>
      <c r="Q115" s="9">
        <v>-2535.8921513296004</v>
      </c>
      <c r="R115" s="9">
        <v>-3499.8771082786307</v>
      </c>
      <c r="S115" s="9">
        <v>-2479.9439536059203</v>
      </c>
      <c r="T115" s="9">
        <v>-3234.99776596725</v>
      </c>
      <c r="U115" s="9">
        <v>-2252.0811519580598</v>
      </c>
      <c r="V115" s="9">
        <v>-2363.1718805967703</v>
      </c>
      <c r="W115" s="9">
        <v>-2491.2206855709596</v>
      </c>
      <c r="X115" s="9">
        <v>-3196.7129483425501</v>
      </c>
      <c r="Y115" s="9">
        <v>-3335.9259232226291</v>
      </c>
      <c r="Z115" s="9">
        <v>-2403.423048068461</v>
      </c>
      <c r="AA115" s="9">
        <v>-2622.7848335281997</v>
      </c>
      <c r="AB115" s="9">
        <v>-2453.2592157318504</v>
      </c>
      <c r="AC115" s="9">
        <v>-2439.9285487985703</v>
      </c>
      <c r="AD115" s="9">
        <v>-3207.7208569004006</v>
      </c>
      <c r="AE115" s="9">
        <v>-2442.6242155191503</v>
      </c>
      <c r="AF115" s="9">
        <v>-3090.7055289453592</v>
      </c>
      <c r="AG115" s="9">
        <v>-2773.5581332193501</v>
      </c>
      <c r="AH115" s="9">
        <v>-2283.6479404480001</v>
      </c>
      <c r="AI115" s="9">
        <v>-2537.3734491632404</v>
      </c>
      <c r="AJ115" s="9">
        <v>-2873.5783849495401</v>
      </c>
      <c r="AK115" s="9">
        <v>-4870.0497346199927</v>
      </c>
      <c r="AL115" s="9">
        <v>-2397.6184385240376</v>
      </c>
      <c r="AM115" s="9">
        <v>-2913.8470343585395</v>
      </c>
      <c r="AN115" s="9">
        <v>-2964.1423012175351</v>
      </c>
      <c r="AO115" s="9">
        <v>-3174.452778112588</v>
      </c>
      <c r="AP115" s="9">
        <v>-3071.8221365687505</v>
      </c>
      <c r="AQ115" s="9">
        <v>-2594.1612498052282</v>
      </c>
    </row>
    <row r="116" spans="1:43" x14ac:dyDescent="0.25">
      <c r="A116" s="7" t="s">
        <v>48</v>
      </c>
      <c r="B116" s="9">
        <v>-1899.0851115720002</v>
      </c>
      <c r="C116" s="9">
        <v>-2367.6985775643457</v>
      </c>
      <c r="D116" s="9">
        <v>-3792.5305383814193</v>
      </c>
      <c r="E116" s="9">
        <v>-2488.4109663450181</v>
      </c>
      <c r="F116" s="9">
        <v>-2215.922320520091</v>
      </c>
      <c r="G116" s="9">
        <v>-2800.4301515591992</v>
      </c>
      <c r="H116" s="9">
        <v>-4336.0756822322392</v>
      </c>
      <c r="I116" s="9">
        <v>-1543.6196499554796</v>
      </c>
      <c r="J116" s="9">
        <v>-2822.6760774638392</v>
      </c>
      <c r="K116" s="9">
        <v>-2579.840316143679</v>
      </c>
      <c r="L116" s="9">
        <v>-2166.5469737254402</v>
      </c>
      <c r="M116" s="9">
        <v>-6022.6546879027237</v>
      </c>
      <c r="N116" s="9">
        <v>-4914.5993454628788</v>
      </c>
      <c r="O116" s="9">
        <v>-7341.9583776347336</v>
      </c>
      <c r="P116" s="9">
        <v>-11396.666956217261</v>
      </c>
      <c r="Q116" s="9">
        <v>-5976.6447868405585</v>
      </c>
      <c r="R116" s="9">
        <v>-8396.3270832815706</v>
      </c>
      <c r="S116" s="9">
        <v>-7617.7812481828805</v>
      </c>
      <c r="T116" s="9">
        <v>-3641.2461732392499</v>
      </c>
      <c r="U116" s="9">
        <v>-5602.068240150028</v>
      </c>
      <c r="V116" s="9">
        <v>-6274.1148800490828</v>
      </c>
      <c r="W116" s="9">
        <v>-4086.9822576038396</v>
      </c>
      <c r="X116" s="9">
        <v>-7349.4876162602222</v>
      </c>
      <c r="Y116" s="9">
        <v>-2248.238420464163</v>
      </c>
      <c r="Z116" s="9">
        <v>-3208.95343551618</v>
      </c>
      <c r="AA116" s="9">
        <v>-4507.7684069035986</v>
      </c>
      <c r="AB116" s="9">
        <v>-2651.9289023713004</v>
      </c>
      <c r="AC116" s="9">
        <v>-3316.4180728309507</v>
      </c>
      <c r="AD116" s="9">
        <v>-4513.1413200818824</v>
      </c>
      <c r="AE116" s="9">
        <v>-7041.7441401989499</v>
      </c>
      <c r="AF116" s="9">
        <v>-5499.7143221671195</v>
      </c>
      <c r="AG116" s="9">
        <v>-3249.1474455176003</v>
      </c>
      <c r="AH116" s="9">
        <v>-3216.2249777120878</v>
      </c>
      <c r="AI116" s="9">
        <v>-3319.900905545227</v>
      </c>
      <c r="AJ116" s="9">
        <v>-3051.0982431269599</v>
      </c>
      <c r="AK116" s="9">
        <v>-7438.0973813326218</v>
      </c>
      <c r="AL116" s="9">
        <v>-3153.7552195838457</v>
      </c>
      <c r="AM116" s="9">
        <v>-3295.6755573527626</v>
      </c>
      <c r="AN116" s="9">
        <v>-2260.5176402944139</v>
      </c>
      <c r="AO116" s="9">
        <v>-4437.5747623444313</v>
      </c>
      <c r="AP116" s="9">
        <v>-3369.5407771946225</v>
      </c>
      <c r="AQ116" s="9">
        <v>-5575.6212077935206</v>
      </c>
    </row>
    <row r="117" spans="1:43" x14ac:dyDescent="0.25">
      <c r="A117" s="6" t="s">
        <v>47</v>
      </c>
      <c r="B117" s="9">
        <v>-275117.82159774099</v>
      </c>
      <c r="C117" s="9">
        <v>-303395.172844182</v>
      </c>
      <c r="D117" s="9">
        <v>-438811.5222745082</v>
      </c>
      <c r="E117" s="9">
        <v>-330813.06298324931</v>
      </c>
      <c r="F117" s="9">
        <v>-382297.32613544608</v>
      </c>
      <c r="G117" s="9">
        <v>-341767.9597414647</v>
      </c>
      <c r="H117" s="9">
        <v>-462847.43086531281</v>
      </c>
      <c r="I117" s="9">
        <v>-266385.48041842802</v>
      </c>
      <c r="J117" s="9">
        <v>-332950.97705955576</v>
      </c>
      <c r="K117" s="9">
        <v>-378111.36429043236</v>
      </c>
      <c r="L117" s="9">
        <v>-362206.82942244411</v>
      </c>
      <c r="M117" s="9">
        <v>-562543.56610983284</v>
      </c>
      <c r="N117" s="9">
        <v>-481094.78498842649</v>
      </c>
      <c r="O117" s="9">
        <v>-638637.30073801568</v>
      </c>
      <c r="P117" s="9">
        <v>-906919.14856246859</v>
      </c>
      <c r="Q117" s="9">
        <v>-572814.10505534196</v>
      </c>
      <c r="R117" s="9">
        <v>-812670.66380136029</v>
      </c>
      <c r="S117" s="9">
        <v>-702351.37859193445</v>
      </c>
      <c r="T117" s="9">
        <v>-477854.55667524121</v>
      </c>
      <c r="U117" s="9">
        <v>-541223.24977753253</v>
      </c>
      <c r="V117" s="9">
        <v>-586578.73824076843</v>
      </c>
      <c r="W117" s="9">
        <v>-432900.18095811678</v>
      </c>
      <c r="X117" s="9">
        <v>-699119.44264011434</v>
      </c>
      <c r="Y117" s="9">
        <v>-373815.4818793239</v>
      </c>
      <c r="Z117" s="9">
        <v>-375605.74513816938</v>
      </c>
      <c r="AA117" s="9">
        <v>-477174.65322505141</v>
      </c>
      <c r="AB117" s="9">
        <v>-334827.04107879411</v>
      </c>
      <c r="AC117" s="9">
        <v>-379757.74925440818</v>
      </c>
      <c r="AD117" s="9">
        <v>-514998.65553359356</v>
      </c>
      <c r="AE117" s="9">
        <v>-624836.62078590645</v>
      </c>
      <c r="AF117" s="9">
        <v>-568207.48977793474</v>
      </c>
      <c r="AG117" s="9">
        <v>-403967.14743764937</v>
      </c>
      <c r="AH117" s="9">
        <v>-374687.21819804318</v>
      </c>
      <c r="AI117" s="9">
        <v>-401911.12213431275</v>
      </c>
      <c r="AJ117" s="9">
        <v>-402426.37697246426</v>
      </c>
      <c r="AK117" s="9">
        <v>-832538.95409524848</v>
      </c>
      <c r="AL117" s="9">
        <v>-373838.55232901208</v>
      </c>
      <c r="AM117" s="9">
        <v>-413146.04450935242</v>
      </c>
      <c r="AN117" s="9">
        <v>-341446.0685393943</v>
      </c>
      <c r="AO117" s="9">
        <v>-499216.92039664614</v>
      </c>
      <c r="AP117" s="9">
        <v>-417492.79190387926</v>
      </c>
      <c r="AQ117" s="9">
        <v>-511308.01145168638</v>
      </c>
    </row>
    <row r="118" spans="1:43" x14ac:dyDescent="0.25">
      <c r="A118" s="7" t="s">
        <v>84</v>
      </c>
      <c r="B118" s="9">
        <v>-159411.60573714098</v>
      </c>
      <c r="C118" s="9">
        <v>-159327.98335322627</v>
      </c>
      <c r="D118" s="9">
        <v>-205576.83492950213</v>
      </c>
      <c r="E118" s="9">
        <v>-177135.7769657454</v>
      </c>
      <c r="F118" s="9">
        <v>-245684.55953209868</v>
      </c>
      <c r="G118" s="9">
        <v>-169823.7010731934</v>
      </c>
      <c r="H118" s="9">
        <v>-199583.3150787075</v>
      </c>
      <c r="I118" s="9">
        <v>-172283.35913461293</v>
      </c>
      <c r="J118" s="9">
        <v>-159327.04651987422</v>
      </c>
      <c r="K118" s="9">
        <v>-217576.81120262961</v>
      </c>
      <c r="L118" s="9">
        <v>-225638.65061049437</v>
      </c>
      <c r="M118" s="9">
        <v>-177716.73914260161</v>
      </c>
      <c r="N118" s="9">
        <v>-159869.19953071728</v>
      </c>
      <c r="O118" s="9">
        <v>-159968.40103270131</v>
      </c>
      <c r="P118" s="9">
        <v>-160006.38620012766</v>
      </c>
      <c r="Q118" s="9">
        <v>-170641.81967508484</v>
      </c>
      <c r="R118" s="9">
        <v>-239088.65441514866</v>
      </c>
      <c r="S118" s="9">
        <v>-172493.509165539</v>
      </c>
      <c r="T118" s="9">
        <v>-224811.45767496782</v>
      </c>
      <c r="U118" s="9">
        <v>-155189.13875641444</v>
      </c>
      <c r="V118" s="9">
        <v>-160488.63704310602</v>
      </c>
      <c r="W118" s="9">
        <v>-163942.93318499936</v>
      </c>
      <c r="X118" s="9">
        <v>-211913.68029040121</v>
      </c>
      <c r="Y118" s="9">
        <v>-223313.76366331725</v>
      </c>
      <c r="Z118" s="9">
        <v>-160847.99505029325</v>
      </c>
      <c r="AA118" s="9">
        <v>-175516.03658553644</v>
      </c>
      <c r="AB118" s="9">
        <v>-160898.58105130488</v>
      </c>
      <c r="AC118" s="9">
        <v>-160966.98738600637</v>
      </c>
      <c r="AD118" s="9">
        <v>-213962.10562541732</v>
      </c>
      <c r="AE118" s="9">
        <v>-160921.7402184348</v>
      </c>
      <c r="AF118" s="9">
        <v>-204432.61920631269</v>
      </c>
      <c r="AG118" s="9">
        <v>-186033.72731430823</v>
      </c>
      <c r="AH118" s="9">
        <v>-155576.99366559176</v>
      </c>
      <c r="AI118" s="9">
        <v>-174108.04897797341</v>
      </c>
      <c r="AJ118" s="9">
        <v>-195184.27941223615</v>
      </c>
      <c r="AK118" s="9">
        <v>-329416.44865434844</v>
      </c>
      <c r="AL118" s="9">
        <v>-161459.53439579366</v>
      </c>
      <c r="AM118" s="9">
        <v>-193870.68148483321</v>
      </c>
      <c r="AN118" s="9">
        <v>-193714.94923536657</v>
      </c>
      <c r="AO118" s="9">
        <v>-208189.0181572829</v>
      </c>
      <c r="AP118" s="9">
        <v>-199098.17490456323</v>
      </c>
      <c r="AQ118" s="9">
        <v>-162356.27287593539</v>
      </c>
    </row>
    <row r="119" spans="1:43" x14ac:dyDescent="0.25">
      <c r="A119" s="7" t="s">
        <v>48</v>
      </c>
      <c r="B119" s="9">
        <v>-115706.21586060002</v>
      </c>
      <c r="C119" s="9">
        <v>-144067.18949095573</v>
      </c>
      <c r="D119" s="9">
        <v>-233234.68734500607</v>
      </c>
      <c r="E119" s="9">
        <v>-153677.28601750394</v>
      </c>
      <c r="F119" s="9">
        <v>-136612.76660334738</v>
      </c>
      <c r="G119" s="9">
        <v>-171944.25866827127</v>
      </c>
      <c r="H119" s="9">
        <v>-263264.11578660534</v>
      </c>
      <c r="I119" s="9">
        <v>-94102.121283815082</v>
      </c>
      <c r="J119" s="9">
        <v>-173623.93053968155</v>
      </c>
      <c r="K119" s="9">
        <v>-160534.55308780275</v>
      </c>
      <c r="L119" s="9">
        <v>-136568.17881194977</v>
      </c>
      <c r="M119" s="9">
        <v>-384826.82696723123</v>
      </c>
      <c r="N119" s="9">
        <v>-321225.58545770921</v>
      </c>
      <c r="O119" s="9">
        <v>-478668.89970531443</v>
      </c>
      <c r="P119" s="9">
        <v>-746912.76236234093</v>
      </c>
      <c r="Q119" s="9">
        <v>-402172.28538025718</v>
      </c>
      <c r="R119" s="9">
        <v>-573582.00938621163</v>
      </c>
      <c r="S119" s="9">
        <v>-529857.86942639539</v>
      </c>
      <c r="T119" s="9">
        <v>-253043.09900027339</v>
      </c>
      <c r="U119" s="9">
        <v>-386034.11102111812</v>
      </c>
      <c r="V119" s="9">
        <v>-426090.10119766247</v>
      </c>
      <c r="W119" s="9">
        <v>-268957.24777311744</v>
      </c>
      <c r="X119" s="9">
        <v>-487205.76234971313</v>
      </c>
      <c r="Y119" s="9">
        <v>-150501.71821600664</v>
      </c>
      <c r="Z119" s="9">
        <v>-214757.75008787611</v>
      </c>
      <c r="AA119" s="9">
        <v>-301658.61663951498</v>
      </c>
      <c r="AB119" s="9">
        <v>-173928.46002748923</v>
      </c>
      <c r="AC119" s="9">
        <v>-218790.76186840178</v>
      </c>
      <c r="AD119" s="9">
        <v>-301036.54990817624</v>
      </c>
      <c r="AE119" s="9">
        <v>-463914.88056747167</v>
      </c>
      <c r="AF119" s="9">
        <v>-363774.8705716221</v>
      </c>
      <c r="AG119" s="9">
        <v>-217933.42012334114</v>
      </c>
      <c r="AH119" s="9">
        <v>-219110.22453245139</v>
      </c>
      <c r="AI119" s="9">
        <v>-227803.07315633935</v>
      </c>
      <c r="AJ119" s="9">
        <v>-207242.09756022811</v>
      </c>
      <c r="AK119" s="9">
        <v>-503122.50544090004</v>
      </c>
      <c r="AL119" s="9">
        <v>-212379.01793321839</v>
      </c>
      <c r="AM119" s="9">
        <v>-219275.36302451923</v>
      </c>
      <c r="AN119" s="9">
        <v>-147731.11930402773</v>
      </c>
      <c r="AO119" s="9">
        <v>-291027.90223936323</v>
      </c>
      <c r="AP119" s="9">
        <v>-218394.616999316</v>
      </c>
      <c r="AQ119" s="9">
        <v>-348951.73857575096</v>
      </c>
    </row>
    <row r="120" spans="1:43" x14ac:dyDescent="0.25">
      <c r="A120" s="6" t="s">
        <v>46</v>
      </c>
      <c r="B120" s="9">
        <v>-8005.0919963295801</v>
      </c>
      <c r="C120" s="9">
        <v>-8988.2535418472526</v>
      </c>
      <c r="D120" s="9">
        <v>-13173.379281151108</v>
      </c>
      <c r="E120" s="9">
        <v>-9981.9847649778385</v>
      </c>
      <c r="F120" s="9">
        <v>-11661.724246358232</v>
      </c>
      <c r="G120" s="9">
        <v>-10418.797156445762</v>
      </c>
      <c r="H120" s="9">
        <v>-14092.818543331497</v>
      </c>
      <c r="I120" s="9">
        <v>-8051.4514660903205</v>
      </c>
      <c r="J120" s="9">
        <v>-9924.9311445087787</v>
      </c>
      <c r="K120" s="9">
        <v>-11053.188205962158</v>
      </c>
      <c r="L120" s="9">
        <v>-10380.503500409701</v>
      </c>
      <c r="M120" s="9">
        <v>-15732.519197754658</v>
      </c>
      <c r="N120" s="9">
        <v>-13095.122617192117</v>
      </c>
      <c r="O120" s="9">
        <v>-16945.710721810741</v>
      </c>
      <c r="P120" s="9">
        <v>-23912.508765818882</v>
      </c>
      <c r="Q120" s="9">
        <v>-15103.97800648776</v>
      </c>
      <c r="R120" s="9">
        <v>-21083.732007079601</v>
      </c>
      <c r="S120" s="9">
        <v>-17694.6962062768</v>
      </c>
      <c r="T120" s="9">
        <v>-11783.859385552299</v>
      </c>
      <c r="U120" s="9">
        <v>-12955.81083035922</v>
      </c>
      <c r="V120" s="9">
        <v>-13943.144761919093</v>
      </c>
      <c r="W120" s="9">
        <v>-10119.966098708401</v>
      </c>
      <c r="X120" s="9">
        <v>-15831.531641026297</v>
      </c>
      <c r="Y120" s="9">
        <v>-8187.5952085401041</v>
      </c>
      <c r="Z120" s="9">
        <v>-7975.1583782460821</v>
      </c>
      <c r="AA120" s="9">
        <v>-9929.6240287514884</v>
      </c>
      <c r="AB120" s="9">
        <v>-6898.1004562724102</v>
      </c>
      <c r="AC120" s="9">
        <v>-7690.501162575958</v>
      </c>
      <c r="AD120" s="9">
        <v>-10343.855409949258</v>
      </c>
      <c r="AE120" s="9">
        <v>-12822.39085837554</v>
      </c>
      <c r="AF120" s="9">
        <v>-12329.150370952739</v>
      </c>
      <c r="AG120" s="9">
        <v>-9249.1365643747195</v>
      </c>
      <c r="AH120" s="9">
        <v>-8925.4932637644361</v>
      </c>
      <c r="AI120" s="9">
        <v>-9744.3303671209578</v>
      </c>
      <c r="AJ120" s="9">
        <v>-9914.6963994592516</v>
      </c>
      <c r="AK120" s="9">
        <v>-20730.300065381234</v>
      </c>
      <c r="AL120" s="9">
        <v>-9399.2840128801308</v>
      </c>
      <c r="AM120" s="9">
        <v>-10404.035443021672</v>
      </c>
      <c r="AN120" s="9">
        <v>-8791.2113370039806</v>
      </c>
      <c r="AO120" s="9">
        <v>-12896.395775706231</v>
      </c>
      <c r="AP120" s="9">
        <v>-10800.545182357449</v>
      </c>
      <c r="AQ120" s="9">
        <v>-13278.176090714991</v>
      </c>
    </row>
    <row r="121" spans="1:43" x14ac:dyDescent="0.25">
      <c r="A121" s="7" t="s">
        <v>84</v>
      </c>
      <c r="B121" s="9">
        <v>-4638.3929685015801</v>
      </c>
      <c r="C121" s="9">
        <v>-4720.1815944036307</v>
      </c>
      <c r="D121" s="9">
        <v>-6171.5371645386904</v>
      </c>
      <c r="E121" s="9">
        <v>-5344.9117488269003</v>
      </c>
      <c r="F121" s="9">
        <v>-7494.4431702256397</v>
      </c>
      <c r="G121" s="9">
        <v>-5177.0759762762418</v>
      </c>
      <c r="H121" s="9">
        <v>-6076.9300121691003</v>
      </c>
      <c r="I121" s="9">
        <v>-5207.2323998608808</v>
      </c>
      <c r="J121" s="9">
        <v>-4749.3777616542202</v>
      </c>
      <c r="K121" s="9">
        <v>-6360.3416099086398</v>
      </c>
      <c r="L121" s="9">
        <v>-6466.5892860849008</v>
      </c>
      <c r="M121" s="9">
        <v>-4970.1608528884135</v>
      </c>
      <c r="N121" s="9">
        <v>-4351.5474203642807</v>
      </c>
      <c r="O121" s="9">
        <v>-4244.6287515592403</v>
      </c>
      <c r="P121" s="9">
        <v>-4218.8480843769603</v>
      </c>
      <c r="Q121" s="9">
        <v>-4499.4881735856006</v>
      </c>
      <c r="R121" s="9">
        <v>-6202.858476572741</v>
      </c>
      <c r="S121" s="9">
        <v>-4345.7168808551205</v>
      </c>
      <c r="T121" s="9">
        <v>-5543.8345590649506</v>
      </c>
      <c r="U121" s="9">
        <v>-3714.9200916274799</v>
      </c>
      <c r="V121" s="9">
        <v>-3814.8609096305504</v>
      </c>
      <c r="W121" s="9">
        <v>-3832.5161294296799</v>
      </c>
      <c r="X121" s="9">
        <v>-4798.7767612562702</v>
      </c>
      <c r="Y121" s="9">
        <v>-4891.1904134593433</v>
      </c>
      <c r="Z121" s="9">
        <v>-3415.2519016383717</v>
      </c>
      <c r="AA121" s="9">
        <v>-3652.3487627265094</v>
      </c>
      <c r="AB121" s="9">
        <v>-3314.8295662965902</v>
      </c>
      <c r="AC121" s="9">
        <v>-3259.7538985284104</v>
      </c>
      <c r="AD121" s="9">
        <v>-4297.4735176822996</v>
      </c>
      <c r="AE121" s="9">
        <v>-3302.3055660461105</v>
      </c>
      <c r="AF121" s="9">
        <v>-4435.845264741929</v>
      </c>
      <c r="AG121" s="9">
        <v>-4259.3843594057598</v>
      </c>
      <c r="AH121" s="9">
        <v>-3706.0282323935803</v>
      </c>
      <c r="AI121" s="9">
        <v>-4221.2475728633408</v>
      </c>
      <c r="AJ121" s="9">
        <v>-4808.8122028143307</v>
      </c>
      <c r="AK121" s="9">
        <v>-8202.5012685419861</v>
      </c>
      <c r="AL121" s="9">
        <v>-4059.5171656823209</v>
      </c>
      <c r="AM121" s="9">
        <v>-4882.1414808082718</v>
      </c>
      <c r="AN121" s="9">
        <v>-4987.578463415879</v>
      </c>
      <c r="AO121" s="9">
        <v>-5378.1990646045597</v>
      </c>
      <c r="AP121" s="9">
        <v>-5150.672958868061</v>
      </c>
      <c r="AQ121" s="9">
        <v>-4216.2358742594151</v>
      </c>
    </row>
    <row r="122" spans="1:43" x14ac:dyDescent="0.25">
      <c r="A122" s="7" t="s">
        <v>48</v>
      </c>
      <c r="B122" s="9">
        <v>-3366.699027828</v>
      </c>
      <c r="C122" s="9">
        <v>-4268.0719474436219</v>
      </c>
      <c r="D122" s="9">
        <v>-7001.8421166124181</v>
      </c>
      <c r="E122" s="9">
        <v>-4637.0730161509373</v>
      </c>
      <c r="F122" s="9">
        <v>-4167.2810761325918</v>
      </c>
      <c r="G122" s="9">
        <v>-5241.7211801695194</v>
      </c>
      <c r="H122" s="9">
        <v>-8015.8885311623981</v>
      </c>
      <c r="I122" s="9">
        <v>-2844.2190662294402</v>
      </c>
      <c r="J122" s="9">
        <v>-5175.5533828545585</v>
      </c>
      <c r="K122" s="9">
        <v>-4692.8465960535186</v>
      </c>
      <c r="L122" s="9">
        <v>-3913.9142143248005</v>
      </c>
      <c r="M122" s="9">
        <v>-10762.358344866245</v>
      </c>
      <c r="N122" s="9">
        <v>-8743.5751968278364</v>
      </c>
      <c r="O122" s="9">
        <v>-12701.0819702515</v>
      </c>
      <c r="P122" s="9">
        <v>-19693.660681441921</v>
      </c>
      <c r="Q122" s="9">
        <v>-10604.489832902158</v>
      </c>
      <c r="R122" s="9">
        <v>-14880.87353050686</v>
      </c>
      <c r="S122" s="9">
        <v>-13348.97932542168</v>
      </c>
      <c r="T122" s="9">
        <v>-6240.0248264873489</v>
      </c>
      <c r="U122" s="9">
        <v>-9240.8907387317395</v>
      </c>
      <c r="V122" s="9">
        <v>-10128.283852288543</v>
      </c>
      <c r="W122" s="9">
        <v>-6287.4499692787203</v>
      </c>
      <c r="X122" s="9">
        <v>-11032.754879770026</v>
      </c>
      <c r="Y122" s="9">
        <v>-3296.4047950807612</v>
      </c>
      <c r="Z122" s="9">
        <v>-4559.9064766077108</v>
      </c>
      <c r="AA122" s="9">
        <v>-6277.275266024978</v>
      </c>
      <c r="AB122" s="9">
        <v>-3583.2708899758195</v>
      </c>
      <c r="AC122" s="9">
        <v>-4430.747264047548</v>
      </c>
      <c r="AD122" s="9">
        <v>-6046.3818922669579</v>
      </c>
      <c r="AE122" s="9">
        <v>-9520.0852923294296</v>
      </c>
      <c r="AF122" s="9">
        <v>-7893.3051062108098</v>
      </c>
      <c r="AG122" s="9">
        <v>-4989.7522049689605</v>
      </c>
      <c r="AH122" s="9">
        <v>-5219.4650313708553</v>
      </c>
      <c r="AI122" s="9">
        <v>-5523.082794257617</v>
      </c>
      <c r="AJ122" s="9">
        <v>-5105.8841966449208</v>
      </c>
      <c r="AK122" s="9">
        <v>-12527.79879683925</v>
      </c>
      <c r="AL122" s="9">
        <v>-5339.7668471978095</v>
      </c>
      <c r="AM122" s="9">
        <v>-5521.8939622134012</v>
      </c>
      <c r="AN122" s="9">
        <v>-3803.6328735881011</v>
      </c>
      <c r="AO122" s="9">
        <v>-7518.196711101672</v>
      </c>
      <c r="AP122" s="9">
        <v>-5649.8722234893885</v>
      </c>
      <c r="AQ122" s="9">
        <v>-9061.9402164555759</v>
      </c>
    </row>
    <row r="123" spans="1:43" x14ac:dyDescent="0.25">
      <c r="A123" s="6" t="s">
        <v>48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</row>
    <row r="124" spans="1:43" x14ac:dyDescent="0.25">
      <c r="A124" s="7" t="s">
        <v>84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</row>
    <row r="125" spans="1:43" x14ac:dyDescent="0.25">
      <c r="A125" s="7" t="s">
        <v>48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</row>
    <row r="126" spans="1:43" x14ac:dyDescent="0.25">
      <c r="A126" s="5" t="s">
        <v>81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>
        <v>689701.02354869526</v>
      </c>
      <c r="AC126" s="9">
        <v>-6514.2345090487206</v>
      </c>
      <c r="AD126" s="9"/>
      <c r="AE126" s="9"/>
      <c r="AF126" s="9"/>
      <c r="AG126" s="9"/>
      <c r="AH126" s="9"/>
      <c r="AI126" s="9">
        <v>765043.98</v>
      </c>
      <c r="AJ126" s="9"/>
      <c r="AK126" s="9"/>
      <c r="AL126" s="9"/>
      <c r="AM126" s="9"/>
      <c r="AN126" s="9"/>
      <c r="AO126" s="9"/>
      <c r="AP126" s="9"/>
      <c r="AQ126" s="9"/>
    </row>
    <row r="127" spans="1:43" x14ac:dyDescent="0.25">
      <c r="A127" s="6" t="s">
        <v>49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>
        <v>10152.092159833406</v>
      </c>
      <c r="AC127" s="9">
        <v>-95.365598701234489</v>
      </c>
      <c r="AD127" s="9"/>
      <c r="AE127" s="9"/>
      <c r="AF127" s="9"/>
      <c r="AG127" s="9"/>
      <c r="AH127" s="9"/>
      <c r="AI127" s="9">
        <v>10732.780574188562</v>
      </c>
      <c r="AJ127" s="9"/>
      <c r="AK127" s="9"/>
      <c r="AL127" s="9"/>
      <c r="AM127" s="9"/>
      <c r="AN127" s="9"/>
      <c r="AO127" s="9"/>
      <c r="AP127" s="9"/>
      <c r="AQ127" s="9"/>
    </row>
    <row r="128" spans="1:43" x14ac:dyDescent="0.25">
      <c r="A128" s="7" t="s">
        <v>82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>
        <v>10152.092159833406</v>
      </c>
      <c r="AC128" s="9">
        <v>-95.365598701234489</v>
      </c>
      <c r="AD128" s="9"/>
      <c r="AE128" s="9"/>
      <c r="AF128" s="9"/>
      <c r="AG128" s="9"/>
      <c r="AH128" s="9"/>
      <c r="AI128" s="9">
        <v>10732.780574188562</v>
      </c>
      <c r="AJ128" s="9"/>
      <c r="AK128" s="9"/>
      <c r="AL128" s="9"/>
      <c r="AM128" s="9"/>
      <c r="AN128" s="9"/>
      <c r="AO128" s="9"/>
      <c r="AP128" s="9"/>
      <c r="AQ128" s="9"/>
    </row>
    <row r="129" spans="1:43" x14ac:dyDescent="0.25">
      <c r="A129" s="6" t="s">
        <v>47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>
        <v>665831.48358090792</v>
      </c>
      <c r="AC129" s="9">
        <v>-6291.4601047474544</v>
      </c>
      <c r="AD129" s="9"/>
      <c r="AE129" s="9"/>
      <c r="AF129" s="9"/>
      <c r="AG129" s="9"/>
      <c r="AH129" s="9"/>
      <c r="AI129" s="9">
        <v>736455.83644650341</v>
      </c>
      <c r="AJ129" s="9"/>
      <c r="AK129" s="9"/>
      <c r="AL129" s="9"/>
      <c r="AM129" s="9"/>
      <c r="AN129" s="9"/>
      <c r="AO129" s="9"/>
      <c r="AP129" s="9"/>
      <c r="AQ129" s="9"/>
    </row>
    <row r="130" spans="1:43" x14ac:dyDescent="0.25">
      <c r="A130" s="7" t="s">
        <v>82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>
        <v>665831.48358090792</v>
      </c>
      <c r="AC130" s="9">
        <v>-6291.4601047474544</v>
      </c>
      <c r="AD130" s="9"/>
      <c r="AE130" s="9"/>
      <c r="AF130" s="9"/>
      <c r="AG130" s="9"/>
      <c r="AH130" s="9"/>
      <c r="AI130" s="9">
        <v>736455.83644650341</v>
      </c>
      <c r="AJ130" s="9"/>
      <c r="AK130" s="9"/>
      <c r="AL130" s="9"/>
      <c r="AM130" s="9"/>
      <c r="AN130" s="9"/>
      <c r="AO130" s="9"/>
      <c r="AP130" s="9"/>
      <c r="AQ130" s="9"/>
    </row>
    <row r="131" spans="1:43" x14ac:dyDescent="0.25">
      <c r="A131" s="6" t="s">
        <v>46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>
        <v>13717.447807953904</v>
      </c>
      <c r="AC131" s="9">
        <v>-127.40880560003193</v>
      </c>
      <c r="AD131" s="9"/>
      <c r="AE131" s="9"/>
      <c r="AF131" s="9"/>
      <c r="AG131" s="9"/>
      <c r="AH131" s="9"/>
      <c r="AI131" s="9">
        <v>17855.362979307964</v>
      </c>
      <c r="AJ131" s="9"/>
      <c r="AK131" s="9"/>
      <c r="AL131" s="9"/>
      <c r="AM131" s="9"/>
      <c r="AN131" s="9"/>
      <c r="AO131" s="9"/>
      <c r="AP131" s="9"/>
      <c r="AQ131" s="9"/>
    </row>
    <row r="132" spans="1:43" x14ac:dyDescent="0.25">
      <c r="A132" s="7" t="s">
        <v>82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>
        <v>13717.447807953904</v>
      </c>
      <c r="AC132" s="9">
        <v>-127.40880560003193</v>
      </c>
      <c r="AD132" s="9"/>
      <c r="AE132" s="9"/>
      <c r="AF132" s="9"/>
      <c r="AG132" s="9"/>
      <c r="AH132" s="9"/>
      <c r="AI132" s="9">
        <v>17855.362979307964</v>
      </c>
      <c r="AJ132" s="9"/>
      <c r="AK132" s="9"/>
      <c r="AL132" s="9"/>
      <c r="AM132" s="9"/>
      <c r="AN132" s="9"/>
      <c r="AO132" s="9"/>
      <c r="AP132" s="9"/>
      <c r="AQ132" s="9"/>
    </row>
    <row r="133" spans="1:43" x14ac:dyDescent="0.25">
      <c r="A133" s="6" t="s">
        <v>48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>
        <v>0</v>
      </c>
      <c r="AC133" s="9">
        <v>0</v>
      </c>
      <c r="AD133" s="9"/>
      <c r="AE133" s="9"/>
      <c r="AF133" s="9"/>
      <c r="AG133" s="9"/>
      <c r="AH133" s="9"/>
      <c r="AI133" s="9">
        <v>0</v>
      </c>
      <c r="AJ133" s="9"/>
      <c r="AK133" s="9"/>
      <c r="AL133" s="9"/>
      <c r="AM133" s="9"/>
      <c r="AN133" s="9"/>
      <c r="AO133" s="9"/>
      <c r="AP133" s="9"/>
      <c r="AQ133" s="9"/>
    </row>
    <row r="134" spans="1:43" x14ac:dyDescent="0.25">
      <c r="A134" s="7" t="s">
        <v>82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>
        <v>0</v>
      </c>
      <c r="AC134" s="9">
        <v>0</v>
      </c>
      <c r="AD134" s="9"/>
      <c r="AE134" s="9"/>
      <c r="AF134" s="9"/>
      <c r="AG134" s="9"/>
      <c r="AH134" s="9"/>
      <c r="AI134" s="9">
        <v>0</v>
      </c>
      <c r="AJ134" s="9"/>
      <c r="AK134" s="9"/>
      <c r="AL134" s="9"/>
      <c r="AM134" s="9"/>
      <c r="AN134" s="9"/>
      <c r="AO134" s="9"/>
      <c r="AP134" s="9"/>
      <c r="AQ134" s="9"/>
    </row>
    <row r="135" spans="1:43" x14ac:dyDescent="0.2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</row>
    <row r="136" spans="1:43" x14ac:dyDescent="0.2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 spans="1:43" x14ac:dyDescent="0.2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</row>
    <row r="138" spans="1:43" x14ac:dyDescent="0.2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A698-7F79-4975-999D-B4F00AA0E175}">
  <sheetPr codeName="Hoja11"/>
  <dimension ref="A2:N131"/>
  <sheetViews>
    <sheetView workbookViewId="0">
      <selection activeCell="G19" sqref="G19"/>
    </sheetView>
  </sheetViews>
  <sheetFormatPr baseColWidth="10" defaultRowHeight="15" x14ac:dyDescent="0.25"/>
  <cols>
    <col min="1" max="1" width="27.85546875" bestFit="1" customWidth="1"/>
    <col min="2" max="2" width="22.85546875" bestFit="1" customWidth="1"/>
    <col min="3" max="14" width="12.7109375" bestFit="1" customWidth="1"/>
  </cols>
  <sheetData>
    <row r="2" spans="1:14" x14ac:dyDescent="0.25">
      <c r="A2" s="4" t="s">
        <v>43</v>
      </c>
      <c r="B2" t="s" vm="3">
        <v>4</v>
      </c>
    </row>
    <row r="3" spans="1:14" x14ac:dyDescent="0.25">
      <c r="A3" s="4" t="s">
        <v>53</v>
      </c>
      <c r="B3" t="s" vm="4">
        <v>54</v>
      </c>
    </row>
    <row r="5" spans="1:14" x14ac:dyDescent="0.25">
      <c r="A5" s="4" t="s">
        <v>42</v>
      </c>
      <c r="B5" s="4" t="s">
        <v>5</v>
      </c>
    </row>
    <row r="6" spans="1:14" x14ac:dyDescent="0.25">
      <c r="A6" s="4" t="s">
        <v>44</v>
      </c>
      <c r="B6" t="s">
        <v>76</v>
      </c>
      <c r="C6" t="s">
        <v>113</v>
      </c>
      <c r="D6" t="s">
        <v>114</v>
      </c>
      <c r="E6" t="s">
        <v>115</v>
      </c>
      <c r="F6" t="s">
        <v>116</v>
      </c>
      <c r="G6" t="s">
        <v>117</v>
      </c>
      <c r="H6" t="s">
        <v>118</v>
      </c>
      <c r="I6" t="s">
        <v>119</v>
      </c>
      <c r="J6" t="s">
        <v>120</v>
      </c>
      <c r="K6" t="s">
        <v>121</v>
      </c>
      <c r="L6" t="s">
        <v>122</v>
      </c>
      <c r="M6" t="s">
        <v>123</v>
      </c>
      <c r="N6" t="s">
        <v>124</v>
      </c>
    </row>
    <row r="7" spans="1:14" x14ac:dyDescent="0.25">
      <c r="A7" s="5" t="s">
        <v>51</v>
      </c>
    </row>
    <row r="8" spans="1:14" x14ac:dyDescent="0.25">
      <c r="A8" s="6" t="s">
        <v>49</v>
      </c>
    </row>
    <row r="9" spans="1:14" x14ac:dyDescent="0.25">
      <c r="A9" s="7" t="s">
        <v>0</v>
      </c>
      <c r="B9">
        <v>87158.051497206368</v>
      </c>
      <c r="C9">
        <v>88807.920600257858</v>
      </c>
      <c r="D9">
        <v>90913.976544652964</v>
      </c>
      <c r="E9">
        <v>92529.421192774622</v>
      </c>
      <c r="F9">
        <v>95059.645185662361</v>
      </c>
      <c r="G9">
        <v>97729.104937161101</v>
      </c>
      <c r="H9">
        <v>100423.09238732366</v>
      </c>
      <c r="I9">
        <v>103126.29521002123</v>
      </c>
      <c r="J9">
        <v>108503.48300945798</v>
      </c>
      <c r="K9">
        <v>113428.13370578703</v>
      </c>
      <c r="L9">
        <v>118381.04422963518</v>
      </c>
      <c r="M9">
        <v>122731.45292079706</v>
      </c>
      <c r="N9">
        <v>1218791.6214207374</v>
      </c>
    </row>
    <row r="10" spans="1:14" x14ac:dyDescent="0.25">
      <c r="A10" s="7" t="s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 s="7" t="s">
        <v>45</v>
      </c>
      <c r="B11">
        <v>221.64219010257784</v>
      </c>
      <c r="C11">
        <v>217.06919974466527</v>
      </c>
      <c r="D11">
        <v>213.54690024862052</v>
      </c>
      <c r="E11">
        <v>208.38282373651046</v>
      </c>
      <c r="F11">
        <v>206.87891616881004</v>
      </c>
      <c r="G11">
        <v>205.4378879027594</v>
      </c>
      <c r="H11">
        <v>203.1630624249826</v>
      </c>
      <c r="I11">
        <v>204.26734585135716</v>
      </c>
      <c r="J11">
        <v>202.51222502238409</v>
      </c>
      <c r="K11">
        <v>201.98784379423708</v>
      </c>
      <c r="L11">
        <v>202.0016626943696</v>
      </c>
      <c r="M11">
        <v>202.33174558250272</v>
      </c>
      <c r="N11">
        <v>2489.2218032737769</v>
      </c>
    </row>
    <row r="12" spans="1:14" x14ac:dyDescent="0.25">
      <c r="A12" s="6" t="s">
        <v>46</v>
      </c>
    </row>
    <row r="13" spans="1:14" x14ac:dyDescent="0.25">
      <c r="A13" s="7" t="s">
        <v>0</v>
      </c>
      <c r="B13">
        <v>128052.89006770695</v>
      </c>
      <c r="C13">
        <v>127224.54422747812</v>
      </c>
      <c r="D13">
        <v>126555.5455775775</v>
      </c>
      <c r="E13">
        <v>125892.17864366244</v>
      </c>
      <c r="F13">
        <v>124285.2835504502</v>
      </c>
      <c r="G13">
        <v>122810.59370734268</v>
      </c>
      <c r="H13">
        <v>121350.11083433057</v>
      </c>
      <c r="I13">
        <v>119813.15897860055</v>
      </c>
      <c r="J13">
        <v>116039.51678760689</v>
      </c>
      <c r="K13">
        <v>112307.50050769534</v>
      </c>
      <c r="L13">
        <v>108528.58069409172</v>
      </c>
      <c r="M13">
        <v>105108.17814696013</v>
      </c>
      <c r="N13">
        <v>1437968.0817235031</v>
      </c>
    </row>
    <row r="14" spans="1:14" x14ac:dyDescent="0.25">
      <c r="A14" s="7" t="s">
        <v>1</v>
      </c>
      <c r="B14">
        <v>1725.5623300231296</v>
      </c>
      <c r="C14">
        <v>1732.8486020666262</v>
      </c>
      <c r="D14">
        <v>1741.8324985780982</v>
      </c>
      <c r="E14">
        <v>1781.6319508613424</v>
      </c>
      <c r="F14">
        <v>1801.3914836200568</v>
      </c>
      <c r="G14">
        <v>1828.7536760605876</v>
      </c>
      <c r="H14">
        <v>1839.7767424427436</v>
      </c>
      <c r="I14">
        <v>1853.8119790894068</v>
      </c>
      <c r="J14">
        <v>1862.9569049329766</v>
      </c>
      <c r="K14">
        <v>1875.8805434913759</v>
      </c>
      <c r="L14">
        <v>1884.6126030591095</v>
      </c>
      <c r="M14">
        <v>1891.985487626047</v>
      </c>
      <c r="N14">
        <v>21821.044801851498</v>
      </c>
    </row>
    <row r="15" spans="1:14" x14ac:dyDescent="0.25">
      <c r="A15" s="7" t="s">
        <v>45</v>
      </c>
      <c r="B15">
        <v>3202.9647086728687</v>
      </c>
      <c r="C15">
        <v>3139.3505279810506</v>
      </c>
      <c r="D15">
        <v>3087.1994389775687</v>
      </c>
      <c r="E15">
        <v>3013.1395579392852</v>
      </c>
      <c r="F15">
        <v>2991.103517949964</v>
      </c>
      <c r="G15">
        <v>2970.418782303288</v>
      </c>
      <c r="H15">
        <v>2937.4593583498645</v>
      </c>
      <c r="I15">
        <v>2953.4666257344138</v>
      </c>
      <c r="J15">
        <v>2928.0768401140735</v>
      </c>
      <c r="K15">
        <v>2920.50924640525</v>
      </c>
      <c r="L15">
        <v>2920.7104625531388</v>
      </c>
      <c r="M15">
        <v>2925.4913897083461</v>
      </c>
      <c r="N15">
        <v>35989.890456689114</v>
      </c>
    </row>
    <row r="16" spans="1:14" x14ac:dyDescent="0.25">
      <c r="A16" s="6" t="s">
        <v>47</v>
      </c>
    </row>
    <row r="17" spans="1:14" x14ac:dyDescent="0.25">
      <c r="A17" s="7" t="s">
        <v>0</v>
      </c>
      <c r="B17">
        <v>5583298.8490754347</v>
      </c>
      <c r="C17">
        <v>5602900.2811105493</v>
      </c>
      <c r="D17">
        <v>5638501.6049163071</v>
      </c>
      <c r="E17">
        <v>5661609.2818224328</v>
      </c>
      <c r="F17">
        <v>5683477.3831308885</v>
      </c>
      <c r="G17">
        <v>5712402.7176921694</v>
      </c>
      <c r="H17">
        <v>5742075.0072266869</v>
      </c>
      <c r="I17">
        <v>5769297.0887398627</v>
      </c>
      <c r="J17">
        <v>5808129.4668721873</v>
      </c>
      <c r="K17">
        <v>5836005.875671939</v>
      </c>
      <c r="L17">
        <v>5863264.3059436306</v>
      </c>
      <c r="M17">
        <v>5883750.5739297559</v>
      </c>
      <c r="N17">
        <v>68784712.43613185</v>
      </c>
    </row>
    <row r="18" spans="1:14" x14ac:dyDescent="0.25">
      <c r="A18" s="7" t="s">
        <v>1</v>
      </c>
      <c r="B18">
        <v>27689.594678846654</v>
      </c>
      <c r="C18">
        <v>27800.594495752477</v>
      </c>
      <c r="D18">
        <v>27947.668688609432</v>
      </c>
      <c r="E18">
        <v>28584.706519969812</v>
      </c>
      <c r="F18">
        <v>28902.469334193425</v>
      </c>
      <c r="G18">
        <v>29341.062264911572</v>
      </c>
      <c r="H18">
        <v>29518.080540722309</v>
      </c>
      <c r="I18">
        <v>29743.131165770719</v>
      </c>
      <c r="J18">
        <v>29889.85764595123</v>
      </c>
      <c r="K18">
        <v>30097.133167506556</v>
      </c>
      <c r="L18">
        <v>30237.187886926662</v>
      </c>
      <c r="M18">
        <v>30355.413809248661</v>
      </c>
      <c r="N18">
        <v>350106.90019840951</v>
      </c>
    </row>
    <row r="19" spans="1:14" x14ac:dyDescent="0.25">
      <c r="A19" s="7" t="s">
        <v>45</v>
      </c>
      <c r="B19">
        <v>114832.03818792684</v>
      </c>
      <c r="C19">
        <v>112462.20056223762</v>
      </c>
      <c r="D19">
        <v>110637.66259457897</v>
      </c>
      <c r="E19">
        <v>107962.06708034301</v>
      </c>
      <c r="F19">
        <v>107183.00756691652</v>
      </c>
      <c r="G19">
        <v>106436.41251151994</v>
      </c>
      <c r="H19">
        <v>105257.8860798254</v>
      </c>
      <c r="I19">
        <v>105830.03171967657</v>
      </c>
      <c r="J19">
        <v>104920.73634495122</v>
      </c>
      <c r="K19">
        <v>104649.07064495095</v>
      </c>
      <c r="L19">
        <v>104656.24409447472</v>
      </c>
      <c r="M19">
        <v>104827.26769365546</v>
      </c>
      <c r="N19">
        <v>1289654.6250810572</v>
      </c>
    </row>
    <row r="20" spans="1:14" x14ac:dyDescent="0.25">
      <c r="A20" s="5" t="s">
        <v>52</v>
      </c>
    </row>
    <row r="21" spans="1:14" x14ac:dyDescent="0.25">
      <c r="A21" s="6" t="s">
        <v>49</v>
      </c>
    </row>
    <row r="22" spans="1:14" x14ac:dyDescent="0.25">
      <c r="A22" s="7" t="s">
        <v>0</v>
      </c>
      <c r="B22">
        <v>86504.366110977309</v>
      </c>
      <c r="C22">
        <v>88141.861195755933</v>
      </c>
      <c r="D22">
        <v>90213.938925259135</v>
      </c>
      <c r="E22">
        <v>91835.450533828815</v>
      </c>
      <c r="F22">
        <v>94346.697846769894</v>
      </c>
      <c r="G22">
        <v>96976.590829144945</v>
      </c>
      <c r="H22">
        <v>99649.834575941277</v>
      </c>
      <c r="I22">
        <v>102352.84799594608</v>
      </c>
      <c r="J22">
        <v>107668.00619028513</v>
      </c>
      <c r="K22">
        <v>112577.42270299363</v>
      </c>
      <c r="L22">
        <v>117493.18639791291</v>
      </c>
      <c r="M22">
        <v>121810.96702389108</v>
      </c>
      <c r="N22">
        <v>1209571.1703287063</v>
      </c>
    </row>
    <row r="23" spans="1:14" x14ac:dyDescent="0.25">
      <c r="A23" s="7" t="s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s="7" t="s">
        <v>45</v>
      </c>
      <c r="B24">
        <v>219.9798736768085</v>
      </c>
      <c r="C24">
        <v>215.4411807465803</v>
      </c>
      <c r="D24">
        <v>211.90258911670614</v>
      </c>
      <c r="E24">
        <v>206.81995255848665</v>
      </c>
      <c r="F24">
        <v>205.32732429754398</v>
      </c>
      <c r="G24">
        <v>203.8560161659081</v>
      </c>
      <c r="H24">
        <v>201.59870684431024</v>
      </c>
      <c r="I24">
        <v>202.73534075747202</v>
      </c>
      <c r="J24">
        <v>200.95288088971171</v>
      </c>
      <c r="K24">
        <v>200.47293496578033</v>
      </c>
      <c r="L24">
        <v>200.48665022416182</v>
      </c>
      <c r="M24">
        <v>200.81425749063393</v>
      </c>
      <c r="N24">
        <v>2470.3877077341035</v>
      </c>
    </row>
    <row r="25" spans="1:14" x14ac:dyDescent="0.25">
      <c r="A25" s="6" t="s">
        <v>46</v>
      </c>
    </row>
    <row r="26" spans="1:14" x14ac:dyDescent="0.25">
      <c r="A26" s="7" t="s">
        <v>0</v>
      </c>
      <c r="B26">
        <v>127092.49339219916</v>
      </c>
      <c r="C26">
        <v>126270.36014577202</v>
      </c>
      <c r="D26">
        <v>125581.06787663016</v>
      </c>
      <c r="E26">
        <v>124947.98730383498</v>
      </c>
      <c r="F26">
        <v>123353.14392382183</v>
      </c>
      <c r="G26">
        <v>121864.95213579613</v>
      </c>
      <c r="H26">
        <v>120415.71498090622</v>
      </c>
      <c r="I26">
        <v>118914.56028626107</v>
      </c>
      <c r="J26">
        <v>115146.0125083423</v>
      </c>
      <c r="K26">
        <v>111465.19425388763</v>
      </c>
      <c r="L26">
        <v>107714.61633888603</v>
      </c>
      <c r="M26">
        <v>104319.86681085793</v>
      </c>
      <c r="N26">
        <v>1427085.9699571957</v>
      </c>
    </row>
    <row r="27" spans="1:14" x14ac:dyDescent="0.25">
      <c r="A27" s="7" t="s">
        <v>1</v>
      </c>
      <c r="B27">
        <v>1712.6206125479562</v>
      </c>
      <c r="C27">
        <v>1719.8522375511266</v>
      </c>
      <c r="D27">
        <v>1728.4203883390469</v>
      </c>
      <c r="E27">
        <v>1768.2697112298824</v>
      </c>
      <c r="F27">
        <v>1787.8810474929064</v>
      </c>
      <c r="G27">
        <v>1814.6722727549211</v>
      </c>
      <c r="H27">
        <v>1825.6104615259346</v>
      </c>
      <c r="I27">
        <v>1839.9083892462363</v>
      </c>
      <c r="J27">
        <v>1848.6121367649926</v>
      </c>
      <c r="K27">
        <v>1861.8114394151908</v>
      </c>
      <c r="L27">
        <v>1870.478008536166</v>
      </c>
      <c r="M27">
        <v>1877.7955964688517</v>
      </c>
      <c r="N27">
        <v>21655.932301873214</v>
      </c>
    </row>
    <row r="28" spans="1:14" x14ac:dyDescent="0.25">
      <c r="A28" s="7" t="s">
        <v>45</v>
      </c>
      <c r="B28">
        <v>3178.9424733578221</v>
      </c>
      <c r="C28">
        <v>3115.8053990211929</v>
      </c>
      <c r="D28">
        <v>3063.4280032974416</v>
      </c>
      <c r="E28">
        <v>2990.5410112547406</v>
      </c>
      <c r="F28">
        <v>2968.6702415653394</v>
      </c>
      <c r="G28">
        <v>2947.5465576795527</v>
      </c>
      <c r="H28">
        <v>2914.8409212905703</v>
      </c>
      <c r="I28">
        <v>2931.3156260414062</v>
      </c>
      <c r="J28">
        <v>2905.5306484451953</v>
      </c>
      <c r="K28">
        <v>2898.6054270572108</v>
      </c>
      <c r="L28">
        <v>2898.8051340839902</v>
      </c>
      <c r="M28">
        <v>2903.5502042855337</v>
      </c>
      <c r="N28">
        <v>35717.581647380001</v>
      </c>
    </row>
    <row r="29" spans="1:14" x14ac:dyDescent="0.25">
      <c r="A29" s="6" t="s">
        <v>47</v>
      </c>
    </row>
    <row r="30" spans="1:14" x14ac:dyDescent="0.25">
      <c r="A30" s="7" t="s">
        <v>0</v>
      </c>
      <c r="B30">
        <v>5541424.1077073682</v>
      </c>
      <c r="C30">
        <v>5560878.5290022204</v>
      </c>
      <c r="D30">
        <v>5595085.1425584517</v>
      </c>
      <c r="E30">
        <v>5619147.2122087646</v>
      </c>
      <c r="F30">
        <v>5640851.3027574066</v>
      </c>
      <c r="G30">
        <v>5668417.2167659393</v>
      </c>
      <c r="H30">
        <v>5697861.0296710422</v>
      </c>
      <c r="I30">
        <v>5726027.3605743144</v>
      </c>
      <c r="J30">
        <v>5763406.8699772712</v>
      </c>
      <c r="K30">
        <v>5792235.8316043997</v>
      </c>
      <c r="L30">
        <v>5819289.8236490535</v>
      </c>
      <c r="M30">
        <v>5839622.4446252827</v>
      </c>
      <c r="N30">
        <v>68264246.871101514</v>
      </c>
    </row>
    <row r="31" spans="1:14" x14ac:dyDescent="0.25">
      <c r="A31" s="7" t="s">
        <v>1</v>
      </c>
      <c r="B31">
        <v>27481.922718755304</v>
      </c>
      <c r="C31">
        <v>27592.090037034333</v>
      </c>
      <c r="D31">
        <v>27732.471639707139</v>
      </c>
      <c r="E31">
        <v>28370.321221070037</v>
      </c>
      <c r="F31">
        <v>28685.700814186977</v>
      </c>
      <c r="G31">
        <v>29115.13608547175</v>
      </c>
      <c r="H31">
        <v>29290.79132055875</v>
      </c>
      <c r="I31">
        <v>29520.057682027444</v>
      </c>
      <c r="J31">
        <v>29659.705742077404</v>
      </c>
      <c r="K31">
        <v>29871.404668750256</v>
      </c>
      <c r="L31">
        <v>30010.40897777471</v>
      </c>
      <c r="M31">
        <v>30127.748205679294</v>
      </c>
      <c r="N31">
        <v>347457.75911309343</v>
      </c>
    </row>
    <row r="32" spans="1:14" x14ac:dyDescent="0.25">
      <c r="A32" s="7" t="s">
        <v>45</v>
      </c>
      <c r="B32">
        <v>113970.79790151739</v>
      </c>
      <c r="C32">
        <v>111618.73405802084</v>
      </c>
      <c r="D32">
        <v>109785.75259260071</v>
      </c>
      <c r="E32">
        <v>107152.35157724044</v>
      </c>
      <c r="F32">
        <v>106379.13501016467</v>
      </c>
      <c r="G32">
        <v>105616.85213518124</v>
      </c>
      <c r="H32">
        <v>104447.40035701076</v>
      </c>
      <c r="I32">
        <v>105036.30648177901</v>
      </c>
      <c r="J32">
        <v>104112.84667509509</v>
      </c>
      <c r="K32">
        <v>103864.20261511383</v>
      </c>
      <c r="L32">
        <v>103871.32226376615</v>
      </c>
      <c r="M32">
        <v>104041.06318595304</v>
      </c>
      <c r="N32">
        <v>1279896.7648534433</v>
      </c>
    </row>
    <row r="33" spans="1:14" x14ac:dyDescent="0.25">
      <c r="A33" s="5" t="s">
        <v>55</v>
      </c>
    </row>
    <row r="34" spans="1:14" x14ac:dyDescent="0.25">
      <c r="A34" s="6" t="s">
        <v>49</v>
      </c>
    </row>
    <row r="35" spans="1:14" x14ac:dyDescent="0.25">
      <c r="A35" s="7" t="s">
        <v>0</v>
      </c>
      <c r="B35">
        <v>752.83031338016804</v>
      </c>
      <c r="C35">
        <v>766.62010667190589</v>
      </c>
      <c r="D35">
        <v>770.34707742500746</v>
      </c>
      <c r="E35">
        <v>780.89167982736899</v>
      </c>
      <c r="F35">
        <v>794.91567992447085</v>
      </c>
      <c r="G35">
        <v>808.90978687727136</v>
      </c>
      <c r="H35">
        <v>824.72061949290958</v>
      </c>
      <c r="I35">
        <v>840.23231107649599</v>
      </c>
      <c r="J35">
        <v>875.30524679726489</v>
      </c>
      <c r="K35">
        <v>897.63349555077673</v>
      </c>
      <c r="L35">
        <v>913.67080617245779</v>
      </c>
      <c r="M35">
        <v>937.51985236260941</v>
      </c>
      <c r="N35">
        <v>9963.5969755587066</v>
      </c>
    </row>
    <row r="36" spans="1:14" x14ac:dyDescent="0.25">
      <c r="A36" s="7" t="s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s="7" t="s">
        <v>45</v>
      </c>
      <c r="B37">
        <v>5.0743645942269762</v>
      </c>
      <c r="C37">
        <v>5.1673130815522557</v>
      </c>
      <c r="D37">
        <v>5.1924342916006987</v>
      </c>
      <c r="E37">
        <v>5.2635089496474761</v>
      </c>
      <c r="F37">
        <v>5.3580360805259497</v>
      </c>
      <c r="G37">
        <v>5.4523617201648218</v>
      </c>
      <c r="H37">
        <v>5.5589327864517459</v>
      </c>
      <c r="I37">
        <v>5.6634875276322747</v>
      </c>
      <c r="J37">
        <v>5.8998925449036692</v>
      </c>
      <c r="K37">
        <v>6.0503934916803672</v>
      </c>
      <c r="L37">
        <v>6.1584911064534626</v>
      </c>
      <c r="M37">
        <v>6.3192428103135558</v>
      </c>
      <c r="N37">
        <v>67.15845898515326</v>
      </c>
    </row>
    <row r="38" spans="1:14" x14ac:dyDescent="0.25">
      <c r="A38" s="6" t="s">
        <v>46</v>
      </c>
    </row>
    <row r="39" spans="1:14" x14ac:dyDescent="0.25">
      <c r="A39" s="7" t="s">
        <v>0</v>
      </c>
      <c r="B39">
        <v>1190.0570243627642</v>
      </c>
      <c r="C39">
        <v>1195.7953013284985</v>
      </c>
      <c r="D39">
        <v>1185.023414681727</v>
      </c>
      <c r="E39">
        <v>1190.2829040900938</v>
      </c>
      <c r="F39">
        <v>1177.5235336495177</v>
      </c>
      <c r="G39">
        <v>1178.0646806937402</v>
      </c>
      <c r="H39">
        <v>1179.6502716087862</v>
      </c>
      <c r="I39">
        <v>1176.9646614091289</v>
      </c>
      <c r="J39">
        <v>1152.7333632458349</v>
      </c>
      <c r="K39">
        <v>1149.8774205819295</v>
      </c>
      <c r="L39">
        <v>1128.4743092470289</v>
      </c>
      <c r="M39">
        <v>1120.2854335966997</v>
      </c>
      <c r="N39">
        <v>14024.732318495751</v>
      </c>
    </row>
    <row r="40" spans="1:14" x14ac:dyDescent="0.25">
      <c r="A40" s="7" t="s">
        <v>1</v>
      </c>
      <c r="B40">
        <v>15.812253638159893</v>
      </c>
      <c r="C40">
        <v>15.888497960045884</v>
      </c>
      <c r="D40">
        <v>15.745372210326902</v>
      </c>
      <c r="E40">
        <v>15.815254895635062</v>
      </c>
      <c r="F40">
        <v>15.64572150560473</v>
      </c>
      <c r="G40">
        <v>15.652911710900453</v>
      </c>
      <c r="H40">
        <v>15.673979412028887</v>
      </c>
      <c r="I40">
        <v>15.638295786134618</v>
      </c>
      <c r="J40">
        <v>15.316335220635628</v>
      </c>
      <c r="K40">
        <v>15.278388392161675</v>
      </c>
      <c r="L40">
        <v>14.994005864144212</v>
      </c>
      <c r="M40">
        <v>14.885200507641489</v>
      </c>
      <c r="N40">
        <v>186.34621710341943</v>
      </c>
    </row>
    <row r="41" spans="1:14" x14ac:dyDescent="0.25">
      <c r="A41" s="7" t="s">
        <v>45</v>
      </c>
      <c r="B41">
        <v>20.558326447416626</v>
      </c>
      <c r="C41">
        <v>20.657455622483191</v>
      </c>
      <c r="D41">
        <v>20.471370453785099</v>
      </c>
      <c r="E41">
        <v>20.562228537045296</v>
      </c>
      <c r="F41">
        <v>20.341809433245341</v>
      </c>
      <c r="G41">
        <v>20.351157789973993</v>
      </c>
      <c r="H41">
        <v>20.378548994745064</v>
      </c>
      <c r="I41">
        <v>20.332154872392291</v>
      </c>
      <c r="J41">
        <v>19.913557336570484</v>
      </c>
      <c r="K41">
        <v>19.864220707822703</v>
      </c>
      <c r="L41">
        <v>19.494480316559603</v>
      </c>
      <c r="M41">
        <v>19.35301686110299</v>
      </c>
      <c r="N41">
        <v>242.27832737314267</v>
      </c>
    </row>
    <row r="42" spans="1:14" x14ac:dyDescent="0.25">
      <c r="A42" s="6" t="s">
        <v>47</v>
      </c>
    </row>
    <row r="43" spans="1:14" x14ac:dyDescent="0.25">
      <c r="A43" s="7" t="s">
        <v>0</v>
      </c>
      <c r="B43">
        <v>50330.806177334496</v>
      </c>
      <c r="C43">
        <v>50766.51100537648</v>
      </c>
      <c r="D43">
        <v>50356.145660675043</v>
      </c>
      <c r="E43">
        <v>50735.779686706737</v>
      </c>
      <c r="F43">
        <v>50691.431723714675</v>
      </c>
      <c r="G43">
        <v>50910.003978629305</v>
      </c>
      <c r="H43">
        <v>51267.460456428824</v>
      </c>
      <c r="I43">
        <v>51489.954860410056</v>
      </c>
      <c r="J43">
        <v>51689.402705274348</v>
      </c>
      <c r="K43">
        <v>52202.102783960567</v>
      </c>
      <c r="L43">
        <v>52064.671224602476</v>
      </c>
      <c r="M43">
        <v>52500.858162737983</v>
      </c>
      <c r="N43">
        <v>615005.12842585112</v>
      </c>
    </row>
    <row r="44" spans="1:14" x14ac:dyDescent="0.25">
      <c r="A44" s="7" t="s">
        <v>1</v>
      </c>
      <c r="B44">
        <v>257.97873594462749</v>
      </c>
      <c r="C44">
        <v>260.21201193045624</v>
      </c>
      <c r="D44">
        <v>258.10861758925387</v>
      </c>
      <c r="E44">
        <v>260.05449355659192</v>
      </c>
      <c r="F44">
        <v>259.82718085680915</v>
      </c>
      <c r="G44">
        <v>260.94750851134285</v>
      </c>
      <c r="H44">
        <v>262.77970984690313</v>
      </c>
      <c r="I44">
        <v>263.92014111461611</v>
      </c>
      <c r="J44">
        <v>264.9424434938723</v>
      </c>
      <c r="K44">
        <v>267.57037116409793</v>
      </c>
      <c r="L44">
        <v>266.86594334632804</v>
      </c>
      <c r="M44">
        <v>269.10169046588106</v>
      </c>
      <c r="N44">
        <v>3152.3088478207806</v>
      </c>
    </row>
    <row r="45" spans="1:14" x14ac:dyDescent="0.25">
      <c r="A45" s="7" t="s">
        <v>45</v>
      </c>
      <c r="B45">
        <v>286.11244038491736</v>
      </c>
      <c r="C45">
        <v>288.58926484108355</v>
      </c>
      <c r="D45">
        <v>286.25648618841814</v>
      </c>
      <c r="E45">
        <v>288.41456840268614</v>
      </c>
      <c r="F45">
        <v>288.16246626323198</v>
      </c>
      <c r="G45">
        <v>289.40497052659947</v>
      </c>
      <c r="H45">
        <v>291.4369813955347</v>
      </c>
      <c r="I45">
        <v>292.70178165863331</v>
      </c>
      <c r="J45">
        <v>293.83557056363469</v>
      </c>
      <c r="K45">
        <v>296.7500851887653</v>
      </c>
      <c r="L45">
        <v>295.96883645026298</v>
      </c>
      <c r="M45">
        <v>298.44840152804579</v>
      </c>
      <c r="N45">
        <v>3496.0818533918136</v>
      </c>
    </row>
    <row r="46" spans="1:14" x14ac:dyDescent="0.25">
      <c r="A46" s="5" t="s">
        <v>50</v>
      </c>
    </row>
    <row r="47" spans="1:14" x14ac:dyDescent="0.25">
      <c r="A47" s="6" t="s">
        <v>49</v>
      </c>
    </row>
    <row r="48" spans="1:14" x14ac:dyDescent="0.25">
      <c r="A48" s="7" t="s">
        <v>0</v>
      </c>
      <c r="B48">
        <v>-428.41801672772476</v>
      </c>
      <c r="C48">
        <v>-390.48934369859938</v>
      </c>
      <c r="D48">
        <v>-438.16771358918339</v>
      </c>
      <c r="E48">
        <v>-427.85270531208653</v>
      </c>
      <c r="F48">
        <v>-450.52538814472263</v>
      </c>
      <c r="G48">
        <v>-444.41984195273511</v>
      </c>
      <c r="H48">
        <v>-468.26654531135705</v>
      </c>
      <c r="I48">
        <v>-477.47565105029457</v>
      </c>
      <c r="J48">
        <v>-482.51902852705769</v>
      </c>
      <c r="K48">
        <v>-518.00112243276999</v>
      </c>
      <c r="L48">
        <v>-520.00692646121195</v>
      </c>
      <c r="M48">
        <v>-554.13903389386383</v>
      </c>
      <c r="N48">
        <v>-5600.2813171016078</v>
      </c>
    </row>
    <row r="49" spans="1:14" x14ac:dyDescent="0.25">
      <c r="A49" s="7" t="s">
        <v>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 s="7" t="s">
        <v>45</v>
      </c>
      <c r="B50">
        <v>-0.88353564447437705</v>
      </c>
      <c r="C50">
        <v>-0.80531453037463097</v>
      </c>
      <c r="D50">
        <v>-0.90364265296508972</v>
      </c>
      <c r="E50">
        <v>-0.88236979064367294</v>
      </c>
      <c r="F50">
        <v>-0.92912814966765256</v>
      </c>
      <c r="G50">
        <v>-0.91653655109108267</v>
      </c>
      <c r="H50">
        <v>-0.96571611777102384</v>
      </c>
      <c r="I50">
        <v>-0.98470825362056702</v>
      </c>
      <c r="J50">
        <v>-0.99510931892425014</v>
      </c>
      <c r="K50">
        <v>-1.0682848005385255</v>
      </c>
      <c r="L50">
        <v>-1.0724214131126064</v>
      </c>
      <c r="M50">
        <v>-1.1428127887324198</v>
      </c>
      <c r="N50">
        <v>-11.549580011915896</v>
      </c>
    </row>
    <row r="51" spans="1:14" x14ac:dyDescent="0.25">
      <c r="A51" s="6" t="s">
        <v>46</v>
      </c>
    </row>
    <row r="52" spans="1:14" x14ac:dyDescent="0.25">
      <c r="A52" s="7" t="s">
        <v>0</v>
      </c>
      <c r="B52">
        <v>-627.86077044952867</v>
      </c>
      <c r="C52">
        <v>-557.96190508752295</v>
      </c>
      <c r="D52">
        <v>-608.34560952370725</v>
      </c>
      <c r="E52">
        <v>-580.61049394362601</v>
      </c>
      <c r="F52">
        <v>-587.82170172499889</v>
      </c>
      <c r="G52">
        <v>-557.64349011304159</v>
      </c>
      <c r="H52">
        <v>-565.20534927624044</v>
      </c>
      <c r="I52">
        <v>-554.53235547461634</v>
      </c>
      <c r="J52">
        <v>-516.47925948624254</v>
      </c>
      <c r="K52">
        <v>-514.07174700727285</v>
      </c>
      <c r="L52">
        <v>-478.58772869528076</v>
      </c>
      <c r="M52">
        <v>-477.15748052479745</v>
      </c>
      <c r="N52">
        <v>-6626.2778913068769</v>
      </c>
    </row>
    <row r="53" spans="1:14" x14ac:dyDescent="0.25">
      <c r="A53" s="7" t="s">
        <v>1</v>
      </c>
      <c r="B53">
        <v>-8.7786914275235546</v>
      </c>
      <c r="C53">
        <v>-7.8013719340509331</v>
      </c>
      <c r="D53">
        <v>-8.505832246014899</v>
      </c>
      <c r="E53">
        <v>-8.1180424160978113</v>
      </c>
      <c r="F53">
        <v>-8.2188688586976628</v>
      </c>
      <c r="G53">
        <v>-7.79691988522349</v>
      </c>
      <c r="H53">
        <v>-7.9026491031273034</v>
      </c>
      <c r="I53">
        <v>-7.7534202874374056</v>
      </c>
      <c r="J53">
        <v>-7.2213654063772408</v>
      </c>
      <c r="K53">
        <v>-7.1877037887774424</v>
      </c>
      <c r="L53">
        <v>-6.6915695150171191</v>
      </c>
      <c r="M53">
        <v>-6.6715719169119465</v>
      </c>
      <c r="N53">
        <v>-92.648006785256811</v>
      </c>
    </row>
    <row r="54" spans="1:14" x14ac:dyDescent="0.25">
      <c r="A54" s="7" t="s">
        <v>45</v>
      </c>
      <c r="B54">
        <v>-16.706028263128101</v>
      </c>
      <c r="C54">
        <v>-14.846169397503809</v>
      </c>
      <c r="D54">
        <v>-16.186771693311123</v>
      </c>
      <c r="E54">
        <v>-15.448799762957485</v>
      </c>
      <c r="F54">
        <v>-15.640674533092669</v>
      </c>
      <c r="G54">
        <v>-14.837697058072118</v>
      </c>
      <c r="H54">
        <v>-15.038901909287373</v>
      </c>
      <c r="I54">
        <v>-14.754916439109863</v>
      </c>
      <c r="J54">
        <v>-13.742405183427897</v>
      </c>
      <c r="K54">
        <v>-13.67834644077273</v>
      </c>
      <c r="L54">
        <v>-12.734192831071855</v>
      </c>
      <c r="M54">
        <v>-12.696136995313436</v>
      </c>
      <c r="N54">
        <v>-176.31104050704846</v>
      </c>
    </row>
    <row r="55" spans="1:14" x14ac:dyDescent="0.25">
      <c r="A55" s="6" t="s">
        <v>47</v>
      </c>
    </row>
    <row r="56" spans="1:14" x14ac:dyDescent="0.25">
      <c r="A56" s="7" t="s">
        <v>0</v>
      </c>
      <c r="B56">
        <v>-27434.797886946697</v>
      </c>
      <c r="C56">
        <v>-24618.139659471486</v>
      </c>
      <c r="D56">
        <v>-27146.043308761658</v>
      </c>
      <c r="E56">
        <v>-26141.722698841822</v>
      </c>
      <c r="F56">
        <v>-26895.284469808303</v>
      </c>
      <c r="G56">
        <v>-25934.932062679862</v>
      </c>
      <c r="H56">
        <v>-26725.960751926374</v>
      </c>
      <c r="I56">
        <v>-26664.879406922952</v>
      </c>
      <c r="J56">
        <v>-25779.181681523383</v>
      </c>
      <c r="K56">
        <v>-26599.476963930385</v>
      </c>
      <c r="L56">
        <v>-25704.622995706461</v>
      </c>
      <c r="M56">
        <v>-26513.914251356851</v>
      </c>
      <c r="N56">
        <v>-316158.95613787626</v>
      </c>
    </row>
    <row r="57" spans="1:14" x14ac:dyDescent="0.25">
      <c r="A57" s="7" t="s">
        <v>1</v>
      </c>
      <c r="B57">
        <v>-140.96384471459135</v>
      </c>
      <c r="C57">
        <v>-126.4914591468885</v>
      </c>
      <c r="D57">
        <v>-139.48018313677926</v>
      </c>
      <c r="E57">
        <v>-134.31984278786192</v>
      </c>
      <c r="F57">
        <v>-138.19174900357754</v>
      </c>
      <c r="G57">
        <v>-133.25732345586289</v>
      </c>
      <c r="H57">
        <v>-137.32173995986733</v>
      </c>
      <c r="I57">
        <v>-137.00789543046704</v>
      </c>
      <c r="J57">
        <v>-132.45705612260048</v>
      </c>
      <c r="K57">
        <v>-136.67184849270751</v>
      </c>
      <c r="L57">
        <v>-132.07396312323044</v>
      </c>
      <c r="M57">
        <v>-136.23221525836487</v>
      </c>
      <c r="N57">
        <v>-1624.4691206327993</v>
      </c>
    </row>
    <row r="58" spans="1:14" x14ac:dyDescent="0.25">
      <c r="A58" s="7" t="s">
        <v>45</v>
      </c>
      <c r="B58">
        <v>-555.52962189650975</v>
      </c>
      <c r="C58">
        <v>-498.49486309970843</v>
      </c>
      <c r="D58">
        <v>-549.68260518798331</v>
      </c>
      <c r="E58">
        <v>-529.34602931850702</v>
      </c>
      <c r="F58">
        <v>-544.60496752631684</v>
      </c>
      <c r="G58">
        <v>-525.15870764068075</v>
      </c>
      <c r="H58">
        <v>-541.1763167536493</v>
      </c>
      <c r="I58">
        <v>-539.93947525641977</v>
      </c>
      <c r="J58">
        <v>-522.00490455050885</v>
      </c>
      <c r="K58">
        <v>-538.61513546807896</v>
      </c>
      <c r="L58">
        <v>-520.49515920040062</v>
      </c>
      <c r="M58">
        <v>-536.88256861774937</v>
      </c>
      <c r="N58">
        <v>-6401.9303545165139</v>
      </c>
    </row>
    <row r="59" spans="1:14" x14ac:dyDescent="0.25">
      <c r="A59" s="5" t="s">
        <v>64</v>
      </c>
    </row>
    <row r="60" spans="1:14" x14ac:dyDescent="0.25">
      <c r="A60" s="6" t="s">
        <v>49</v>
      </c>
    </row>
    <row r="61" spans="1:14" x14ac:dyDescent="0.25">
      <c r="A61" s="7" t="s">
        <v>125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 s="7" t="s">
        <v>126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 s="7" t="s">
        <v>127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 s="7" t="s">
        <v>67</v>
      </c>
      <c r="B64">
        <v>1.3793184897339663</v>
      </c>
      <c r="C64">
        <v>-2.6426459719859885</v>
      </c>
      <c r="D64">
        <v>-6.8956662665523796</v>
      </c>
      <c r="E64">
        <v>-10.178960449164972</v>
      </c>
      <c r="F64">
        <v>-13.626791381751513</v>
      </c>
      <c r="G64">
        <v>-17.843633666521292</v>
      </c>
      <c r="H64">
        <v>-21.52314173844379</v>
      </c>
      <c r="I64">
        <v>-31.716074867174136</v>
      </c>
      <c r="J64">
        <v>-25.913243648342682</v>
      </c>
      <c r="K64">
        <v>-31.568877117046377</v>
      </c>
      <c r="L64">
        <v>-35.742585659272834</v>
      </c>
      <c r="M64">
        <v>-37.425166562290279</v>
      </c>
      <c r="N64">
        <v>-233.69746883881228</v>
      </c>
    </row>
    <row r="65" spans="1:14" x14ac:dyDescent="0.25">
      <c r="A65" s="7" t="s">
        <v>128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 s="7" t="s">
        <v>129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 s="7" t="s">
        <v>130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 s="6" t="s">
        <v>46</v>
      </c>
    </row>
    <row r="69" spans="1:14" x14ac:dyDescent="0.25">
      <c r="A69" s="7" t="s">
        <v>125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 s="7" t="s">
        <v>126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 s="7" t="s">
        <v>127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 s="7" t="s">
        <v>67</v>
      </c>
      <c r="B72">
        <v>-302.88433704511669</v>
      </c>
      <c r="C72">
        <v>-298.97786376247939</v>
      </c>
      <c r="D72">
        <v>-305.35549828732661</v>
      </c>
      <c r="E72">
        <v>-283.42566536933776</v>
      </c>
      <c r="F72">
        <v>-276.49665048590373</v>
      </c>
      <c r="G72">
        <v>-283.39873923217124</v>
      </c>
      <c r="H72">
        <v>-281.96850315106468</v>
      </c>
      <c r="I72">
        <v>-353.18729209761881</v>
      </c>
      <c r="J72">
        <v>-250.76050098505024</v>
      </c>
      <c r="K72">
        <v>-270.3363088391522</v>
      </c>
      <c r="L72">
        <v>-274.39304226602138</v>
      </c>
      <c r="M72">
        <v>-260.34411873913791</v>
      </c>
      <c r="N72">
        <v>-3441.5285202603809</v>
      </c>
    </row>
    <row r="73" spans="1:14" x14ac:dyDescent="0.25">
      <c r="A73" s="7" t="s">
        <v>128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 s="7" t="s">
        <v>129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 s="7" t="s">
        <v>130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s="6" t="s">
        <v>47</v>
      </c>
    </row>
    <row r="77" spans="1:14" x14ac:dyDescent="0.25">
      <c r="A77" s="7" t="s">
        <v>125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 s="7" t="s">
        <v>126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 s="7" t="s">
        <v>127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 s="7" t="s">
        <v>67</v>
      </c>
      <c r="B80">
        <v>-12918.639228741054</v>
      </c>
      <c r="C80">
        <v>-12492.14071850861</v>
      </c>
      <c r="D80">
        <v>-13014.011099186917</v>
      </c>
      <c r="E80">
        <v>-11994.759372767629</v>
      </c>
      <c r="F80">
        <v>-11671.246035931834</v>
      </c>
      <c r="G80">
        <v>-12003.647924828982</v>
      </c>
      <c r="H80">
        <v>-11918.501215040691</v>
      </c>
      <c r="I80">
        <v>-14922.752157970221</v>
      </c>
      <c r="J80">
        <v>-10598.443273783721</v>
      </c>
      <c r="K80">
        <v>-11417.645973423047</v>
      </c>
      <c r="L80">
        <v>-11585.877116902599</v>
      </c>
      <c r="M80">
        <v>-10990.248282286453</v>
      </c>
      <c r="N80">
        <v>-145527.91239937174</v>
      </c>
    </row>
    <row r="81" spans="1:14" x14ac:dyDescent="0.25">
      <c r="A81" s="7" t="s">
        <v>128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 s="7" t="s">
        <v>129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 s="7" t="s">
        <v>130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 s="5" t="s">
        <v>65</v>
      </c>
    </row>
    <row r="85" spans="1:14" x14ac:dyDescent="0.25">
      <c r="A85" s="6" t="s">
        <v>49</v>
      </c>
    </row>
    <row r="86" spans="1:14" x14ac:dyDescent="0.25">
      <c r="A86" s="7" t="s">
        <v>69</v>
      </c>
      <c r="B86">
        <v>0</v>
      </c>
      <c r="C86">
        <v>1.1059612421344649</v>
      </c>
      <c r="D86">
        <v>0</v>
      </c>
      <c r="E86">
        <v>25.126566197668502</v>
      </c>
      <c r="F86">
        <v>1.509318783290858E-4</v>
      </c>
      <c r="G86">
        <v>14.252272789411768</v>
      </c>
      <c r="H86">
        <v>2.0892139775999312</v>
      </c>
      <c r="I86">
        <v>0</v>
      </c>
      <c r="J86">
        <v>0</v>
      </c>
      <c r="K86">
        <v>0</v>
      </c>
      <c r="L86">
        <v>6.8798419431454727</v>
      </c>
      <c r="M86">
        <v>0</v>
      </c>
      <c r="N86">
        <v>49.454007081838469</v>
      </c>
    </row>
    <row r="87" spans="1:14" x14ac:dyDescent="0.25">
      <c r="A87" s="6" t="s">
        <v>46</v>
      </c>
    </row>
    <row r="88" spans="1:14" x14ac:dyDescent="0.25">
      <c r="A88" s="7" t="s">
        <v>69</v>
      </c>
      <c r="B88">
        <v>139.67923106383125</v>
      </c>
      <c r="C88">
        <v>182.35159483819572</v>
      </c>
      <c r="D88">
        <v>111.18123777138717</v>
      </c>
      <c r="E88">
        <v>134.03605514248358</v>
      </c>
      <c r="F88">
        <v>216.15398742080291</v>
      </c>
      <c r="G88">
        <v>186.82014661148656</v>
      </c>
      <c r="H88">
        <v>95.64740482245314</v>
      </c>
      <c r="I88">
        <v>111.35586403187666</v>
      </c>
      <c r="J88">
        <v>291.35044810791339</v>
      </c>
      <c r="K88">
        <v>290.64517716325099</v>
      </c>
      <c r="L88">
        <v>155.36857137676512</v>
      </c>
      <c r="M88">
        <v>244.23006100084353</v>
      </c>
      <c r="N88">
        <v>2158.81977935129</v>
      </c>
    </row>
    <row r="89" spans="1:14" x14ac:dyDescent="0.25">
      <c r="A89" s="6" t="s">
        <v>47</v>
      </c>
    </row>
    <row r="90" spans="1:14" x14ac:dyDescent="0.25">
      <c r="A90" s="7" t="s">
        <v>69</v>
      </c>
      <c r="B90">
        <v>1991.7031089574425</v>
      </c>
      <c r="C90">
        <v>1971.3767542563071</v>
      </c>
      <c r="D90">
        <v>2159.113203443394</v>
      </c>
      <c r="E90">
        <v>2125.2125636135197</v>
      </c>
      <c r="F90">
        <v>2126.8316788375096</v>
      </c>
      <c r="G90">
        <v>2078.7305490268186</v>
      </c>
      <c r="H90">
        <v>2257.8266530743981</v>
      </c>
      <c r="I90">
        <v>2426.8943229382635</v>
      </c>
      <c r="J90">
        <v>2200.9453249527123</v>
      </c>
      <c r="K90">
        <v>2263.7149298822078</v>
      </c>
      <c r="L90">
        <v>2233.459816419429</v>
      </c>
      <c r="M90">
        <v>2281.7004618069814</v>
      </c>
      <c r="N90">
        <v>26117.509367208982</v>
      </c>
    </row>
    <row r="91" spans="1:14" x14ac:dyDescent="0.25">
      <c r="A91" s="5" t="s">
        <v>71</v>
      </c>
    </row>
    <row r="92" spans="1:14" x14ac:dyDescent="0.25">
      <c r="A92" s="6" t="s">
        <v>49</v>
      </c>
    </row>
    <row r="93" spans="1:14" x14ac:dyDescent="0.25">
      <c r="A93" s="7" t="s">
        <v>72</v>
      </c>
      <c r="B93">
        <v>5.6112943513674667</v>
      </c>
      <c r="C93">
        <v>5.5899659654762663</v>
      </c>
      <c r="D93">
        <v>5.5577891933471708</v>
      </c>
      <c r="E93">
        <v>5.529963997554189</v>
      </c>
      <c r="F93">
        <v>5.487360997720069</v>
      </c>
      <c r="G93">
        <v>5.4634739631431364</v>
      </c>
      <c r="H93">
        <v>5.4411295184146686</v>
      </c>
      <c r="I93">
        <v>5.4148562067159993</v>
      </c>
      <c r="J93">
        <v>5.3877693361883567</v>
      </c>
      <c r="K93">
        <v>5.3596293369354902</v>
      </c>
      <c r="L93">
        <v>5.3307026768787811</v>
      </c>
      <c r="M93">
        <v>5.3016111388735698</v>
      </c>
      <c r="N93">
        <v>65.47554668261516</v>
      </c>
    </row>
    <row r="94" spans="1:14" x14ac:dyDescent="0.25">
      <c r="A94" s="7" t="s">
        <v>73</v>
      </c>
      <c r="B94">
        <v>-4.6542246886844127</v>
      </c>
      <c r="C94">
        <v>-4.6359748062878205</v>
      </c>
      <c r="D94">
        <v>-4.7615096380894029</v>
      </c>
      <c r="E94">
        <v>-4.7777374582337231</v>
      </c>
      <c r="F94">
        <v>-5.574319768073793</v>
      </c>
      <c r="G94">
        <v>-6.2478094165176321</v>
      </c>
      <c r="H94">
        <v>-6.8905123337027439</v>
      </c>
      <c r="I94">
        <v>-6.9713726246352108</v>
      </c>
      <c r="J94">
        <v>-7.5825099054154146</v>
      </c>
      <c r="K94">
        <v>-7.5896134181848227</v>
      </c>
      <c r="L94">
        <v>-8.6916432225016909</v>
      </c>
      <c r="M94">
        <v>-8.6713776675918091</v>
      </c>
      <c r="N94">
        <v>-77.048604947918477</v>
      </c>
    </row>
    <row r="95" spans="1:14" x14ac:dyDescent="0.25">
      <c r="A95" s="7" t="s">
        <v>74</v>
      </c>
      <c r="B95">
        <v>8.0995945830233964</v>
      </c>
      <c r="C95">
        <v>8.1369986097109077</v>
      </c>
      <c r="D95">
        <v>8.1737734528656869</v>
      </c>
      <c r="E95">
        <v>8.1943241049503097</v>
      </c>
      <c r="F95">
        <v>8.2303473215170602</v>
      </c>
      <c r="G95">
        <v>8.2912624837305096</v>
      </c>
      <c r="H95">
        <v>8.3286145137360847</v>
      </c>
      <c r="I95">
        <v>8.3643566294404952</v>
      </c>
      <c r="J95">
        <v>8.4097327035952745</v>
      </c>
      <c r="K95">
        <v>8.4462460459494171</v>
      </c>
      <c r="L95">
        <v>8.4827760598261879</v>
      </c>
      <c r="M95">
        <v>8.5111097327742531</v>
      </c>
      <c r="N95">
        <v>99.669136241119602</v>
      </c>
    </row>
    <row r="96" spans="1:14" x14ac:dyDescent="0.25">
      <c r="A96" s="6" t="s">
        <v>46</v>
      </c>
    </row>
    <row r="97" spans="1:14" x14ac:dyDescent="0.25">
      <c r="A97" s="7" t="s">
        <v>72</v>
      </c>
      <c r="B97">
        <v>20.882625115589942</v>
      </c>
      <c r="C97">
        <v>20.823498037663882</v>
      </c>
      <c r="D97">
        <v>20.838552380190851</v>
      </c>
      <c r="E97">
        <v>20.801775659757251</v>
      </c>
      <c r="F97">
        <v>20.721386396095077</v>
      </c>
      <c r="G97">
        <v>20.452880902857864</v>
      </c>
      <c r="H97">
        <v>20.354310161271055</v>
      </c>
      <c r="I97">
        <v>20.264136950941733</v>
      </c>
      <c r="J97">
        <v>20.17760208065652</v>
      </c>
      <c r="K97">
        <v>20.087995204206372</v>
      </c>
      <c r="L97">
        <v>19.994840252943391</v>
      </c>
      <c r="M97">
        <v>19.886683675753076</v>
      </c>
      <c r="N97">
        <v>245.28628681792702</v>
      </c>
    </row>
    <row r="98" spans="1:14" x14ac:dyDescent="0.25">
      <c r="A98" s="7" t="s">
        <v>73</v>
      </c>
      <c r="B98">
        <v>-10.141349278637422</v>
      </c>
      <c r="C98">
        <v>-9.7471263999540287</v>
      </c>
      <c r="D98">
        <v>-9.9408373499849958</v>
      </c>
      <c r="E98">
        <v>-9.0718821496107545</v>
      </c>
      <c r="F98">
        <v>-12.23847083744997</v>
      </c>
      <c r="G98">
        <v>-13.375061952319356</v>
      </c>
      <c r="H98">
        <v>-14.666576100537013</v>
      </c>
      <c r="I98">
        <v>-14.747087739715434</v>
      </c>
      <c r="J98">
        <v>-15.953364017294534</v>
      </c>
      <c r="K98">
        <v>-15.894071167783524</v>
      </c>
      <c r="L98">
        <v>-18.192599202736965</v>
      </c>
      <c r="M98">
        <v>-18.156315162054764</v>
      </c>
      <c r="N98">
        <v>-162.12474135807878</v>
      </c>
    </row>
    <row r="99" spans="1:14" x14ac:dyDescent="0.25">
      <c r="A99" s="7" t="s">
        <v>74</v>
      </c>
      <c r="B99">
        <v>11.697643977248386</v>
      </c>
      <c r="C99">
        <v>11.858111157377669</v>
      </c>
      <c r="D99">
        <v>12.020973406836294</v>
      </c>
      <c r="E99">
        <v>12.087920057103958</v>
      </c>
      <c r="F99">
        <v>12.079026287929377</v>
      </c>
      <c r="G99">
        <v>12.011200098677635</v>
      </c>
      <c r="H99">
        <v>12.095656203214153</v>
      </c>
      <c r="I99">
        <v>12.178369317041311</v>
      </c>
      <c r="J99">
        <v>12.269635072734856</v>
      </c>
      <c r="K99">
        <v>12.338504726126109</v>
      </c>
      <c r="L99">
        <v>12.395605089110823</v>
      </c>
      <c r="M99">
        <v>12.427003289393459</v>
      </c>
      <c r="N99">
        <v>145.45964868279404</v>
      </c>
    </row>
    <row r="100" spans="1:14" x14ac:dyDescent="0.25">
      <c r="A100" s="6" t="s">
        <v>47</v>
      </c>
    </row>
    <row r="101" spans="1:14" x14ac:dyDescent="0.25">
      <c r="A101" s="7" t="s">
        <v>72</v>
      </c>
      <c r="B101">
        <v>727.79340727704266</v>
      </c>
      <c r="C101">
        <v>724.16118948485973</v>
      </c>
      <c r="D101">
        <v>720.56563865846203</v>
      </c>
      <c r="E101">
        <v>716.82756731868858</v>
      </c>
      <c r="F101">
        <v>713.16788632618488</v>
      </c>
      <c r="G101">
        <v>709.74760559799893</v>
      </c>
      <c r="H101">
        <v>706.15584752831421</v>
      </c>
      <c r="I101">
        <v>702.54962079434233</v>
      </c>
      <c r="J101">
        <v>699.01056927915522</v>
      </c>
      <c r="K101">
        <v>695.38564289885812</v>
      </c>
      <c r="L101">
        <v>691.76505125417782</v>
      </c>
      <c r="M101">
        <v>688.06962611337337</v>
      </c>
      <c r="N101">
        <v>8495.1996525314571</v>
      </c>
    </row>
    <row r="102" spans="1:14" x14ac:dyDescent="0.25">
      <c r="A102" s="7" t="s">
        <v>73</v>
      </c>
      <c r="B102">
        <v>-394.20442603267816</v>
      </c>
      <c r="C102">
        <v>-398.61689879375814</v>
      </c>
      <c r="D102">
        <v>-403.29765301192555</v>
      </c>
      <c r="E102">
        <v>-407.15038039215557</v>
      </c>
      <c r="F102">
        <v>-557.18720939447621</v>
      </c>
      <c r="G102">
        <v>-559.37712863116292</v>
      </c>
      <c r="H102">
        <v>-611.44291156576026</v>
      </c>
      <c r="I102">
        <v>-615.28153963564932</v>
      </c>
      <c r="J102">
        <v>-668.46412607729008</v>
      </c>
      <c r="K102">
        <v>-672.51631541403162</v>
      </c>
      <c r="L102">
        <v>-773.11575757476135</v>
      </c>
      <c r="M102">
        <v>-776.17230717035341</v>
      </c>
      <c r="N102">
        <v>-6836.8266536940027</v>
      </c>
    </row>
    <row r="103" spans="1:14" x14ac:dyDescent="0.25">
      <c r="A103" s="7" t="s">
        <v>74</v>
      </c>
      <c r="B103">
        <v>540.16276143972823</v>
      </c>
      <c r="C103">
        <v>542.64489023291128</v>
      </c>
      <c r="D103">
        <v>545.93525314029796</v>
      </c>
      <c r="E103">
        <v>547.97775583794567</v>
      </c>
      <c r="F103">
        <v>550.18062639055347</v>
      </c>
      <c r="G103">
        <v>552.95753741759177</v>
      </c>
      <c r="H103">
        <v>555.60572928304964</v>
      </c>
      <c r="I103">
        <v>558.21727405351805</v>
      </c>
      <c r="J103">
        <v>561.38063222366964</v>
      </c>
      <c r="K103">
        <v>563.88524922792431</v>
      </c>
      <c r="L103">
        <v>566.40161885106284</v>
      </c>
      <c r="M103">
        <v>568.2718869778322</v>
      </c>
      <c r="N103">
        <v>6653.6212150760848</v>
      </c>
    </row>
    <row r="104" spans="1:14" x14ac:dyDescent="0.25">
      <c r="A104" s="5" t="s">
        <v>75</v>
      </c>
    </row>
    <row r="105" spans="1:14" x14ac:dyDescent="0.25">
      <c r="A105" s="6" t="s">
        <v>49</v>
      </c>
    </row>
    <row r="106" spans="1:14" x14ac:dyDescent="0.25">
      <c r="A106" s="7" t="s">
        <v>77</v>
      </c>
      <c r="B106">
        <v>-20.6049857555</v>
      </c>
      <c r="C106">
        <v>-20.572688722999999</v>
      </c>
      <c r="D106">
        <v>-22.463241117199999</v>
      </c>
      <c r="E106">
        <v>-24.092811357000002</v>
      </c>
      <c r="F106">
        <v>-25.234177944700001</v>
      </c>
      <c r="G106">
        <v>-25.1995053152</v>
      </c>
      <c r="H106">
        <v>-22.427825108599997</v>
      </c>
      <c r="I106">
        <v>-21.938197317499998</v>
      </c>
      <c r="J106">
        <v>-21.8729752154</v>
      </c>
      <c r="K106">
        <v>-22.132428400099997</v>
      </c>
      <c r="L106">
        <v>-19.835509831300001</v>
      </c>
      <c r="M106">
        <v>-18.842528403399999</v>
      </c>
      <c r="N106">
        <v>-265.21687448889998</v>
      </c>
    </row>
    <row r="107" spans="1:14" x14ac:dyDescent="0.25">
      <c r="A107" s="7" t="s">
        <v>78</v>
      </c>
      <c r="B107">
        <v>-397.80895264380001</v>
      </c>
      <c r="C107">
        <v>-388.03259230119994</v>
      </c>
      <c r="D107">
        <v>-405.47635568620001</v>
      </c>
      <c r="E107">
        <v>-399.32974067129999</v>
      </c>
      <c r="F107">
        <v>-431.07286426230002</v>
      </c>
      <c r="G107">
        <v>-437.00735451899999</v>
      </c>
      <c r="H107">
        <v>-408.35165752449996</v>
      </c>
      <c r="I107">
        <v>-419.38478866629998</v>
      </c>
      <c r="J107">
        <v>-431.58148608930003</v>
      </c>
      <c r="K107">
        <v>-404.1385633955</v>
      </c>
      <c r="L107">
        <v>-411.29477044719999</v>
      </c>
      <c r="M107">
        <v>-416.9275805382</v>
      </c>
      <c r="N107">
        <v>-4950.4067067448004</v>
      </c>
    </row>
    <row r="108" spans="1:14" x14ac:dyDescent="0.25">
      <c r="A108" s="7" t="s">
        <v>79</v>
      </c>
      <c r="B108">
        <v>-23.251703595799999</v>
      </c>
      <c r="C108">
        <v>-25.256442239999998</v>
      </c>
      <c r="D108">
        <v>-23.458593208300002</v>
      </c>
      <c r="E108">
        <v>-23.773667860299998</v>
      </c>
      <c r="F108">
        <v>-23.984488256699997</v>
      </c>
      <c r="G108">
        <v>-25.059225253000001</v>
      </c>
      <c r="H108">
        <v>-24.0872857321</v>
      </c>
      <c r="I108">
        <v>-24.083563524199999</v>
      </c>
      <c r="J108">
        <v>-25.4814879933</v>
      </c>
      <c r="K108">
        <v>-24.557385633599999</v>
      </c>
      <c r="L108">
        <v>-24.8841912818</v>
      </c>
      <c r="M108">
        <v>-24.590122978899998</v>
      </c>
      <c r="N108">
        <v>-292.46815755800003</v>
      </c>
    </row>
    <row r="109" spans="1:14" x14ac:dyDescent="0.25">
      <c r="A109" s="6" t="s">
        <v>46</v>
      </c>
    </row>
    <row r="110" spans="1:14" x14ac:dyDescent="0.25">
      <c r="A110" s="7" t="s">
        <v>77</v>
      </c>
      <c r="B110">
        <v>-42.458677315300001</v>
      </c>
      <c r="C110">
        <v>-40.776663203399998</v>
      </c>
      <c r="D110">
        <v>-45.363202449799999</v>
      </c>
      <c r="E110">
        <v>-45.374674880800001</v>
      </c>
      <c r="F110">
        <v>-46.073701792400001</v>
      </c>
      <c r="G110">
        <v>-42.557658162599999</v>
      </c>
      <c r="H110">
        <v>-37.898757373700001</v>
      </c>
      <c r="I110">
        <v>-36.987507530999999</v>
      </c>
      <c r="J110">
        <v>-37.077156305700001</v>
      </c>
      <c r="K110">
        <v>-37.322599695500003</v>
      </c>
      <c r="L110">
        <v>-39.524142593199997</v>
      </c>
      <c r="M110">
        <v>-41.056148308700003</v>
      </c>
      <c r="N110">
        <v>-492.4708896121</v>
      </c>
    </row>
    <row r="111" spans="1:14" x14ac:dyDescent="0.25">
      <c r="A111" s="7" t="s">
        <v>78</v>
      </c>
      <c r="B111">
        <v>-589.13466261569999</v>
      </c>
      <c r="C111">
        <v>-576.80636252909994</v>
      </c>
      <c r="D111">
        <v>-601.09215630569997</v>
      </c>
      <c r="E111">
        <v>-595.83504329649998</v>
      </c>
      <c r="F111">
        <v>-621.89677317380006</v>
      </c>
      <c r="G111">
        <v>-622.793918835</v>
      </c>
      <c r="H111">
        <v>-597.23042630880002</v>
      </c>
      <c r="I111">
        <v>-606.74432860399997</v>
      </c>
      <c r="J111">
        <v>-627.39958000490003</v>
      </c>
      <c r="K111">
        <v>-601.45478626160002</v>
      </c>
      <c r="L111">
        <v>-614.1449430875</v>
      </c>
      <c r="M111">
        <v>-636.46500897630006</v>
      </c>
      <c r="N111">
        <v>-7290.9979899988994</v>
      </c>
    </row>
    <row r="112" spans="1:14" x14ac:dyDescent="0.25">
      <c r="A112" s="7" t="s">
        <v>79</v>
      </c>
      <c r="B112">
        <v>-46.525316152599999</v>
      </c>
      <c r="C112">
        <v>-49.513497076</v>
      </c>
      <c r="D112">
        <v>-47.027941668899999</v>
      </c>
      <c r="E112">
        <v>-47.408980476400004</v>
      </c>
      <c r="F112">
        <v>-47.771848740099998</v>
      </c>
      <c r="G112">
        <v>-49.359170259600006</v>
      </c>
      <c r="H112">
        <v>-47.910365862799999</v>
      </c>
      <c r="I112">
        <v>-47.806503751699999</v>
      </c>
      <c r="J112">
        <v>-50.451021724499995</v>
      </c>
      <c r="K112">
        <v>-48.5002894052</v>
      </c>
      <c r="L112">
        <v>-48.8493140251</v>
      </c>
      <c r="M112">
        <v>-48.5838478533</v>
      </c>
      <c r="N112">
        <v>-579.70809699619997</v>
      </c>
    </row>
    <row r="113" spans="1:14" x14ac:dyDescent="0.25">
      <c r="A113" s="6" t="s">
        <v>47</v>
      </c>
    </row>
    <row r="114" spans="1:14" x14ac:dyDescent="0.25">
      <c r="A114" s="7" t="s">
        <v>77</v>
      </c>
      <c r="B114">
        <v>-294.84030959270001</v>
      </c>
      <c r="C114">
        <v>-290.7357330621</v>
      </c>
      <c r="D114">
        <v>-312.98560518189998</v>
      </c>
      <c r="E114">
        <v>-304.36401641520001</v>
      </c>
      <c r="F114">
        <v>-302.74167791939999</v>
      </c>
      <c r="G114">
        <v>-288.8746364996</v>
      </c>
      <c r="H114">
        <v>-280.61893374070002</v>
      </c>
      <c r="I114">
        <v>-280.97256514190002</v>
      </c>
      <c r="J114">
        <v>-284.64265181730002</v>
      </c>
      <c r="K114">
        <v>-283.87972601949997</v>
      </c>
      <c r="L114">
        <v>-277.74514712409996</v>
      </c>
      <c r="M114">
        <v>-275.85378212260002</v>
      </c>
      <c r="N114">
        <v>-3478.2547846369998</v>
      </c>
    </row>
    <row r="115" spans="1:14" x14ac:dyDescent="0.25">
      <c r="A115" s="7" t="s">
        <v>78</v>
      </c>
      <c r="B115">
        <v>-3969.9973938285002</v>
      </c>
      <c r="C115">
        <v>-3915.4170939753003</v>
      </c>
      <c r="D115">
        <v>-4074.9702085081999</v>
      </c>
      <c r="E115">
        <v>-3994.8745018183999</v>
      </c>
      <c r="F115">
        <v>-4136.8672683211998</v>
      </c>
      <c r="G115">
        <v>-4193.2426084486997</v>
      </c>
      <c r="H115">
        <v>-4039.7393446243</v>
      </c>
      <c r="I115">
        <v>-4093.4561376294005</v>
      </c>
      <c r="J115">
        <v>-4221.7932336484</v>
      </c>
      <c r="K115">
        <v>-4096.7159785844997</v>
      </c>
      <c r="L115">
        <v>-4159.4487997075994</v>
      </c>
      <c r="M115">
        <v>-4231.3961743649998</v>
      </c>
      <c r="N115">
        <v>-49127.918743459501</v>
      </c>
    </row>
    <row r="116" spans="1:14" x14ac:dyDescent="0.25">
      <c r="A116" s="7" t="s">
        <v>79</v>
      </c>
      <c r="B116">
        <v>-2162.0732627743</v>
      </c>
      <c r="C116">
        <v>-2293.2639596167</v>
      </c>
      <c r="D116">
        <v>-2183.9333010156001</v>
      </c>
      <c r="E116">
        <v>-2195.6479913628</v>
      </c>
      <c r="F116">
        <v>-2210.5216878261999</v>
      </c>
      <c r="G116">
        <v>-2274.8104732176998</v>
      </c>
      <c r="H116">
        <v>-2211.0773214470996</v>
      </c>
      <c r="I116">
        <v>-2201.547629138</v>
      </c>
      <c r="J116">
        <v>-2323.162300125</v>
      </c>
      <c r="K116">
        <v>-2240.7485865732997</v>
      </c>
      <c r="L116">
        <v>-2254.226753983</v>
      </c>
      <c r="M116">
        <v>-2240.2122134005999</v>
      </c>
      <c r="N116">
        <v>-26791.225480480298</v>
      </c>
    </row>
    <row r="117" spans="1:14" x14ac:dyDescent="0.25">
      <c r="A117" s="5" t="s">
        <v>81</v>
      </c>
    </row>
    <row r="118" spans="1:14" x14ac:dyDescent="0.25">
      <c r="A118" s="6" t="s">
        <v>49</v>
      </c>
    </row>
    <row r="119" spans="1:14" x14ac:dyDescent="0.25">
      <c r="A119" s="7" t="s">
        <v>82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2.358118375603794</v>
      </c>
      <c r="K119">
        <v>0</v>
      </c>
      <c r="L119">
        <v>0</v>
      </c>
      <c r="M119">
        <v>0</v>
      </c>
      <c r="N119">
        <v>2.358118375603794</v>
      </c>
    </row>
    <row r="120" spans="1:14" x14ac:dyDescent="0.25">
      <c r="A120" s="6" t="s">
        <v>46</v>
      </c>
    </row>
    <row r="121" spans="1:14" x14ac:dyDescent="0.25">
      <c r="A121" s="7" t="s">
        <v>82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34.095481401627445</v>
      </c>
      <c r="K121">
        <v>0</v>
      </c>
      <c r="L121">
        <v>0</v>
      </c>
      <c r="M121">
        <v>0</v>
      </c>
      <c r="N121">
        <v>34.095481401627445</v>
      </c>
    </row>
    <row r="122" spans="1:14" x14ac:dyDescent="0.25">
      <c r="A122" s="6" t="s">
        <v>47</v>
      </c>
    </row>
    <row r="123" spans="1:14" x14ac:dyDescent="0.25">
      <c r="A123" s="7" t="s">
        <v>82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1221.7312625426093</v>
      </c>
      <c r="K123">
        <v>0</v>
      </c>
      <c r="L123">
        <v>0</v>
      </c>
      <c r="M123">
        <v>0</v>
      </c>
      <c r="N123">
        <v>1221.7312625426093</v>
      </c>
    </row>
    <row r="124" spans="1:14" x14ac:dyDescent="0.25">
      <c r="A124" s="5" t="s">
        <v>80</v>
      </c>
    </row>
    <row r="125" spans="1:14" x14ac:dyDescent="0.25">
      <c r="A125" s="6" t="s">
        <v>49</v>
      </c>
    </row>
    <row r="126" spans="1:14" x14ac:dyDescent="0.25">
      <c r="A126" s="7" t="s">
        <v>48</v>
      </c>
      <c r="B126">
        <v>-4.7069227368873454</v>
      </c>
      <c r="C126">
        <v>-3.8813017973970996</v>
      </c>
      <c r="D126">
        <v>-4.1018046068874092</v>
      </c>
      <c r="E126">
        <v>-4.1106786082138713</v>
      </c>
      <c r="F126">
        <v>-7.0412578681307156</v>
      </c>
      <c r="G126">
        <v>-4.7406704963051283</v>
      </c>
      <c r="H126">
        <v>-8.558367655170402</v>
      </c>
      <c r="I126">
        <v>-3.9974035605868634</v>
      </c>
      <c r="J126">
        <v>-4.312858937059822</v>
      </c>
      <c r="K126">
        <v>-4.3717250485251231</v>
      </c>
      <c r="L126">
        <v>-4.4250474000268234</v>
      </c>
      <c r="M126">
        <v>-9.1654917053216867</v>
      </c>
      <c r="N126">
        <v>-63.413530420512288</v>
      </c>
    </row>
    <row r="127" spans="1:14" x14ac:dyDescent="0.25">
      <c r="A127" s="6" t="s">
        <v>46</v>
      </c>
    </row>
    <row r="128" spans="1:14" x14ac:dyDescent="0.25">
      <c r="A128" s="7" t="s">
        <v>48</v>
      </c>
      <c r="B128">
        <v>-7.1633720530258458</v>
      </c>
      <c r="C128">
        <v>-5.7591394121547372</v>
      </c>
      <c r="D128">
        <v>-5.9138429856636279</v>
      </c>
      <c r="E128">
        <v>-5.7928053835391307</v>
      </c>
      <c r="F128">
        <v>-9.5402863954472412</v>
      </c>
      <c r="G128">
        <v>-6.1771448158262947</v>
      </c>
      <c r="H128">
        <v>-10.727262001526764</v>
      </c>
      <c r="I128">
        <v>-4.8210148923607274</v>
      </c>
      <c r="J128">
        <v>-4.7938949329385263</v>
      </c>
      <c r="K128">
        <v>-4.5053723740877896</v>
      </c>
      <c r="L128">
        <v>-4.229170303334298</v>
      </c>
      <c r="M128">
        <v>-8.1956533109385852</v>
      </c>
      <c r="N128">
        <v>-77.618958860843577</v>
      </c>
    </row>
    <row r="129" spans="1:14" x14ac:dyDescent="0.25">
      <c r="A129" s="6" t="s">
        <v>47</v>
      </c>
    </row>
    <row r="130" spans="1:14" x14ac:dyDescent="0.25">
      <c r="A130" s="7" t="s">
        <v>48</v>
      </c>
      <c r="B130">
        <v>-308.43544394003072</v>
      </c>
      <c r="C130">
        <v>-250.38979752039211</v>
      </c>
      <c r="D130">
        <v>-260.03649516075961</v>
      </c>
      <c r="E130">
        <v>-257.0079841427829</v>
      </c>
      <c r="F130">
        <v>-430.1305538709579</v>
      </c>
      <c r="G130">
        <v>-283.09005684577119</v>
      </c>
      <c r="H130">
        <v>-499.8322859578941</v>
      </c>
      <c r="I130">
        <v>-228.4333771616437</v>
      </c>
      <c r="J130">
        <v>-235.78333557976867</v>
      </c>
      <c r="K130">
        <v>-229.71449883582028</v>
      </c>
      <c r="L130">
        <v>-223.8273785550721</v>
      </c>
      <c r="M130">
        <v>-448.74956853614265</v>
      </c>
      <c r="N130">
        <v>-3655.4307761070368</v>
      </c>
    </row>
    <row r="131" spans="1:14" x14ac:dyDescent="0.25">
      <c r="A131" s="5" t="s">
        <v>124</v>
      </c>
      <c r="B131">
        <v>11853361.599182807</v>
      </c>
      <c r="C131">
        <v>11893342.775916765</v>
      </c>
      <c r="D131">
        <v>11958843.437909469</v>
      </c>
      <c r="E131">
        <v>12006447.344051363</v>
      </c>
      <c r="F131">
        <v>12049920.617241967</v>
      </c>
      <c r="G131">
        <v>12109003.073243123</v>
      </c>
      <c r="H131">
        <v>12168237.310622649</v>
      </c>
      <c r="I131">
        <v>12225284.834264791</v>
      </c>
      <c r="J131">
        <v>12309509.539269036</v>
      </c>
      <c r="K131">
        <v>12366433.663259711</v>
      </c>
      <c r="L131">
        <v>12423679.459048221</v>
      </c>
      <c r="M131">
        <v>12466962.222718406</v>
      </c>
      <c r="N131">
        <v>145831025.8767283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Parametros</vt:lpstr>
      <vt:lpstr>Total_Producto_CHECK</vt:lpstr>
      <vt:lpstr>Desempeño_Financiero</vt:lpstr>
      <vt:lpstr>Indicadores</vt:lpstr>
      <vt:lpstr>Evolutivos--&gt;</vt:lpstr>
      <vt:lpstr>Total_Producto</vt:lpstr>
      <vt:lpstr>Renta_Alta</vt:lpstr>
      <vt:lpstr>Masivo</vt:lpstr>
      <vt:lpstr>Consumo_Inicial</vt:lpstr>
      <vt:lpstr>TDinamica_R</vt:lpstr>
      <vt:lpstr>TDinamica_P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Cajavilca Vinces, Bryan Irvyn</dc:creator>
  <cp:lastModifiedBy>Segovia Ureta, Gianpier Andre</cp:lastModifiedBy>
  <dcterms:created xsi:type="dcterms:W3CDTF">2026-02-16T15:38:39Z</dcterms:created>
  <dcterms:modified xsi:type="dcterms:W3CDTF">2026-08-19T16:32:17Z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2-Confidencial</vt:lpwstr>
  </property>
  <property fmtid="{D5CDD505-2E9C-101B-9397-08002B2CF9AE}" pid="3" name="MSIP_Label_d5bedeb1-b3ac-45db-91f7-453e06cfe2b0_Enabled">
    <vt:lpwstr>True</vt:lpwstr>
  </property>
  <property fmtid="{D5CDD505-2E9C-101B-9397-08002B2CF9AE}" pid="4" name="MSIP_Label_d5bedeb1-b3ac-45db-91f7-453e06cfe2b0_SiteId">
    <vt:lpwstr>360bc517-7aac-4c17-9907-4c5f13a12289</vt:lpwstr>
  </property>
  <property fmtid="{D5CDD505-2E9C-101B-9397-08002B2CF9AE}" pid="5" name="MSIP_Label_d5bedeb1-b3ac-45db-91f7-453e06cfe2b0_SetDate">
    <vt:lpwstr>2026-08-04T18:30:21Z</vt:lpwstr>
  </property>
  <property fmtid="{D5CDD505-2E9C-101B-9397-08002B2CF9AE}" pid="6" name="MSIP_Label_d5bedeb1-b3ac-45db-91f7-453e06cfe2b0_Name">
    <vt:lpwstr>Confidencial</vt:lpwstr>
  </property>
  <property fmtid="{D5CDD505-2E9C-101B-9397-08002B2CF9AE}" pid="7" name="MSIP_Label_d5bedeb1-b3ac-45db-91f7-453e06cfe2b0_ActionId">
    <vt:lpwstr>39a5d3c4-2a37-4d2e-92c4-067a8717643b</vt:lpwstr>
  </property>
  <property fmtid="{D5CDD505-2E9C-101B-9397-08002B2CF9AE}" pid="8" name="MSIP_Label_d5bedeb1-b3ac-45db-91f7-453e06cfe2b0_Removed">
    <vt:lpwstr>False</vt:lpwstr>
  </property>
  <property fmtid="{D5CDD505-2E9C-101B-9397-08002B2CF9AE}" pid="9" name="MSIP_Label_d5bedeb1-b3ac-45db-91f7-453e06cfe2b0_Parent">
    <vt:lpwstr/>
  </property>
  <property fmtid="{D5CDD505-2E9C-101B-9397-08002B2CF9AE}" pid="10" name="MSIP_Label_d5bedeb1-b3ac-45db-91f7-453e06cfe2b0_Extended_MSFT_Method">
    <vt:lpwstr>Standard</vt:lpwstr>
  </property>
  <property fmtid="{D5CDD505-2E9C-101B-9397-08002B2CF9AE}" pid="11" name="Sensitivity">
    <vt:lpwstr>Confidencial</vt:lpwstr>
  </property>
</Properties>
</file>